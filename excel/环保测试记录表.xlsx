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总览表!$A$2:$AZ$694</definedName>
    <definedName name="_xlnm.Print_Area" localSheetId="0">总览表!$A$1:$AZ$1944</definedName>
  </definedNames>
  <calcPr calcId="144525"/>
</workbook>
</file>

<file path=xl/sharedStrings.xml><?xml version="1.0" encoding="utf-8"?>
<sst xmlns="http://schemas.openxmlformats.org/spreadsheetml/2006/main" count="3800" uniqueCount="1459">
  <si>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</si>
  <si>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</si>
  <si>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</si>
  <si>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</si>
  <si>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</si>
  <si>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</si>
  <si>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</si>
  <si>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</si>
  <si>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</si>
  <si>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</si>
  <si>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</si>
  <si>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</si>
  <si>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</si>
  <si>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</si>
  <si>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</si>
  <si>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</si>
  <si>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</si>
  <si>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</si>
  <si>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</si>
  <si>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</si>
  <si>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</si>
  <si>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</si>
  <si>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</si>
  <si>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</si>
  <si>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</si>
  <si>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</si>
  <si>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</si>
  <si>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</si>
  <si>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</si>
  <si>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</si>
  <si>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</si>
  <si>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</si>
  <si>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</si>
  <si>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</si>
  <si>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</si>
  <si>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</si>
  <si>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</si>
  <si>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</si>
  <si>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</si>
  <si>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</si>
  <si>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</si>
  <si>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</si>
  <si>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</si>
  <si>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</si>
  <si>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</si>
  <si>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</si>
  <si>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</si>
  <si>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</si>
  <si>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</si>
  <si>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</si>
  <si>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</si>
  <si>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</si>
  <si>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</si>
  <si>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</si>
  <si>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</si>
  <si>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</si>
  <si>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</si>
  <si>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</si>
  <si>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</si>
  <si>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</si>
  <si>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</si>
  <si>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</si>
  <si>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</si>
  <si>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</si>
  <si>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</si>
  <si>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</si>
  <si>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</si>
  <si>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</si>
  <si>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</si>
  <si>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</si>
  <si>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</si>
  <si>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</si>
  <si>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</si>
  <si>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</si>
  <si>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</si>
  <si>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</si>
  <si>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</si>
  <si>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</si>
  <si>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</si>
  <si>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</si>
  <si>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</si>
  <si>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</si>
  <si>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</si>
  <si>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</si>
  <si>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</si>
  <si>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</si>
  <si>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</si>
  <si>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</si>
  <si>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</si>
  <si>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</si>
  <si>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</si>
  <si>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</si>
  <si>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</si>
  <si>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</si>
  <si>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</si>
  <si>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</si>
  <si>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</si>
  <si>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</si>
  <si>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</si>
  <si>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</si>
  <si>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</si>
  <si>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</si>
  <si>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</si>
  <si>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</si>
  <si>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</si>
  <si>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</si>
  <si>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</si>
  <si>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</si>
  <si>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</si>
  <si>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</si>
  <si>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</si>
  <si>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</si>
  <si>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</si>
  <si>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</si>
  <si>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</si>
  <si>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</si>
  <si>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</si>
  <si>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</si>
  <si>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</si>
  <si>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</si>
  <si>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</si>
  <si>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</si>
  <si>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</si>
  <si>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</si>
  <si>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</si>
  <si>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</si>
  <si>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</si>
  <si>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</si>
  <si>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</si>
  <si>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</si>
  <si>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</si>
  <si>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</si>
  <si>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</si>
  <si>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</si>
  <si>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</si>
  <si>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</si>
  <si>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</si>
  <si>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</si>
  <si>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</si>
  <si>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</si>
  <si>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</si>
  <si>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</si>
  <si>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</si>
  <si>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</si>
  <si>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</si>
  <si>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</si>
  <si>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</si>
  <si>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</si>
  <si>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</si>
  <si>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</si>
  <si>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</si>
  <si>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</si>
  <si>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</si>
  <si>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</si>
  <si>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</si>
  <si>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</si>
  <si>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</si>
  <si>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</si>
  <si>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</si>
  <si>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</si>
  <si>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</si>
  <si>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</si>
  <si>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</si>
  <si>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</si>
  <si>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</si>
  <si>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</si>
  <si>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</si>
  <si>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</si>
  <si>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</si>
  <si>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</si>
  <si>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</si>
  <si>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</si>
  <si>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</si>
  <si>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</si>
  <si>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</si>
  <si>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</si>
  <si>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</si>
  <si>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</si>
  <si>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</si>
  <si>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</si>
  <si>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</si>
  <si>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</si>
  <si>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</si>
  <si>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</si>
  <si>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</si>
  <si>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</si>
  <si>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</si>
  <si>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</si>
  <si>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</si>
  <si>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</si>
  <si>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</si>
  <si>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</si>
  <si>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</si>
  <si>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</si>
  <si>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</si>
  <si>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</si>
  <si>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</si>
  <si>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</si>
  <si>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</si>
  <si>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</si>
  <si>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</si>
  <si>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</si>
  <si>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</si>
  <si>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</si>
  <si>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</si>
  <si>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</si>
  <si>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</si>
  <si>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</si>
  <si>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</si>
  <si>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</si>
  <si>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</si>
  <si>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</si>
  <si>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</si>
  <si>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</si>
  <si>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</si>
  <si>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</si>
  <si>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</si>
  <si>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</si>
  <si>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</si>
  <si>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</si>
  <si>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</si>
  <si>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</si>
  <si>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</si>
  <si>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</si>
  <si>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</si>
  <si>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</si>
  <si>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</si>
  <si>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</si>
  <si>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</si>
  <si>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</si>
  <si>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</si>
  <si>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</si>
  <si>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</si>
  <si>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</si>
  <si>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</si>
  <si>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</si>
  <si>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</si>
  <si>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</si>
  <si>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</si>
  <si>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</si>
  <si>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</si>
  <si>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</si>
  <si>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</si>
  <si>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</si>
  <si>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</si>
  <si>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</si>
  <si>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</si>
  <si>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</si>
  <si>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</si>
  <si>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</si>
  <si>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</si>
  <si>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</si>
  <si>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</si>
  <si>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</si>
  <si>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</si>
  <si>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</si>
  <si>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</si>
  <si>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</si>
  <si>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</si>
  <si>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</si>
  <si>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</si>
  <si>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</si>
  <si>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</si>
  <si>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</si>
  <si>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</si>
  <si>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</si>
  <si>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</si>
  <si>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</si>
  <si>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</si>
  <si>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</si>
  <si>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</si>
  <si>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</si>
  <si>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</si>
  <si>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</si>
  <si>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</si>
  <si>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</si>
  <si>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</si>
  <si>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</si>
  <si>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</si>
  <si>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</si>
  <si>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</si>
  <si>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</si>
  <si>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</si>
  <si>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</si>
  <si>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</si>
  <si>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</si>
  <si>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</si>
  <si>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</si>
  <si>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</si>
  <si>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</si>
  <si>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</si>
  <si>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</si>
  <si>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</si>
  <si>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</si>
  <si>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</si>
  <si>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</si>
  <si>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</si>
  <si>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</si>
  <si>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</si>
  <si>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</si>
  <si>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</si>
  <si>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</si>
  <si>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</si>
  <si>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</si>
  <si>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</si>
  <si>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</si>
  <si>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</si>
  <si>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</si>
  <si>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</si>
  <si>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</si>
  <si>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</si>
  <si>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</si>
  <si>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</si>
  <si>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</si>
  <si>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</si>
  <si>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</si>
  <si>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</si>
  <si>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</si>
  <si>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</si>
  <si>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</si>
  <si>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</si>
  <si>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</si>
  <si>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</si>
  <si>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</si>
  <si>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</si>
  <si>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</si>
  <si>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</si>
  <si>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</si>
  <si>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</si>
  <si>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</si>
  <si>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</si>
  <si>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</si>
  <si>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</si>
  <si>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</si>
  <si>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</si>
  <si>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</si>
  <si>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</si>
  <si>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</si>
  <si>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</si>
  <si>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</si>
  <si>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</si>
  <si>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</si>
  <si>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</si>
  <si>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</si>
  <si>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</si>
  <si>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</si>
  <si>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</si>
  <si>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</si>
  <si>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</si>
  <si>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</si>
  <si>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</si>
  <si>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</si>
  <si>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</si>
  <si>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</si>
  <si>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</si>
  <si>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</si>
  <si>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</si>
  <si>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</si>
  <si>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</si>
  <si>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</si>
  <si>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</si>
  <si>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</si>
  <si>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</si>
  <si>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</si>
  <si>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</si>
  <si>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</si>
  <si>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</si>
  <si>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</si>
  <si>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</si>
  <si>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</si>
  <si>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</si>
  <si>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</si>
  <si>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</si>
  <si>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</si>
  <si>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</si>
  <si>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</si>
  <si>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</si>
  <si>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</si>
  <si>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</si>
  <si>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</si>
  <si>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</si>
  <si>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</si>
  <si>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</si>
  <si>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</si>
  <si>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</si>
  <si>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</si>
  <si>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</si>
  <si>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</si>
  <si>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</si>
  <si>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</si>
  <si>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</si>
  <si>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</si>
  <si>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</si>
  <si>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</si>
  <si>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</si>
  <si>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</si>
  <si>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</si>
  <si>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</si>
  <si>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</si>
  <si>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</si>
  <si>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</si>
  <si>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</si>
  <si>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</si>
  <si>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</si>
  <si>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</si>
  <si>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</si>
  <si>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</si>
  <si>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</si>
  <si>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</si>
  <si>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</si>
  <si>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</si>
  <si>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</si>
  <si>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</si>
  <si>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</si>
  <si>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</si>
  <si>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</si>
  <si>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</si>
  <si>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</si>
  <si>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</si>
  <si>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</si>
  <si>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</si>
  <si>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</si>
  <si>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</si>
  <si>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</si>
  <si>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</si>
  <si>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</si>
  <si>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</si>
  <si>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</si>
  <si>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</si>
  <si>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</si>
  <si>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</si>
  <si>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</si>
  <si>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</si>
  <si>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</si>
  <si>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</si>
  <si>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</si>
  <si>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</si>
  <si>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</si>
  <si>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</si>
  <si>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</si>
  <si>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</si>
  <si>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</si>
  <si>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</si>
  <si>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</si>
  <si>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</si>
  <si>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</si>
  <si>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</si>
  <si>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</si>
  <si>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</si>
  <si>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</si>
  <si>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</si>
  <si>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</si>
  <si>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</si>
  <si>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</si>
  <si>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</si>
  <si>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</si>
  <si>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</si>
  <si>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</si>
  <si>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</si>
  <si>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</si>
  <si>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</si>
  <si>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</si>
  <si>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</si>
  <si>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</si>
  <si>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</si>
  <si>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</si>
  <si>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</si>
  <si>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</si>
  <si>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</si>
  <si>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</si>
  <si>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</si>
  <si>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</si>
  <si>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</si>
  <si>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/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</si>
  <si>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</si>
  <si>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</si>
  <si>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</si>
  <si>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</si>
  <si>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</si>
  <si>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</si>
  <si>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</si>
  <si>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</si>
  <si>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</si>
  <si>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</si>
  <si>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</si>
  <si>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</si>
  <si>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</si>
  <si>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</si>
  <si>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</si>
  <si>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</si>
  <si>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</si>
  <si>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</si>
  <si>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</si>
  <si>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</si>
  <si>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</si>
  <si>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</si>
  <si>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</si>
  <si>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</si>
  <si>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</si>
  <si>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</si>
  <si>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</si>
  <si>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</si>
  <si>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</si>
  <si>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</si>
  <si>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</si>
  <si>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</si>
  <si>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</si>
  <si>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</si>
  <si>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</si>
  <si>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</si>
  <si>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</si>
  <si>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</si>
  <si>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</si>
  <si>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</si>
  <si>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</si>
  <si>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</si>
  <si>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</si>
  <si>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</si>
  <si>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</si>
  <si>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</si>
  <si>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</si>
  <si>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</si>
  <si>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</si>
  <si>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</si>
  <si>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</si>
  <si>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</si>
  <si>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</si>
  <si>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</si>
  <si>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</si>
  <si>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</si>
  <si>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</si>
  <si>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</si>
  <si>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</si>
  <si>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</si>
  <si>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</si>
  <si>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</si>
  <si>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</si>
  <si>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</si>
  <si>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</si>
  <si>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</si>
  <si>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</si>
  <si>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</si>
  <si>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</si>
  <si>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</si>
  <si>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</si>
  <si>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</si>
  <si>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</si>
  <si>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</si>
  <si>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</si>
  <si>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</si>
  <si>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</si>
  <si>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</si>
  <si>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</si>
  <si>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</si>
  <si>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</si>
  <si>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</si>
  <si>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</si>
  <si>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</si>
  <si>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</si>
  <si>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</si>
  <si>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</si>
  <si>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</si>
  <si>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</si>
  <si>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</si>
  <si>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</si>
  <si>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</si>
  <si>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</si>
  <si>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</si>
  <si>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</si>
  <si>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</si>
  <si>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</si>
  <si>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</si>
  <si>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</si>
  <si>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</si>
  <si>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</si>
  <si>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</si>
  <si>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</si>
  <si>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</si>
  <si>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</si>
  <si>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</si>
  <si>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</si>
  <si>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</si>
  <si>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</si>
  <si>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</si>
  <si>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</si>
  <si>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</si>
  <si>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</si>
  <si>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</si>
  <si>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</si>
  <si>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</si>
  <si>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</si>
  <si>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</si>
  <si>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</si>
  <si>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</si>
  <si>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</si>
  <si>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</si>
  <si>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</si>
  <si>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</si>
  <si>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</si>
  <si>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</si>
  <si>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</si>
  <si>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</si>
  <si>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</si>
  <si>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</si>
  <si>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</si>
  <si>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</si>
  <si>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</si>
  <si>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</si>
  <si>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</si>
  <si>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</si>
  <si>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</si>
  <si>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</si>
  <si>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</si>
  <si>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</si>
  <si>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</si>
  <si>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</si>
  <si>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</si>
  <si>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</si>
  <si>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</si>
  <si>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</si>
  <si>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</si>
  <si>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</si>
  <si>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</si>
  <si>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</si>
  <si>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</si>
  <si>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</si>
  <si>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</si>
  <si>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</si>
  <si>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</si>
  <si>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</si>
  <si>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</si>
  <si>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</si>
  <si>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</si>
  <si>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</si>
  <si>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</si>
  <si>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</si>
  <si>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</si>
  <si>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</si>
  <si>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</si>
  <si>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</si>
  <si>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</si>
  <si>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</si>
  <si>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</si>
  <si>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</si>
  <si>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</si>
  <si>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</si>
  <si>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</si>
  <si>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</si>
  <si>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</si>
  <si>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</si>
  <si>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</si>
  <si>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</si>
  <si>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</si>
  <si>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</si>
  <si>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</si>
  <si>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</si>
  <si>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</si>
  <si>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</si>
  <si>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</si>
  <si>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</si>
  <si>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</si>
  <si>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</si>
  <si>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</si>
  <si>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</si>
  <si>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</si>
  <si>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</si>
  <si>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</si>
  <si>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</si>
  <si>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</si>
  <si>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</si>
  <si>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</si>
  <si>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</si>
  <si>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</si>
  <si>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</si>
  <si>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</si>
  <si>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</si>
  <si>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</si>
  <si>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</si>
  <si>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</si>
  <si>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</si>
  <si>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</si>
  <si>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</si>
  <si>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</si>
  <si>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</si>
  <si>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</si>
  <si>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</si>
  <si>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</si>
  <si>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</si>
  <si>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</si>
  <si>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</si>
  <si>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</si>
  <si>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</si>
  <si>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</si>
  <si>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</si>
  <si>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</si>
  <si>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</si>
  <si>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</si>
  <si>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</si>
  <si>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</si>
  <si>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</si>
  <si>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</si>
  <si>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</si>
  <si>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</si>
  <si>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</si>
  <si>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</si>
  <si>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</si>
  <si>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</si>
  <si>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</si>
  <si>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</si>
  <si>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</si>
  <si>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</si>
  <si>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</si>
  <si>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</si>
  <si>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</si>
  <si>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</si>
  <si>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</si>
  <si>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</si>
  <si>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</si>
  <si>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</si>
  <si>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</si>
  <si>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</si>
  <si>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</si>
  <si>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</si>
  <si>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</si>
  <si>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</si>
  <si>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</si>
  <si>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</si>
  <si>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</si>
  <si>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</si>
  <si>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</si>
  <si>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</si>
  <si>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</si>
  <si>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</si>
  <si>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</si>
  <si>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</si>
  <si>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</si>
  <si>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</si>
  <si>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</si>
  <si>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</si>
  <si>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</si>
  <si>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</si>
  <si>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</si>
  <si>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</si>
  <si>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</si>
  <si>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</si>
  <si>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</si>
  <si>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</si>
  <si>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</si>
  <si>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</si>
  <si>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</si>
  <si>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</si>
  <si>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</si>
  <si>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</si>
  <si>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</si>
  <si>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</si>
  <si>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</si>
  <si>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</si>
  <si>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</si>
  <si>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</si>
  <si>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</si>
  <si>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</si>
  <si>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</si>
  <si>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</si>
  <si>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</si>
  <si>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</si>
  <si>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</si>
  <si>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</si>
  <si>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</si>
  <si>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</si>
  <si>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</si>
  <si>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</si>
  <si>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</si>
  <si>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</si>
  <si>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</si>
  <si>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</si>
  <si>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</si>
  <si>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</si>
  <si>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</si>
  <si>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</si>
  <si>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</si>
  <si>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</si>
  <si>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</si>
  <si>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</si>
  <si>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</si>
  <si>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</si>
  <si>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</si>
  <si>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</si>
  <si>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</si>
  <si>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</si>
  <si>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</si>
  <si>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</si>
  <si>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</si>
  <si>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</si>
  <si>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</si>
  <si>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</si>
  <si>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</si>
  <si>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</si>
  <si>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</si>
  <si>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</si>
  <si>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</si>
  <si>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</si>
  <si>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</si>
  <si>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</si>
  <si>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</si>
  <si>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</si>
  <si>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</si>
  <si>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</si>
  <si>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</si>
  <si>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</si>
  <si>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</si>
  <si>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</si>
  <si>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</si>
  <si>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</si>
  <si>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</si>
  <si>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</si>
  <si>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</si>
  <si>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</si>
  <si>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</si>
  <si>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</si>
  <si>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</si>
  <si>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</si>
  <si>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</si>
  <si>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</si>
  <si>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</si>
  <si>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</si>
  <si>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</si>
  <si>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</si>
  <si>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</si>
  <si>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</si>
  <si>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</si>
  <si>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</si>
  <si>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</si>
  <si>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</si>
  <si>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</si>
  <si>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</si>
  <si>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</si>
  <si>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</si>
  <si>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</si>
  <si>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</si>
  <si>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</si>
  <si>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</si>
  <si>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</si>
  <si>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</si>
  <si>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</si>
  <si>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</si>
  <si>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</si>
  <si>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</si>
  <si>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</si>
  <si>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</si>
  <si>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</si>
  <si>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</si>
  <si>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</si>
  <si>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</si>
  <si>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</si>
  <si>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</si>
  <si>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</si>
  <si>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</si>
  <si>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</si>
  <si>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</si>
  <si>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</si>
  <si>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</si>
  <si>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</si>
  <si>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</si>
  <si>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</si>
  <si>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</si>
  <si>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</si>
  <si>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</si>
  <si>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</si>
  <si>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</si>
  <si>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</si>
  <si>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</si>
  <si>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</si>
  <si>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</si>
  <si>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</si>
  <si>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</si>
  <si>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</si>
  <si>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</si>
  <si>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</si>
  <si>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</si>
  <si>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</si>
  <si>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</si>
  <si>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</si>
  <si>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</si>
  <si>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</si>
  <si>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</si>
  <si>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</si>
  <si>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</si>
  <si>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</si>
  <si>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</si>
  <si>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</si>
  <si>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</si>
  <si>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</si>
  <si>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</si>
  <si>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</si>
  <si>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</si>
  <si>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</si>
  <si>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</si>
  <si>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</si>
  <si>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</si>
  <si>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</si>
  <si>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</si>
  <si>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</si>
  <si>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</si>
  <si>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</si>
  <si>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</si>
  <si>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</si>
  <si>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</si>
  <si>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</si>
  <si>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</si>
  <si>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</si>
  <si>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</si>
  <si>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</si>
  <si>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</si>
  <si>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</si>
  <si>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</si>
  <si>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</si>
  <si>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</si>
  <si>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</si>
  <si>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</si>
  <si>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</si>
  <si>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</si>
  <si>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</si>
  <si>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</si>
  <si>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</si>
  <si>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</si>
  <si>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</si>
  <si>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</si>
  <si>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</si>
  <si>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</si>
  <si>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</si>
  <si>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</si>
  <si>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</si>
  <si>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</si>
  <si>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</si>
  <si>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</si>
  <si>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</si>
  <si>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</si>
  <si>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</si>
  <si>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</si>
  <si>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</si>
  <si>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</si>
  <si>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</si>
  <si>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</si>
  <si>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</si>
  <si>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</si>
  <si>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</si>
  <si>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</si>
  <si>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</si>
  <si>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</si>
  <si>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</si>
  <si>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</si>
  <si>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</si>
  <si>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</si>
  <si>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</si>
  <si>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</si>
  <si>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</si>
  <si>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</si>
  <si>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</si>
  <si>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</si>
  <si>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</si>
  <si>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</si>
  <si>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</si>
  <si>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</si>
  <si>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</si>
  <si>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</si>
  <si>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</si>
  <si>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</si>
  <si>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</si>
  <si>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</si>
  <si>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</si>
  <si>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</si>
  <si>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</si>
  <si>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</si>
  <si>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</si>
  <si>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</si>
  <si>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</si>
  <si>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</si>
  <si>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</si>
  <si>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</si>
  <si>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</si>
  <si>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</si>
  <si>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</si>
  <si>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</si>
  <si>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</si>
  <si>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</si>
  <si>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</si>
  <si>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</si>
  <si>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</si>
  <si>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</si>
  <si>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</si>
  <si>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</si>
  <si>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</si>
  <si>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</si>
  <si>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</si>
  <si>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</si>
  <si>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</si>
  <si>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</si>
  <si>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</si>
  <si>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</si>
  <si>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</si>
  <si>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</si>
  <si>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</si>
  <si>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</si>
  <si>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</si>
  <si>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</si>
  <si>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</si>
  <si>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</si>
  <si>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</si>
  <si>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</si>
  <si>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</si>
  <si>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</si>
  <si>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</si>
  <si>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</si>
  <si>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</si>
  <si>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</si>
  <si>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</si>
  <si>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</si>
  <si>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</si>
  <si>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</si>
  <si>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</si>
  <si>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</si>
  <si>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</si>
  <si>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</si>
  <si>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</si>
  <si>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</si>
  <si>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</si>
  <si>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</si>
  <si>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</si>
  <si>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</si>
  <si>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</si>
  <si>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</si>
  <si>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</si>
  <si>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</si>
  <si>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</si>
  <si>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</si>
  <si>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</si>
  <si>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</si>
  <si>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</si>
  <si>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</si>
  <si>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</si>
  <si>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</si>
  <si>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</si>
  <si>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</si>
  <si>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</si>
  <si>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</si>
  <si>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</si>
  <si>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</si>
  <si>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</si>
  <si>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</si>
  <si>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</si>
  <si>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</si>
  <si>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</si>
  <si>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</si>
  <si>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</si>
  <si>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</si>
  <si>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</si>
  <si>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</si>
  <si>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</si>
  <si>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</si>
  <si>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</si>
  <si>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</si>
  <si>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</si>
  <si>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</si>
  <si>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</si>
  <si>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</si>
  <si>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</si>
  <si>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</si>
  <si>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</si>
  <si>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</si>
  <si>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</si>
  <si>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</si>
  <si>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</si>
  <si>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</si>
  <si>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</si>
  <si>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</si>
  <si>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</si>
  <si>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</si>
  <si>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</si>
  <si>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</si>
  <si>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</si>
  <si>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</si>
  <si>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</si>
  <si>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</si>
  <si>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</si>
  <si>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</si>
  <si>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</si>
  <si>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</si>
  <si>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</si>
  <si>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</si>
  <si>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</si>
  <si>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</si>
  <si>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</si>
  <si>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</si>
  <si>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</si>
  <si>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</si>
  <si>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</si>
  <si>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</si>
  <si>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</si>
  <si>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</si>
  <si>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</si>
  <si>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</si>
  <si>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</si>
  <si>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</si>
  <si>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</si>
  <si>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</si>
  <si>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</si>
  <si>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</si>
  <si>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</si>
  <si>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</si>
  <si>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</si>
  <si>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</si>
  <si>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</si>
  <si>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</si>
  <si>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</si>
  <si>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</si>
  <si>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221075010021A</t>
  </si>
  <si>
    <t>223110490011A</t>
  </si>
  <si>
    <t>224042200011A</t>
  </si>
  <si>
    <t>224542200151A</t>
  </si>
  <si>
    <t>223180070011A</t>
  </si>
  <si>
    <t>223020000651A</t>
  </si>
  <si>
    <t>正瑞华鑫</t>
  </si>
  <si>
    <t>206182690021A</t>
  </si>
  <si>
    <t>221079010021A</t>
  </si>
  <si>
    <t>223030060271A</t>
  </si>
  <si>
    <t>224000010051A</t>
  </si>
  <si>
    <t>齐鑫</t>
  </si>
  <si>
    <t>220201050021A</t>
  </si>
  <si>
    <t>401031200021A</t>
  </si>
  <si>
    <t>401031200031A</t>
  </si>
  <si>
    <t>223080000291A</t>
  </si>
  <si>
    <t>内胶壳</t>
  </si>
  <si>
    <t>306020020011A</t>
  </si>
  <si>
    <t>红色锁扣</t>
  </si>
  <si>
    <t>306060000011A</t>
  </si>
  <si>
    <t>223080000281A</t>
  </si>
  <si>
    <t>红色胶壳</t>
  </si>
  <si>
    <t>协升</t>
  </si>
  <si>
    <t>303090000011A</t>
  </si>
  <si>
    <t>硅胶垫</t>
  </si>
  <si>
    <t>亿昌达</t>
  </si>
  <si>
    <t>202022050011A</t>
  </si>
  <si>
    <t>BNC插头</t>
  </si>
  <si>
    <t>金信诺</t>
  </si>
  <si>
    <t>101210100071A</t>
  </si>
  <si>
    <t>艾威尔</t>
  </si>
  <si>
    <t>601180000031A</t>
  </si>
  <si>
    <t>PCB板</t>
  </si>
  <si>
    <t>5010ZZ000021A</t>
  </si>
  <si>
    <t>PE料</t>
  </si>
  <si>
    <t>5010ZZ0D0011A</t>
  </si>
  <si>
    <t>凯洛威</t>
  </si>
  <si>
    <t>801915010031A</t>
  </si>
  <si>
    <t>纸带</t>
  </si>
  <si>
    <t>和兴创新</t>
  </si>
  <si>
    <t>801P05020012A</t>
  </si>
  <si>
    <t>EVA泡棉</t>
  </si>
  <si>
    <t>704A976G0011A</t>
  </si>
  <si>
    <t>705G8G820011A</t>
  </si>
  <si>
    <t>703C0B500011R</t>
  </si>
  <si>
    <t>703D7B900031R</t>
  </si>
  <si>
    <t>703C5B900011R</t>
  </si>
  <si>
    <t>703H8H800011A</t>
  </si>
  <si>
    <t>2010129Z0031A</t>
  </si>
  <si>
    <t>223100000031A</t>
  </si>
  <si>
    <t>221072100061A</t>
  </si>
  <si>
    <t>221072100051A</t>
  </si>
  <si>
    <t>221072100071A</t>
  </si>
  <si>
    <t>2060020A0021A</t>
  </si>
  <si>
    <t>半包式母座</t>
  </si>
  <si>
    <t>2060020A0011A</t>
  </si>
  <si>
    <t>221071010181A</t>
  </si>
  <si>
    <t>223020000561A</t>
  </si>
  <si>
    <t>223030460021A</t>
  </si>
  <si>
    <t>220202030051A</t>
  </si>
  <si>
    <t>220252030051A</t>
  </si>
  <si>
    <t>219251020061A</t>
  </si>
  <si>
    <t>219201070011A</t>
  </si>
  <si>
    <t>223030000531A</t>
  </si>
  <si>
    <t>223030000521A</t>
  </si>
  <si>
    <t>223020000151A</t>
  </si>
  <si>
    <t>223020060011A</t>
  </si>
  <si>
    <t>221071030011A</t>
  </si>
  <si>
    <t>223080060051A</t>
  </si>
  <si>
    <t>221071010171A</t>
  </si>
  <si>
    <t>博戈斯</t>
  </si>
  <si>
    <t>202061090031A</t>
  </si>
  <si>
    <t>长垣方元</t>
  </si>
  <si>
    <t>302120000051A</t>
  </si>
  <si>
    <t>护套</t>
  </si>
  <si>
    <t>玮帝</t>
  </si>
  <si>
    <t>102260280011A</t>
  </si>
  <si>
    <t>101240500031A</t>
  </si>
  <si>
    <t>101220200151A</t>
  </si>
  <si>
    <t>104200260011A</t>
  </si>
  <si>
    <t>蓝色 UL1007</t>
  </si>
  <si>
    <t>海佳顺</t>
  </si>
  <si>
    <t>501425000011A</t>
  </si>
  <si>
    <t>TPU胶料</t>
  </si>
  <si>
    <t>307220100011A</t>
  </si>
  <si>
    <t>2.0超薄套管</t>
  </si>
  <si>
    <t>710A87000011R</t>
  </si>
  <si>
    <t>71036G000011R</t>
  </si>
  <si>
    <t>223080090011A</t>
  </si>
  <si>
    <t>防水长体白色胶壳</t>
  </si>
  <si>
    <t>221072100181A</t>
  </si>
  <si>
    <t>2230700E0031A</t>
  </si>
  <si>
    <t>223030000191A</t>
  </si>
  <si>
    <t>223020001101A</t>
  </si>
  <si>
    <t>223080000331A</t>
  </si>
  <si>
    <t>223130060031A</t>
  </si>
  <si>
    <t>223130060041A</t>
  </si>
  <si>
    <t>后防水塞</t>
  </si>
  <si>
    <t>223130050021A</t>
  </si>
  <si>
    <t>后密封圈</t>
  </si>
  <si>
    <t>恒飞越</t>
  </si>
  <si>
    <t>600340150011A</t>
  </si>
  <si>
    <t>PC BA</t>
  </si>
  <si>
    <t>223020000831A</t>
  </si>
  <si>
    <t>三元特</t>
  </si>
  <si>
    <t>501250080041A</t>
  </si>
  <si>
    <t>TPE</t>
  </si>
  <si>
    <t>501240000011A</t>
  </si>
  <si>
    <t>801A05010011A</t>
  </si>
  <si>
    <t>801A05010021A</t>
  </si>
  <si>
    <t>717A02060011A</t>
  </si>
  <si>
    <t>22454Y200041A</t>
  </si>
  <si>
    <t>221079120091A</t>
  </si>
  <si>
    <t>223080070021A</t>
  </si>
  <si>
    <t>223110390011A</t>
  </si>
  <si>
    <t>绝缘片</t>
  </si>
  <si>
    <t>224041120011A</t>
  </si>
  <si>
    <t>201052950011A</t>
  </si>
  <si>
    <t>223070060081A</t>
  </si>
  <si>
    <t>223070440011A</t>
  </si>
  <si>
    <t>221079120021A</t>
  </si>
  <si>
    <t>221079200021A</t>
  </si>
  <si>
    <t>206151060051A</t>
  </si>
  <si>
    <t>精鸿艺</t>
  </si>
  <si>
    <t>601188650051A</t>
  </si>
  <si>
    <t>宏钧</t>
  </si>
  <si>
    <t>221067030011A</t>
  </si>
  <si>
    <t>M4端子</t>
  </si>
  <si>
    <t>丰达</t>
  </si>
  <si>
    <t>202017100011A</t>
  </si>
  <si>
    <t>天线杆</t>
  </si>
  <si>
    <t>202017100101A</t>
  </si>
  <si>
    <t>派纳维森</t>
  </si>
  <si>
    <t>223030070021A</t>
  </si>
  <si>
    <t>223080000011A</t>
  </si>
  <si>
    <t>221072010231A</t>
  </si>
  <si>
    <t>223030000541A</t>
  </si>
  <si>
    <t>224640200111A</t>
  </si>
  <si>
    <t>223020040011A</t>
  </si>
  <si>
    <t>黄色二次锁扣</t>
  </si>
  <si>
    <t>2231800Z0051A</t>
  </si>
  <si>
    <t>2231800Z0061A</t>
  </si>
  <si>
    <t>223020000591A</t>
  </si>
  <si>
    <t>307140100011A</t>
  </si>
  <si>
    <t>套管4.0MM</t>
  </si>
  <si>
    <t>801319010131A</t>
  </si>
  <si>
    <t>PVC胶带</t>
  </si>
  <si>
    <t>223030000161A</t>
  </si>
  <si>
    <t>221072030091A</t>
  </si>
  <si>
    <t>223030590011A</t>
  </si>
  <si>
    <t>223030500011A</t>
  </si>
  <si>
    <t>223020000571A</t>
  </si>
  <si>
    <t>223030090051A</t>
  </si>
  <si>
    <t>223070020011A</t>
  </si>
  <si>
    <t>223070090051A</t>
  </si>
  <si>
    <t>223070060061A</t>
  </si>
  <si>
    <t>2010129Z0041A</t>
  </si>
  <si>
    <t>224500000011A</t>
  </si>
  <si>
    <t>221072110041A</t>
  </si>
  <si>
    <t>224040100051A</t>
  </si>
  <si>
    <t>223180090151A</t>
  </si>
  <si>
    <t>310152200021A</t>
  </si>
  <si>
    <t>310050200131A</t>
  </si>
  <si>
    <t>308130100021A</t>
  </si>
  <si>
    <t>701F0C5D0011R</t>
  </si>
  <si>
    <t>717151550011H</t>
  </si>
  <si>
    <t>716A0A0D0011A</t>
  </si>
  <si>
    <t>221052010011A</t>
  </si>
  <si>
    <t>220407010021A</t>
  </si>
  <si>
    <t>223020080021A</t>
  </si>
  <si>
    <t>223070000101A</t>
  </si>
  <si>
    <t>223070060021A</t>
  </si>
  <si>
    <t>2230200E0071A</t>
  </si>
  <si>
    <t>223070090071A</t>
  </si>
  <si>
    <t>223070060041A</t>
  </si>
  <si>
    <t>223070460041A</t>
  </si>
  <si>
    <t>223180090141H</t>
  </si>
  <si>
    <t>221079200011A</t>
  </si>
  <si>
    <t>206161060041A</t>
  </si>
  <si>
    <t>206161060031A</t>
  </si>
  <si>
    <t>219101080031A</t>
  </si>
  <si>
    <t>耿瑞</t>
  </si>
  <si>
    <t>224030230011A</t>
  </si>
  <si>
    <t>224030220011A</t>
  </si>
  <si>
    <t>206001950021A</t>
  </si>
  <si>
    <t>101300800011H</t>
  </si>
  <si>
    <t>黑色编网线</t>
  </si>
  <si>
    <t>801S05020051A</t>
  </si>
  <si>
    <t>223020070031A</t>
  </si>
  <si>
    <t>223110400021A</t>
  </si>
  <si>
    <t>223080090201A</t>
  </si>
  <si>
    <t>221072120071A</t>
  </si>
  <si>
    <t>223080000041A</t>
  </si>
  <si>
    <t>黑色支架</t>
  </si>
  <si>
    <t>223080070011A</t>
  </si>
  <si>
    <t>223020000841A</t>
  </si>
  <si>
    <t>223020001011A</t>
  </si>
  <si>
    <t>223020010141A</t>
  </si>
  <si>
    <t>223020090261A</t>
  </si>
  <si>
    <t>224040100121A</t>
  </si>
  <si>
    <t>22407Y110011A</t>
  </si>
  <si>
    <t>104180590011A</t>
  </si>
  <si>
    <t>UL1015 #18 白色</t>
  </si>
  <si>
    <t>104180550011A</t>
  </si>
  <si>
    <t>UL1015 #18绿色</t>
  </si>
  <si>
    <t>安骐尔</t>
  </si>
  <si>
    <t>101120400011A</t>
  </si>
  <si>
    <t>4芯复合线</t>
  </si>
  <si>
    <t>101210100021A</t>
  </si>
  <si>
    <t>223020000051A</t>
  </si>
  <si>
    <t>223070000051A</t>
  </si>
  <si>
    <t>223070090061A</t>
  </si>
  <si>
    <t>美洋</t>
  </si>
  <si>
    <t>601188050011A</t>
  </si>
  <si>
    <t>唯信</t>
  </si>
  <si>
    <t>223080060011A</t>
  </si>
  <si>
    <t>225020500021A</t>
  </si>
  <si>
    <t>内胶芯</t>
  </si>
  <si>
    <t>224000000011A</t>
  </si>
  <si>
    <t>上铁壳</t>
  </si>
  <si>
    <t>224000020021A</t>
  </si>
  <si>
    <t>下铁壳</t>
  </si>
  <si>
    <t>223030060191A</t>
  </si>
  <si>
    <t>2230700G0021A</t>
  </si>
  <si>
    <t>2230700E0061A</t>
  </si>
  <si>
    <t>酒红色胶壳公头</t>
  </si>
  <si>
    <t>223070400041A</t>
  </si>
  <si>
    <t>黑色双胞胎胶壳</t>
  </si>
  <si>
    <t>223030040081A</t>
  </si>
  <si>
    <t>咖喱色胶壳公头</t>
  </si>
  <si>
    <t>224040100111A</t>
  </si>
  <si>
    <t>223030000141A</t>
  </si>
  <si>
    <t>223030090131A</t>
  </si>
  <si>
    <t>兴亚</t>
  </si>
  <si>
    <t>302120000031A</t>
  </si>
  <si>
    <t xml:space="preserve">护套 </t>
  </si>
  <si>
    <t>104160580021A</t>
  </si>
  <si>
    <t>UL1015 #16 灰色</t>
  </si>
  <si>
    <t>104160580011A</t>
  </si>
  <si>
    <t>UL1015 #16 黄色</t>
  </si>
  <si>
    <t>UL1015 #16黑色</t>
  </si>
  <si>
    <t>104160520011A</t>
  </si>
  <si>
    <t>UL1015 #16红色</t>
  </si>
  <si>
    <t>223020050231A</t>
  </si>
  <si>
    <t>223030040071A</t>
  </si>
  <si>
    <t>223020020071A</t>
  </si>
  <si>
    <t>201012000100A</t>
  </si>
  <si>
    <t>220342200021A</t>
  </si>
  <si>
    <t>206002090011A</t>
  </si>
  <si>
    <t>101220100041A</t>
  </si>
  <si>
    <t>LVDS</t>
  </si>
  <si>
    <t>德兴隆</t>
  </si>
  <si>
    <t>102220200011A</t>
  </si>
  <si>
    <t>UL2468</t>
  </si>
  <si>
    <t>双舟</t>
  </si>
  <si>
    <t>101260400051A</t>
  </si>
  <si>
    <t>306020000011A</t>
  </si>
  <si>
    <t>224040100061A</t>
  </si>
  <si>
    <t>22404Y210031A</t>
  </si>
  <si>
    <t>220102150021A</t>
  </si>
  <si>
    <t>219101080011A</t>
  </si>
  <si>
    <t>201052060011A</t>
  </si>
  <si>
    <t>六件套</t>
  </si>
  <si>
    <t>世成电子</t>
  </si>
  <si>
    <t>223030090111A</t>
  </si>
  <si>
    <t>自然是锁扣</t>
  </si>
  <si>
    <t>223030060151A</t>
  </si>
  <si>
    <t>蓝色锁扣</t>
  </si>
  <si>
    <t>221029010171A</t>
  </si>
  <si>
    <t>隆涛</t>
  </si>
  <si>
    <t>224040100101A</t>
  </si>
  <si>
    <t>上下壳</t>
  </si>
  <si>
    <t>223030000251A</t>
  </si>
  <si>
    <t>塑料</t>
  </si>
  <si>
    <t>501150000011A</t>
  </si>
  <si>
    <t>黑色塑胶</t>
  </si>
  <si>
    <t>南松</t>
  </si>
  <si>
    <t>502300090021A</t>
  </si>
  <si>
    <t>白色塑胶</t>
  </si>
  <si>
    <t>3081171D0011A</t>
  </si>
  <si>
    <t>221072010191A</t>
  </si>
  <si>
    <t>223030060101A</t>
  </si>
  <si>
    <t>101260400061A</t>
  </si>
  <si>
    <t>301040000121A</t>
  </si>
  <si>
    <t>黑色锁扣</t>
  </si>
  <si>
    <t>301000000201A</t>
  </si>
  <si>
    <t>223112600011A</t>
  </si>
  <si>
    <t>四件套</t>
  </si>
  <si>
    <t>221021010431A</t>
  </si>
  <si>
    <t>蓝色端子</t>
  </si>
  <si>
    <t>221041030111A</t>
  </si>
  <si>
    <t>管型端子</t>
  </si>
  <si>
    <t>801Q10020011A</t>
  </si>
  <si>
    <t>PE泡棉</t>
  </si>
  <si>
    <t>801M25020021A</t>
  </si>
  <si>
    <t>801M15020011A</t>
  </si>
  <si>
    <t>801M25020011A</t>
  </si>
  <si>
    <t>光博士光电</t>
  </si>
  <si>
    <t>801MA0020011A</t>
  </si>
  <si>
    <t>801P05020031A</t>
  </si>
  <si>
    <t>801P05020021A</t>
  </si>
  <si>
    <t>欧雅拓</t>
  </si>
  <si>
    <t>802100300021B</t>
  </si>
  <si>
    <t>309180200051A</t>
  </si>
  <si>
    <t>网状管</t>
  </si>
  <si>
    <t>309180200061A</t>
  </si>
  <si>
    <t>309130200031A</t>
  </si>
  <si>
    <t>221079120051A</t>
  </si>
  <si>
    <t>国进科技</t>
  </si>
  <si>
    <t>206000090011A</t>
  </si>
  <si>
    <t>224042100021A</t>
  </si>
  <si>
    <t>223020060281A</t>
  </si>
  <si>
    <t>水蓝色胶壳</t>
  </si>
  <si>
    <t>223180090171A</t>
  </si>
  <si>
    <t>104221300041A</t>
  </si>
  <si>
    <t>黑色电子线</t>
  </si>
  <si>
    <t>101300870011H</t>
  </si>
  <si>
    <t>紫色编网线</t>
  </si>
  <si>
    <t>101210600011A</t>
  </si>
  <si>
    <t>101200500041A</t>
  </si>
  <si>
    <t>黑色圆线</t>
  </si>
  <si>
    <t>101220200091A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</si>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</sst>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0"/>
      <name val="Times New Roman"/>
      <charset val="134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61" fillId="23" borderId="27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53" fillId="16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0" fillId="12" borderId="23" applyNumberFormat="0" applyFont="0" applyAlignment="0" applyProtection="0">
      <alignment vertical="center"/>
    </xf>
    <xf numFmtId="0" fontId="49" fillId="11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67" fillId="0" borderId="28" applyNumberFormat="0" applyFill="0" applyAlignment="0" applyProtection="0">
      <alignment vertical="center"/>
    </xf>
    <xf numFmtId="0" fontId="63" fillId="0" borderId="28" applyNumberFormat="0" applyFill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55" fillId="0" borderId="25" applyNumberFormat="0" applyFill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8" fillId="21" borderId="26" applyNumberFormat="0" applyAlignment="0" applyProtection="0">
      <alignment vertical="center"/>
    </xf>
    <xf numFmtId="0" fontId="68" fillId="21" borderId="27" applyNumberFormat="0" applyAlignment="0" applyProtection="0">
      <alignment vertical="center"/>
    </xf>
    <xf numFmtId="0" fontId="66" fillId="35" borderId="30" applyNumberFormat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65" fillId="0" borderId="29" applyNumberFormat="0" applyFill="0" applyAlignment="0" applyProtection="0">
      <alignment vertical="center"/>
    </xf>
    <xf numFmtId="0" fontId="54" fillId="0" borderId="24" applyNumberFormat="0" applyFill="0" applyAlignment="0" applyProtection="0">
      <alignment vertical="center"/>
    </xf>
    <xf numFmtId="0" fontId="64" fillId="30" borderId="0" applyNumberFormat="0" applyBorder="0" applyAlignment="0" applyProtection="0">
      <alignment vertical="center"/>
    </xf>
    <xf numFmtId="0" fontId="62" fillId="26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10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14" borderId="0" applyNumberFormat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48" fillId="8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7" fillId="0" borderId="0"/>
  </cellStyleXfs>
  <cellXfs count="28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4"/>
  <sheetViews>
    <sheetView tabSelected="1" view="pageBreakPreview" zoomScaleNormal="100" zoomScaleSheetLayoutView="100" workbookViewId="0">
      <pane ySplit="2" topLeftCell="A673" activePane="bottomLeft" state="frozen"/>
      <selection/>
      <selection pane="bottomLeft" activeCell="A702" sqref="A702:A719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55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-46060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-46060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-46060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55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-46060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-46060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-46060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55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55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55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55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55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55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55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55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56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56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56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56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56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56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56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56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56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56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56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56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56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56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56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56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56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56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56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56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56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56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56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56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56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57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57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57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57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57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57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57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57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57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57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57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57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57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57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57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57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57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57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57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57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57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57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57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57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58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58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58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58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58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58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58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58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58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58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58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58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58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58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58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58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58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58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58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58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58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58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58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58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58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58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58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58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58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59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/>
      <c r="I92" s="118">
        <v>46029</v>
      </c>
      <c r="J92" s="192">
        <v>3</v>
      </c>
      <c r="K92" s="122" t="s">
        <v>266</v>
      </c>
      <c r="L92" s="120">
        <f t="shared" si="10"/>
        <v>46119</v>
      </c>
      <c r="M92" s="121">
        <f ca="1" t="shared" si="11"/>
        <v>59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267</v>
      </c>
      <c r="E93" s="79" t="s">
        <v>268</v>
      </c>
      <c r="F93" s="80"/>
      <c r="G93" s="81"/>
      <c r="H93" s="104"/>
      <c r="I93" s="118">
        <v>46029</v>
      </c>
      <c r="J93" s="192">
        <v>3</v>
      </c>
      <c r="K93" s="122" t="s">
        <v>269</v>
      </c>
      <c r="L93" s="120">
        <f t="shared" si="10"/>
        <v>46119</v>
      </c>
      <c r="M93" s="121">
        <f ca="1" t="shared" si="11"/>
        <v>59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270</v>
      </c>
      <c r="E94" s="79" t="s">
        <v>271</v>
      </c>
      <c r="F94" s="80"/>
      <c r="G94" s="81"/>
      <c r="H94" s="104"/>
      <c r="I94" s="118">
        <v>46029</v>
      </c>
      <c r="J94" s="192">
        <v>3</v>
      </c>
      <c r="K94" s="122" t="s">
        <v>272</v>
      </c>
      <c r="L94" s="120">
        <f t="shared" si="10"/>
        <v>46119</v>
      </c>
      <c r="M94" s="121">
        <f ca="1" t="shared" si="11"/>
        <v>59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273</v>
      </c>
      <c r="E95" s="79" t="s">
        <v>118</v>
      </c>
      <c r="F95" s="80"/>
      <c r="G95" s="81"/>
      <c r="H95" s="104"/>
      <c r="I95" s="118">
        <v>46029</v>
      </c>
      <c r="J95" s="192">
        <v>3</v>
      </c>
      <c r="K95" s="122" t="s">
        <v>274</v>
      </c>
      <c r="L95" s="120">
        <f t="shared" si="10"/>
        <v>46119</v>
      </c>
      <c r="M95" s="121">
        <f ca="1" t="shared" si="11"/>
        <v>59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275</v>
      </c>
      <c r="E96" s="79" t="s">
        <v>276</v>
      </c>
      <c r="F96" s="80"/>
      <c r="G96" s="81"/>
      <c r="H96" s="104"/>
      <c r="I96" s="118">
        <v>46029</v>
      </c>
      <c r="J96" s="192">
        <v>3</v>
      </c>
      <c r="K96" s="122" t="s">
        <v>277</v>
      </c>
      <c r="L96" s="120">
        <f t="shared" si="10"/>
        <v>46119</v>
      </c>
      <c r="M96" s="121">
        <f ca="1" t="shared" si="11"/>
        <v>59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278</v>
      </c>
      <c r="E97" s="176" t="s">
        <v>279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280</v>
      </c>
      <c r="L97" s="120">
        <f t="shared" si="10"/>
        <v>46119</v>
      </c>
      <c r="M97" s="121">
        <f ca="1" t="shared" si="11"/>
        <v>59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281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282</v>
      </c>
      <c r="L98" s="120">
        <f t="shared" si="10"/>
        <v>46119</v>
      </c>
      <c r="M98" s="121">
        <f ca="1" t="shared" si="11"/>
        <v>59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283</v>
      </c>
      <c r="C99" s="113" t="s">
        <v>27</v>
      </c>
      <c r="D99" s="105" t="s">
        <v>284</v>
      </c>
      <c r="E99" s="176" t="s">
        <v>285</v>
      </c>
      <c r="F99" s="177"/>
      <c r="G99" s="178"/>
      <c r="H99" s="109"/>
      <c r="I99" s="118">
        <v>46029</v>
      </c>
      <c r="J99" s="192">
        <v>3</v>
      </c>
      <c r="K99" s="122" t="s">
        <v>286</v>
      </c>
      <c r="L99" s="120">
        <f t="shared" si="10"/>
        <v>46119</v>
      </c>
      <c r="M99" s="121">
        <f ca="1" t="shared" si="11"/>
        <v>59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287</v>
      </c>
      <c r="C100" s="113" t="s">
        <v>13</v>
      </c>
      <c r="D100" s="105" t="s">
        <v>288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289</v>
      </c>
      <c r="L100" s="120">
        <f t="shared" si="10"/>
        <v>46119</v>
      </c>
      <c r="M100" s="121">
        <f ca="1" t="shared" si="11"/>
        <v>59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287</v>
      </c>
      <c r="C101" s="113" t="s">
        <v>13</v>
      </c>
      <c r="D101" s="105" t="s">
        <v>290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291</v>
      </c>
      <c r="L101" s="120">
        <f t="shared" si="10"/>
        <v>46119</v>
      </c>
      <c r="M101" s="121">
        <f ca="1" t="shared" si="11"/>
        <v>59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287</v>
      </c>
      <c r="C102" s="113" t="s">
        <v>13</v>
      </c>
      <c r="D102" s="105" t="s">
        <v>292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293</v>
      </c>
      <c r="L102" s="120">
        <f t="shared" si="10"/>
        <v>46119</v>
      </c>
      <c r="M102" s="121">
        <f ca="1" t="shared" si="11"/>
        <v>59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294</v>
      </c>
      <c r="E103" s="106" t="s">
        <v>295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296</v>
      </c>
      <c r="L103" s="120">
        <f t="shared" si="10"/>
        <v>46119</v>
      </c>
      <c r="M103" s="121">
        <f ca="1" t="shared" si="11"/>
        <v>59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297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298</v>
      </c>
      <c r="L104" s="120">
        <f t="shared" si="10"/>
        <v>46119</v>
      </c>
      <c r="M104" s="121">
        <f ca="1" t="shared" si="11"/>
        <v>59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299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300</v>
      </c>
      <c r="L105" s="120">
        <f t="shared" si="10"/>
        <v>46119</v>
      </c>
      <c r="M105" s="121">
        <f ca="1" t="shared" si="11"/>
        <v>59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301</v>
      </c>
      <c r="E106" s="106" t="s">
        <v>302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303</v>
      </c>
      <c r="L106" s="120">
        <f t="shared" si="10"/>
        <v>46119</v>
      </c>
      <c r="M106" s="121">
        <f ca="1" t="shared" si="11"/>
        <v>59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304</v>
      </c>
      <c r="E107" s="176" t="s">
        <v>305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306</v>
      </c>
      <c r="L107" s="120">
        <f t="shared" si="10"/>
        <v>46119</v>
      </c>
      <c r="M107" s="121">
        <f ca="1" t="shared" si="11"/>
        <v>59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307</v>
      </c>
      <c r="E108" s="176" t="s">
        <v>308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309</v>
      </c>
      <c r="L108" s="120">
        <f t="shared" si="10"/>
        <v>46119</v>
      </c>
      <c r="M108" s="121">
        <f ca="1" t="shared" si="11"/>
        <v>59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310</v>
      </c>
      <c r="E109" s="176" t="s">
        <v>311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312</v>
      </c>
      <c r="L109" s="120">
        <f t="shared" si="10"/>
        <v>46119</v>
      </c>
      <c r="M109" s="121">
        <f ca="1" t="shared" si="11"/>
        <v>59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313</v>
      </c>
      <c r="C110" s="152" t="s">
        <v>27</v>
      </c>
      <c r="D110" s="105" t="s">
        <v>314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315</v>
      </c>
      <c r="L110" s="120">
        <f t="shared" si="10"/>
        <v>46119</v>
      </c>
      <c r="M110" s="121">
        <f ca="1" t="shared" si="11"/>
        <v>59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313</v>
      </c>
      <c r="C111" s="152" t="s">
        <v>27</v>
      </c>
      <c r="D111" s="105" t="s">
        <v>316</v>
      </c>
      <c r="E111" s="106" t="s">
        <v>317</v>
      </c>
      <c r="F111" s="107"/>
      <c r="G111" s="108"/>
      <c r="H111" s="109"/>
      <c r="I111" s="118">
        <v>46029</v>
      </c>
      <c r="J111" s="192">
        <v>3</v>
      </c>
      <c r="K111" s="122" t="s">
        <v>318</v>
      </c>
      <c r="L111" s="120">
        <f t="shared" si="10"/>
        <v>46119</v>
      </c>
      <c r="M111" s="121">
        <f ca="1" t="shared" si="11"/>
        <v>59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319</v>
      </c>
      <c r="C112" s="152" t="s">
        <v>158</v>
      </c>
      <c r="D112" s="105" t="s">
        <v>320</v>
      </c>
      <c r="E112" s="106" t="s">
        <v>321</v>
      </c>
      <c r="F112" s="107"/>
      <c r="G112" s="108"/>
      <c r="H112" s="109"/>
      <c r="I112" s="118">
        <v>46029</v>
      </c>
      <c r="J112" s="192">
        <v>3</v>
      </c>
      <c r="K112" s="122" t="s">
        <v>322</v>
      </c>
      <c r="L112" s="120">
        <f t="shared" ref="L112:L147" si="12">EDATE(I112,J112)</f>
        <v>46119</v>
      </c>
      <c r="M112" s="121">
        <f ca="1" t="shared" ref="M112:M147" si="13">L112-TODAY()</f>
        <v>59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323</v>
      </c>
      <c r="C113" s="152" t="s">
        <v>13</v>
      </c>
      <c r="D113" s="105" t="s">
        <v>324</v>
      </c>
      <c r="E113" s="106" t="s">
        <v>325</v>
      </c>
      <c r="F113" s="107"/>
      <c r="G113" s="108"/>
      <c r="H113" s="109"/>
      <c r="I113" s="118">
        <v>46029</v>
      </c>
      <c r="J113" s="192">
        <v>3</v>
      </c>
      <c r="K113" s="122" t="s">
        <v>326</v>
      </c>
      <c r="L113" s="120">
        <f t="shared" si="12"/>
        <v>46119</v>
      </c>
      <c r="M113" s="121">
        <f ca="1" t="shared" si="13"/>
        <v>59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327</v>
      </c>
      <c r="C114" s="152" t="s">
        <v>228</v>
      </c>
      <c r="D114" s="105" t="s">
        <v>328</v>
      </c>
      <c r="E114" s="106" t="s">
        <v>329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330</v>
      </c>
      <c r="L114" s="120">
        <f t="shared" si="12"/>
        <v>46119</v>
      </c>
      <c r="M114" s="121">
        <f ca="1" t="shared" si="13"/>
        <v>59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331</v>
      </c>
      <c r="C115" s="152" t="s">
        <v>228</v>
      </c>
      <c r="D115" s="105" t="s">
        <v>332</v>
      </c>
      <c r="E115" s="106" t="s">
        <v>333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334</v>
      </c>
      <c r="L115" s="120">
        <f t="shared" si="12"/>
        <v>46119</v>
      </c>
      <c r="M115" s="121">
        <f ca="1" t="shared" si="13"/>
        <v>59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331</v>
      </c>
      <c r="C116" s="152" t="s">
        <v>228</v>
      </c>
      <c r="D116" s="170" t="s">
        <v>335</v>
      </c>
      <c r="E116" s="106" t="s">
        <v>333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336</v>
      </c>
      <c r="L116" s="120">
        <f t="shared" si="12"/>
        <v>46119</v>
      </c>
      <c r="M116" s="121">
        <f ca="1" t="shared" si="13"/>
        <v>59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337</v>
      </c>
      <c r="C117" s="152" t="s">
        <v>228</v>
      </c>
      <c r="D117" s="189" t="s">
        <v>338</v>
      </c>
      <c r="E117" s="106" t="s">
        <v>339</v>
      </c>
      <c r="F117" s="107"/>
      <c r="G117" s="108"/>
      <c r="H117" s="82"/>
      <c r="I117" s="118">
        <v>46029</v>
      </c>
      <c r="J117" s="192">
        <v>3</v>
      </c>
      <c r="K117" s="122" t="s">
        <v>340</v>
      </c>
      <c r="L117" s="120">
        <f t="shared" si="12"/>
        <v>46119</v>
      </c>
      <c r="M117" s="121">
        <f ca="1" t="shared" si="13"/>
        <v>59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341</v>
      </c>
      <c r="C118" s="152" t="s">
        <v>228</v>
      </c>
      <c r="D118" s="165" t="s">
        <v>342</v>
      </c>
      <c r="E118" s="106" t="s">
        <v>343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344</v>
      </c>
      <c r="L118" s="120">
        <f t="shared" si="12"/>
        <v>46119</v>
      </c>
      <c r="M118" s="121">
        <f ca="1" t="shared" si="13"/>
        <v>59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341</v>
      </c>
      <c r="C119" s="152" t="s">
        <v>228</v>
      </c>
      <c r="D119" s="165" t="s">
        <v>345</v>
      </c>
      <c r="E119" s="106" t="s">
        <v>346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347</v>
      </c>
      <c r="L119" s="120">
        <f t="shared" si="12"/>
        <v>46119</v>
      </c>
      <c r="M119" s="121">
        <f ca="1" t="shared" si="13"/>
        <v>59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348</v>
      </c>
      <c r="C120" s="152" t="s">
        <v>27</v>
      </c>
      <c r="D120" s="189" t="s">
        <v>349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350</v>
      </c>
      <c r="L120" s="120">
        <f t="shared" si="12"/>
        <v>46120</v>
      </c>
      <c r="M120" s="121">
        <f ca="1" t="shared" si="13"/>
        <v>60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351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352</v>
      </c>
      <c r="L121" s="120">
        <f t="shared" si="12"/>
        <v>46120</v>
      </c>
      <c r="M121" s="121">
        <f ca="1" t="shared" si="13"/>
        <v>60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353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354</v>
      </c>
      <c r="L122" s="120">
        <f t="shared" si="12"/>
        <v>46120</v>
      </c>
      <c r="M122" s="121">
        <f ca="1" t="shared" si="13"/>
        <v>60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355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356</v>
      </c>
      <c r="L123" s="120">
        <f t="shared" si="12"/>
        <v>46120</v>
      </c>
      <c r="M123" s="121">
        <f ca="1" t="shared" si="13"/>
        <v>60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357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358</v>
      </c>
      <c r="L124" s="120">
        <f t="shared" si="12"/>
        <v>46120</v>
      </c>
      <c r="M124" s="121">
        <f ca="1" t="shared" si="13"/>
        <v>60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359</v>
      </c>
      <c r="E125" s="155" t="s">
        <v>360</v>
      </c>
      <c r="F125" s="156"/>
      <c r="G125" s="157"/>
      <c r="H125" s="82"/>
      <c r="I125" s="118">
        <v>46030</v>
      </c>
      <c r="J125" s="193">
        <v>3</v>
      </c>
      <c r="K125" s="127" t="s">
        <v>361</v>
      </c>
      <c r="L125" s="120">
        <f t="shared" si="12"/>
        <v>46120</v>
      </c>
      <c r="M125" s="121">
        <f ca="1" t="shared" si="13"/>
        <v>60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362</v>
      </c>
      <c r="E126" s="155" t="s">
        <v>363</v>
      </c>
      <c r="F126" s="156"/>
      <c r="G126" s="157"/>
      <c r="H126" s="82"/>
      <c r="I126" s="118">
        <v>46030</v>
      </c>
      <c r="J126" s="193">
        <v>3</v>
      </c>
      <c r="K126" s="127" t="s">
        <v>364</v>
      </c>
      <c r="L126" s="120">
        <f t="shared" si="12"/>
        <v>46120</v>
      </c>
      <c r="M126" s="121">
        <f ca="1" t="shared" si="13"/>
        <v>60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365</v>
      </c>
      <c r="E127" s="79" t="s">
        <v>366</v>
      </c>
      <c r="F127" s="80"/>
      <c r="G127" s="81"/>
      <c r="H127" s="82"/>
      <c r="I127" s="118">
        <v>46030</v>
      </c>
      <c r="J127" s="193">
        <v>3</v>
      </c>
      <c r="K127" s="127" t="s">
        <v>367</v>
      </c>
      <c r="L127" s="120">
        <f t="shared" si="12"/>
        <v>46120</v>
      </c>
      <c r="M127" s="121">
        <f ca="1" t="shared" si="13"/>
        <v>60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368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369</v>
      </c>
      <c r="L128" s="120">
        <f t="shared" si="12"/>
        <v>46120</v>
      </c>
      <c r="M128" s="121">
        <f ca="1" t="shared" si="13"/>
        <v>60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370</v>
      </c>
      <c r="E129" s="79" t="s">
        <v>371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372</v>
      </c>
      <c r="L129" s="120">
        <f t="shared" si="12"/>
        <v>46120</v>
      </c>
      <c r="M129" s="121">
        <f ca="1" t="shared" si="13"/>
        <v>60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373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374</v>
      </c>
      <c r="L130" s="120">
        <f t="shared" si="12"/>
        <v>46120</v>
      </c>
      <c r="M130" s="121">
        <f ca="1" t="shared" si="13"/>
        <v>60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375</v>
      </c>
      <c r="C131" s="201" t="s">
        <v>13</v>
      </c>
      <c r="D131" s="191" t="s">
        <v>376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377</v>
      </c>
      <c r="L131" s="120">
        <f t="shared" si="12"/>
        <v>46120</v>
      </c>
      <c r="M131" s="121">
        <f ca="1" t="shared" si="13"/>
        <v>60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378</v>
      </c>
      <c r="C132" s="201" t="s">
        <v>13</v>
      </c>
      <c r="D132" s="191" t="s">
        <v>379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380</v>
      </c>
      <c r="L132" s="120">
        <f t="shared" si="12"/>
        <v>46120</v>
      </c>
      <c r="M132" s="121">
        <f ca="1" t="shared" si="13"/>
        <v>60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381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382</v>
      </c>
      <c r="L133" s="120">
        <f t="shared" si="12"/>
        <v>46120</v>
      </c>
      <c r="M133" s="121">
        <f ca="1" t="shared" si="13"/>
        <v>60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383</v>
      </c>
      <c r="E134" s="79" t="s">
        <v>384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385</v>
      </c>
      <c r="L134" s="120">
        <f t="shared" si="12"/>
        <v>46120</v>
      </c>
      <c r="M134" s="121">
        <f ca="1" t="shared" si="13"/>
        <v>60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386</v>
      </c>
      <c r="E135" s="79" t="s">
        <v>384</v>
      </c>
      <c r="F135" s="80"/>
      <c r="G135" s="81"/>
      <c r="H135" s="82"/>
      <c r="I135" s="118">
        <v>46030</v>
      </c>
      <c r="J135" s="193">
        <v>3</v>
      </c>
      <c r="K135" s="127" t="s">
        <v>387</v>
      </c>
      <c r="L135" s="120">
        <f t="shared" si="12"/>
        <v>46120</v>
      </c>
      <c r="M135" s="121">
        <f ca="1" t="shared" si="13"/>
        <v>60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388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389</v>
      </c>
      <c r="L136" s="120">
        <f t="shared" si="12"/>
        <v>46120</v>
      </c>
      <c r="M136" s="121">
        <f ca="1" t="shared" si="13"/>
        <v>60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390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391</v>
      </c>
      <c r="L137" s="120">
        <f t="shared" si="12"/>
        <v>46120</v>
      </c>
      <c r="M137" s="121">
        <f ca="1" t="shared" si="13"/>
        <v>60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392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393</v>
      </c>
      <c r="L138" s="120">
        <f t="shared" si="12"/>
        <v>46120</v>
      </c>
      <c r="M138" s="121">
        <f ca="1" t="shared" si="13"/>
        <v>60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394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395</v>
      </c>
      <c r="L139" s="120">
        <f t="shared" si="12"/>
        <v>46120</v>
      </c>
      <c r="M139" s="121">
        <f ca="1" t="shared" si="13"/>
        <v>60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396</v>
      </c>
      <c r="C140" s="211" t="s">
        <v>158</v>
      </c>
      <c r="D140" s="210" t="s">
        <v>397</v>
      </c>
      <c r="E140" s="183" t="s">
        <v>398</v>
      </c>
      <c r="F140" s="134"/>
      <c r="G140" s="135"/>
      <c r="H140" s="213"/>
      <c r="I140" s="118">
        <v>46030</v>
      </c>
      <c r="J140" s="193">
        <v>3</v>
      </c>
      <c r="K140" s="127" t="s">
        <v>399</v>
      </c>
      <c r="L140" s="120">
        <f t="shared" si="12"/>
        <v>46120</v>
      </c>
      <c r="M140" s="121">
        <f ca="1" t="shared" si="13"/>
        <v>60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400</v>
      </c>
      <c r="C141" s="211" t="s">
        <v>228</v>
      </c>
      <c r="D141" s="214" t="s">
        <v>401</v>
      </c>
      <c r="E141" s="183" t="s">
        <v>402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403</v>
      </c>
      <c r="L141" s="120">
        <f t="shared" si="12"/>
        <v>46120</v>
      </c>
      <c r="M141" s="121">
        <f ca="1" t="shared" si="13"/>
        <v>60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337</v>
      </c>
      <c r="C142" s="211" t="s">
        <v>228</v>
      </c>
      <c r="D142" s="74" t="s">
        <v>404</v>
      </c>
      <c r="E142" s="183" t="s">
        <v>405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406</v>
      </c>
      <c r="L142" s="120">
        <f t="shared" si="12"/>
        <v>46120</v>
      </c>
      <c r="M142" s="121">
        <f ca="1" t="shared" si="13"/>
        <v>60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337</v>
      </c>
      <c r="C143" s="211" t="s">
        <v>228</v>
      </c>
      <c r="D143" s="74" t="s">
        <v>407</v>
      </c>
      <c r="E143" s="179" t="s">
        <v>408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409</v>
      </c>
      <c r="L143" s="120">
        <f t="shared" si="12"/>
        <v>46120</v>
      </c>
      <c r="M143" s="121">
        <f ca="1" t="shared" si="13"/>
        <v>60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337</v>
      </c>
      <c r="C144" s="211" t="s">
        <v>228</v>
      </c>
      <c r="D144" s="74" t="s">
        <v>410</v>
      </c>
      <c r="E144" s="183" t="s">
        <v>405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411</v>
      </c>
      <c r="L144" s="120">
        <f t="shared" si="12"/>
        <v>46120</v>
      </c>
      <c r="M144" s="121">
        <f ca="1" t="shared" si="13"/>
        <v>60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412</v>
      </c>
      <c r="C145" s="211" t="s">
        <v>228</v>
      </c>
      <c r="D145" s="74" t="s">
        <v>413</v>
      </c>
      <c r="E145" s="179" t="s">
        <v>414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415</v>
      </c>
      <c r="L145" s="120">
        <f t="shared" si="12"/>
        <v>46120</v>
      </c>
      <c r="M145" s="121">
        <f ca="1" t="shared" si="13"/>
        <v>60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416</v>
      </c>
      <c r="C146" s="211" t="s">
        <v>228</v>
      </c>
      <c r="D146" s="74" t="s">
        <v>417</v>
      </c>
      <c r="E146" s="215" t="s">
        <v>418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419</v>
      </c>
      <c r="L146" s="120">
        <f t="shared" si="12"/>
        <v>46120</v>
      </c>
      <c r="M146" s="121">
        <f ca="1" t="shared" si="13"/>
        <v>60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420</v>
      </c>
      <c r="C147" s="73" t="s">
        <v>13</v>
      </c>
      <c r="D147" s="74" t="s">
        <v>421</v>
      </c>
      <c r="E147" s="121" t="s">
        <v>422</v>
      </c>
      <c r="F147" s="121"/>
      <c r="G147" s="121"/>
      <c r="H147" s="104"/>
      <c r="I147" s="118">
        <v>46031</v>
      </c>
      <c r="J147" s="192">
        <v>3</v>
      </c>
      <c r="K147" s="128" t="s">
        <v>423</v>
      </c>
      <c r="L147" s="120">
        <f t="shared" si="12"/>
        <v>46121</v>
      </c>
      <c r="M147" s="121">
        <f ca="1" t="shared" si="13"/>
        <v>61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424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425</v>
      </c>
      <c r="L148" s="120">
        <f t="shared" ref="L148:L174" si="14">EDATE(I148,J148)</f>
        <v>46121</v>
      </c>
      <c r="M148" s="121">
        <f ca="1" t="shared" ref="M148:M174" si="15">L148-TODAY()</f>
        <v>61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426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427</v>
      </c>
      <c r="L149" s="120">
        <f t="shared" si="14"/>
        <v>46121</v>
      </c>
      <c r="M149" s="121">
        <f ca="1" t="shared" si="15"/>
        <v>61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428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429</v>
      </c>
      <c r="L150" s="120">
        <f t="shared" si="14"/>
        <v>46121</v>
      </c>
      <c r="M150" s="121">
        <f ca="1" t="shared" si="15"/>
        <v>61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430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431</v>
      </c>
      <c r="L151" s="120">
        <f t="shared" si="14"/>
        <v>46121</v>
      </c>
      <c r="M151" s="121">
        <f ca="1" t="shared" si="15"/>
        <v>61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432</v>
      </c>
      <c r="E152" s="79" t="s">
        <v>433</v>
      </c>
      <c r="F152" s="80"/>
      <c r="G152" s="81"/>
      <c r="H152" s="82"/>
      <c r="I152" s="118">
        <v>46031</v>
      </c>
      <c r="J152" s="192">
        <v>3</v>
      </c>
      <c r="K152" s="128" t="s">
        <v>434</v>
      </c>
      <c r="L152" s="120">
        <f t="shared" si="14"/>
        <v>46121</v>
      </c>
      <c r="M152" s="121">
        <f ca="1" t="shared" si="15"/>
        <v>61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435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436</v>
      </c>
      <c r="L153" s="120">
        <f t="shared" si="14"/>
        <v>46121</v>
      </c>
      <c r="M153" s="121">
        <f ca="1" t="shared" si="15"/>
        <v>61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437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438</v>
      </c>
      <c r="L154" s="120">
        <f t="shared" si="14"/>
        <v>46121</v>
      </c>
      <c r="M154" s="121">
        <f ca="1" t="shared" si="15"/>
        <v>61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439</v>
      </c>
      <c r="C155" s="73" t="s">
        <v>13</v>
      </c>
      <c r="D155" s="74" t="s">
        <v>440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441</v>
      </c>
      <c r="L155" s="120">
        <f t="shared" si="14"/>
        <v>46121</v>
      </c>
      <c r="M155" s="121">
        <f ca="1" t="shared" si="15"/>
        <v>61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442</v>
      </c>
      <c r="C156" s="73" t="s">
        <v>27</v>
      </c>
      <c r="D156" s="74" t="s">
        <v>443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444</v>
      </c>
      <c r="L156" s="120">
        <f t="shared" si="14"/>
        <v>46121</v>
      </c>
      <c r="M156" s="121">
        <f ca="1" t="shared" si="15"/>
        <v>61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313</v>
      </c>
      <c r="C157" s="73" t="s">
        <v>27</v>
      </c>
      <c r="D157" s="74" t="s">
        <v>445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446</v>
      </c>
      <c r="L157" s="120">
        <f t="shared" si="14"/>
        <v>46121</v>
      </c>
      <c r="M157" s="121">
        <f ca="1" t="shared" si="15"/>
        <v>61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447</v>
      </c>
      <c r="C158" s="73" t="s">
        <v>13</v>
      </c>
      <c r="D158" s="74" t="s">
        <v>448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449</v>
      </c>
      <c r="L158" s="120">
        <f t="shared" si="14"/>
        <v>46121</v>
      </c>
      <c r="M158" s="121">
        <f ca="1" t="shared" si="15"/>
        <v>61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447</v>
      </c>
      <c r="C159" s="73" t="s">
        <v>27</v>
      </c>
      <c r="D159" s="74" t="s">
        <v>450</v>
      </c>
      <c r="E159" s="218" t="s">
        <v>451</v>
      </c>
      <c r="F159" s="219"/>
      <c r="G159" s="220"/>
      <c r="H159" s="82"/>
      <c r="I159" s="118">
        <v>46031</v>
      </c>
      <c r="J159" s="192">
        <v>3</v>
      </c>
      <c r="K159" s="128" t="s">
        <v>452</v>
      </c>
      <c r="L159" s="120">
        <f t="shared" si="14"/>
        <v>46121</v>
      </c>
      <c r="M159" s="121">
        <f ca="1" t="shared" si="15"/>
        <v>61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447</v>
      </c>
      <c r="C160" s="73" t="s">
        <v>27</v>
      </c>
      <c r="D160" s="74" t="s">
        <v>453</v>
      </c>
      <c r="E160" s="218" t="s">
        <v>451</v>
      </c>
      <c r="F160" s="219"/>
      <c r="G160" s="220"/>
      <c r="H160" s="82"/>
      <c r="I160" s="118">
        <v>46031</v>
      </c>
      <c r="J160" s="192">
        <v>3</v>
      </c>
      <c r="K160" s="128" t="s">
        <v>454</v>
      </c>
      <c r="L160" s="120">
        <f t="shared" si="14"/>
        <v>46121</v>
      </c>
      <c r="M160" s="121">
        <f ca="1" t="shared" si="15"/>
        <v>61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455</v>
      </c>
      <c r="C161" s="73" t="s">
        <v>27</v>
      </c>
      <c r="D161" s="74" t="s">
        <v>456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457</v>
      </c>
      <c r="L161" s="120">
        <f t="shared" si="14"/>
        <v>46121</v>
      </c>
      <c r="M161" s="121">
        <f ca="1" t="shared" si="15"/>
        <v>61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394</v>
      </c>
      <c r="C162" s="73" t="s">
        <v>158</v>
      </c>
      <c r="D162" s="74" t="s">
        <v>458</v>
      </c>
      <c r="E162" s="79" t="s">
        <v>459</v>
      </c>
      <c r="F162" s="80"/>
      <c r="G162" s="81"/>
      <c r="H162" s="82"/>
      <c r="I162" s="118">
        <v>46031</v>
      </c>
      <c r="J162" s="192">
        <v>3</v>
      </c>
      <c r="K162" s="128" t="s">
        <v>460</v>
      </c>
      <c r="L162" s="120">
        <f t="shared" si="14"/>
        <v>46121</v>
      </c>
      <c r="M162" s="121">
        <f ca="1" t="shared" si="15"/>
        <v>61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461</v>
      </c>
      <c r="C163" s="73" t="s">
        <v>158</v>
      </c>
      <c r="D163" s="74" t="s">
        <v>462</v>
      </c>
      <c r="E163" s="179" t="s">
        <v>463</v>
      </c>
      <c r="F163" s="180"/>
      <c r="G163" s="181"/>
      <c r="H163" s="82"/>
      <c r="I163" s="118">
        <v>46031</v>
      </c>
      <c r="J163" s="192">
        <v>3</v>
      </c>
      <c r="K163" s="128" t="s">
        <v>464</v>
      </c>
      <c r="L163" s="120">
        <f t="shared" si="14"/>
        <v>46121</v>
      </c>
      <c r="M163" s="121">
        <f ca="1" t="shared" si="15"/>
        <v>61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465</v>
      </c>
      <c r="C164" s="73" t="s">
        <v>158</v>
      </c>
      <c r="D164" s="74" t="s">
        <v>466</v>
      </c>
      <c r="E164" s="179" t="s">
        <v>467</v>
      </c>
      <c r="F164" s="180"/>
      <c r="G164" s="181"/>
      <c r="H164" s="82"/>
      <c r="I164" s="118">
        <v>46031</v>
      </c>
      <c r="J164" s="192">
        <v>3</v>
      </c>
      <c r="K164" s="128" t="s">
        <v>468</v>
      </c>
      <c r="L164" s="120">
        <f t="shared" si="14"/>
        <v>46121</v>
      </c>
      <c r="M164" s="121">
        <f ca="1" t="shared" si="15"/>
        <v>61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469</v>
      </c>
      <c r="E165" s="179" t="s">
        <v>470</v>
      </c>
      <c r="F165" s="180"/>
      <c r="G165" s="181"/>
      <c r="H165" s="82"/>
      <c r="I165" s="118">
        <v>46031</v>
      </c>
      <c r="J165" s="192">
        <v>3</v>
      </c>
      <c r="K165" s="128" t="s">
        <v>471</v>
      </c>
      <c r="L165" s="120">
        <f t="shared" si="14"/>
        <v>46121</v>
      </c>
      <c r="M165" s="121">
        <f ca="1" t="shared" si="15"/>
        <v>61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223" t="s">
        <v>472</v>
      </c>
      <c r="J166" s="192"/>
      <c r="K166" s="127" t="s">
        <v>473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61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61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61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333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61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333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61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61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61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61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62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62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62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62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62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62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62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363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62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360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62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62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62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283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62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442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62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442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62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62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283</v>
      </c>
      <c r="C190" s="73" t="s">
        <v>27</v>
      </c>
      <c r="D190" s="74" t="s">
        <v>530</v>
      </c>
      <c r="E190" s="179" t="s">
        <v>285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62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394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223" t="s">
        <v>472</v>
      </c>
      <c r="J191" s="192"/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223" t="s">
        <v>472</v>
      </c>
      <c r="J192" s="192"/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62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62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62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62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62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346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62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333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62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63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63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63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63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283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63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283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63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442</v>
      </c>
      <c r="C206" s="73" t="s">
        <v>27</v>
      </c>
      <c r="D206" s="74" t="s">
        <v>570</v>
      </c>
      <c r="E206" s="179" t="s">
        <v>317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63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442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63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64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64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64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64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64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64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64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470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64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 t="s">
        <v>472</v>
      </c>
      <c r="J216" s="192"/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467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64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/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64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/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64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333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64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333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64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64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346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64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65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65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65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65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442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65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442</v>
      </c>
      <c r="C229" s="73" t="s">
        <v>228</v>
      </c>
      <c r="D229" s="74" t="s">
        <v>619</v>
      </c>
      <c r="E229" s="79" t="s">
        <v>333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65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442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65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442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65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442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65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442</v>
      </c>
      <c r="C233" s="73" t="s">
        <v>13</v>
      </c>
      <c r="D233" s="74" t="s">
        <v>628</v>
      </c>
      <c r="E233" s="79" t="s">
        <v>311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65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394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 t="s">
        <v>472</v>
      </c>
      <c r="J234" s="192"/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65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65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65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420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66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420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66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420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66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420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66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420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66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420</v>
      </c>
      <c r="C243" s="73" t="s">
        <v>13</v>
      </c>
      <c r="D243" s="94" t="s">
        <v>652</v>
      </c>
      <c r="E243" s="79" t="s">
        <v>371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66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420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66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420</v>
      </c>
      <c r="C245" s="73" t="s">
        <v>27</v>
      </c>
      <c r="D245" s="74" t="s">
        <v>656</v>
      </c>
      <c r="E245" s="79" t="s">
        <v>363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66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420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66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420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66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420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66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420</v>
      </c>
      <c r="C249" s="73" t="s">
        <v>27</v>
      </c>
      <c r="D249" s="74" t="s">
        <v>666</v>
      </c>
      <c r="E249" s="79" t="s">
        <v>360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66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420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66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66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66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66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66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66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66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66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66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66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66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66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66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371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66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66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66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66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66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67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67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67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67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67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67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67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67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67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67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67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67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67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67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67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67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67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67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67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 t="s">
        <v>472</v>
      </c>
      <c r="J287" s="73"/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323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67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405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67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67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333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67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68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375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68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68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68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68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68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68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68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68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68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68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333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68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333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68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333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68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68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69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69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420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69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420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69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420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69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420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69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69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69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360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69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363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69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 t="s">
        <v>472</v>
      </c>
      <c r="J317" s="73"/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69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69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69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69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69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69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69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69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69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69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69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69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394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 t="s">
        <v>472</v>
      </c>
      <c r="J330" s="73"/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69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69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333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69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333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69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341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69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341</v>
      </c>
      <c r="C336" s="73" t="s">
        <v>228</v>
      </c>
      <c r="D336" s="74" t="s">
        <v>872</v>
      </c>
      <c r="E336" s="79" t="s">
        <v>346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69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341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69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70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70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70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70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70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70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 t="s">
        <v>472</v>
      </c>
      <c r="J344" s="73"/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70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70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71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71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71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71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71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71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442</v>
      </c>
      <c r="C353" s="73" t="s">
        <v>27</v>
      </c>
      <c r="D353" s="74" t="s">
        <v>904</v>
      </c>
      <c r="E353" s="79" t="s">
        <v>295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71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442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71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442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71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71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71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455</v>
      </c>
      <c r="C358" s="73" t="s">
        <v>27</v>
      </c>
      <c r="D358" s="74" t="s">
        <v>916</v>
      </c>
      <c r="E358" s="79" t="s">
        <v>451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71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71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71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34"/>
        <v>46132</v>
      </c>
      <c r="M361" s="121">
        <f ca="1" t="shared" si="35"/>
        <v>72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ref="L362:L389" si="36">EDATE(I362,J362)</f>
        <v>46132</v>
      </c>
      <c r="M362" s="121">
        <f ca="1" t="shared" ref="M362:M389" si="37">L362-TODAY()</f>
        <v>72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36"/>
        <v>46132</v>
      </c>
      <c r="M363" s="121">
        <f ca="1" t="shared" si="37"/>
        <v>72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36"/>
        <v>46132</v>
      </c>
      <c r="M364" s="121">
        <f ca="1" t="shared" si="37"/>
        <v>72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36"/>
        <v>46132</v>
      </c>
      <c r="M365" s="121">
        <f ca="1" t="shared" si="37"/>
        <v>72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36"/>
        <v>46132</v>
      </c>
      <c r="M366" s="121">
        <f ca="1" t="shared" si="37"/>
        <v>72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36"/>
        <v>46132</v>
      </c>
      <c r="M367" s="121">
        <f ca="1" t="shared" si="37"/>
        <v>72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36"/>
        <v>46132</v>
      </c>
      <c r="M368" s="121">
        <f ca="1" t="shared" si="37"/>
        <v>72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442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36"/>
        <v>46132</v>
      </c>
      <c r="M369" s="121">
        <f ca="1" t="shared" si="37"/>
        <v>72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36"/>
        <v>46132</v>
      </c>
      <c r="M370" s="121">
        <f ca="1" t="shared" si="37"/>
        <v>72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439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36"/>
        <v>46132</v>
      </c>
      <c r="M371" s="121">
        <f ca="1" t="shared" si="37"/>
        <v>72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439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36"/>
        <v>46132</v>
      </c>
      <c r="M372" s="121">
        <f ca="1" t="shared" si="37"/>
        <v>72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36"/>
        <v>46132</v>
      </c>
      <c r="M373" s="121">
        <f ca="1" t="shared" si="37"/>
        <v>72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36"/>
        <v>46132</v>
      </c>
      <c r="M374" s="121">
        <f ca="1" t="shared" si="37"/>
        <v>72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36"/>
        <v>46132</v>
      </c>
      <c r="M375" s="121">
        <f ca="1" t="shared" si="37"/>
        <v>72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36"/>
        <v>46132</v>
      </c>
      <c r="M376" s="121">
        <f ca="1" t="shared" si="37"/>
        <v>72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36"/>
        <v>46132</v>
      </c>
      <c r="M377" s="121">
        <f ca="1" t="shared" si="37"/>
        <v>72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36"/>
        <v>46132</v>
      </c>
      <c r="M378" s="121">
        <f ca="1" t="shared" si="37"/>
        <v>72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36"/>
        <v>46132</v>
      </c>
      <c r="M379" s="121">
        <f ca="1" t="shared" si="37"/>
        <v>72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 t="s">
        <v>472</v>
      </c>
      <c r="J380" s="73"/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 t="s">
        <v>472</v>
      </c>
      <c r="J381" s="73"/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 t="s">
        <v>472</v>
      </c>
      <c r="J382" s="73"/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333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36"/>
        <v>46132</v>
      </c>
      <c r="M383" s="121">
        <f ca="1" t="shared" si="37"/>
        <v>72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36"/>
        <v>46132</v>
      </c>
      <c r="M384" s="121">
        <f ca="1" t="shared" si="37"/>
        <v>72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346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36"/>
        <v>46132</v>
      </c>
      <c r="M385" s="121">
        <f ca="1" t="shared" si="37"/>
        <v>72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346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36"/>
        <v>46132</v>
      </c>
      <c r="M386" s="121">
        <f ca="1" t="shared" si="37"/>
        <v>72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346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si="36"/>
        <v>46132</v>
      </c>
      <c r="M387" s="121">
        <f ca="1" t="shared" si="37"/>
        <v>72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346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36"/>
        <v>46132</v>
      </c>
      <c r="M388" s="121">
        <f ca="1" t="shared" si="37"/>
        <v>72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36"/>
        <v>46132</v>
      </c>
      <c r="M389" s="121">
        <f ca="1" t="shared" si="37"/>
        <v>72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ref="L390:L408" si="38">EDATE(I390,J390)</f>
        <v>46133</v>
      </c>
      <c r="M390" s="121">
        <f ca="1" t="shared" ref="M390:M408" si="39">L390-TODAY()</f>
        <v>73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38"/>
        <v>46133</v>
      </c>
      <c r="M391" s="121">
        <f ca="1" t="shared" si="39"/>
        <v>73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348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38"/>
        <v>46133</v>
      </c>
      <c r="M392" s="121">
        <f ca="1" t="shared" si="39"/>
        <v>73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38"/>
        <v>46133</v>
      </c>
      <c r="M393" s="121">
        <f ca="1" t="shared" si="39"/>
        <v>73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38"/>
        <v>46133</v>
      </c>
      <c r="M394" s="121">
        <f ca="1" t="shared" si="39"/>
        <v>73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38"/>
        <v>46133</v>
      </c>
      <c r="M395" s="121">
        <f ca="1" t="shared" si="39"/>
        <v>73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38"/>
        <v>46133</v>
      </c>
      <c r="M396" s="121">
        <f ca="1" t="shared" si="39"/>
        <v>73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38"/>
        <v>46133</v>
      </c>
      <c r="M397" s="121">
        <f ca="1" t="shared" si="39"/>
        <v>73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38"/>
        <v>46133</v>
      </c>
      <c r="M398" s="121">
        <f ca="1" t="shared" si="39"/>
        <v>73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38"/>
        <v>46133</v>
      </c>
      <c r="M399" s="121">
        <f ca="1" t="shared" si="39"/>
        <v>73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38"/>
        <v>46133</v>
      </c>
      <c r="M400" s="121">
        <f ca="1" t="shared" si="39"/>
        <v>73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38"/>
        <v>46133</v>
      </c>
      <c r="M401" s="121">
        <f ca="1" t="shared" si="39"/>
        <v>73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371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38"/>
        <v>46133</v>
      </c>
      <c r="M402" s="121">
        <f ca="1" t="shared" si="39"/>
        <v>73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283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38"/>
        <v>46133</v>
      </c>
      <c r="M403" s="121">
        <f ca="1" t="shared" si="39"/>
        <v>73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283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38"/>
        <v>46133</v>
      </c>
      <c r="M404" s="121">
        <f ca="1" t="shared" si="39"/>
        <v>73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465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38"/>
        <v>46133</v>
      </c>
      <c r="M405" s="121">
        <f ca="1" t="shared" si="39"/>
        <v>73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38"/>
        <v>46133</v>
      </c>
      <c r="M406" s="121">
        <f ca="1" t="shared" si="39"/>
        <v>73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394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 t="s">
        <v>472</v>
      </c>
      <c r="J407" s="73"/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38"/>
        <v>46133</v>
      </c>
      <c r="M408" s="121">
        <f ca="1" t="shared" si="39"/>
        <v>73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ref="L409:L435" si="40">EDATE(I409,J409)</f>
        <v>46134</v>
      </c>
      <c r="M409" s="121">
        <f ca="1" t="shared" ref="M409:M435" si="41">L409-TODAY()</f>
        <v>74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40"/>
        <v>46134</v>
      </c>
      <c r="M410" s="121">
        <f ca="1" t="shared" si="41"/>
        <v>74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283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40"/>
        <v>46134</v>
      </c>
      <c r="M411" s="121">
        <f ca="1" t="shared" si="41"/>
        <v>74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40"/>
        <v>46134</v>
      </c>
      <c r="M412" s="121">
        <f ca="1" t="shared" si="41"/>
        <v>74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40"/>
        <v>46134</v>
      </c>
      <c r="M413" s="121">
        <f ca="1" t="shared" si="41"/>
        <v>74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40"/>
        <v>46134</v>
      </c>
      <c r="M414" s="121">
        <f ca="1" t="shared" si="41"/>
        <v>74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 t="s">
        <v>472</v>
      </c>
      <c r="J415" s="73"/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 t="s">
        <v>472</v>
      </c>
      <c r="J416" s="73"/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 t="s">
        <v>472</v>
      </c>
      <c r="J417" s="73"/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40"/>
        <v>46134</v>
      </c>
      <c r="M418" s="121">
        <f ca="1" t="shared" si="41"/>
        <v>74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40"/>
        <v>46134</v>
      </c>
      <c r="M419" s="121">
        <f ca="1" t="shared" si="41"/>
        <v>74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40"/>
        <v>46134</v>
      </c>
      <c r="M420" s="121">
        <f ca="1" t="shared" si="41"/>
        <v>74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40"/>
        <v>46134</v>
      </c>
      <c r="M421" s="121">
        <f ca="1" t="shared" si="41"/>
        <v>74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40"/>
        <v>46134</v>
      </c>
      <c r="M422" s="121">
        <f ca="1" t="shared" si="41"/>
        <v>74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40"/>
        <v>46134</v>
      </c>
      <c r="M423" s="121">
        <f ca="1" t="shared" si="41"/>
        <v>74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40"/>
        <v>46134</v>
      </c>
      <c r="M424" s="121">
        <f ca="1" t="shared" si="41"/>
        <v>74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40"/>
        <v>46134</v>
      </c>
      <c r="M425" s="121">
        <f ca="1" t="shared" si="41"/>
        <v>74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40"/>
        <v>46134</v>
      </c>
      <c r="M426" s="121">
        <f ca="1" t="shared" si="41"/>
        <v>74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40"/>
        <v>46134</v>
      </c>
      <c r="M427" s="121">
        <f ca="1" t="shared" si="41"/>
        <v>74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40"/>
        <v>46134</v>
      </c>
      <c r="M428" s="121">
        <f ca="1" t="shared" si="41"/>
        <v>74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40"/>
        <v>46134</v>
      </c>
      <c r="M429" s="121">
        <f ca="1" t="shared" si="41"/>
        <v>74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40"/>
        <v>46134</v>
      </c>
      <c r="M430" s="121">
        <f ca="1" t="shared" si="41"/>
        <v>74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40"/>
        <v>46134</v>
      </c>
      <c r="M431" s="121">
        <f ca="1" t="shared" si="41"/>
        <v>74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40"/>
        <v>46134</v>
      </c>
      <c r="M432" s="121">
        <f ca="1" t="shared" si="41"/>
        <v>74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333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40"/>
        <v>46134</v>
      </c>
      <c r="M433" s="121">
        <f ca="1" t="shared" si="41"/>
        <v>74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333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40"/>
        <v>46134</v>
      </c>
      <c r="M434" s="121">
        <f ca="1" t="shared" si="41"/>
        <v>74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333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40"/>
        <v>46134</v>
      </c>
      <c r="M435" s="121">
        <f ca="1" t="shared" si="41"/>
        <v>74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ref="L436:L450" si="42">EDATE(I436,J436)</f>
        <v>46135</v>
      </c>
      <c r="M436" s="121">
        <f ca="1" t="shared" ref="M436:M450" si="43">L436-TODAY()</f>
        <v>75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42"/>
        <v>46135</v>
      </c>
      <c r="M437" s="121">
        <f ca="1" t="shared" si="43"/>
        <v>75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42"/>
        <v>46135</v>
      </c>
      <c r="M438" s="121">
        <f ca="1" t="shared" si="43"/>
        <v>75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42"/>
        <v>46135</v>
      </c>
      <c r="M439" s="121">
        <f ca="1" t="shared" si="43"/>
        <v>75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42"/>
        <v>46135</v>
      </c>
      <c r="M440" s="121">
        <f ca="1" t="shared" si="43"/>
        <v>75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42"/>
        <v>46135</v>
      </c>
      <c r="M441" s="121">
        <f ca="1" t="shared" si="43"/>
        <v>75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42"/>
        <v>46135</v>
      </c>
      <c r="M442" s="121">
        <f ca="1" t="shared" si="43"/>
        <v>75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42"/>
        <v>46135</v>
      </c>
      <c r="M443" s="121">
        <f ca="1" t="shared" si="43"/>
        <v>75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42"/>
        <v>46135</v>
      </c>
      <c r="M444" s="121">
        <f ca="1" t="shared" si="43"/>
        <v>75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42"/>
        <v>46135</v>
      </c>
      <c r="M445" s="121">
        <f ca="1" t="shared" si="43"/>
        <v>75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42"/>
        <v>46135</v>
      </c>
      <c r="M446" s="121">
        <f ca="1" t="shared" si="43"/>
        <v>75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42"/>
        <v>46135</v>
      </c>
      <c r="M447" s="121">
        <f ca="1" t="shared" si="43"/>
        <v>75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42"/>
        <v>46135</v>
      </c>
      <c r="M448" s="121">
        <f ca="1" t="shared" si="43"/>
        <v>75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42"/>
        <v>46135</v>
      </c>
      <c r="M449" s="121">
        <f ca="1" t="shared" si="43"/>
        <v>75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470</v>
      </c>
      <c r="F450" s="80"/>
      <c r="G450" s="81"/>
      <c r="H450" s="204"/>
      <c r="I450" s="83" t="s">
        <v>472</v>
      </c>
      <c r="J450" s="73"/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420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/>
      <c r="L451" s="120">
        <f t="shared" si="44"/>
        <v>46136</v>
      </c>
      <c r="M451" s="121">
        <f ca="1" t="shared" si="45"/>
        <v>76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1115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/>
      <c r="L452" s="120">
        <f t="shared" si="44"/>
        <v>46136</v>
      </c>
      <c r="M452" s="121">
        <f ca="1" t="shared" si="45"/>
        <v>76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1116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/>
      <c r="L453" s="120">
        <f t="shared" si="44"/>
        <v>46136</v>
      </c>
      <c r="M453" s="121">
        <f ca="1" t="shared" si="45"/>
        <v>76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1117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/>
      <c r="L454" s="120">
        <f t="shared" si="44"/>
        <v>46136</v>
      </c>
      <c r="M454" s="121">
        <f ca="1" t="shared" si="45"/>
        <v>76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1118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/>
      <c r="L455" s="120">
        <f t="shared" si="44"/>
        <v>46136</v>
      </c>
      <c r="M455" s="121">
        <f ca="1" t="shared" si="45"/>
        <v>76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1119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/>
      <c r="L456" s="120">
        <f t="shared" si="44"/>
        <v>46136</v>
      </c>
      <c r="M456" s="121">
        <f ca="1" t="shared" si="45"/>
        <v>76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1120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/>
      <c r="L457" s="120">
        <f t="shared" si="44"/>
        <v>46136</v>
      </c>
      <c r="M457" s="121">
        <f ca="1" t="shared" si="45"/>
        <v>76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1121</v>
      </c>
      <c r="C458" s="73" t="s">
        <v>27</v>
      </c>
      <c r="D458" s="74" t="s">
        <v>1122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/>
      <c r="L458" s="120">
        <f t="shared" si="44"/>
        <v>46136</v>
      </c>
      <c r="M458" s="121">
        <f ca="1" t="shared" si="45"/>
        <v>76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442</v>
      </c>
      <c r="C459" s="73" t="s">
        <v>27</v>
      </c>
      <c r="D459" s="74" t="s">
        <v>1123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/>
      <c r="L459" s="120">
        <f t="shared" si="44"/>
        <v>46136</v>
      </c>
      <c r="M459" s="121">
        <f ca="1" t="shared" si="45"/>
        <v>76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442</v>
      </c>
      <c r="C460" s="73" t="s">
        <v>13</v>
      </c>
      <c r="D460" s="74" t="s">
        <v>1124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/>
      <c r="L460" s="120">
        <f t="shared" si="44"/>
        <v>46136</v>
      </c>
      <c r="M460" s="121">
        <f ca="1" t="shared" si="45"/>
        <v>76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442</v>
      </c>
      <c r="C461" s="73" t="s">
        <v>27</v>
      </c>
      <c r="D461" s="74" t="s">
        <v>1125</v>
      </c>
      <c r="E461" s="79" t="s">
        <v>317</v>
      </c>
      <c r="F461" s="80"/>
      <c r="G461" s="81"/>
      <c r="H461" s="89" t="s">
        <v>16</v>
      </c>
      <c r="I461" s="223">
        <v>46046</v>
      </c>
      <c r="J461" s="73">
        <v>3</v>
      </c>
      <c r="K461" s="122"/>
      <c r="L461" s="120">
        <f t="shared" si="44"/>
        <v>46136</v>
      </c>
      <c r="M461" s="121">
        <f ca="1" t="shared" si="45"/>
        <v>76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1126</v>
      </c>
      <c r="C462" s="73" t="s">
        <v>27</v>
      </c>
      <c r="D462" s="74" t="s">
        <v>1127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/>
      <c r="L462" s="120">
        <f t="shared" si="44"/>
        <v>46136</v>
      </c>
      <c r="M462" s="121">
        <f ca="1" t="shared" si="45"/>
        <v>76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1126</v>
      </c>
      <c r="C463" s="73" t="s">
        <v>27</v>
      </c>
      <c r="D463" s="74" t="s">
        <v>1128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/>
      <c r="L463" s="120">
        <f t="shared" si="44"/>
        <v>46136</v>
      </c>
      <c r="M463" s="121">
        <f ca="1" t="shared" si="45"/>
        <v>76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1126</v>
      </c>
      <c r="C464" s="73" t="s">
        <v>27</v>
      </c>
      <c r="D464" s="74" t="s">
        <v>1129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/>
      <c r="L464" s="120">
        <f t="shared" si="44"/>
        <v>46136</v>
      </c>
      <c r="M464" s="121">
        <f ca="1" t="shared" si="45"/>
        <v>76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1126</v>
      </c>
      <c r="C465" s="73" t="s">
        <v>13</v>
      </c>
      <c r="D465" s="74" t="s">
        <v>1130</v>
      </c>
      <c r="E465" s="79" t="s">
        <v>1131</v>
      </c>
      <c r="F465" s="80"/>
      <c r="G465" s="81"/>
      <c r="H465" s="78" t="s">
        <v>16</v>
      </c>
      <c r="I465" s="223">
        <v>46046</v>
      </c>
      <c r="J465" s="73">
        <v>3</v>
      </c>
      <c r="K465" s="122"/>
      <c r="L465" s="120">
        <f t="shared" si="44"/>
        <v>46136</v>
      </c>
      <c r="M465" s="121">
        <f ca="1" t="shared" si="45"/>
        <v>76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1126</v>
      </c>
      <c r="C466" s="73" t="s">
        <v>13</v>
      </c>
      <c r="D466" s="74" t="s">
        <v>1132</v>
      </c>
      <c r="E466" s="79" t="s">
        <v>1133</v>
      </c>
      <c r="F466" s="80"/>
      <c r="G466" s="81"/>
      <c r="H466" s="78" t="s">
        <v>16</v>
      </c>
      <c r="I466" s="223">
        <v>46046</v>
      </c>
      <c r="J466" s="73">
        <v>3</v>
      </c>
      <c r="K466" s="122"/>
      <c r="L466" s="120">
        <f t="shared" si="44"/>
        <v>46136</v>
      </c>
      <c r="M466" s="121">
        <f ca="1" t="shared" si="45"/>
        <v>76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1126</v>
      </c>
      <c r="C467" s="73" t="s">
        <v>13</v>
      </c>
      <c r="D467" s="74" t="s">
        <v>1134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/>
      <c r="L467" s="120">
        <f t="shared" si="44"/>
        <v>46136</v>
      </c>
      <c r="M467" s="121">
        <f ca="1" t="shared" si="45"/>
        <v>76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1126</v>
      </c>
      <c r="C468" s="73" t="s">
        <v>13</v>
      </c>
      <c r="D468" s="74" t="s">
        <v>1135</v>
      </c>
      <c r="E468" s="79" t="s">
        <v>1136</v>
      </c>
      <c r="F468" s="80"/>
      <c r="G468" s="81"/>
      <c r="H468" s="78" t="s">
        <v>16</v>
      </c>
      <c r="I468" s="223">
        <v>46046</v>
      </c>
      <c r="J468" s="73">
        <v>3</v>
      </c>
      <c r="K468" s="122"/>
      <c r="L468" s="120">
        <f t="shared" si="44"/>
        <v>46136</v>
      </c>
      <c r="M468" s="121">
        <f ca="1" t="shared" si="45"/>
        <v>76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1137</v>
      </c>
      <c r="C469" s="73" t="s">
        <v>13</v>
      </c>
      <c r="D469" s="74" t="s">
        <v>1138</v>
      </c>
      <c r="E469" s="79" t="s">
        <v>1139</v>
      </c>
      <c r="F469" s="80"/>
      <c r="G469" s="81"/>
      <c r="H469" s="78" t="s">
        <v>16</v>
      </c>
      <c r="I469" s="223">
        <v>46046</v>
      </c>
      <c r="J469" s="73">
        <v>3</v>
      </c>
      <c r="K469" s="122"/>
      <c r="L469" s="120">
        <f t="shared" si="44"/>
        <v>46136</v>
      </c>
      <c r="M469" s="121">
        <f ca="1" t="shared" si="45"/>
        <v>76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1140</v>
      </c>
      <c r="C470" s="73" t="s">
        <v>27</v>
      </c>
      <c r="D470" s="74" t="s">
        <v>1141</v>
      </c>
      <c r="E470" s="79" t="s">
        <v>1142</v>
      </c>
      <c r="F470" s="80"/>
      <c r="G470" s="81"/>
      <c r="H470" s="89" t="s">
        <v>16</v>
      </c>
      <c r="I470" s="223">
        <v>46046</v>
      </c>
      <c r="J470" s="73">
        <v>3</v>
      </c>
      <c r="K470" s="122"/>
      <c r="L470" s="120">
        <f t="shared" ref="L470:L484" si="46">EDATE(I470,J470)</f>
        <v>46136</v>
      </c>
      <c r="M470" s="121">
        <f ca="1" t="shared" ref="M470:M484" si="47">L470-TODAY()</f>
        <v>76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1143</v>
      </c>
      <c r="C471" s="73" t="s">
        <v>158</v>
      </c>
      <c r="D471" s="74" t="s">
        <v>589</v>
      </c>
      <c r="E471" s="79" t="s">
        <v>470</v>
      </c>
      <c r="F471" s="80"/>
      <c r="G471" s="81"/>
      <c r="H471" s="204"/>
      <c r="I471" s="223">
        <v>46046</v>
      </c>
      <c r="J471" s="73">
        <v>3</v>
      </c>
      <c r="K471" s="122"/>
      <c r="L471" s="120">
        <f t="shared" si="46"/>
        <v>46136</v>
      </c>
      <c r="M471" s="121">
        <f ca="1" t="shared" si="47"/>
        <v>76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394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 t="s">
        <v>472</v>
      </c>
      <c r="J472" s="73"/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394</v>
      </c>
      <c r="C473" s="73" t="s">
        <v>158</v>
      </c>
      <c r="D473" s="74" t="s">
        <v>1144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/>
      <c r="L473" s="120">
        <f t="shared" si="46"/>
        <v>46136</v>
      </c>
      <c r="M473" s="121">
        <f ca="1" t="shared" si="47"/>
        <v>76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1145</v>
      </c>
      <c r="C474" s="73" t="s">
        <v>27</v>
      </c>
      <c r="D474" s="74" t="s">
        <v>1146</v>
      </c>
      <c r="E474" s="79" t="s">
        <v>1147</v>
      </c>
      <c r="F474" s="80"/>
      <c r="G474" s="81"/>
      <c r="H474" s="78" t="s">
        <v>16</v>
      </c>
      <c r="I474" s="223">
        <v>46046</v>
      </c>
      <c r="J474" s="73">
        <v>3</v>
      </c>
      <c r="K474" s="122"/>
      <c r="L474" s="120">
        <f t="shared" si="46"/>
        <v>46136</v>
      </c>
      <c r="M474" s="121">
        <f ca="1" t="shared" si="47"/>
        <v>76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1148</v>
      </c>
      <c r="E475" s="79" t="s">
        <v>1149</v>
      </c>
      <c r="F475" s="80"/>
      <c r="G475" s="81"/>
      <c r="H475" s="78" t="s">
        <v>16</v>
      </c>
      <c r="I475" s="223">
        <v>46046</v>
      </c>
      <c r="J475" s="73">
        <v>3</v>
      </c>
      <c r="K475" s="122"/>
      <c r="L475" s="120">
        <f t="shared" si="46"/>
        <v>46136</v>
      </c>
      <c r="M475" s="121">
        <f ca="1" t="shared" si="47"/>
        <v>76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1150</v>
      </c>
      <c r="E476" s="79" t="s">
        <v>1149</v>
      </c>
      <c r="F476" s="80"/>
      <c r="G476" s="81"/>
      <c r="H476" s="78" t="s">
        <v>16</v>
      </c>
      <c r="I476" s="223">
        <v>46046</v>
      </c>
      <c r="J476" s="73">
        <v>3</v>
      </c>
      <c r="K476" s="122"/>
      <c r="L476" s="120">
        <f t="shared" si="46"/>
        <v>46136</v>
      </c>
      <c r="M476" s="121">
        <f ca="1" t="shared" si="47"/>
        <v>76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1151</v>
      </c>
      <c r="C477" s="73" t="s">
        <v>228</v>
      </c>
      <c r="D477" s="74" t="s">
        <v>1152</v>
      </c>
      <c r="E477" s="79" t="s">
        <v>1153</v>
      </c>
      <c r="F477" s="80"/>
      <c r="G477" s="81"/>
      <c r="H477" s="78" t="s">
        <v>16</v>
      </c>
      <c r="I477" s="223">
        <v>46046</v>
      </c>
      <c r="J477" s="73">
        <v>3</v>
      </c>
      <c r="K477" s="122"/>
      <c r="L477" s="120">
        <f t="shared" si="46"/>
        <v>46136</v>
      </c>
      <c r="M477" s="121">
        <f ca="1" t="shared" si="47"/>
        <v>76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1154</v>
      </c>
      <c r="C478" s="73" t="s">
        <v>228</v>
      </c>
      <c r="D478" s="74" t="s">
        <v>1155</v>
      </c>
      <c r="E478" s="79" t="s">
        <v>1156</v>
      </c>
      <c r="F478" s="80"/>
      <c r="G478" s="81"/>
      <c r="H478" s="78" t="s">
        <v>16</v>
      </c>
      <c r="I478" s="223">
        <v>46046</v>
      </c>
      <c r="J478" s="73">
        <v>3</v>
      </c>
      <c r="K478" s="122"/>
      <c r="L478" s="120">
        <f t="shared" si="46"/>
        <v>46136</v>
      </c>
      <c r="M478" s="121">
        <f ca="1" t="shared" si="47"/>
        <v>76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412</v>
      </c>
      <c r="C479" s="73" t="s">
        <v>228</v>
      </c>
      <c r="D479" s="74" t="s">
        <v>1157</v>
      </c>
      <c r="E479" s="79" t="s">
        <v>414</v>
      </c>
      <c r="F479" s="80"/>
      <c r="G479" s="81"/>
      <c r="H479" s="78" t="s">
        <v>16</v>
      </c>
      <c r="I479" s="223">
        <v>46046</v>
      </c>
      <c r="J479" s="73">
        <v>3</v>
      </c>
      <c r="K479" s="122"/>
      <c r="L479" s="120">
        <f t="shared" si="46"/>
        <v>46136</v>
      </c>
      <c r="M479" s="121">
        <f ca="1" t="shared" si="47"/>
        <v>76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1158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/>
      <c r="L480" s="120">
        <f t="shared" si="46"/>
        <v>46136</v>
      </c>
      <c r="M480" s="121">
        <f ca="1" t="shared" si="47"/>
        <v>76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1159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/>
      <c r="L481" s="120">
        <f t="shared" si="46"/>
        <v>46136</v>
      </c>
      <c r="M481" s="121">
        <f ca="1" t="shared" si="47"/>
        <v>76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1160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/>
      <c r="L482" s="120">
        <f t="shared" si="46"/>
        <v>46136</v>
      </c>
      <c r="M482" s="121">
        <f ca="1" t="shared" si="47"/>
        <v>76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1161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/>
      <c r="L483" s="120">
        <f t="shared" si="46"/>
        <v>46136</v>
      </c>
      <c r="M483" s="121">
        <f ca="1" t="shared" si="47"/>
        <v>76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1162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/>
      <c r="L484" s="120">
        <f t="shared" si="46"/>
        <v>46136</v>
      </c>
      <c r="M484" s="121">
        <f ca="1" t="shared" si="47"/>
        <v>76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1163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/>
      <c r="L485" s="120">
        <f t="shared" ref="L485:L501" si="48">EDATE(I485,J485)</f>
        <v>46137</v>
      </c>
      <c r="M485" s="121">
        <f ca="1" t="shared" ref="M485:M501" si="49">L485-TODAY()</f>
        <v>77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1164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/>
      <c r="L486" s="120">
        <f t="shared" si="48"/>
        <v>46137</v>
      </c>
      <c r="M486" s="121">
        <f ca="1" t="shared" si="49"/>
        <v>77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1165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/>
      <c r="L487" s="120">
        <f t="shared" si="48"/>
        <v>46137</v>
      </c>
      <c r="M487" s="121">
        <f ca="1" t="shared" si="49"/>
        <v>77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1166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/>
      <c r="L488" s="120">
        <f t="shared" si="48"/>
        <v>46137</v>
      </c>
      <c r="M488" s="121">
        <f ca="1" t="shared" si="49"/>
        <v>77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1167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/>
      <c r="L489" s="120">
        <f t="shared" si="48"/>
        <v>46137</v>
      </c>
      <c r="M489" s="121">
        <f ca="1" t="shared" si="49"/>
        <v>77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1168</v>
      </c>
      <c r="E490" s="79" t="s">
        <v>1169</v>
      </c>
      <c r="F490" s="80"/>
      <c r="G490" s="81"/>
      <c r="H490" s="82"/>
      <c r="I490" s="223">
        <v>46047</v>
      </c>
      <c r="J490" s="73">
        <v>3</v>
      </c>
      <c r="K490" s="122"/>
      <c r="L490" s="120">
        <f t="shared" si="48"/>
        <v>46137</v>
      </c>
      <c r="M490" s="121">
        <f ca="1" t="shared" si="49"/>
        <v>77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1170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/>
      <c r="L491" s="120">
        <f t="shared" si="48"/>
        <v>46137</v>
      </c>
      <c r="M491" s="121">
        <f ca="1" t="shared" si="49"/>
        <v>77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348</v>
      </c>
      <c r="C492" s="73" t="s">
        <v>27</v>
      </c>
      <c r="D492" s="74" t="s">
        <v>1171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/>
      <c r="L492" s="120">
        <f t="shared" si="48"/>
        <v>46137</v>
      </c>
      <c r="M492" s="121">
        <f ca="1" t="shared" si="49"/>
        <v>77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287</v>
      </c>
      <c r="C493" s="73" t="s">
        <v>13</v>
      </c>
      <c r="D493" s="254" t="s">
        <v>1172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/>
      <c r="L493" s="120">
        <f t="shared" si="48"/>
        <v>46137</v>
      </c>
      <c r="M493" s="121">
        <f ca="1" t="shared" si="49"/>
        <v>77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287</v>
      </c>
      <c r="C494" s="73" t="s">
        <v>13</v>
      </c>
      <c r="D494" s="74" t="s">
        <v>1173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/>
      <c r="L494" s="120">
        <f t="shared" si="48"/>
        <v>46137</v>
      </c>
      <c r="M494" s="121">
        <f ca="1" t="shared" si="49"/>
        <v>77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1174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/>
      <c r="L495" s="120">
        <f t="shared" si="48"/>
        <v>46137</v>
      </c>
      <c r="M495" s="121">
        <f ca="1" t="shared" si="49"/>
        <v>77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1175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/>
      <c r="L496" s="120">
        <f t="shared" si="48"/>
        <v>46137</v>
      </c>
      <c r="M496" s="121">
        <f ca="1" t="shared" si="49"/>
        <v>77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1176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/>
      <c r="L497" s="120">
        <f t="shared" si="48"/>
        <v>46137</v>
      </c>
      <c r="M497" s="121">
        <f ca="1" t="shared" si="49"/>
        <v>77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1177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/>
      <c r="L498" s="120">
        <f t="shared" si="48"/>
        <v>46137</v>
      </c>
      <c r="M498" s="121">
        <f ca="1" t="shared" si="49"/>
        <v>77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1178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/>
      <c r="L499" s="120">
        <f t="shared" si="48"/>
        <v>46137</v>
      </c>
      <c r="M499" s="121">
        <f ca="1" t="shared" si="49"/>
        <v>77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1179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/>
      <c r="L500" s="120">
        <f t="shared" si="48"/>
        <v>46137</v>
      </c>
      <c r="M500" s="121">
        <f ca="1" t="shared" si="49"/>
        <v>77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89" t="s">
        <v>472</v>
      </c>
      <c r="J501" s="73"/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420</v>
      </c>
      <c r="C502" s="73" t="s">
        <v>13</v>
      </c>
      <c r="D502" s="74" t="s">
        <v>1180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/>
      <c r="L502" s="120">
        <f t="shared" si="50"/>
        <v>46138</v>
      </c>
      <c r="M502" s="121">
        <f ca="1" t="shared" si="51"/>
        <v>78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420</v>
      </c>
      <c r="C503" s="73" t="s">
        <v>13</v>
      </c>
      <c r="D503" s="74" t="s">
        <v>1181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/>
      <c r="L503" s="120">
        <f t="shared" si="50"/>
        <v>46138</v>
      </c>
      <c r="M503" s="121">
        <f ca="1" t="shared" si="51"/>
        <v>78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1182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/>
      <c r="L504" s="120">
        <f t="shared" si="50"/>
        <v>46138</v>
      </c>
      <c r="M504" s="121">
        <f ca="1" t="shared" si="51"/>
        <v>78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1183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/>
      <c r="L505" s="120">
        <f t="shared" si="50"/>
        <v>46138</v>
      </c>
      <c r="M505" s="121">
        <f ca="1" t="shared" si="51"/>
        <v>78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348</v>
      </c>
      <c r="C506" s="73" t="s">
        <v>27</v>
      </c>
      <c r="D506" s="74" t="s">
        <v>1184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/>
      <c r="L506" s="120">
        <f t="shared" si="50"/>
        <v>46138</v>
      </c>
      <c r="M506" s="121">
        <f ca="1" t="shared" si="51"/>
        <v>78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1185</v>
      </c>
      <c r="C507" s="73" t="s">
        <v>27</v>
      </c>
      <c r="D507" s="74" t="s">
        <v>1186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/>
      <c r="L507" s="120">
        <f t="shared" si="50"/>
        <v>46138</v>
      </c>
      <c r="M507" s="121">
        <f ca="1" t="shared" si="51"/>
        <v>78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1187</v>
      </c>
      <c r="C508" s="73" t="s">
        <v>13</v>
      </c>
      <c r="D508" s="74" t="s">
        <v>1188</v>
      </c>
      <c r="E508" s="79" t="s">
        <v>1189</v>
      </c>
      <c r="F508" s="80"/>
      <c r="G508" s="81"/>
      <c r="H508" s="78" t="s">
        <v>16</v>
      </c>
      <c r="I508" s="118">
        <v>46048</v>
      </c>
      <c r="J508" s="73">
        <v>3</v>
      </c>
      <c r="K508" s="122"/>
      <c r="L508" s="120">
        <f t="shared" si="50"/>
        <v>46138</v>
      </c>
      <c r="M508" s="121">
        <f ca="1" t="shared" si="51"/>
        <v>78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1190</v>
      </c>
      <c r="C509" s="73" t="s">
        <v>158</v>
      </c>
      <c r="D509" s="74" t="s">
        <v>1191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/>
      <c r="L509" s="120">
        <f t="shared" si="50"/>
        <v>46138</v>
      </c>
      <c r="M509" s="121">
        <f ca="1" t="shared" si="51"/>
        <v>78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1192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/>
      <c r="L510" s="120">
        <f t="shared" si="50"/>
        <v>46138</v>
      </c>
      <c r="M510" s="121">
        <f ca="1" t="shared" si="51"/>
        <v>78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1193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/>
      <c r="L511" s="120">
        <f t="shared" si="50"/>
        <v>46138</v>
      </c>
      <c r="M511" s="121">
        <f ca="1" t="shared" si="51"/>
        <v>78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1194</v>
      </c>
      <c r="E512" s="79" t="s">
        <v>1195</v>
      </c>
      <c r="F512" s="80"/>
      <c r="G512" s="81"/>
      <c r="H512" s="82"/>
      <c r="I512" s="118">
        <v>46048</v>
      </c>
      <c r="J512" s="73">
        <v>3</v>
      </c>
      <c r="K512" s="122"/>
      <c r="L512" s="120">
        <f t="shared" si="50"/>
        <v>46138</v>
      </c>
      <c r="M512" s="121">
        <f ca="1" t="shared" si="51"/>
        <v>78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 t="s">
        <v>472</v>
      </c>
      <c r="J513" s="73">
        <v>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1196</v>
      </c>
      <c r="C514" s="73" t="s">
        <v>13</v>
      </c>
      <c r="D514" s="74" t="s">
        <v>1197</v>
      </c>
      <c r="E514" s="79" t="s">
        <v>1198</v>
      </c>
      <c r="F514" s="80"/>
      <c r="G514" s="80"/>
      <c r="H514" s="212" t="s">
        <v>16</v>
      </c>
      <c r="I514" s="118">
        <v>46048</v>
      </c>
      <c r="J514" s="73">
        <v>3</v>
      </c>
      <c r="K514" s="265"/>
      <c r="L514" s="120">
        <f t="shared" si="50"/>
        <v>46138</v>
      </c>
      <c r="M514" s="121">
        <f ca="1" t="shared" si="51"/>
        <v>78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1199</v>
      </c>
      <c r="E515" s="79" t="s">
        <v>1200</v>
      </c>
      <c r="F515" s="80"/>
      <c r="G515" s="80"/>
      <c r="H515" s="212" t="s">
        <v>16</v>
      </c>
      <c r="I515" s="118">
        <v>46048</v>
      </c>
      <c r="J515" s="73">
        <v>3</v>
      </c>
      <c r="K515" s="265"/>
      <c r="L515" s="120">
        <f t="shared" si="50"/>
        <v>46138</v>
      </c>
      <c r="M515" s="121">
        <f ca="1" t="shared" si="51"/>
        <v>78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341</v>
      </c>
      <c r="C516" s="73" t="s">
        <v>228</v>
      </c>
      <c r="D516" s="74" t="s">
        <v>1201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/>
      <c r="L516" s="120">
        <f t="shared" si="50"/>
        <v>46138</v>
      </c>
      <c r="M516" s="121">
        <f ca="1" t="shared" si="51"/>
        <v>78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341</v>
      </c>
      <c r="C517" s="73" t="s">
        <v>228</v>
      </c>
      <c r="D517" s="74" t="s">
        <v>1202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122"/>
      <c r="L517" s="120">
        <f t="shared" si="50"/>
        <v>46138</v>
      </c>
      <c r="M517" s="121">
        <f ca="1" t="shared" si="51"/>
        <v>78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1203</v>
      </c>
      <c r="E518" s="79" t="s">
        <v>1204</v>
      </c>
      <c r="F518" s="80"/>
      <c r="G518" s="81"/>
      <c r="H518" s="82"/>
      <c r="I518" s="118">
        <v>46049</v>
      </c>
      <c r="J518" s="73">
        <v>3</v>
      </c>
      <c r="K518" s="122"/>
      <c r="L518" s="120">
        <f t="shared" si="50"/>
        <v>46139</v>
      </c>
      <c r="M518" s="121">
        <f ca="1" t="shared" si="51"/>
        <v>79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1205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/>
      <c r="L519" s="120">
        <f t="shared" si="50"/>
        <v>46139</v>
      </c>
      <c r="M519" s="121">
        <f ca="1" t="shared" si="51"/>
        <v>79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1206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/>
      <c r="L520" s="120">
        <f t="shared" si="50"/>
        <v>46139</v>
      </c>
      <c r="M520" s="121">
        <f ca="1" t="shared" si="51"/>
        <v>79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1207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/>
      <c r="L521" s="120">
        <f t="shared" si="50"/>
        <v>46139</v>
      </c>
      <c r="M521" s="121">
        <f ca="1" t="shared" si="51"/>
        <v>79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1208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/>
      <c r="L522" s="120">
        <f t="shared" si="50"/>
        <v>46139</v>
      </c>
      <c r="M522" s="121">
        <f ca="1" t="shared" si="51"/>
        <v>79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1209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/>
      <c r="L523" s="120">
        <f t="shared" si="50"/>
        <v>46139</v>
      </c>
      <c r="M523" s="121">
        <f ca="1" t="shared" si="51"/>
        <v>79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1210</v>
      </c>
      <c r="E524" s="79" t="s">
        <v>1027</v>
      </c>
      <c r="F524" s="80"/>
      <c r="G524" s="81"/>
      <c r="H524" s="204"/>
      <c r="I524" s="118">
        <v>46049</v>
      </c>
      <c r="J524" s="73">
        <v>3</v>
      </c>
      <c r="K524" s="122"/>
      <c r="L524" s="120">
        <f t="shared" si="50"/>
        <v>46139</v>
      </c>
      <c r="M524" s="121">
        <f ca="1" t="shared" si="51"/>
        <v>79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1211</v>
      </c>
      <c r="E525" s="79" t="s">
        <v>1212</v>
      </c>
      <c r="F525" s="80"/>
      <c r="G525" s="81"/>
      <c r="H525" s="204"/>
      <c r="I525" s="118">
        <v>46049</v>
      </c>
      <c r="J525" s="73">
        <v>3</v>
      </c>
      <c r="K525" s="122"/>
      <c r="L525" s="120">
        <f t="shared" si="50"/>
        <v>46139</v>
      </c>
      <c r="M525" s="121">
        <f ca="1" t="shared" si="51"/>
        <v>79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1213</v>
      </c>
      <c r="E526" s="79" t="s">
        <v>1214</v>
      </c>
      <c r="F526" s="80"/>
      <c r="G526" s="81"/>
      <c r="H526" s="78" t="s">
        <v>16</v>
      </c>
      <c r="I526" s="118">
        <v>46049</v>
      </c>
      <c r="J526" s="73">
        <v>3</v>
      </c>
      <c r="K526" s="122"/>
      <c r="L526" s="120">
        <f t="shared" si="50"/>
        <v>46139</v>
      </c>
      <c r="M526" s="121">
        <f ca="1" t="shared" si="51"/>
        <v>79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1215</v>
      </c>
      <c r="C527" s="73" t="s">
        <v>27</v>
      </c>
      <c r="D527" s="74" t="s">
        <v>1216</v>
      </c>
      <c r="E527" s="79" t="s">
        <v>1217</v>
      </c>
      <c r="F527" s="80"/>
      <c r="G527" s="81"/>
      <c r="H527" s="82"/>
      <c r="I527" s="118">
        <v>46049</v>
      </c>
      <c r="J527" s="73">
        <v>3</v>
      </c>
      <c r="K527" s="122"/>
      <c r="L527" s="120">
        <f t="shared" si="50"/>
        <v>46139</v>
      </c>
      <c r="M527" s="121">
        <f ca="1" t="shared" si="51"/>
        <v>79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348</v>
      </c>
      <c r="C528" s="73" t="s">
        <v>13</v>
      </c>
      <c r="D528" s="74" t="s">
        <v>1218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/>
      <c r="L528" s="120">
        <f t="shared" si="50"/>
        <v>46139</v>
      </c>
      <c r="M528" s="121">
        <f ca="1" t="shared" si="51"/>
        <v>79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 t="s">
        <v>472</v>
      </c>
      <c r="J529" s="73"/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1219</v>
      </c>
      <c r="C530" s="73" t="s">
        <v>13</v>
      </c>
      <c r="D530" s="74" t="s">
        <v>1220</v>
      </c>
      <c r="E530" s="79" t="s">
        <v>1221</v>
      </c>
      <c r="F530" s="80"/>
      <c r="G530" s="81"/>
      <c r="H530" s="78" t="s">
        <v>16</v>
      </c>
      <c r="I530" s="118">
        <v>46049</v>
      </c>
      <c r="J530" s="73">
        <v>3</v>
      </c>
      <c r="K530" s="122"/>
      <c r="L530" s="120">
        <f t="shared" si="50"/>
        <v>46139</v>
      </c>
      <c r="M530" s="121">
        <f ca="1" t="shared" si="51"/>
        <v>79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1219</v>
      </c>
      <c r="C531" s="73" t="s">
        <v>13</v>
      </c>
      <c r="D531" s="74" t="s">
        <v>1222</v>
      </c>
      <c r="E531" s="79" t="s">
        <v>1221</v>
      </c>
      <c r="F531" s="80"/>
      <c r="G531" s="81"/>
      <c r="H531" s="78" t="s">
        <v>16</v>
      </c>
      <c r="I531" s="118">
        <v>46049</v>
      </c>
      <c r="J531" s="73">
        <v>3</v>
      </c>
      <c r="K531" s="122"/>
      <c r="L531" s="120">
        <f t="shared" si="50"/>
        <v>46139</v>
      </c>
      <c r="M531" s="121">
        <f ca="1" t="shared" si="51"/>
        <v>79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337</v>
      </c>
      <c r="C532" s="73" t="s">
        <v>228</v>
      </c>
      <c r="D532" s="74" t="s">
        <v>1223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/>
      <c r="L532" s="120">
        <f t="shared" si="50"/>
        <v>46139</v>
      </c>
      <c r="M532" s="121">
        <f ca="1" t="shared" si="51"/>
        <v>79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1224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/>
      <c r="L533" s="120">
        <f t="shared" si="50"/>
        <v>46139</v>
      </c>
      <c r="M533" s="121">
        <f ca="1" t="shared" si="51"/>
        <v>79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337</v>
      </c>
      <c r="C534" s="73" t="s">
        <v>228</v>
      </c>
      <c r="D534" s="74" t="s">
        <v>1225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/>
      <c r="L534" s="120">
        <f t="shared" si="50"/>
        <v>46139</v>
      </c>
      <c r="M534" s="121">
        <f ca="1" t="shared" si="51"/>
        <v>79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348</v>
      </c>
      <c r="C535" s="73" t="s">
        <v>13</v>
      </c>
      <c r="D535" s="74" t="s">
        <v>1226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/>
      <c r="L535" s="120">
        <f t="shared" ref="L535:L554" si="52">EDATE(I535,J535)</f>
        <v>46140</v>
      </c>
      <c r="M535" s="121">
        <f ca="1" t="shared" ref="M535:M554" si="53">L535-TODAY()</f>
        <v>80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348</v>
      </c>
      <c r="C536" s="73" t="s">
        <v>27</v>
      </c>
      <c r="D536" s="74" t="s">
        <v>1227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/>
      <c r="L536" s="120">
        <f t="shared" si="52"/>
        <v>46140</v>
      </c>
      <c r="M536" s="121">
        <f ca="1" t="shared" si="53"/>
        <v>80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1228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/>
      <c r="L537" s="120">
        <f t="shared" si="52"/>
        <v>46140</v>
      </c>
      <c r="M537" s="121">
        <f ca="1" t="shared" si="53"/>
        <v>80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1229</v>
      </c>
      <c r="E538" s="79" t="s">
        <v>1230</v>
      </c>
      <c r="F538" s="80"/>
      <c r="G538" s="81"/>
      <c r="H538" s="78" t="s">
        <v>16</v>
      </c>
      <c r="I538" s="118">
        <v>46050</v>
      </c>
      <c r="J538" s="73">
        <v>3</v>
      </c>
      <c r="K538" s="122"/>
      <c r="L538" s="120">
        <f t="shared" si="52"/>
        <v>46140</v>
      </c>
      <c r="M538" s="121">
        <f ca="1" t="shared" si="53"/>
        <v>80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1231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/>
      <c r="L539" s="120">
        <f t="shared" si="52"/>
        <v>46140</v>
      </c>
      <c r="M539" s="121">
        <f ca="1" t="shared" si="53"/>
        <v>80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1232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/>
      <c r="L540" s="120">
        <f t="shared" si="52"/>
        <v>46140</v>
      </c>
      <c r="M540" s="121">
        <f ca="1" t="shared" si="53"/>
        <v>80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1233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/>
      <c r="L541" s="120">
        <f t="shared" si="52"/>
        <v>46140</v>
      </c>
      <c r="M541" s="121">
        <f ca="1" t="shared" si="53"/>
        <v>80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1234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/>
      <c r="L542" s="120">
        <f t="shared" si="52"/>
        <v>46140</v>
      </c>
      <c r="M542" s="121">
        <f ca="1" t="shared" si="53"/>
        <v>80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1235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/>
      <c r="L543" s="120">
        <f t="shared" si="52"/>
        <v>46140</v>
      </c>
      <c r="M543" s="121">
        <f ca="1" t="shared" si="53"/>
        <v>80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1236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/>
      <c r="L544" s="120">
        <f t="shared" si="52"/>
        <v>46140</v>
      </c>
      <c r="M544" s="121">
        <f ca="1" t="shared" si="53"/>
        <v>80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1237</v>
      </c>
      <c r="E545" s="79" t="s">
        <v>451</v>
      </c>
      <c r="F545" s="80"/>
      <c r="G545" s="81"/>
      <c r="H545" s="82"/>
      <c r="I545" s="118">
        <v>46050</v>
      </c>
      <c r="J545" s="73">
        <v>3</v>
      </c>
      <c r="K545" s="122"/>
      <c r="L545" s="120">
        <f t="shared" si="52"/>
        <v>46140</v>
      </c>
      <c r="M545" s="121">
        <f ca="1" t="shared" si="53"/>
        <v>80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1238</v>
      </c>
      <c r="C546" s="73" t="s">
        <v>27</v>
      </c>
      <c r="D546" s="74" t="s">
        <v>1239</v>
      </c>
      <c r="E546" s="79" t="s">
        <v>1147</v>
      </c>
      <c r="F546" s="80"/>
      <c r="G546" s="81"/>
      <c r="H546" s="78" t="s">
        <v>16</v>
      </c>
      <c r="I546" s="118">
        <v>46050</v>
      </c>
      <c r="J546" s="73">
        <v>3</v>
      </c>
      <c r="K546" s="122"/>
      <c r="L546" s="120">
        <f t="shared" si="52"/>
        <v>46140</v>
      </c>
      <c r="M546" s="121">
        <f ca="1" t="shared" si="53"/>
        <v>80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1240</v>
      </c>
      <c r="C547" s="73" t="s">
        <v>27</v>
      </c>
      <c r="D547" s="74" t="s">
        <v>1241</v>
      </c>
      <c r="E547" s="79" t="s">
        <v>1242</v>
      </c>
      <c r="F547" s="80"/>
      <c r="G547" s="81"/>
      <c r="H547" s="78" t="s">
        <v>16</v>
      </c>
      <c r="I547" s="118">
        <v>46050</v>
      </c>
      <c r="J547" s="73">
        <v>3</v>
      </c>
      <c r="K547" s="122"/>
      <c r="L547" s="120">
        <f t="shared" si="52"/>
        <v>46140</v>
      </c>
      <c r="M547" s="121">
        <f ca="1" t="shared" si="53"/>
        <v>80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1243</v>
      </c>
      <c r="C548" s="73" t="s">
        <v>27</v>
      </c>
      <c r="D548" s="74" t="s">
        <v>1244</v>
      </c>
      <c r="E548" s="79" t="s">
        <v>1245</v>
      </c>
      <c r="F548" s="80"/>
      <c r="G548" s="81"/>
      <c r="H548" s="82"/>
      <c r="I548" s="118">
        <v>46050</v>
      </c>
      <c r="J548" s="73">
        <v>3</v>
      </c>
      <c r="K548" s="122"/>
      <c r="L548" s="120">
        <f t="shared" si="52"/>
        <v>46140</v>
      </c>
      <c r="M548" s="121">
        <f ca="1" t="shared" si="53"/>
        <v>80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1243</v>
      </c>
      <c r="C549" s="73" t="s">
        <v>27</v>
      </c>
      <c r="D549" s="74" t="s">
        <v>1246</v>
      </c>
      <c r="E549" s="79" t="s">
        <v>1245</v>
      </c>
      <c r="F549" s="80"/>
      <c r="G549" s="81"/>
      <c r="H549" s="82"/>
      <c r="I549" s="118">
        <v>46050</v>
      </c>
      <c r="J549" s="73">
        <v>3</v>
      </c>
      <c r="K549" s="122"/>
      <c r="L549" s="120">
        <f t="shared" si="52"/>
        <v>46140</v>
      </c>
      <c r="M549" s="121">
        <f ca="1" t="shared" si="53"/>
        <v>80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1247</v>
      </c>
      <c r="C550" s="73" t="s">
        <v>158</v>
      </c>
      <c r="D550" s="74" t="s">
        <v>589</v>
      </c>
      <c r="E550" s="79" t="s">
        <v>470</v>
      </c>
      <c r="F550" s="80"/>
      <c r="G550" s="81"/>
      <c r="H550" s="82"/>
      <c r="I550" s="118">
        <v>46050</v>
      </c>
      <c r="J550" s="73">
        <v>3</v>
      </c>
      <c r="K550" s="122"/>
      <c r="L550" s="120">
        <f t="shared" si="52"/>
        <v>46140</v>
      </c>
      <c r="M550" s="121">
        <f ca="1" t="shared" si="53"/>
        <v>80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1247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/>
      <c r="L551" s="120">
        <f t="shared" si="52"/>
        <v>46140</v>
      </c>
      <c r="M551" s="121">
        <f ca="1" t="shared" si="53"/>
        <v>80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 t="s">
        <v>472</v>
      </c>
      <c r="J552" s="73"/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 t="s">
        <v>472</v>
      </c>
      <c r="J553" s="73"/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 t="s">
        <v>472</v>
      </c>
      <c r="J554" s="73"/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1248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/>
      <c r="L555" s="120">
        <f t="shared" si="54"/>
        <v>46141</v>
      </c>
      <c r="M555" s="121">
        <f ca="1" t="shared" si="55"/>
        <v>81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1249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/>
      <c r="L556" s="120">
        <f t="shared" si="54"/>
        <v>46141</v>
      </c>
      <c r="M556" s="121">
        <f ca="1" t="shared" si="55"/>
        <v>81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461</v>
      </c>
      <c r="C557" s="73" t="s">
        <v>27</v>
      </c>
      <c r="D557" s="74" t="s">
        <v>1250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/>
      <c r="L557" s="120">
        <f t="shared" si="54"/>
        <v>46141</v>
      </c>
      <c r="M557" s="121">
        <f ca="1" t="shared" si="55"/>
        <v>81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461</v>
      </c>
      <c r="C558" s="73" t="s">
        <v>13</v>
      </c>
      <c r="D558" s="74" t="s">
        <v>1251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/>
      <c r="L558" s="120">
        <f t="shared" si="54"/>
        <v>46141</v>
      </c>
      <c r="M558" s="121">
        <f ca="1" t="shared" si="55"/>
        <v>81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1252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/>
      <c r="L559" s="120">
        <f t="shared" si="54"/>
        <v>46141</v>
      </c>
      <c r="M559" s="121">
        <f ca="1" t="shared" si="55"/>
        <v>81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1253</v>
      </c>
      <c r="E560" s="79" t="s">
        <v>1254</v>
      </c>
      <c r="F560" s="80"/>
      <c r="G560" s="81"/>
      <c r="H560" s="130" t="s">
        <v>16</v>
      </c>
      <c r="I560" s="118">
        <v>46051</v>
      </c>
      <c r="J560" s="73">
        <v>3</v>
      </c>
      <c r="K560" s="122"/>
      <c r="L560" s="120">
        <f t="shared" si="54"/>
        <v>46141</v>
      </c>
      <c r="M560" s="121">
        <f ca="1" t="shared" si="55"/>
        <v>81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1255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/>
      <c r="L561" s="120">
        <f t="shared" si="54"/>
        <v>46141</v>
      </c>
      <c r="M561" s="121">
        <f ca="1" t="shared" si="55"/>
        <v>81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1256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/>
      <c r="L562" s="120">
        <f t="shared" si="54"/>
        <v>46141</v>
      </c>
      <c r="M562" s="121">
        <f ca="1" t="shared" si="55"/>
        <v>81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1257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/>
      <c r="L563" s="120">
        <f t="shared" si="54"/>
        <v>46141</v>
      </c>
      <c r="M563" s="121">
        <f ca="1" t="shared" si="55"/>
        <v>81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1143</v>
      </c>
      <c r="C564" s="73" t="s">
        <v>158</v>
      </c>
      <c r="D564" s="74" t="s">
        <v>589</v>
      </c>
      <c r="E564" s="79" t="s">
        <v>470</v>
      </c>
      <c r="F564" s="80"/>
      <c r="G564" s="81"/>
      <c r="H564" s="204"/>
      <c r="I564" s="118" t="s">
        <v>472</v>
      </c>
      <c r="J564" s="73"/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1258</v>
      </c>
      <c r="E565" s="79" t="s">
        <v>1259</v>
      </c>
      <c r="F565" s="80"/>
      <c r="G565" s="81"/>
      <c r="H565" s="130" t="s">
        <v>16</v>
      </c>
      <c r="I565" s="118">
        <v>46051</v>
      </c>
      <c r="J565" s="73">
        <v>3</v>
      </c>
      <c r="K565" s="122"/>
      <c r="L565" s="120">
        <f t="shared" si="54"/>
        <v>46141</v>
      </c>
      <c r="M565" s="121">
        <f ca="1" t="shared" si="55"/>
        <v>81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1260</v>
      </c>
      <c r="E566" s="79" t="s">
        <v>1261</v>
      </c>
      <c r="F566" s="80"/>
      <c r="G566" s="81"/>
      <c r="H566" s="130" t="s">
        <v>16</v>
      </c>
      <c r="I566" s="118">
        <v>46051</v>
      </c>
      <c r="J566" s="73">
        <v>3</v>
      </c>
      <c r="K566" s="122"/>
      <c r="L566" s="120">
        <f t="shared" si="54"/>
        <v>46141</v>
      </c>
      <c r="M566" s="121">
        <f ca="1" t="shared" si="55"/>
        <v>81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1262</v>
      </c>
      <c r="E567" s="79" t="s">
        <v>1131</v>
      </c>
      <c r="F567" s="80"/>
      <c r="G567" s="81"/>
      <c r="H567" s="130" t="s">
        <v>16</v>
      </c>
      <c r="I567" s="118">
        <v>46052</v>
      </c>
      <c r="J567" s="73">
        <v>3</v>
      </c>
      <c r="K567" s="122"/>
      <c r="L567" s="120">
        <f t="shared" ref="L567:L589" si="56">EDATE(I567,J567)</f>
        <v>46142</v>
      </c>
      <c r="M567" s="121">
        <f ca="1" t="shared" ref="M567:M589" si="57">L567-TODAY()</f>
        <v>82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1263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/>
      <c r="L568" s="120">
        <f t="shared" si="56"/>
        <v>46142</v>
      </c>
      <c r="M568" s="121">
        <f ca="1" t="shared" si="57"/>
        <v>82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1264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/>
      <c r="L569" s="120">
        <f t="shared" si="56"/>
        <v>46142</v>
      </c>
      <c r="M569" s="121">
        <f ca="1" t="shared" si="57"/>
        <v>82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1265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/>
      <c r="L570" s="120">
        <f t="shared" si="56"/>
        <v>46142</v>
      </c>
      <c r="M570" s="121">
        <f ca="1" t="shared" si="57"/>
        <v>82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1266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/>
      <c r="L571" s="120">
        <f t="shared" si="56"/>
        <v>46142</v>
      </c>
      <c r="M571" s="121">
        <f ca="1" t="shared" si="57"/>
        <v>82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1267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/>
      <c r="L572" s="120">
        <f t="shared" si="56"/>
        <v>46142</v>
      </c>
      <c r="M572" s="121">
        <f ca="1" t="shared" si="57"/>
        <v>82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1268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/>
      <c r="L573" s="120">
        <f t="shared" si="56"/>
        <v>46142</v>
      </c>
      <c r="M573" s="121">
        <f ca="1" t="shared" si="57"/>
        <v>82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1269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/>
      <c r="L574" s="120">
        <f t="shared" si="56"/>
        <v>46142</v>
      </c>
      <c r="M574" s="121">
        <f ca="1" t="shared" si="57"/>
        <v>82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1270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/>
      <c r="L575" s="120">
        <f t="shared" si="56"/>
        <v>46142</v>
      </c>
      <c r="M575" s="121">
        <f ca="1" t="shared" si="57"/>
        <v>82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1271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/>
      <c r="L576" s="120">
        <f t="shared" si="56"/>
        <v>46142</v>
      </c>
      <c r="M576" s="121">
        <f ca="1" t="shared" si="57"/>
        <v>82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1272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/>
      <c r="L577" s="120">
        <f t="shared" si="56"/>
        <v>46142</v>
      </c>
      <c r="M577" s="121">
        <f ca="1" t="shared" si="57"/>
        <v>82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1273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/>
      <c r="L578" s="120">
        <f t="shared" si="56"/>
        <v>46142</v>
      </c>
      <c r="M578" s="121">
        <f ca="1" t="shared" si="57"/>
        <v>82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1274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/>
      <c r="L579" s="120">
        <f t="shared" si="56"/>
        <v>46142</v>
      </c>
      <c r="M579" s="121">
        <f ca="1" t="shared" si="57"/>
        <v>82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1275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/>
      <c r="L580" s="120">
        <f t="shared" si="56"/>
        <v>46142</v>
      </c>
      <c r="M580" s="121">
        <f ca="1" t="shared" si="57"/>
        <v>82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 t="s">
        <v>472</v>
      </c>
      <c r="J581" s="73"/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 t="s">
        <v>472</v>
      </c>
      <c r="J582" s="73"/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 t="s">
        <v>472</v>
      </c>
      <c r="J583" s="73"/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1276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/>
      <c r="L584" s="120">
        <f t="shared" si="56"/>
        <v>46142</v>
      </c>
      <c r="M584" s="121">
        <f ca="1" t="shared" si="57"/>
        <v>82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1277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/>
      <c r="L585" s="120">
        <f t="shared" si="56"/>
        <v>46142</v>
      </c>
      <c r="M585" s="121">
        <f ca="1" t="shared" si="57"/>
        <v>82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1278</v>
      </c>
      <c r="E586" s="79" t="s">
        <v>333</v>
      </c>
      <c r="F586" s="80"/>
      <c r="G586" s="81"/>
      <c r="H586" s="204"/>
      <c r="I586" s="118">
        <v>46052</v>
      </c>
      <c r="J586" s="73">
        <v>3</v>
      </c>
      <c r="K586" s="122"/>
      <c r="L586" s="120">
        <f t="shared" si="56"/>
        <v>46142</v>
      </c>
      <c r="M586" s="121">
        <f ca="1" t="shared" si="57"/>
        <v>82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341</v>
      </c>
      <c r="C587" s="73" t="s">
        <v>228</v>
      </c>
      <c r="D587" s="74" t="s">
        <v>1279</v>
      </c>
      <c r="E587" s="79" t="s">
        <v>346</v>
      </c>
      <c r="F587" s="80"/>
      <c r="G587" s="81"/>
      <c r="H587" s="89" t="s">
        <v>16</v>
      </c>
      <c r="I587" s="118">
        <v>46052</v>
      </c>
      <c r="J587" s="73">
        <v>3</v>
      </c>
      <c r="K587" s="122"/>
      <c r="L587" s="120">
        <f t="shared" si="56"/>
        <v>46142</v>
      </c>
      <c r="M587" s="121">
        <f ca="1" t="shared" si="57"/>
        <v>82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1280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/>
      <c r="L588" s="120">
        <f t="shared" si="56"/>
        <v>46142</v>
      </c>
      <c r="M588" s="121">
        <f ca="1" t="shared" si="57"/>
        <v>82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1281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/>
      <c r="L589" s="120">
        <f t="shared" si="56"/>
        <v>46142</v>
      </c>
      <c r="M589" s="121">
        <f ca="1" t="shared" si="57"/>
        <v>82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1282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/>
      <c r="L590" s="120">
        <f t="shared" ref="L590:L610" si="58">EDATE(I590,J590)</f>
        <v>46142</v>
      </c>
      <c r="M590" s="121">
        <f ca="1" t="shared" ref="M590:M610" si="59">L590-TODAY()</f>
        <v>82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1283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/>
      <c r="L591" s="120">
        <f t="shared" si="58"/>
        <v>46142</v>
      </c>
      <c r="M591" s="121">
        <f ca="1" t="shared" si="59"/>
        <v>82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420</v>
      </c>
      <c r="C592" s="73" t="s">
        <v>13</v>
      </c>
      <c r="D592" s="74" t="s">
        <v>1284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/>
      <c r="L592" s="120">
        <f t="shared" si="58"/>
        <v>46142</v>
      </c>
      <c r="M592" s="121">
        <f ca="1" t="shared" si="59"/>
        <v>82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1285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/>
      <c r="L593" s="120">
        <f t="shared" si="58"/>
        <v>46142</v>
      </c>
      <c r="M593" s="121">
        <f ca="1" t="shared" si="59"/>
        <v>82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1286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/>
      <c r="L594" s="120">
        <f t="shared" si="58"/>
        <v>46142</v>
      </c>
      <c r="M594" s="121">
        <f ca="1" t="shared" si="59"/>
        <v>82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1287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/>
      <c r="L595" s="120">
        <f t="shared" si="58"/>
        <v>46142</v>
      </c>
      <c r="M595" s="121">
        <f ca="1" t="shared" si="59"/>
        <v>82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1288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/>
      <c r="L596" s="120">
        <f t="shared" si="58"/>
        <v>46142</v>
      </c>
      <c r="M596" s="121">
        <f ca="1" t="shared" si="59"/>
        <v>82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1289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/>
      <c r="L597" s="120">
        <f t="shared" si="58"/>
        <v>46142</v>
      </c>
      <c r="M597" s="121">
        <f ca="1" t="shared" si="59"/>
        <v>82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1290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/>
      <c r="L598" s="120">
        <f t="shared" si="58"/>
        <v>46142</v>
      </c>
      <c r="M598" s="121">
        <f ca="1" t="shared" si="59"/>
        <v>82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1291</v>
      </c>
      <c r="E599" s="79" t="s">
        <v>371</v>
      </c>
      <c r="F599" s="80"/>
      <c r="G599" s="81"/>
      <c r="H599" s="204"/>
      <c r="I599" s="118">
        <v>46053</v>
      </c>
      <c r="J599" s="73">
        <v>3</v>
      </c>
      <c r="K599" s="122"/>
      <c r="L599" s="120">
        <f t="shared" si="58"/>
        <v>46142</v>
      </c>
      <c r="M599" s="121">
        <f ca="1" t="shared" si="59"/>
        <v>82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1292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/>
      <c r="L600" s="120">
        <f t="shared" si="58"/>
        <v>46142</v>
      </c>
      <c r="M600" s="121">
        <f ca="1" t="shared" si="59"/>
        <v>82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447</v>
      </c>
      <c r="C601" s="73" t="s">
        <v>27</v>
      </c>
      <c r="D601" s="74" t="s">
        <v>1293</v>
      </c>
      <c r="E601" s="79" t="s">
        <v>451</v>
      </c>
      <c r="F601" s="80"/>
      <c r="G601" s="81"/>
      <c r="H601" s="82"/>
      <c r="I601" s="118">
        <v>46053</v>
      </c>
      <c r="J601" s="73">
        <v>3</v>
      </c>
      <c r="K601" s="122"/>
      <c r="L601" s="120">
        <f t="shared" si="58"/>
        <v>46142</v>
      </c>
      <c r="M601" s="121">
        <f ca="1" t="shared" si="59"/>
        <v>82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447</v>
      </c>
      <c r="C602" s="73" t="s">
        <v>27</v>
      </c>
      <c r="D602" s="74" t="s">
        <v>1294</v>
      </c>
      <c r="E602" s="79" t="s">
        <v>451</v>
      </c>
      <c r="F602" s="80"/>
      <c r="G602" s="81"/>
      <c r="H602" s="82"/>
      <c r="I602" s="118">
        <v>46053</v>
      </c>
      <c r="J602" s="73">
        <v>3</v>
      </c>
      <c r="K602" s="122"/>
      <c r="L602" s="120">
        <f t="shared" si="58"/>
        <v>46142</v>
      </c>
      <c r="M602" s="121">
        <f ca="1" t="shared" si="59"/>
        <v>82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1295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/>
      <c r="L603" s="120">
        <f t="shared" si="58"/>
        <v>46142</v>
      </c>
      <c r="M603" s="121">
        <f ca="1" t="shared" si="59"/>
        <v>82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1296</v>
      </c>
      <c r="C604" s="73" t="s">
        <v>27</v>
      </c>
      <c r="D604" s="74" t="s">
        <v>1297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/>
      <c r="L604" s="120">
        <f t="shared" si="58"/>
        <v>46142</v>
      </c>
      <c r="M604" s="121">
        <f ca="1" t="shared" si="59"/>
        <v>82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1296</v>
      </c>
      <c r="C605" s="73" t="s">
        <v>27</v>
      </c>
      <c r="D605" s="74" t="s">
        <v>1298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/>
      <c r="L605" s="120">
        <f t="shared" si="58"/>
        <v>46142</v>
      </c>
      <c r="M605" s="121">
        <f ca="1" t="shared" si="59"/>
        <v>82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1299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/>
      <c r="L606" s="120">
        <f t="shared" si="58"/>
        <v>46142</v>
      </c>
      <c r="M606" s="121">
        <f ca="1" t="shared" si="59"/>
        <v>82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 t="s">
        <v>472</v>
      </c>
      <c r="J607" s="73"/>
      <c r="K607" s="122"/>
      <c r="L607" s="120" t="e">
        <f t="shared" si="58"/>
        <v>#VALUE!</v>
      </c>
      <c r="M607" s="121" t="e">
        <f ca="1" t="shared" si="5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396</v>
      </c>
      <c r="C608" s="73" t="s">
        <v>158</v>
      </c>
      <c r="D608" s="74" t="s">
        <v>1300</v>
      </c>
      <c r="E608" s="79" t="s">
        <v>1301</v>
      </c>
      <c r="F608" s="80"/>
      <c r="G608" s="81"/>
      <c r="H608" s="82"/>
      <c r="I608" s="118">
        <v>46053</v>
      </c>
      <c r="J608" s="73">
        <v>3</v>
      </c>
      <c r="K608" s="122"/>
      <c r="L608" s="120">
        <f t="shared" si="58"/>
        <v>46142</v>
      </c>
      <c r="M608" s="121">
        <f ca="1" t="shared" si="59"/>
        <v>82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 t="s">
        <v>472</v>
      </c>
      <c r="J609" s="73"/>
      <c r="K609" s="122"/>
      <c r="L609" s="120" t="e">
        <f t="shared" si="58"/>
        <v>#VALUE!</v>
      </c>
      <c r="M609" s="121" t="e">
        <f ca="1" t="shared" si="5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1302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/>
      <c r="L610" s="120">
        <f t="shared" si="58"/>
        <v>46142</v>
      </c>
      <c r="M610" s="121">
        <f ca="1" t="shared" si="59"/>
        <v>82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1303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/>
      <c r="L611" s="120">
        <f t="shared" ref="L611:L630" si="60">EDATE(I611,J611)</f>
        <v>46143</v>
      </c>
      <c r="M611" s="121">
        <f ca="1" t="shared" ref="M611:M630" si="61">L611-TODAY()</f>
        <v>83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1304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/>
      <c r="L612" s="120">
        <f t="shared" si="60"/>
        <v>46143</v>
      </c>
      <c r="M612" s="121">
        <f ca="1" t="shared" si="61"/>
        <v>83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1305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/>
      <c r="L613" s="120">
        <f t="shared" si="60"/>
        <v>46143</v>
      </c>
      <c r="M613" s="121">
        <f ca="1" t="shared" si="61"/>
        <v>83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1306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/>
      <c r="L614" s="120">
        <f t="shared" si="60"/>
        <v>46143</v>
      </c>
      <c r="M614" s="121">
        <f ca="1" t="shared" si="61"/>
        <v>83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1307</v>
      </c>
      <c r="E615" s="79" t="s">
        <v>1308</v>
      </c>
      <c r="F615" s="80"/>
      <c r="G615" s="81"/>
      <c r="H615" s="82"/>
      <c r="I615" s="118">
        <v>46054</v>
      </c>
      <c r="J615" s="73">
        <v>3</v>
      </c>
      <c r="K615" s="122"/>
      <c r="L615" s="120">
        <f t="shared" si="60"/>
        <v>46143</v>
      </c>
      <c r="M615" s="121">
        <f ca="1" t="shared" si="61"/>
        <v>83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1309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/>
      <c r="L616" s="120">
        <f t="shared" si="60"/>
        <v>46143</v>
      </c>
      <c r="M616" s="121">
        <f ca="1" t="shared" si="61"/>
        <v>83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348</v>
      </c>
      <c r="C617" s="73" t="s">
        <v>13</v>
      </c>
      <c r="D617" s="74" t="s">
        <v>1310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/>
      <c r="L617" s="120">
        <f t="shared" si="60"/>
        <v>46143</v>
      </c>
      <c r="M617" s="121">
        <f ca="1" t="shared" si="61"/>
        <v>83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348</v>
      </c>
      <c r="C618" s="73" t="s">
        <v>13</v>
      </c>
      <c r="D618" s="74" t="s">
        <v>1311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/>
      <c r="L618" s="120">
        <f t="shared" si="60"/>
        <v>46143</v>
      </c>
      <c r="M618" s="121">
        <f ca="1" t="shared" si="61"/>
        <v>83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348</v>
      </c>
      <c r="C619" s="73" t="s">
        <v>13</v>
      </c>
      <c r="D619" s="74" t="s">
        <v>1312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/>
      <c r="L619" s="120">
        <f t="shared" si="60"/>
        <v>46143</v>
      </c>
      <c r="M619" s="121">
        <f ca="1" t="shared" si="61"/>
        <v>83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348</v>
      </c>
      <c r="C620" s="73" t="s">
        <v>13</v>
      </c>
      <c r="D620" s="74" t="s">
        <v>1313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/>
      <c r="L620" s="120">
        <f t="shared" si="60"/>
        <v>46143</v>
      </c>
      <c r="M620" s="121">
        <f ca="1" t="shared" si="61"/>
        <v>83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348</v>
      </c>
      <c r="C621" s="73" t="s">
        <v>27</v>
      </c>
      <c r="D621" s="74" t="s">
        <v>1314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/>
      <c r="L621" s="120">
        <f t="shared" si="60"/>
        <v>46143</v>
      </c>
      <c r="M621" s="121">
        <f ca="1" t="shared" si="61"/>
        <v>83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442</v>
      </c>
      <c r="C622" s="73" t="s">
        <v>13</v>
      </c>
      <c r="D622" s="74" t="s">
        <v>1315</v>
      </c>
      <c r="E622" s="79" t="s">
        <v>317</v>
      </c>
      <c r="F622" s="80"/>
      <c r="G622" s="81"/>
      <c r="H622" s="89" t="s">
        <v>16</v>
      </c>
      <c r="I622" s="118">
        <v>46054</v>
      </c>
      <c r="J622" s="73">
        <v>3</v>
      </c>
      <c r="K622" s="122"/>
      <c r="L622" s="120">
        <f t="shared" si="60"/>
        <v>46143</v>
      </c>
      <c r="M622" s="121">
        <f ca="1" t="shared" si="61"/>
        <v>83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1316</v>
      </c>
      <c r="E623" s="79" t="s">
        <v>1317</v>
      </c>
      <c r="F623" s="80"/>
      <c r="G623" s="81"/>
      <c r="H623" s="82"/>
      <c r="I623" s="118">
        <v>46054</v>
      </c>
      <c r="J623" s="73">
        <v>3</v>
      </c>
      <c r="K623" s="122"/>
      <c r="L623" s="120">
        <f t="shared" si="60"/>
        <v>46143</v>
      </c>
      <c r="M623" s="121">
        <f ca="1" t="shared" si="61"/>
        <v>83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1318</v>
      </c>
      <c r="E624" s="79" t="s">
        <v>1319</v>
      </c>
      <c r="F624" s="80"/>
      <c r="G624" s="81"/>
      <c r="H624" s="82"/>
      <c r="I624" s="118">
        <v>46054</v>
      </c>
      <c r="J624" s="73">
        <v>3</v>
      </c>
      <c r="K624" s="122"/>
      <c r="L624" s="120">
        <f t="shared" si="60"/>
        <v>46143</v>
      </c>
      <c r="M624" s="121">
        <f ca="1" t="shared" si="61"/>
        <v>83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470</v>
      </c>
      <c r="F625" s="80"/>
      <c r="G625" s="81"/>
      <c r="H625" s="82"/>
      <c r="I625" s="118" t="s">
        <v>472</v>
      </c>
      <c r="J625" s="73"/>
      <c r="K625" s="122"/>
      <c r="L625" s="120" t="e">
        <f t="shared" si="60"/>
        <v>#VALUE!</v>
      </c>
      <c r="M625" s="121" t="e">
        <f ca="1" t="shared" si="61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1320</v>
      </c>
      <c r="C626" s="73" t="s">
        <v>158</v>
      </c>
      <c r="D626" s="74" t="s">
        <v>1321</v>
      </c>
      <c r="E626" s="79" t="s">
        <v>1322</v>
      </c>
      <c r="F626" s="80"/>
      <c r="G626" s="81"/>
      <c r="H626" s="82"/>
      <c r="I626" s="118">
        <v>46054</v>
      </c>
      <c r="J626" s="73">
        <v>3</v>
      </c>
      <c r="K626" s="122"/>
      <c r="L626" s="120">
        <f t="shared" si="60"/>
        <v>46143</v>
      </c>
      <c r="M626" s="121">
        <f ca="1" t="shared" si="61"/>
        <v>83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465</v>
      </c>
      <c r="C627" s="73" t="s">
        <v>158</v>
      </c>
      <c r="D627" s="74" t="s">
        <v>466</v>
      </c>
      <c r="E627" s="79" t="s">
        <v>467</v>
      </c>
      <c r="F627" s="80"/>
      <c r="G627" s="81"/>
      <c r="H627" s="82"/>
      <c r="I627" s="118" t="s">
        <v>472</v>
      </c>
      <c r="J627" s="73"/>
      <c r="K627" s="122"/>
      <c r="L627" s="120" t="e">
        <f t="shared" si="60"/>
        <v>#VALUE!</v>
      </c>
      <c r="M627" s="121" t="e">
        <f ca="1" t="shared" si="61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465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/>
      <c r="L628" s="120">
        <f t="shared" si="60"/>
        <v>46143</v>
      </c>
      <c r="M628" s="121">
        <f ca="1" t="shared" si="61"/>
        <v>83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394</v>
      </c>
      <c r="C629" s="73" t="s">
        <v>158</v>
      </c>
      <c r="D629" s="74" t="s">
        <v>1323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/>
      <c r="L629" s="120">
        <f t="shared" si="60"/>
        <v>46143</v>
      </c>
      <c r="M629" s="121">
        <f ca="1" t="shared" si="61"/>
        <v>83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394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 t="s">
        <v>472</v>
      </c>
      <c r="J630" s="73"/>
      <c r="K630" s="122"/>
      <c r="L630" s="120" t="e">
        <f t="shared" ref="L630:L632" si="62">EDATE(I630,J630)</f>
        <v>#VALUE!</v>
      </c>
      <c r="M630" s="121" t="e">
        <f ca="1" t="shared" ref="M630:M632" si="63">L630-TODAY()</f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>
        <v>629</v>
      </c>
      <c r="B631" s="73" t="s">
        <v>140</v>
      </c>
      <c r="C631" s="73" t="s">
        <v>13</v>
      </c>
      <c r="D631" s="74" t="s">
        <v>1324</v>
      </c>
      <c r="E631" s="79" t="s">
        <v>19</v>
      </c>
      <c r="F631" s="80"/>
      <c r="G631" s="81"/>
      <c r="H631" s="82"/>
      <c r="I631" s="118">
        <v>46055</v>
      </c>
      <c r="J631" s="73">
        <v>3</v>
      </c>
      <c r="K631" s="122"/>
      <c r="L631" s="120">
        <f t="shared" si="62"/>
        <v>46144</v>
      </c>
      <c r="M631" s="121">
        <f ca="1" t="shared" si="63"/>
        <v>84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1325</v>
      </c>
      <c r="E632" s="79" t="s">
        <v>78</v>
      </c>
      <c r="F632" s="80"/>
      <c r="G632" s="81"/>
      <c r="H632" s="82"/>
      <c r="I632" s="118">
        <v>46055</v>
      </c>
      <c r="J632" s="73">
        <v>3</v>
      </c>
      <c r="K632" s="122"/>
      <c r="L632" s="120">
        <f t="shared" si="62"/>
        <v>46144</v>
      </c>
      <c r="M632" s="121">
        <f ca="1" t="shared" si="63"/>
        <v>84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>
        <v>631</v>
      </c>
      <c r="B633" s="73" t="s">
        <v>140</v>
      </c>
      <c r="C633" s="73" t="s">
        <v>13</v>
      </c>
      <c r="D633" s="74" t="s">
        <v>1326</v>
      </c>
      <c r="E633" s="79" t="s">
        <v>47</v>
      </c>
      <c r="F633" s="80"/>
      <c r="G633" s="81"/>
      <c r="H633" s="82"/>
      <c r="I633" s="118">
        <v>46055</v>
      </c>
      <c r="J633" s="73">
        <v>3</v>
      </c>
      <c r="K633" s="122"/>
      <c r="L633" s="120">
        <f t="shared" ref="L633:L638" si="64">EDATE(I633,J633)</f>
        <v>46144</v>
      </c>
      <c r="M633" s="121">
        <f ca="1" t="shared" ref="M633:M638" si="65">L633-TODAY()</f>
        <v>84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>
        <v>632</v>
      </c>
      <c r="B634" s="73" t="s">
        <v>1327</v>
      </c>
      <c r="C634" s="73" t="s">
        <v>27</v>
      </c>
      <c r="D634" s="74" t="s">
        <v>1328</v>
      </c>
      <c r="E634" s="79" t="s">
        <v>1147</v>
      </c>
      <c r="F634" s="80"/>
      <c r="G634" s="81"/>
      <c r="H634" s="158" t="s">
        <v>16</v>
      </c>
      <c r="I634" s="118">
        <v>46055</v>
      </c>
      <c r="J634" s="73">
        <v>3</v>
      </c>
      <c r="K634" s="122"/>
      <c r="L634" s="120">
        <f t="shared" si="64"/>
        <v>46144</v>
      </c>
      <c r="M634" s="121">
        <f ca="1" t="shared" si="65"/>
        <v>84</v>
      </c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1329</v>
      </c>
      <c r="C635" s="73" t="s">
        <v>13</v>
      </c>
      <c r="D635" s="74" t="s">
        <v>1330</v>
      </c>
      <c r="E635" s="79" t="s">
        <v>25</v>
      </c>
      <c r="F635" s="80"/>
      <c r="G635" s="81"/>
      <c r="H635" s="158" t="s">
        <v>16</v>
      </c>
      <c r="I635" s="118">
        <v>46055</v>
      </c>
      <c r="J635" s="73">
        <v>3</v>
      </c>
      <c r="K635" s="122"/>
      <c r="L635" s="120">
        <f t="shared" si="64"/>
        <v>46144</v>
      </c>
      <c r="M635" s="121">
        <f ca="1" t="shared" si="65"/>
        <v>84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>
        <v>634</v>
      </c>
      <c r="B636" s="73" t="s">
        <v>1329</v>
      </c>
      <c r="C636" s="73" t="s">
        <v>13</v>
      </c>
      <c r="D636" s="74" t="s">
        <v>1331</v>
      </c>
      <c r="E636" s="79" t="s">
        <v>1332</v>
      </c>
      <c r="F636" s="80"/>
      <c r="G636" s="81"/>
      <c r="H636" s="158" t="s">
        <v>16</v>
      </c>
      <c r="I636" s="118">
        <v>46055</v>
      </c>
      <c r="J636" s="73">
        <v>3</v>
      </c>
      <c r="K636" s="122"/>
      <c r="L636" s="120">
        <f t="shared" si="64"/>
        <v>46144</v>
      </c>
      <c r="M636" s="121">
        <f ca="1" t="shared" si="65"/>
        <v>84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1329</v>
      </c>
      <c r="C637" s="73" t="s">
        <v>27</v>
      </c>
      <c r="D637" s="74" t="s">
        <v>1333</v>
      </c>
      <c r="E637" s="79" t="s">
        <v>1334</v>
      </c>
      <c r="F637" s="80"/>
      <c r="G637" s="81"/>
      <c r="H637" s="78" t="s">
        <v>16</v>
      </c>
      <c r="I637" s="118">
        <v>46055</v>
      </c>
      <c r="J637" s="73">
        <v>3</v>
      </c>
      <c r="K637" s="122"/>
      <c r="L637" s="120">
        <f t="shared" si="64"/>
        <v>46144</v>
      </c>
      <c r="M637" s="121">
        <f ca="1" t="shared" si="65"/>
        <v>84</v>
      </c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1329</v>
      </c>
      <c r="C638" s="73" t="s">
        <v>27</v>
      </c>
      <c r="D638" s="74" t="s">
        <v>1335</v>
      </c>
      <c r="E638" s="79" t="s">
        <v>1336</v>
      </c>
      <c r="F638" s="80"/>
      <c r="G638" s="81"/>
      <c r="H638" s="78" t="s">
        <v>16</v>
      </c>
      <c r="I638" s="118">
        <v>46055</v>
      </c>
      <c r="J638" s="73">
        <v>3</v>
      </c>
      <c r="K638" s="122"/>
      <c r="L638" s="120">
        <f t="shared" si="64"/>
        <v>46144</v>
      </c>
      <c r="M638" s="121">
        <f ca="1" t="shared" si="65"/>
        <v>84</v>
      </c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12</v>
      </c>
      <c r="C639" s="73" t="s">
        <v>13</v>
      </c>
      <c r="D639" s="74" t="s">
        <v>1337</v>
      </c>
      <c r="E639" s="79" t="s">
        <v>25</v>
      </c>
      <c r="F639" s="80"/>
      <c r="G639" s="81"/>
      <c r="H639" s="78" t="s">
        <v>16</v>
      </c>
      <c r="I639" s="118">
        <v>46056</v>
      </c>
      <c r="J639" s="73">
        <v>3</v>
      </c>
      <c r="K639" s="122"/>
      <c r="L639" s="120">
        <f t="shared" ref="L639:L659" si="66">EDATE(I639,J639)</f>
        <v>46145</v>
      </c>
      <c r="M639" s="121">
        <f ca="1" t="shared" ref="M639:M659" si="67">L639-TODAY()</f>
        <v>85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140</v>
      </c>
      <c r="C640" s="73" t="s">
        <v>13</v>
      </c>
      <c r="D640" s="74" t="s">
        <v>1338</v>
      </c>
      <c r="E640" s="79" t="s">
        <v>71</v>
      </c>
      <c r="F640" s="80"/>
      <c r="G640" s="81"/>
      <c r="H640" s="82"/>
      <c r="I640" s="118">
        <v>46056</v>
      </c>
      <c r="J640" s="73">
        <v>3</v>
      </c>
      <c r="K640" s="122"/>
      <c r="L640" s="120">
        <f t="shared" si="66"/>
        <v>46145</v>
      </c>
      <c r="M640" s="121">
        <f ca="1" t="shared" si="67"/>
        <v>85</v>
      </c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1339</v>
      </c>
      <c r="E641" s="79" t="s">
        <v>1340</v>
      </c>
      <c r="F641" s="80"/>
      <c r="G641" s="81"/>
      <c r="H641" s="89" t="s">
        <v>16</v>
      </c>
      <c r="I641" s="118">
        <v>46056</v>
      </c>
      <c r="J641" s="73">
        <v>3</v>
      </c>
      <c r="K641" s="122"/>
      <c r="L641" s="120">
        <f t="shared" si="66"/>
        <v>46145</v>
      </c>
      <c r="M641" s="121">
        <f ca="1" t="shared" si="67"/>
        <v>85</v>
      </c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1341</v>
      </c>
      <c r="E642" s="79" t="s">
        <v>1342</v>
      </c>
      <c r="F642" s="80"/>
      <c r="G642" s="81"/>
      <c r="H642" s="82"/>
      <c r="I642" s="118">
        <v>46056</v>
      </c>
      <c r="J642" s="73">
        <v>3</v>
      </c>
      <c r="K642" s="122"/>
      <c r="L642" s="120">
        <f t="shared" si="66"/>
        <v>46145</v>
      </c>
      <c r="M642" s="121">
        <f ca="1" t="shared" si="67"/>
        <v>85</v>
      </c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1343</v>
      </c>
      <c r="E643" s="79" t="s">
        <v>1344</v>
      </c>
      <c r="F643" s="80"/>
      <c r="G643" s="81"/>
      <c r="H643" s="82"/>
      <c r="I643" s="118">
        <v>46056</v>
      </c>
      <c r="J643" s="73">
        <v>3</v>
      </c>
      <c r="K643" s="122"/>
      <c r="L643" s="120">
        <f t="shared" si="66"/>
        <v>46145</v>
      </c>
      <c r="M643" s="121">
        <f ca="1" t="shared" si="67"/>
        <v>85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348</v>
      </c>
      <c r="C644" s="73" t="s">
        <v>13</v>
      </c>
      <c r="D644" s="74" t="s">
        <v>1345</v>
      </c>
      <c r="E644" s="79" t="s">
        <v>90</v>
      </c>
      <c r="F644" s="80"/>
      <c r="G644" s="81"/>
      <c r="H644" s="78" t="s">
        <v>16</v>
      </c>
      <c r="I644" s="118">
        <v>46056</v>
      </c>
      <c r="J644" s="73">
        <v>3</v>
      </c>
      <c r="K644" s="122"/>
      <c r="L644" s="120">
        <f t="shared" si="66"/>
        <v>46145</v>
      </c>
      <c r="M644" s="121">
        <f ca="1" t="shared" si="67"/>
        <v>85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37</v>
      </c>
      <c r="C645" s="73" t="s">
        <v>13</v>
      </c>
      <c r="D645" s="74" t="s">
        <v>1346</v>
      </c>
      <c r="E645" s="79" t="s">
        <v>32</v>
      </c>
      <c r="F645" s="80"/>
      <c r="G645" s="81"/>
      <c r="H645" s="78" t="s">
        <v>16</v>
      </c>
      <c r="I645" s="118">
        <v>46056</v>
      </c>
      <c r="J645" s="73">
        <v>3</v>
      </c>
      <c r="K645" s="122"/>
      <c r="L645" s="120">
        <f t="shared" si="66"/>
        <v>46145</v>
      </c>
      <c r="M645" s="121">
        <f ca="1" t="shared" si="67"/>
        <v>85</v>
      </c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27</v>
      </c>
      <c r="D646" s="74" t="s">
        <v>1347</v>
      </c>
      <c r="E646" s="79" t="s">
        <v>317</v>
      </c>
      <c r="F646" s="80"/>
      <c r="G646" s="81"/>
      <c r="H646" s="78" t="s">
        <v>16</v>
      </c>
      <c r="I646" s="118">
        <v>46056</v>
      </c>
      <c r="J646" s="73">
        <v>3</v>
      </c>
      <c r="K646" s="122"/>
      <c r="L646" s="120">
        <f t="shared" si="66"/>
        <v>46145</v>
      </c>
      <c r="M646" s="121">
        <f ca="1" t="shared" si="67"/>
        <v>85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1348</v>
      </c>
      <c r="C647" s="73" t="s">
        <v>13</v>
      </c>
      <c r="D647" s="74" t="s">
        <v>1349</v>
      </c>
      <c r="E647" s="79" t="s">
        <v>1350</v>
      </c>
      <c r="F647" s="80"/>
      <c r="G647" s="81"/>
      <c r="H647" s="78" t="s">
        <v>16</v>
      </c>
      <c r="I647" s="118">
        <v>46056</v>
      </c>
      <c r="J647" s="73">
        <v>3</v>
      </c>
      <c r="K647" s="122"/>
      <c r="L647" s="120">
        <f t="shared" si="66"/>
        <v>46145</v>
      </c>
      <c r="M647" s="121">
        <f ca="1" t="shared" si="67"/>
        <v>85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1143</v>
      </c>
      <c r="C648" s="73" t="s">
        <v>158</v>
      </c>
      <c r="D648" s="74" t="s">
        <v>589</v>
      </c>
      <c r="E648" s="79" t="s">
        <v>470</v>
      </c>
      <c r="F648" s="80"/>
      <c r="G648" s="81"/>
      <c r="H648" s="82"/>
      <c r="I648" s="118" t="s">
        <v>472</v>
      </c>
      <c r="J648" s="73"/>
      <c r="K648" s="122"/>
      <c r="L648" s="120" t="e">
        <f t="shared" si="66"/>
        <v>#VALUE!</v>
      </c>
      <c r="M648" s="121" t="e">
        <f ca="1" t="shared" si="67"/>
        <v>#VALUE!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169</v>
      </c>
      <c r="C649" s="73" t="s">
        <v>158</v>
      </c>
      <c r="D649" s="74" t="s">
        <v>1351</v>
      </c>
      <c r="E649" s="79" t="s">
        <v>1352</v>
      </c>
      <c r="F649" s="80"/>
      <c r="G649" s="81"/>
      <c r="H649" s="82"/>
      <c r="I649" s="118">
        <v>46056</v>
      </c>
      <c r="J649" s="73">
        <v>3</v>
      </c>
      <c r="K649" s="122"/>
      <c r="L649" s="120">
        <f t="shared" si="66"/>
        <v>46145</v>
      </c>
      <c r="M649" s="121">
        <f ca="1" t="shared" si="67"/>
        <v>85</v>
      </c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1353</v>
      </c>
      <c r="E650" s="79" t="s">
        <v>1354</v>
      </c>
      <c r="F650" s="80"/>
      <c r="G650" s="81"/>
      <c r="H650" s="82"/>
      <c r="I650" s="118">
        <v>46056</v>
      </c>
      <c r="J650" s="73">
        <v>3</v>
      </c>
      <c r="K650" s="122"/>
      <c r="L650" s="120">
        <f t="shared" si="66"/>
        <v>46145</v>
      </c>
      <c r="M650" s="121">
        <f ca="1" t="shared" si="67"/>
        <v>85</v>
      </c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175</v>
      </c>
      <c r="E651" s="79" t="s">
        <v>1355</v>
      </c>
      <c r="F651" s="80"/>
      <c r="G651" s="81"/>
      <c r="H651" s="82"/>
      <c r="I651" s="118" t="s">
        <v>472</v>
      </c>
      <c r="J651" s="73"/>
      <c r="K651" s="122"/>
      <c r="L651" s="120" t="e">
        <f t="shared" si="66"/>
        <v>#VALUE!</v>
      </c>
      <c r="M651" s="121" t="e">
        <f ca="1" t="shared" si="67"/>
        <v>#VALUE!</v>
      </c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1356</v>
      </c>
      <c r="E652" s="79" t="s">
        <v>1357</v>
      </c>
      <c r="F652" s="80"/>
      <c r="G652" s="81"/>
      <c r="H652" s="82"/>
      <c r="I652" s="118">
        <v>46056</v>
      </c>
      <c r="J652" s="73">
        <v>3</v>
      </c>
      <c r="K652" s="122"/>
      <c r="L652" s="120">
        <f t="shared" si="66"/>
        <v>46145</v>
      </c>
      <c r="M652" s="121">
        <f ca="1" t="shared" si="67"/>
        <v>85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49</v>
      </c>
      <c r="C653" s="73" t="s">
        <v>27</v>
      </c>
      <c r="D653" s="74" t="s">
        <v>821</v>
      </c>
      <c r="E653" s="79" t="s">
        <v>822</v>
      </c>
      <c r="F653" s="80"/>
      <c r="G653" s="81"/>
      <c r="H653" s="82"/>
      <c r="I653" s="118">
        <v>46056</v>
      </c>
      <c r="J653" s="73">
        <v>3</v>
      </c>
      <c r="K653" s="122"/>
      <c r="L653" s="120">
        <f t="shared" si="66"/>
        <v>46145</v>
      </c>
      <c r="M653" s="121">
        <f ca="1" t="shared" si="67"/>
        <v>85</v>
      </c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25" customHeight="1" spans="1:52">
      <c r="A654" s="73">
        <v>652</v>
      </c>
      <c r="B654" s="73" t="s">
        <v>461</v>
      </c>
      <c r="C654" s="73" t="s">
        <v>13</v>
      </c>
      <c r="D654" s="74" t="s">
        <v>1358</v>
      </c>
      <c r="E654" s="79" t="s">
        <v>32</v>
      </c>
      <c r="F654" s="80"/>
      <c r="G654" s="81"/>
      <c r="H654" s="130" t="s">
        <v>16</v>
      </c>
      <c r="I654" s="118">
        <v>46056</v>
      </c>
      <c r="J654" s="73">
        <v>3</v>
      </c>
      <c r="K654" s="122"/>
      <c r="L654" s="120">
        <f t="shared" si="66"/>
        <v>46145</v>
      </c>
      <c r="M654" s="121">
        <f ca="1" t="shared" si="67"/>
        <v>85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>
        <v>653</v>
      </c>
      <c r="B655" s="73" t="s">
        <v>461</v>
      </c>
      <c r="C655" s="73" t="s">
        <v>13</v>
      </c>
      <c r="D655" s="74" t="s">
        <v>1359</v>
      </c>
      <c r="E655" s="79" t="s">
        <v>71</v>
      </c>
      <c r="F655" s="80"/>
      <c r="G655" s="81"/>
      <c r="H655" s="130" t="s">
        <v>16</v>
      </c>
      <c r="I655" s="118">
        <v>46056</v>
      </c>
      <c r="J655" s="73">
        <v>3</v>
      </c>
      <c r="K655" s="122"/>
      <c r="L655" s="120">
        <f t="shared" si="66"/>
        <v>46145</v>
      </c>
      <c r="M655" s="121">
        <f ca="1" t="shared" si="67"/>
        <v>85</v>
      </c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461</v>
      </c>
      <c r="C656" s="73" t="s">
        <v>13</v>
      </c>
      <c r="D656" s="74" t="s">
        <v>1360</v>
      </c>
      <c r="E656" s="79" t="s">
        <v>32</v>
      </c>
      <c r="F656" s="80"/>
      <c r="G656" s="81"/>
      <c r="H656" s="130" t="s">
        <v>16</v>
      </c>
      <c r="I656" s="118">
        <v>46056</v>
      </c>
      <c r="J656" s="73">
        <v>3</v>
      </c>
      <c r="K656" s="122"/>
      <c r="L656" s="120">
        <f t="shared" si="66"/>
        <v>46145</v>
      </c>
      <c r="M656" s="121">
        <f ca="1" t="shared" si="67"/>
        <v>85</v>
      </c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313</v>
      </c>
      <c r="C657" s="73" t="s">
        <v>13</v>
      </c>
      <c r="D657" s="74" t="s">
        <v>1361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/>
      <c r="L657" s="120">
        <f t="shared" si="66"/>
        <v>46145</v>
      </c>
      <c r="M657" s="121">
        <f ca="1" t="shared" si="67"/>
        <v>85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>
        <v>656</v>
      </c>
      <c r="B658" s="73" t="s">
        <v>140</v>
      </c>
      <c r="C658" s="73" t="s">
        <v>27</v>
      </c>
      <c r="D658" s="74" t="s">
        <v>1362</v>
      </c>
      <c r="E658" s="79" t="s">
        <v>118</v>
      </c>
      <c r="F658" s="80"/>
      <c r="G658" s="81"/>
      <c r="H658" s="204"/>
      <c r="I658" s="118">
        <v>46057</v>
      </c>
      <c r="J658" s="73">
        <v>3</v>
      </c>
      <c r="K658" s="122"/>
      <c r="L658" s="120">
        <f t="shared" si="66"/>
        <v>46146</v>
      </c>
      <c r="M658" s="121">
        <f ca="1" t="shared" si="67"/>
        <v>86</v>
      </c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852</v>
      </c>
      <c r="C659" s="73" t="s">
        <v>27</v>
      </c>
      <c r="D659" s="74" t="s">
        <v>1363</v>
      </c>
      <c r="E659" s="79" t="s">
        <v>988</v>
      </c>
      <c r="F659" s="80"/>
      <c r="G659" s="81"/>
      <c r="H659" s="204"/>
      <c r="I659" s="118">
        <v>46057</v>
      </c>
      <c r="J659" s="73">
        <v>3</v>
      </c>
      <c r="K659" s="122"/>
      <c r="L659" s="120">
        <f t="shared" si="66"/>
        <v>46146</v>
      </c>
      <c r="M659" s="121">
        <f ca="1" t="shared" si="67"/>
        <v>86</v>
      </c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223</v>
      </c>
      <c r="C660" s="73" t="s">
        <v>158</v>
      </c>
      <c r="D660" s="74" t="s">
        <v>224</v>
      </c>
      <c r="E660" s="79" t="s">
        <v>225</v>
      </c>
      <c r="F660" s="80"/>
      <c r="G660" s="81"/>
      <c r="H660" s="204"/>
      <c r="I660" s="118" t="s">
        <v>472</v>
      </c>
      <c r="J660" s="73"/>
      <c r="K660" s="122"/>
      <c r="L660" s="120" t="e">
        <f t="shared" ref="L660:L681" si="68">EDATE(I660,J660)</f>
        <v>#VALUE!</v>
      </c>
      <c r="M660" s="121" t="e">
        <f ca="1" t="shared" ref="M660:M681" si="69">L660-TODAY()</f>
        <v>#VALUE!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753</v>
      </c>
      <c r="C661" s="73" t="s">
        <v>158</v>
      </c>
      <c r="D661" s="74" t="s">
        <v>1364</v>
      </c>
      <c r="E661" s="79" t="s">
        <v>158</v>
      </c>
      <c r="F661" s="80"/>
      <c r="G661" s="81"/>
      <c r="H661" s="204"/>
      <c r="I661" s="118">
        <v>46057</v>
      </c>
      <c r="J661" s="73">
        <v>3</v>
      </c>
      <c r="K661" s="122"/>
      <c r="L661" s="120">
        <f t="shared" si="68"/>
        <v>46146</v>
      </c>
      <c r="M661" s="121">
        <f ca="1" t="shared" si="69"/>
        <v>86</v>
      </c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67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162</v>
      </c>
      <c r="C662" s="73" t="s">
        <v>158</v>
      </c>
      <c r="D662" s="74" t="s">
        <v>585</v>
      </c>
      <c r="E662" s="79" t="s">
        <v>1365</v>
      </c>
      <c r="F662" s="80"/>
      <c r="G662" s="81"/>
      <c r="H662" s="204"/>
      <c r="I662" s="118" t="s">
        <v>472</v>
      </c>
      <c r="J662" s="73"/>
      <c r="K662" s="122"/>
      <c r="L662" s="120" t="e">
        <f t="shared" si="68"/>
        <v>#VALUE!</v>
      </c>
      <c r="M662" s="121" t="e">
        <f ca="1" t="shared" si="69"/>
        <v>#VALUE!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1366</v>
      </c>
      <c r="C663" s="73" t="s">
        <v>158</v>
      </c>
      <c r="D663" s="74" t="s">
        <v>1367</v>
      </c>
      <c r="E663" s="79" t="s">
        <v>1368</v>
      </c>
      <c r="F663" s="80"/>
      <c r="G663" s="81"/>
      <c r="H663" s="204"/>
      <c r="I663" s="118">
        <v>46057</v>
      </c>
      <c r="J663" s="73">
        <v>3</v>
      </c>
      <c r="K663" s="122"/>
      <c r="L663" s="120">
        <f t="shared" si="68"/>
        <v>46146</v>
      </c>
      <c r="M663" s="121">
        <f ca="1" t="shared" si="69"/>
        <v>86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1369</v>
      </c>
      <c r="C664" s="73" t="s">
        <v>158</v>
      </c>
      <c r="D664" s="74" t="s">
        <v>1370</v>
      </c>
      <c r="E664" s="79" t="s">
        <v>221</v>
      </c>
      <c r="F664" s="80"/>
      <c r="G664" s="81"/>
      <c r="H664" s="204"/>
      <c r="I664" s="118">
        <v>46057</v>
      </c>
      <c r="J664" s="73">
        <v>3</v>
      </c>
      <c r="K664" s="122"/>
      <c r="L664" s="120">
        <f t="shared" si="68"/>
        <v>46146</v>
      </c>
      <c r="M664" s="121">
        <f ca="1" t="shared" si="69"/>
        <v>86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162</v>
      </c>
      <c r="C665" s="73" t="s">
        <v>158</v>
      </c>
      <c r="D665" s="74" t="s">
        <v>591</v>
      </c>
      <c r="E665" s="79" t="s">
        <v>225</v>
      </c>
      <c r="F665" s="80"/>
      <c r="G665" s="81"/>
      <c r="H665" s="204"/>
      <c r="I665" s="118" t="s">
        <v>472</v>
      </c>
      <c r="J665" s="73"/>
      <c r="K665" s="122"/>
      <c r="L665" s="120" t="e">
        <f t="shared" si="68"/>
        <v>#VALUE!</v>
      </c>
      <c r="M665" s="121" t="e">
        <f ca="1" t="shared" si="69"/>
        <v>#VALUE!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394</v>
      </c>
      <c r="C666" s="73" t="s">
        <v>158</v>
      </c>
      <c r="D666" s="74" t="s">
        <v>159</v>
      </c>
      <c r="E666" s="79" t="s">
        <v>160</v>
      </c>
      <c r="F666" s="80"/>
      <c r="G666" s="81"/>
      <c r="H666" s="204"/>
      <c r="I666" s="118" t="s">
        <v>472</v>
      </c>
      <c r="J666" s="73"/>
      <c r="K666" s="122"/>
      <c r="L666" s="120" t="e">
        <f t="shared" si="68"/>
        <v>#VALUE!</v>
      </c>
      <c r="M666" s="121" t="e">
        <f ca="1" t="shared" si="69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157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 t="s">
        <v>472</v>
      </c>
      <c r="J667" s="73"/>
      <c r="K667" s="122"/>
      <c r="L667" s="120" t="e">
        <f t="shared" si="68"/>
        <v>#VALUE!</v>
      </c>
      <c r="M667" s="121" t="e">
        <f ca="1" t="shared" si="69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82</v>
      </c>
      <c r="C668" s="73" t="s">
        <v>27</v>
      </c>
      <c r="D668" s="74" t="s">
        <v>1371</v>
      </c>
      <c r="E668" s="79" t="s">
        <v>815</v>
      </c>
      <c r="F668" s="80"/>
      <c r="G668" s="81"/>
      <c r="H668" s="78" t="s">
        <v>16</v>
      </c>
      <c r="I668" s="118">
        <v>46058</v>
      </c>
      <c r="J668" s="73">
        <v>3</v>
      </c>
      <c r="K668" s="122"/>
      <c r="L668" s="120">
        <f t="shared" si="68"/>
        <v>46147</v>
      </c>
      <c r="M668" s="121">
        <f ca="1" t="shared" si="69"/>
        <v>87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1372</v>
      </c>
      <c r="E669" s="79" t="s">
        <v>90</v>
      </c>
      <c r="F669" s="80"/>
      <c r="G669" s="81"/>
      <c r="H669" s="82"/>
      <c r="I669" s="118">
        <v>46058</v>
      </c>
      <c r="J669" s="73">
        <v>3</v>
      </c>
      <c r="K669" s="122"/>
      <c r="L669" s="120">
        <f t="shared" si="68"/>
        <v>46147</v>
      </c>
      <c r="M669" s="121">
        <f ca="1" t="shared" si="69"/>
        <v>87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348</v>
      </c>
      <c r="C670" s="73" t="s">
        <v>27</v>
      </c>
      <c r="D670" s="74" t="s">
        <v>1373</v>
      </c>
      <c r="E670" s="79" t="s">
        <v>317</v>
      </c>
      <c r="F670" s="80"/>
      <c r="G670" s="81"/>
      <c r="H670" s="78" t="s">
        <v>16</v>
      </c>
      <c r="I670" s="118">
        <v>46058</v>
      </c>
      <c r="J670" s="73">
        <v>3</v>
      </c>
      <c r="K670" s="122"/>
      <c r="L670" s="120">
        <f t="shared" si="68"/>
        <v>46147</v>
      </c>
      <c r="M670" s="121">
        <f ca="1" t="shared" si="69"/>
        <v>87</v>
      </c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780</v>
      </c>
      <c r="C671" s="73" t="s">
        <v>27</v>
      </c>
      <c r="D671" s="74" t="s">
        <v>1374</v>
      </c>
      <c r="E671" s="79" t="s">
        <v>118</v>
      </c>
      <c r="F671" s="80"/>
      <c r="G671" s="81"/>
      <c r="H671" s="78" t="s">
        <v>16</v>
      </c>
      <c r="I671" s="118">
        <v>46058</v>
      </c>
      <c r="J671" s="73">
        <v>3</v>
      </c>
      <c r="K671" s="122"/>
      <c r="L671" s="120">
        <f t="shared" si="68"/>
        <v>46147</v>
      </c>
      <c r="M671" s="121">
        <f ca="1" t="shared" si="69"/>
        <v>87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>
        <v>670</v>
      </c>
      <c r="B672" s="73" t="s">
        <v>780</v>
      </c>
      <c r="C672" s="73" t="s">
        <v>27</v>
      </c>
      <c r="D672" s="254" t="s">
        <v>1375</v>
      </c>
      <c r="E672" s="79" t="s">
        <v>78</v>
      </c>
      <c r="F672" s="80"/>
      <c r="G672" s="81"/>
      <c r="H672" s="78" t="s">
        <v>16</v>
      </c>
      <c r="I672" s="118">
        <v>46058</v>
      </c>
      <c r="J672" s="73">
        <v>3</v>
      </c>
      <c r="K672" s="122"/>
      <c r="L672" s="120">
        <f t="shared" si="68"/>
        <v>46147</v>
      </c>
      <c r="M672" s="121">
        <f ca="1" t="shared" si="69"/>
        <v>87</v>
      </c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>
        <v>671</v>
      </c>
      <c r="B673" s="73" t="s">
        <v>442</v>
      </c>
      <c r="C673" s="73" t="s">
        <v>27</v>
      </c>
      <c r="D673" s="74" t="s">
        <v>1376</v>
      </c>
      <c r="E673" s="79" t="s">
        <v>1377</v>
      </c>
      <c r="F673" s="80"/>
      <c r="G673" s="81"/>
      <c r="H673" s="78" t="s">
        <v>16</v>
      </c>
      <c r="I673" s="118">
        <v>46058</v>
      </c>
      <c r="J673" s="73">
        <v>3</v>
      </c>
      <c r="K673" s="122"/>
      <c r="L673" s="120">
        <f t="shared" si="68"/>
        <v>46147</v>
      </c>
      <c r="M673" s="121">
        <f ca="1" t="shared" si="69"/>
        <v>87</v>
      </c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1378</v>
      </c>
      <c r="C674" s="73" t="s">
        <v>13</v>
      </c>
      <c r="D674" s="74" t="s">
        <v>1379</v>
      </c>
      <c r="E674" s="79" t="s">
        <v>1380</v>
      </c>
      <c r="F674" s="80"/>
      <c r="G674" s="81"/>
      <c r="H674" s="82"/>
      <c r="I674" s="118">
        <v>46058</v>
      </c>
      <c r="J674" s="73">
        <v>3</v>
      </c>
      <c r="K674" s="122"/>
      <c r="L674" s="120">
        <f t="shared" si="68"/>
        <v>46147</v>
      </c>
      <c r="M674" s="121">
        <f ca="1" t="shared" si="69"/>
        <v>87</v>
      </c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1378</v>
      </c>
      <c r="C675" s="73" t="s">
        <v>13</v>
      </c>
      <c r="D675" s="74" t="s">
        <v>1381</v>
      </c>
      <c r="E675" s="79" t="s">
        <v>1382</v>
      </c>
      <c r="F675" s="80"/>
      <c r="G675" s="81"/>
      <c r="H675" s="82"/>
      <c r="I675" s="118">
        <v>46058</v>
      </c>
      <c r="J675" s="73">
        <v>3</v>
      </c>
      <c r="K675" s="122"/>
      <c r="L675" s="120">
        <f t="shared" si="68"/>
        <v>46147</v>
      </c>
      <c r="M675" s="121">
        <f ca="1" t="shared" si="69"/>
        <v>87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1378</v>
      </c>
      <c r="C676" s="73" t="s">
        <v>27</v>
      </c>
      <c r="D676" s="74" t="s">
        <v>1383</v>
      </c>
      <c r="E676" s="79" t="s">
        <v>118</v>
      </c>
      <c r="F676" s="80"/>
      <c r="G676" s="81"/>
      <c r="H676" s="89" t="s">
        <v>16</v>
      </c>
      <c r="I676" s="118">
        <v>46058</v>
      </c>
      <c r="J676" s="73">
        <v>3</v>
      </c>
      <c r="K676" s="122"/>
      <c r="L676" s="120">
        <f t="shared" ref="L676:L694" si="70">EDATE(I676,J676)</f>
        <v>46147</v>
      </c>
      <c r="M676" s="121">
        <f ca="1" t="shared" ref="M676:M694" si="71">L676-TODAY()</f>
        <v>87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1143</v>
      </c>
      <c r="C677" s="73" t="s">
        <v>158</v>
      </c>
      <c r="D677" s="74" t="s">
        <v>589</v>
      </c>
      <c r="E677" s="79" t="s">
        <v>470</v>
      </c>
      <c r="F677" s="80"/>
      <c r="G677" s="81"/>
      <c r="H677" s="82"/>
      <c r="I677" s="118" t="s">
        <v>472</v>
      </c>
      <c r="J677" s="73"/>
      <c r="K677" s="122"/>
      <c r="L677" s="120" t="e">
        <f t="shared" si="70"/>
        <v>#VALUE!</v>
      </c>
      <c r="M677" s="121" t="e">
        <f ca="1" t="shared" si="71"/>
        <v>#VALUE!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1384</v>
      </c>
      <c r="C678" s="73" t="s">
        <v>27</v>
      </c>
      <c r="D678" s="74" t="s">
        <v>1385</v>
      </c>
      <c r="E678" s="79" t="s">
        <v>1386</v>
      </c>
      <c r="F678" s="80"/>
      <c r="G678" s="81"/>
      <c r="H678" s="82"/>
      <c r="I678" s="118">
        <v>46058</v>
      </c>
      <c r="J678" s="73">
        <v>3</v>
      </c>
      <c r="K678" s="122"/>
      <c r="L678" s="120">
        <f t="shared" si="70"/>
        <v>46147</v>
      </c>
      <c r="M678" s="121">
        <f ca="1" t="shared" si="71"/>
        <v>87</v>
      </c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1378</v>
      </c>
      <c r="C679" s="73" t="s">
        <v>13</v>
      </c>
      <c r="D679" s="74" t="s">
        <v>1387</v>
      </c>
      <c r="E679" s="79" t="s">
        <v>78</v>
      </c>
      <c r="F679" s="80"/>
      <c r="G679" s="81"/>
      <c r="H679" s="82"/>
      <c r="I679" s="118">
        <v>46058</v>
      </c>
      <c r="J679" s="73">
        <v>3</v>
      </c>
      <c r="K679" s="122"/>
      <c r="L679" s="120">
        <f t="shared" si="70"/>
        <v>46147</v>
      </c>
      <c r="M679" s="121">
        <f ca="1" t="shared" si="71"/>
        <v>87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323</v>
      </c>
      <c r="C680" s="73" t="s">
        <v>1388</v>
      </c>
      <c r="D680" s="74" t="s">
        <v>1389</v>
      </c>
      <c r="E680" s="79" t="s">
        <v>1390</v>
      </c>
      <c r="F680" s="80"/>
      <c r="G680" s="81"/>
      <c r="H680" s="82"/>
      <c r="I680" s="118">
        <v>46058</v>
      </c>
      <c r="J680" s="73">
        <v>3</v>
      </c>
      <c r="K680" s="122"/>
      <c r="L680" s="120">
        <f t="shared" si="70"/>
        <v>46147</v>
      </c>
      <c r="M680" s="121">
        <f ca="1" t="shared" si="71"/>
        <v>87</v>
      </c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1391</v>
      </c>
      <c r="C681" s="73" t="s">
        <v>1388</v>
      </c>
      <c r="D681" s="74" t="s">
        <v>1392</v>
      </c>
      <c r="E681" s="79" t="s">
        <v>1393</v>
      </c>
      <c r="F681" s="80"/>
      <c r="G681" s="81"/>
      <c r="H681" s="89" t="s">
        <v>16</v>
      </c>
      <c r="I681" s="118">
        <v>46058</v>
      </c>
      <c r="J681" s="73">
        <v>3</v>
      </c>
      <c r="K681" s="122"/>
      <c r="L681" s="120">
        <f t="shared" si="70"/>
        <v>46147</v>
      </c>
      <c r="M681" s="121">
        <f ca="1" t="shared" si="71"/>
        <v>87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78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864</v>
      </c>
      <c r="C682" s="73" t="s">
        <v>228</v>
      </c>
      <c r="D682" s="74" t="s">
        <v>1394</v>
      </c>
      <c r="E682" s="79" t="s">
        <v>765</v>
      </c>
      <c r="F682" s="80"/>
      <c r="G682" s="81"/>
      <c r="H682" s="82"/>
      <c r="I682" s="118">
        <v>46058</v>
      </c>
      <c r="J682" s="73">
        <v>3</v>
      </c>
      <c r="K682" s="122"/>
      <c r="L682" s="120">
        <f t="shared" si="70"/>
        <v>46147</v>
      </c>
      <c r="M682" s="121">
        <f ca="1" t="shared" si="71"/>
        <v>87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37</v>
      </c>
      <c r="C683" s="73" t="s">
        <v>27</v>
      </c>
      <c r="D683" s="74" t="s">
        <v>1395</v>
      </c>
      <c r="E683" s="79" t="s">
        <v>317</v>
      </c>
      <c r="F683" s="80"/>
      <c r="G683" s="81"/>
      <c r="H683" s="89" t="s">
        <v>16</v>
      </c>
      <c r="I683" s="118">
        <v>46058</v>
      </c>
      <c r="J683" s="73">
        <v>3</v>
      </c>
      <c r="K683" s="122"/>
      <c r="L683" s="120">
        <f t="shared" si="70"/>
        <v>46147</v>
      </c>
      <c r="M683" s="121">
        <f ca="1" t="shared" si="71"/>
        <v>87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1396</v>
      </c>
      <c r="E684" s="79" t="s">
        <v>317</v>
      </c>
      <c r="F684" s="80"/>
      <c r="G684" s="81"/>
      <c r="H684" s="89" t="s">
        <v>16</v>
      </c>
      <c r="I684" s="118">
        <v>46058</v>
      </c>
      <c r="J684" s="73">
        <v>3</v>
      </c>
      <c r="K684" s="122"/>
      <c r="L684" s="120">
        <f t="shared" si="70"/>
        <v>46147</v>
      </c>
      <c r="M684" s="121">
        <f ca="1" t="shared" si="71"/>
        <v>87</v>
      </c>
      <c r="N684" s="73"/>
      <c r="O684" s="73"/>
      <c r="P684" s="73"/>
      <c r="Q684" s="74"/>
      <c r="R684" s="79"/>
      <c r="S684" s="80"/>
      <c r="T684" s="81"/>
      <c r="U684" s="130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130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ht="25" customHeight="1" spans="1:52">
      <c r="A685" s="73">
        <v>683</v>
      </c>
      <c r="B685" s="73" t="s">
        <v>753</v>
      </c>
      <c r="C685" s="73" t="s">
        <v>158</v>
      </c>
      <c r="D685" s="74" t="s">
        <v>754</v>
      </c>
      <c r="E685" s="79" t="s">
        <v>158</v>
      </c>
      <c r="F685" s="80"/>
      <c r="G685" s="81"/>
      <c r="H685" s="82"/>
      <c r="I685" s="118" t="s">
        <v>472</v>
      </c>
      <c r="J685" s="73"/>
      <c r="K685" s="122"/>
      <c r="L685" s="120" t="e">
        <f t="shared" si="70"/>
        <v>#VALUE!</v>
      </c>
      <c r="M685" s="121" t="e">
        <f ca="1" t="shared" si="71"/>
        <v>#VALUE!</v>
      </c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3" customHeight="1" spans="1:52">
      <c r="A686" s="73">
        <v>684</v>
      </c>
      <c r="B686" s="73" t="s">
        <v>169</v>
      </c>
      <c r="C686" s="73" t="s">
        <v>158</v>
      </c>
      <c r="D686" s="74" t="s">
        <v>1397</v>
      </c>
      <c r="E686" s="79" t="s">
        <v>221</v>
      </c>
      <c r="F686" s="80"/>
      <c r="G686" s="81"/>
      <c r="H686" s="82"/>
      <c r="I686" s="118">
        <v>46059</v>
      </c>
      <c r="J686" s="73">
        <v>3</v>
      </c>
      <c r="K686" s="122"/>
      <c r="L686" s="120">
        <f t="shared" si="70"/>
        <v>46148</v>
      </c>
      <c r="M686" s="121">
        <f ca="1" t="shared" si="71"/>
        <v>88</v>
      </c>
      <c r="N686" s="73"/>
      <c r="O686" s="73"/>
      <c r="P686" s="73"/>
      <c r="Q686" s="74"/>
      <c r="R686" s="183"/>
      <c r="S686" s="134"/>
      <c r="T686" s="135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30" customHeight="1" spans="1:52">
      <c r="A687" s="73">
        <v>685</v>
      </c>
      <c r="B687" s="73" t="s">
        <v>162</v>
      </c>
      <c r="C687" s="73" t="s">
        <v>158</v>
      </c>
      <c r="D687" s="74" t="s">
        <v>591</v>
      </c>
      <c r="E687" s="79" t="s">
        <v>225</v>
      </c>
      <c r="F687" s="80"/>
      <c r="G687" s="81"/>
      <c r="H687" s="82"/>
      <c r="I687" s="118" t="s">
        <v>472</v>
      </c>
      <c r="J687" s="73"/>
      <c r="K687" s="122"/>
      <c r="L687" s="120" t="e">
        <f t="shared" si="70"/>
        <v>#VALUE!</v>
      </c>
      <c r="M687" s="121" t="e">
        <f ca="1" t="shared" si="71"/>
        <v>#VALUE!</v>
      </c>
      <c r="N687" s="73"/>
      <c r="O687" s="73"/>
      <c r="P687" s="73"/>
      <c r="Q687" s="74"/>
      <c r="R687" s="121"/>
      <c r="S687" s="121"/>
      <c r="T687" s="121"/>
      <c r="U687" s="108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25" customHeight="1" spans="1:52">
      <c r="A688" s="73">
        <v>686</v>
      </c>
      <c r="B688" s="73" t="s">
        <v>827</v>
      </c>
      <c r="C688" s="73" t="s">
        <v>13</v>
      </c>
      <c r="D688" s="74" t="s">
        <v>1398</v>
      </c>
      <c r="E688" s="79" t="s">
        <v>1399</v>
      </c>
      <c r="F688" s="80"/>
      <c r="G688" s="81"/>
      <c r="H688" s="82"/>
      <c r="I688" s="118">
        <v>46059</v>
      </c>
      <c r="J688" s="73">
        <v>3</v>
      </c>
      <c r="K688" s="122"/>
      <c r="L688" s="120">
        <f t="shared" si="70"/>
        <v>46148</v>
      </c>
      <c r="M688" s="121">
        <f ca="1" t="shared" si="71"/>
        <v>88</v>
      </c>
      <c r="N688" s="73"/>
      <c r="O688" s="73"/>
      <c r="P688" s="73"/>
      <c r="Q688" s="74"/>
      <c r="R688" s="218"/>
      <c r="S688" s="219"/>
      <c r="T688" s="220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218"/>
      <c r="AF688" s="219"/>
      <c r="AG688" s="220"/>
      <c r="AH688" s="82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>
        <v>687</v>
      </c>
      <c r="B689" s="73" t="s">
        <v>827</v>
      </c>
      <c r="C689" s="73" t="s">
        <v>13</v>
      </c>
      <c r="D689" s="74" t="s">
        <v>1400</v>
      </c>
      <c r="E689" s="79" t="s">
        <v>1308</v>
      </c>
      <c r="F689" s="80"/>
      <c r="G689" s="81"/>
      <c r="H689" s="82"/>
      <c r="I689" s="118">
        <v>46059</v>
      </c>
      <c r="J689" s="73">
        <v>3</v>
      </c>
      <c r="K689" s="122"/>
      <c r="L689" s="120">
        <f t="shared" si="70"/>
        <v>46148</v>
      </c>
      <c r="M689" s="121">
        <f ca="1" t="shared" si="71"/>
        <v>88</v>
      </c>
      <c r="N689" s="73"/>
      <c r="O689" s="73"/>
      <c r="P689" s="73"/>
      <c r="Q689" s="74"/>
      <c r="R689" s="79"/>
      <c r="S689" s="80"/>
      <c r="T689" s="81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78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1240</v>
      </c>
      <c r="C690" s="73" t="s">
        <v>13</v>
      </c>
      <c r="D690" s="74" t="s">
        <v>1401</v>
      </c>
      <c r="E690" s="79" t="s">
        <v>1402</v>
      </c>
      <c r="F690" s="80"/>
      <c r="G690" s="81"/>
      <c r="H690" s="78" t="s">
        <v>16</v>
      </c>
      <c r="I690" s="118">
        <v>46059</v>
      </c>
      <c r="J690" s="73">
        <v>3</v>
      </c>
      <c r="K690" s="122"/>
      <c r="L690" s="120">
        <f t="shared" si="70"/>
        <v>46148</v>
      </c>
      <c r="M690" s="121">
        <f ca="1" t="shared" si="71"/>
        <v>88</v>
      </c>
      <c r="N690" s="73"/>
      <c r="O690" s="73"/>
      <c r="P690" s="73"/>
      <c r="Q690" s="74"/>
      <c r="R690" s="79"/>
      <c r="S690" s="80"/>
      <c r="T690" s="81"/>
      <c r="U690" s="78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1240</v>
      </c>
      <c r="C691" s="73" t="s">
        <v>27</v>
      </c>
      <c r="D691" s="74" t="s">
        <v>1403</v>
      </c>
      <c r="E691" s="79" t="s">
        <v>1404</v>
      </c>
      <c r="F691" s="80"/>
      <c r="G691" s="81"/>
      <c r="H691" s="78" t="s">
        <v>16</v>
      </c>
      <c r="I691" s="118">
        <v>46059</v>
      </c>
      <c r="J691" s="73">
        <v>3</v>
      </c>
      <c r="K691" s="122"/>
      <c r="L691" s="120">
        <f t="shared" si="70"/>
        <v>46148</v>
      </c>
      <c r="M691" s="121">
        <f ca="1" t="shared" si="71"/>
        <v>88</v>
      </c>
      <c r="N691" s="73"/>
      <c r="O691" s="73"/>
      <c r="P691" s="73"/>
      <c r="Q691" s="74"/>
      <c r="R691" s="79"/>
      <c r="S691" s="80"/>
      <c r="T691" s="81"/>
      <c r="U691" s="89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89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1240</v>
      </c>
      <c r="C692" s="73" t="s">
        <v>27</v>
      </c>
      <c r="D692" s="74" t="s">
        <v>1405</v>
      </c>
      <c r="E692" s="79" t="s">
        <v>1406</v>
      </c>
      <c r="F692" s="80"/>
      <c r="G692" s="81"/>
      <c r="H692" s="78" t="s">
        <v>16</v>
      </c>
      <c r="I692" s="118">
        <v>46059</v>
      </c>
      <c r="J692" s="73">
        <v>3</v>
      </c>
      <c r="K692" s="122"/>
      <c r="L692" s="120">
        <f t="shared" si="70"/>
        <v>46148</v>
      </c>
      <c r="M692" s="121">
        <f ca="1" t="shared" si="71"/>
        <v>88</v>
      </c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548</v>
      </c>
      <c r="C693" s="73" t="s">
        <v>228</v>
      </c>
      <c r="D693" s="74" t="s">
        <v>1407</v>
      </c>
      <c r="E693" s="79" t="s">
        <v>1408</v>
      </c>
      <c r="F693" s="80"/>
      <c r="G693" s="81"/>
      <c r="H693" s="78" t="s">
        <v>16</v>
      </c>
      <c r="I693" s="118">
        <v>46060</v>
      </c>
      <c r="J693" s="73">
        <v>3</v>
      </c>
      <c r="K693" s="122"/>
      <c r="L693" s="120">
        <f t="shared" si="70"/>
        <v>46149</v>
      </c>
      <c r="M693" s="121">
        <f ca="1" t="shared" si="71"/>
        <v>89</v>
      </c>
      <c r="N693" s="73"/>
      <c r="O693" s="73"/>
      <c r="P693" s="73"/>
      <c r="Q693" s="74"/>
      <c r="R693" s="79"/>
      <c r="S693" s="80"/>
      <c r="T693" s="81"/>
      <c r="U693" s="89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548</v>
      </c>
      <c r="C694" s="73" t="s">
        <v>228</v>
      </c>
      <c r="D694" s="74" t="s">
        <v>1409</v>
      </c>
      <c r="E694" s="79" t="s">
        <v>491</v>
      </c>
      <c r="F694" s="80"/>
      <c r="G694" s="81"/>
      <c r="H694" s="78" t="s">
        <v>16</v>
      </c>
      <c r="I694" s="118">
        <v>46060</v>
      </c>
      <c r="J694" s="73">
        <v>3</v>
      </c>
      <c r="K694" s="122"/>
      <c r="L694" s="120">
        <f t="shared" si="70"/>
        <v>46149</v>
      </c>
      <c r="M694" s="121">
        <f ca="1" t="shared" si="71"/>
        <v>89</v>
      </c>
      <c r="N694" s="73"/>
      <c r="O694" s="73"/>
      <c r="P694" s="73"/>
      <c r="Q694" s="74"/>
      <c r="R694" s="79"/>
      <c r="S694" s="80"/>
      <c r="T694" s="81"/>
      <c r="U694" s="78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78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548</v>
      </c>
      <c r="C695" s="73" t="s">
        <v>228</v>
      </c>
      <c r="D695" s="74" t="s">
        <v>1410</v>
      </c>
      <c r="E695" s="79" t="s">
        <v>491</v>
      </c>
      <c r="F695" s="80"/>
      <c r="G695" s="81"/>
      <c r="H695" s="78" t="s">
        <v>16</v>
      </c>
      <c r="I695" s="118">
        <v>46060</v>
      </c>
      <c r="J695" s="73">
        <v>3</v>
      </c>
      <c r="K695" s="122"/>
      <c r="L695" s="120">
        <v>46149</v>
      </c>
      <c r="M695" s="121">
        <v>89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89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1411</v>
      </c>
      <c r="E696" s="79" t="s">
        <v>491</v>
      </c>
      <c r="F696" s="80"/>
      <c r="G696" s="81"/>
      <c r="H696" s="78" t="s">
        <v>16</v>
      </c>
      <c r="I696" s="118">
        <v>46060</v>
      </c>
      <c r="J696" s="73">
        <v>3</v>
      </c>
      <c r="K696" s="122"/>
      <c r="L696" s="120">
        <v>46149</v>
      </c>
      <c r="M696" s="121">
        <v>89</v>
      </c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ht="31" customHeight="1" spans="1:52">
      <c r="A697" s="73">
        <v>695</v>
      </c>
      <c r="B697" s="73" t="s">
        <v>1412</v>
      </c>
      <c r="C697" s="73" t="s">
        <v>228</v>
      </c>
      <c r="D697" s="74" t="s">
        <v>1413</v>
      </c>
      <c r="E697" s="79" t="s">
        <v>491</v>
      </c>
      <c r="F697" s="80"/>
      <c r="G697" s="81"/>
      <c r="H697" s="78" t="s">
        <v>16</v>
      </c>
      <c r="I697" s="118">
        <v>46060</v>
      </c>
      <c r="J697" s="73">
        <v>3</v>
      </c>
      <c r="K697" s="122"/>
      <c r="L697" s="120">
        <v>46149</v>
      </c>
      <c r="M697" s="121">
        <v>89</v>
      </c>
      <c r="N697" s="73"/>
      <c r="O697" s="73"/>
      <c r="P697" s="73"/>
      <c r="Q697" s="74"/>
      <c r="R697" s="79"/>
      <c r="S697" s="80"/>
      <c r="T697" s="81"/>
      <c r="U697" s="82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spans="1:52">
      <c r="A698" s="73">
        <v>696</v>
      </c>
      <c r="B698" s="73" t="s">
        <v>1412</v>
      </c>
      <c r="C698" s="73" t="s">
        <v>228</v>
      </c>
      <c r="D698" s="74" t="s">
        <v>1414</v>
      </c>
      <c r="E698" s="79" t="s">
        <v>491</v>
      </c>
      <c r="F698" s="80"/>
      <c r="G698" s="81"/>
      <c r="H698" s="78" t="s">
        <v>16</v>
      </c>
      <c r="I698" s="118">
        <v>46060</v>
      </c>
      <c r="J698" s="73">
        <v>3</v>
      </c>
      <c r="K698" s="122"/>
      <c r="L698" s="120">
        <v>46149</v>
      </c>
      <c r="M698" s="121">
        <v>89</v>
      </c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78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1412</v>
      </c>
      <c r="C699" s="73" t="s">
        <v>228</v>
      </c>
      <c r="D699" s="74" t="s">
        <v>1415</v>
      </c>
      <c r="E699" s="79" t="s">
        <v>491</v>
      </c>
      <c r="F699" s="80"/>
      <c r="G699" s="81"/>
      <c r="H699" s="78" t="s">
        <v>16</v>
      </c>
      <c r="I699" s="118">
        <v>46060</v>
      </c>
      <c r="J699" s="73">
        <v>3</v>
      </c>
      <c r="K699" s="122"/>
      <c r="L699" s="120">
        <v>46149</v>
      </c>
      <c r="M699" s="121">
        <v>89</v>
      </c>
      <c r="N699" s="73"/>
      <c r="O699" s="73"/>
      <c r="P699" s="73"/>
      <c r="Q699" s="74"/>
      <c r="R699" s="79"/>
      <c r="S699" s="80"/>
      <c r="T699" s="81"/>
      <c r="U699" s="89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89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>
        <v>698</v>
      </c>
      <c r="B700" s="73" t="s">
        <v>1416</v>
      </c>
      <c r="C700" s="73" t="s">
        <v>228</v>
      </c>
      <c r="D700" s="74" t="s">
        <v>1417</v>
      </c>
      <c r="E700" s="79" t="s">
        <v>418</v>
      </c>
      <c r="F700" s="80"/>
      <c r="G700" s="81"/>
      <c r="H700" s="78" t="s">
        <v>16</v>
      </c>
      <c r="I700" s="118">
        <v>46060</v>
      </c>
      <c r="J700" s="73">
        <v>3</v>
      </c>
      <c r="K700" s="122"/>
      <c r="L700" s="120">
        <v>46149</v>
      </c>
      <c r="M700" s="121">
        <v>89</v>
      </c>
      <c r="N700" s="73"/>
      <c r="O700" s="73"/>
      <c r="P700" s="73"/>
      <c r="Q700" s="74"/>
      <c r="R700" s="79"/>
      <c r="S700" s="80"/>
      <c r="T700" s="81"/>
      <c r="U700" s="250"/>
      <c r="V700" s="250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250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461</v>
      </c>
      <c r="C701" s="73" t="s">
        <v>228</v>
      </c>
      <c r="D701" s="74" t="s">
        <v>1418</v>
      </c>
      <c r="E701" s="79" t="s">
        <v>1419</v>
      </c>
      <c r="F701" s="80"/>
      <c r="G701" s="81"/>
      <c r="H701" s="78" t="s">
        <v>16</v>
      </c>
      <c r="I701" s="118">
        <v>46060</v>
      </c>
      <c r="J701" s="73">
        <v>3</v>
      </c>
      <c r="K701" s="122"/>
      <c r="L701" s="120">
        <v>46149</v>
      </c>
      <c r="M701" s="121">
        <v>89</v>
      </c>
      <c r="N701" s="73"/>
      <c r="O701" s="73"/>
      <c r="P701" s="73"/>
      <c r="Q701" s="74"/>
      <c r="R701" s="79"/>
      <c r="S701" s="80"/>
      <c r="T701" s="81"/>
      <c r="U701" s="130"/>
      <c r="V701" s="118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13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ht="70" customHeight="1" spans="1:52">
      <c r="A702" s="73">
        <v>700</v>
      </c>
      <c r="B702" s="73" t="s">
        <v>461</v>
      </c>
      <c r="C702" s="73" t="s">
        <v>228</v>
      </c>
      <c r="D702" s="74" t="s">
        <v>1420</v>
      </c>
      <c r="E702" s="79" t="s">
        <v>1419</v>
      </c>
      <c r="F702" s="80"/>
      <c r="G702" s="81"/>
      <c r="H702" s="78" t="s">
        <v>16</v>
      </c>
      <c r="I702" s="118">
        <v>46149</v>
      </c>
      <c r="J702" s="73">
        <v>3</v>
      </c>
      <c r="K702" s="122"/>
      <c r="L702" s="120">
        <v>46149</v>
      </c>
      <c r="M702" s="121">
        <v>89</v>
      </c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83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spans="1:52">
      <c r="A703" s="73">
        <v>701</v>
      </c>
      <c r="B703" s="73" t="s">
        <v>461</v>
      </c>
      <c r="C703" s="73" t="s">
        <v>228</v>
      </c>
      <c r="D703" s="74" t="s">
        <v>1421</v>
      </c>
      <c r="E703" s="79" t="s">
        <v>1419</v>
      </c>
      <c r="F703" s="80"/>
      <c r="G703" s="81"/>
      <c r="H703" s="78" t="s">
        <v>16</v>
      </c>
      <c r="I703" s="118">
        <v>46060</v>
      </c>
      <c r="J703" s="73">
        <v>3</v>
      </c>
      <c r="K703" s="122"/>
      <c r="L703" s="120">
        <v>46149</v>
      </c>
      <c r="M703" s="121">
        <v>89</v>
      </c>
      <c r="N703" s="73"/>
      <c r="O703" s="73"/>
      <c r="P703" s="73"/>
      <c r="Q703" s="74"/>
      <c r="R703" s="79"/>
      <c r="S703" s="80"/>
      <c r="T703" s="81"/>
      <c r="U703" s="89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9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45</v>
      </c>
      <c r="C704" s="73" t="s">
        <v>27</v>
      </c>
      <c r="D704" s="74" t="s">
        <v>1422</v>
      </c>
      <c r="E704" s="79" t="s">
        <v>118</v>
      </c>
      <c r="F704" s="80"/>
      <c r="G704" s="81"/>
      <c r="H704" s="78" t="s">
        <v>16</v>
      </c>
      <c r="I704" s="118">
        <v>46060</v>
      </c>
      <c r="J704" s="73">
        <v>3</v>
      </c>
      <c r="K704" s="122"/>
      <c r="L704" s="120">
        <v>46149</v>
      </c>
      <c r="M704" s="121">
        <v>89</v>
      </c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>
        <v>703</v>
      </c>
      <c r="B705" s="73" t="s">
        <v>1423</v>
      </c>
      <c r="C705" s="73" t="s">
        <v>27</v>
      </c>
      <c r="D705" s="74" t="s">
        <v>1424</v>
      </c>
      <c r="E705" s="79" t="s">
        <v>205</v>
      </c>
      <c r="F705" s="80"/>
      <c r="G705" s="81"/>
      <c r="H705" s="82"/>
      <c r="I705" s="118">
        <v>46060</v>
      </c>
      <c r="J705" s="73">
        <v>3</v>
      </c>
      <c r="K705" s="122"/>
      <c r="L705" s="120">
        <v>46149</v>
      </c>
      <c r="M705" s="121">
        <v>89</v>
      </c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420</v>
      </c>
      <c r="C706" s="73" t="s">
        <v>27</v>
      </c>
      <c r="D706" s="74" t="s">
        <v>1425</v>
      </c>
      <c r="E706" s="79" t="s">
        <v>360</v>
      </c>
      <c r="F706" s="80"/>
      <c r="G706" s="81"/>
      <c r="H706" s="78" t="s">
        <v>16</v>
      </c>
      <c r="I706" s="118">
        <v>46060</v>
      </c>
      <c r="J706" s="73">
        <v>3</v>
      </c>
      <c r="K706" s="122"/>
      <c r="L706" s="120">
        <v>46149</v>
      </c>
      <c r="M706" s="121">
        <v>89</v>
      </c>
      <c r="N706" s="73"/>
      <c r="O706" s="73"/>
      <c r="P706" s="73"/>
      <c r="Q706" s="74"/>
      <c r="R706" s="79"/>
      <c r="S706" s="80"/>
      <c r="T706" s="81"/>
      <c r="U706" s="130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37</v>
      </c>
      <c r="C707" s="73" t="s">
        <v>13</v>
      </c>
      <c r="D707" s="74" t="s">
        <v>1426</v>
      </c>
      <c r="E707" s="79" t="s">
        <v>1427</v>
      </c>
      <c r="F707" s="80"/>
      <c r="G707" s="81"/>
      <c r="H707" s="78" t="s">
        <v>16</v>
      </c>
      <c r="I707" s="118">
        <v>46060</v>
      </c>
      <c r="J707" s="73">
        <v>3</v>
      </c>
      <c r="K707" s="122"/>
      <c r="L707" s="120">
        <v>46149</v>
      </c>
      <c r="M707" s="121">
        <v>89</v>
      </c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130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45</v>
      </c>
      <c r="C708" s="73" t="s">
        <v>13</v>
      </c>
      <c r="D708" s="74" t="s">
        <v>1428</v>
      </c>
      <c r="E708" s="79" t="s">
        <v>47</v>
      </c>
      <c r="F708" s="80"/>
      <c r="G708" s="81"/>
      <c r="H708" s="78" t="s">
        <v>16</v>
      </c>
      <c r="I708" s="118">
        <v>46060</v>
      </c>
      <c r="J708" s="73">
        <v>3</v>
      </c>
      <c r="K708" s="122"/>
      <c r="L708" s="120">
        <v>46149</v>
      </c>
      <c r="M708" s="121">
        <v>89</v>
      </c>
      <c r="N708" s="73"/>
      <c r="O708" s="73"/>
      <c r="P708" s="73"/>
      <c r="Q708" s="74"/>
      <c r="R708" s="79"/>
      <c r="S708" s="80"/>
      <c r="T708" s="81"/>
      <c r="U708" s="89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89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157</v>
      </c>
      <c r="C709" s="73" t="s">
        <v>158</v>
      </c>
      <c r="D709" s="74" t="s">
        <v>589</v>
      </c>
      <c r="E709" s="79" t="s">
        <v>470</v>
      </c>
      <c r="F709" s="80"/>
      <c r="G709" s="81"/>
      <c r="H709" s="82"/>
      <c r="I709" s="118" t="s">
        <v>472</v>
      </c>
      <c r="J709" s="73"/>
      <c r="K709" s="122"/>
      <c r="L709" s="120"/>
      <c r="M709" s="121"/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157</v>
      </c>
      <c r="C710" s="73" t="s">
        <v>158</v>
      </c>
      <c r="D710" s="74" t="s">
        <v>589</v>
      </c>
      <c r="E710" s="79" t="s">
        <v>463</v>
      </c>
      <c r="F710" s="80"/>
      <c r="G710" s="81"/>
      <c r="H710" s="82"/>
      <c r="I710" s="118" t="s">
        <v>472</v>
      </c>
      <c r="J710" s="73"/>
      <c r="K710" s="122"/>
      <c r="L710" s="120"/>
      <c r="M710" s="121"/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181</v>
      </c>
      <c r="C711" s="73" t="s">
        <v>158</v>
      </c>
      <c r="D711" s="74" t="s">
        <v>1429</v>
      </c>
      <c r="E711" s="79" t="s">
        <v>1430</v>
      </c>
      <c r="F711" s="80"/>
      <c r="G711" s="81"/>
      <c r="H711" s="82"/>
      <c r="I711" s="118">
        <v>46060</v>
      </c>
      <c r="J711" s="73">
        <v>3</v>
      </c>
      <c r="K711" s="122"/>
      <c r="L711" s="120">
        <v>46149</v>
      </c>
      <c r="M711" s="121">
        <v>89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1143</v>
      </c>
      <c r="C712" s="73" t="s">
        <v>158</v>
      </c>
      <c r="D712" s="74" t="s">
        <v>589</v>
      </c>
      <c r="E712" s="79" t="s">
        <v>470</v>
      </c>
      <c r="F712" s="80"/>
      <c r="G712" s="81"/>
      <c r="H712" s="82"/>
      <c r="I712" s="118" t="s">
        <v>472</v>
      </c>
      <c r="J712" s="73"/>
      <c r="K712" s="122"/>
      <c r="L712" s="120"/>
      <c r="M712" s="121"/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396</v>
      </c>
      <c r="C713" s="73" t="s">
        <v>158</v>
      </c>
      <c r="D713" s="74" t="s">
        <v>1300</v>
      </c>
      <c r="E713" s="79" t="s">
        <v>1301</v>
      </c>
      <c r="F713" s="80"/>
      <c r="G713" s="81"/>
      <c r="H713" s="82"/>
      <c r="I713" s="118" t="s">
        <v>472</v>
      </c>
      <c r="J713" s="73"/>
      <c r="K713" s="122"/>
      <c r="L713" s="120"/>
      <c r="M713" s="121"/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250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22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396</v>
      </c>
      <c r="C714" s="73" t="s">
        <v>158</v>
      </c>
      <c r="D714" s="74" t="s">
        <v>1431</v>
      </c>
      <c r="E714" s="79" t="s">
        <v>1432</v>
      </c>
      <c r="F714" s="80"/>
      <c r="G714" s="81"/>
      <c r="H714" s="82"/>
      <c r="I714" s="118">
        <v>46060</v>
      </c>
      <c r="J714" s="73">
        <v>3</v>
      </c>
      <c r="K714" s="122"/>
      <c r="L714" s="120">
        <v>46149</v>
      </c>
      <c r="M714" s="121">
        <v>89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78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8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394</v>
      </c>
      <c r="C715" s="73" t="s">
        <v>158</v>
      </c>
      <c r="D715" s="74" t="s">
        <v>159</v>
      </c>
      <c r="E715" s="79" t="s">
        <v>463</v>
      </c>
      <c r="F715" s="80"/>
      <c r="G715" s="81"/>
      <c r="H715" s="82"/>
      <c r="I715" s="118" t="s">
        <v>472</v>
      </c>
      <c r="J715" s="73"/>
      <c r="K715" s="122"/>
      <c r="L715" s="120"/>
      <c r="M715" s="121"/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89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756</v>
      </c>
      <c r="C716" s="73" t="s">
        <v>158</v>
      </c>
      <c r="D716" s="74" t="s">
        <v>1433</v>
      </c>
      <c r="E716" s="79" t="s">
        <v>221</v>
      </c>
      <c r="F716" s="80"/>
      <c r="G716" s="81"/>
      <c r="H716" s="82"/>
      <c r="I716" s="118">
        <v>46060</v>
      </c>
      <c r="J716" s="73">
        <v>3</v>
      </c>
      <c r="K716" s="122"/>
      <c r="L716" s="120">
        <v>46149</v>
      </c>
      <c r="M716" s="121">
        <v>89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533</v>
      </c>
      <c r="C717" s="73" t="s">
        <v>158</v>
      </c>
      <c r="D717" s="74" t="s">
        <v>1434</v>
      </c>
      <c r="E717" s="79" t="s">
        <v>1435</v>
      </c>
      <c r="F717" s="80"/>
      <c r="G717" s="81"/>
      <c r="H717" s="82"/>
      <c r="I717" s="118">
        <v>46060</v>
      </c>
      <c r="J717" s="73">
        <v>3</v>
      </c>
      <c r="K717" s="122"/>
      <c r="L717" s="120">
        <v>46149</v>
      </c>
      <c r="M717" s="121">
        <v>89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533</v>
      </c>
      <c r="C718" s="73" t="s">
        <v>158</v>
      </c>
      <c r="D718" s="74" t="s">
        <v>1436</v>
      </c>
      <c r="E718" s="79" t="s">
        <v>1435</v>
      </c>
      <c r="F718" s="80"/>
      <c r="G718" s="81"/>
      <c r="H718" s="82"/>
      <c r="I718" s="118">
        <v>46060</v>
      </c>
      <c r="J718" s="73">
        <v>3</v>
      </c>
      <c r="K718" s="122"/>
      <c r="L718" s="120">
        <v>46149</v>
      </c>
      <c r="M718" s="121">
        <v>89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106</v>
      </c>
      <c r="C719" s="73" t="s">
        <v>27</v>
      </c>
      <c r="D719" s="74" t="s">
        <v>107</v>
      </c>
      <c r="E719" s="79" t="s">
        <v>108</v>
      </c>
      <c r="F719" s="80"/>
      <c r="G719" s="81"/>
      <c r="H719" s="82"/>
      <c r="I719" s="118" t="s">
        <v>472</v>
      </c>
      <c r="J719" s="73"/>
      <c r="K719" s="122"/>
      <c r="L719" s="120"/>
      <c r="M719" s="121"/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/>
      <c r="B720" s="73"/>
      <c r="C720" s="73"/>
      <c r="D720" s="74"/>
      <c r="E720" s="79"/>
      <c r="F720" s="80"/>
      <c r="G720" s="81"/>
      <c r="H720" s="89"/>
      <c r="I720" s="118"/>
      <c r="J720" s="73"/>
      <c r="K720" s="122"/>
      <c r="L720" s="120"/>
      <c r="M720" s="121"/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/>
      <c r="B721" s="73"/>
      <c r="C721" s="73"/>
      <c r="D721" s="74"/>
      <c r="E721" s="79"/>
      <c r="F721" s="80"/>
      <c r="G721" s="81"/>
      <c r="H721" s="89"/>
      <c r="I721" s="118"/>
      <c r="J721" s="73"/>
      <c r="K721" s="122"/>
      <c r="L721" s="120"/>
      <c r="M721" s="121"/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/>
      <c r="B722" s="73"/>
      <c r="C722" s="73"/>
      <c r="D722" s="74"/>
      <c r="E722" s="79"/>
      <c r="F722" s="80"/>
      <c r="G722" s="81"/>
      <c r="H722" s="89"/>
      <c r="I722" s="118"/>
      <c r="J722" s="73"/>
      <c r="K722" s="122"/>
      <c r="L722" s="120"/>
      <c r="M722" s="121"/>
      <c r="N722" s="73"/>
      <c r="O722" s="73"/>
      <c r="P722" s="73"/>
      <c r="Q722" s="74"/>
      <c r="R722" s="79"/>
      <c r="S722" s="80"/>
      <c r="T722" s="81"/>
      <c r="U722" s="78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/>
      <c r="B723" s="73"/>
      <c r="C723" s="73"/>
      <c r="D723" s="74"/>
      <c r="E723" s="79"/>
      <c r="F723" s="80"/>
      <c r="G723" s="81"/>
      <c r="H723" s="89"/>
      <c r="I723" s="118"/>
      <c r="J723" s="73"/>
      <c r="K723" s="122"/>
      <c r="L723" s="120"/>
      <c r="M723" s="121"/>
      <c r="N723" s="73"/>
      <c r="O723" s="73"/>
      <c r="P723" s="73"/>
      <c r="Q723" s="74"/>
      <c r="R723" s="79"/>
      <c r="S723" s="80"/>
      <c r="T723" s="81"/>
      <c r="U723" s="89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/>
      <c r="B724" s="73"/>
      <c r="C724" s="73"/>
      <c r="D724" s="74"/>
      <c r="E724" s="79"/>
      <c r="F724" s="80"/>
      <c r="G724" s="81"/>
      <c r="H724" s="89"/>
      <c r="I724" s="118"/>
      <c r="J724" s="73"/>
      <c r="K724" s="122"/>
      <c r="L724" s="120"/>
      <c r="M724" s="121"/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/>
      <c r="B725" s="73"/>
      <c r="C725" s="73"/>
      <c r="D725" s="74"/>
      <c r="E725" s="79"/>
      <c r="F725" s="80"/>
      <c r="G725" s="81"/>
      <c r="H725" s="89"/>
      <c r="I725" s="118"/>
      <c r="J725" s="73"/>
      <c r="K725" s="122"/>
      <c r="L725" s="120"/>
      <c r="M725" s="121"/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/>
      <c r="B726" s="73"/>
      <c r="C726" s="73"/>
      <c r="D726" s="74"/>
      <c r="E726" s="79"/>
      <c r="F726" s="80"/>
      <c r="G726" s="81"/>
      <c r="H726" s="89"/>
      <c r="I726" s="118"/>
      <c r="J726" s="73"/>
      <c r="K726" s="122"/>
      <c r="L726" s="120"/>
      <c r="M726" s="121"/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/>
      <c r="B727" s="73"/>
      <c r="C727" s="73"/>
      <c r="D727" s="74"/>
      <c r="E727" s="79"/>
      <c r="F727" s="80"/>
      <c r="G727" s="81"/>
      <c r="H727" s="89"/>
      <c r="I727" s="118"/>
      <c r="J727" s="73"/>
      <c r="K727" s="122"/>
      <c r="L727" s="120"/>
      <c r="M727" s="121"/>
      <c r="N727" s="73"/>
      <c r="O727" s="73"/>
      <c r="P727" s="73"/>
      <c r="Q727" s="74"/>
      <c r="R727" s="79"/>
      <c r="S727" s="80"/>
      <c r="T727" s="81"/>
      <c r="U727" s="147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130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130"/>
      <c r="AV727" s="158"/>
      <c r="AW727" s="152"/>
      <c r="AX727" s="122"/>
      <c r="AY727" s="120"/>
      <c r="AZ727" s="121"/>
    </row>
    <row r="728" spans="1:52">
      <c r="A728" s="73"/>
      <c r="B728" s="73"/>
      <c r="C728" s="73"/>
      <c r="D728" s="74"/>
      <c r="E728" s="79"/>
      <c r="F728" s="80"/>
      <c r="G728" s="81"/>
      <c r="H728" s="89"/>
      <c r="I728" s="118"/>
      <c r="J728" s="73"/>
      <c r="K728" s="122"/>
      <c r="L728" s="120"/>
      <c r="M728" s="121"/>
      <c r="N728" s="73"/>
      <c r="O728" s="73"/>
      <c r="P728" s="73"/>
      <c r="Q728" s="74"/>
      <c r="R728" s="79"/>
      <c r="S728" s="80"/>
      <c r="T728" s="81"/>
      <c r="U728" s="89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89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89"/>
      <c r="AV728" s="158"/>
      <c r="AW728" s="152"/>
      <c r="AX728" s="122"/>
      <c r="AY728" s="120"/>
      <c r="AZ728" s="121"/>
    </row>
    <row r="729" spans="1:52">
      <c r="A729" s="73"/>
      <c r="B729" s="73"/>
      <c r="C729" s="73"/>
      <c r="D729" s="74"/>
      <c r="E729" s="79"/>
      <c r="F729" s="80"/>
      <c r="G729" s="81"/>
      <c r="H729" s="89"/>
      <c r="I729" s="118"/>
      <c r="J729" s="73"/>
      <c r="K729" s="122"/>
      <c r="L729" s="120"/>
      <c r="M729" s="121"/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/>
      <c r="B730" s="73"/>
      <c r="C730" s="73"/>
      <c r="D730" s="74"/>
      <c r="E730" s="79"/>
      <c r="F730" s="80"/>
      <c r="G730" s="81"/>
      <c r="H730" s="89"/>
      <c r="I730" s="118"/>
      <c r="J730" s="73"/>
      <c r="K730" s="122"/>
      <c r="L730" s="120"/>
      <c r="M730" s="121"/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/>
      <c r="B731" s="73"/>
      <c r="C731" s="73"/>
      <c r="D731" s="74"/>
      <c r="E731" s="79"/>
      <c r="F731" s="80"/>
      <c r="G731" s="81"/>
      <c r="H731" s="89"/>
      <c r="I731" s="118"/>
      <c r="J731" s="73"/>
      <c r="K731" s="122"/>
      <c r="L731" s="120"/>
      <c r="M731" s="121"/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/>
      <c r="B732" s="73"/>
      <c r="C732" s="73"/>
      <c r="D732" s="74"/>
      <c r="E732" s="79"/>
      <c r="F732" s="80"/>
      <c r="G732" s="81"/>
      <c r="H732" s="130"/>
      <c r="I732" s="118"/>
      <c r="J732" s="73"/>
      <c r="K732" s="122"/>
      <c r="L732" s="120"/>
      <c r="M732" s="121"/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/>
      <c r="B733" s="73"/>
      <c r="C733" s="73"/>
      <c r="D733" s="74"/>
      <c r="E733" s="79"/>
      <c r="F733" s="80"/>
      <c r="G733" s="81"/>
      <c r="H733" s="130"/>
      <c r="I733" s="118"/>
      <c r="J733" s="73"/>
      <c r="K733" s="122"/>
      <c r="L733" s="120"/>
      <c r="M733" s="121"/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/>
      <c r="B734" s="73"/>
      <c r="C734" s="73"/>
      <c r="D734" s="74"/>
      <c r="E734" s="79"/>
      <c r="F734" s="80"/>
      <c r="G734" s="81"/>
      <c r="H734" s="130"/>
      <c r="I734" s="118"/>
      <c r="J734" s="73"/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/>
      <c r="B735" s="73"/>
      <c r="C735" s="73"/>
      <c r="D735" s="74"/>
      <c r="E735" s="79"/>
      <c r="F735" s="80"/>
      <c r="G735" s="81"/>
      <c r="H735" s="130"/>
      <c r="I735" s="118"/>
      <c r="J735" s="73"/>
      <c r="K735" s="122"/>
      <c r="L735" s="120"/>
      <c r="M735" s="121"/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/>
      <c r="B736" s="73"/>
      <c r="C736" s="73"/>
      <c r="D736" s="74"/>
      <c r="E736" s="79"/>
      <c r="F736" s="80"/>
      <c r="G736" s="81"/>
      <c r="H736" s="130"/>
      <c r="I736" s="118"/>
      <c r="J736" s="73"/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/>
      <c r="B737" s="73"/>
      <c r="C737" s="73"/>
      <c r="D737" s="74"/>
      <c r="E737" s="79"/>
      <c r="F737" s="80"/>
      <c r="G737" s="81"/>
      <c r="H737" s="130"/>
      <c r="I737" s="118"/>
      <c r="J737" s="73"/>
      <c r="K737" s="122"/>
      <c r="L737" s="120"/>
      <c r="M737" s="121"/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2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/>
      <c r="B738" s="73"/>
      <c r="C738" s="73"/>
      <c r="D738" s="74"/>
      <c r="E738" s="79"/>
      <c r="F738" s="80"/>
      <c r="G738" s="81"/>
      <c r="H738" s="130"/>
      <c r="I738" s="118"/>
      <c r="J738" s="73"/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/>
      <c r="B739" s="73"/>
      <c r="C739" s="73"/>
      <c r="D739" s="74"/>
      <c r="E739" s="79"/>
      <c r="F739" s="80"/>
      <c r="G739" s="81"/>
      <c r="H739" s="130"/>
      <c r="I739" s="118"/>
      <c r="J739" s="73"/>
      <c r="K739" s="122"/>
      <c r="L739" s="120"/>
      <c r="M739" s="121"/>
      <c r="N739" s="73"/>
      <c r="O739" s="73"/>
      <c r="P739" s="73"/>
      <c r="Q739" s="74"/>
      <c r="R739" s="79"/>
      <c r="S739" s="80"/>
      <c r="T739" s="81"/>
      <c r="U739" s="82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9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/>
      <c r="B740" s="73"/>
      <c r="C740" s="73"/>
      <c r="D740" s="74"/>
      <c r="E740" s="79"/>
      <c r="F740" s="80"/>
      <c r="G740" s="81"/>
      <c r="H740" s="130"/>
      <c r="I740" s="118"/>
      <c r="J740" s="73"/>
      <c r="K740" s="122"/>
      <c r="L740" s="120"/>
      <c r="M740" s="121"/>
      <c r="N740" s="73"/>
      <c r="O740" s="73"/>
      <c r="P740" s="73"/>
      <c r="Q740" s="74"/>
      <c r="R740" s="79"/>
      <c r="S740" s="80"/>
      <c r="T740" s="81"/>
      <c r="U740" s="89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/>
      <c r="B741" s="73"/>
      <c r="C741" s="73"/>
      <c r="D741" s="74"/>
      <c r="E741" s="79"/>
      <c r="F741" s="80"/>
      <c r="G741" s="81"/>
      <c r="H741" s="78"/>
      <c r="I741" s="118"/>
      <c r="J741" s="73"/>
      <c r="K741" s="122"/>
      <c r="L741" s="120"/>
      <c r="M741" s="121"/>
      <c r="N741" s="73"/>
      <c r="O741" s="73"/>
      <c r="P741" s="73"/>
      <c r="Q741" s="74"/>
      <c r="R741" s="79"/>
      <c r="S741" s="80"/>
      <c r="T741" s="81"/>
      <c r="U741" s="78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78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/>
      <c r="B742" s="73"/>
      <c r="C742" s="73"/>
      <c r="D742" s="74"/>
      <c r="E742" s="79"/>
      <c r="F742" s="80"/>
      <c r="G742" s="81"/>
      <c r="H742" s="78"/>
      <c r="I742" s="118"/>
      <c r="J742" s="73"/>
      <c r="K742" s="122"/>
      <c r="L742" s="120"/>
      <c r="M742" s="121"/>
      <c r="N742" s="73"/>
      <c r="O742" s="73"/>
      <c r="P742" s="73"/>
      <c r="Q742" s="74"/>
      <c r="R742" s="79"/>
      <c r="S742" s="80"/>
      <c r="T742" s="81"/>
      <c r="U742" s="89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89"/>
      <c r="AI742" s="118"/>
      <c r="AJ742" s="73"/>
      <c r="AK742" s="119"/>
      <c r="AL742" s="120"/>
      <c r="AM742" s="121"/>
      <c r="AN742" s="152"/>
      <c r="AO742" s="73"/>
      <c r="AP742" s="73"/>
      <c r="AQ742" s="74"/>
      <c r="AR742" s="79"/>
      <c r="AS742" s="80"/>
      <c r="AT742" s="81"/>
      <c r="AU742" s="82"/>
      <c r="AV742" s="158"/>
      <c r="AW742" s="152"/>
      <c r="AX742" s="122"/>
      <c r="AY742" s="120"/>
      <c r="AZ742" s="121"/>
    </row>
    <row r="743" spans="1:52">
      <c r="A743" s="73"/>
      <c r="B743" s="73"/>
      <c r="C743" s="73"/>
      <c r="D743" s="74"/>
      <c r="E743" s="79"/>
      <c r="F743" s="80"/>
      <c r="G743" s="81"/>
      <c r="H743" s="78"/>
      <c r="I743" s="118"/>
      <c r="J743" s="73"/>
      <c r="K743" s="122"/>
      <c r="L743" s="120"/>
      <c r="M743" s="121"/>
      <c r="N743" s="73"/>
      <c r="O743" s="73"/>
      <c r="P743" s="73"/>
      <c r="Q743" s="74"/>
      <c r="R743" s="79"/>
      <c r="S743" s="80"/>
      <c r="T743" s="81"/>
      <c r="U743" s="78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78"/>
      <c r="AI743" s="118"/>
      <c r="AJ743" s="73"/>
      <c r="AK743" s="119"/>
      <c r="AL743" s="120"/>
      <c r="AM743" s="121"/>
      <c r="AN743" s="152"/>
      <c r="AO743" s="152"/>
      <c r="AP743" s="152"/>
      <c r="AQ743" s="105"/>
      <c r="AR743" s="106"/>
      <c r="AS743" s="107"/>
      <c r="AT743" s="108"/>
      <c r="AU743" s="89"/>
      <c r="AV743" s="158"/>
      <c r="AW743" s="152"/>
      <c r="AX743" s="122"/>
      <c r="AY743" s="120"/>
      <c r="AZ743" s="121"/>
    </row>
    <row r="744" spans="1:52">
      <c r="A744" s="73"/>
      <c r="B744" s="73"/>
      <c r="C744" s="73"/>
      <c r="D744" s="74"/>
      <c r="E744" s="79"/>
      <c r="F744" s="80"/>
      <c r="G744" s="81"/>
      <c r="H744" s="78"/>
      <c r="I744" s="118"/>
      <c r="J744" s="73"/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269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ht="25" customHeight="1" spans="1:52">
      <c r="A745" s="73"/>
      <c r="B745" s="73"/>
      <c r="C745" s="73"/>
      <c r="D745" s="74"/>
      <c r="E745" s="79"/>
      <c r="F745" s="80"/>
      <c r="G745" s="81"/>
      <c r="H745" s="130"/>
      <c r="I745" s="118"/>
      <c r="J745" s="73"/>
      <c r="K745" s="122"/>
      <c r="L745" s="120"/>
      <c r="M745" s="121"/>
      <c r="N745" s="73"/>
      <c r="O745" s="73"/>
      <c r="P745" s="73"/>
      <c r="Q745" s="74"/>
      <c r="R745" s="79"/>
      <c r="S745" s="80"/>
      <c r="T745" s="81"/>
      <c r="U745" s="130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89"/>
      <c r="AI745" s="118"/>
      <c r="AJ745" s="73"/>
      <c r="AK745" s="119"/>
      <c r="AL745" s="120"/>
      <c r="AM745" s="121"/>
      <c r="AN745" s="152"/>
      <c r="AO745" s="152"/>
      <c r="AP745" s="152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spans="1:52">
      <c r="A746" s="73"/>
      <c r="B746" s="73"/>
      <c r="C746" s="73"/>
      <c r="D746" s="74"/>
      <c r="E746" s="79"/>
      <c r="F746" s="80"/>
      <c r="G746" s="81"/>
      <c r="H746" s="130"/>
      <c r="I746" s="118"/>
      <c r="J746" s="73"/>
      <c r="K746" s="122"/>
      <c r="L746" s="120"/>
      <c r="M746" s="121"/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/>
      <c r="B747" s="73"/>
      <c r="C747" s="73"/>
      <c r="D747" s="74"/>
      <c r="E747" s="79"/>
      <c r="F747" s="80"/>
      <c r="G747" s="81"/>
      <c r="H747" s="130"/>
      <c r="I747" s="118"/>
      <c r="J747" s="73"/>
      <c r="K747" s="122"/>
      <c r="L747" s="120"/>
      <c r="M747" s="121"/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130"/>
      <c r="AI747" s="118"/>
      <c r="AJ747" s="73"/>
      <c r="AK747" s="119"/>
      <c r="AL747" s="120"/>
      <c r="AM747" s="121"/>
      <c r="AN747" s="152"/>
      <c r="AO747" s="73"/>
      <c r="AP747" s="73"/>
      <c r="AQ747" s="74"/>
      <c r="AR747" s="79"/>
      <c r="AS747" s="80"/>
      <c r="AT747" s="81"/>
      <c r="AU747" s="89"/>
      <c r="AV747" s="158"/>
      <c r="AW747" s="152"/>
      <c r="AX747" s="122"/>
      <c r="AY747" s="120"/>
      <c r="AZ747" s="121"/>
    </row>
    <row r="748" spans="1:52">
      <c r="A748" s="73"/>
      <c r="B748" s="73"/>
      <c r="C748" s="73"/>
      <c r="D748" s="74"/>
      <c r="E748" s="79"/>
      <c r="F748" s="80"/>
      <c r="G748" s="81"/>
      <c r="H748" s="130"/>
      <c r="I748" s="118"/>
      <c r="J748" s="73"/>
      <c r="K748" s="122"/>
      <c r="L748" s="120"/>
      <c r="M748" s="121"/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/>
      <c r="B749" s="73"/>
      <c r="C749" s="73"/>
      <c r="D749" s="74"/>
      <c r="E749" s="79"/>
      <c r="F749" s="80"/>
      <c r="G749" s="81"/>
      <c r="H749" s="130"/>
      <c r="I749" s="118"/>
      <c r="J749" s="73"/>
      <c r="K749" s="122"/>
      <c r="L749" s="120"/>
      <c r="M749" s="121"/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130"/>
      <c r="AV749" s="158"/>
      <c r="AW749" s="152"/>
      <c r="AX749" s="122"/>
      <c r="AY749" s="120"/>
      <c r="AZ749" s="121"/>
    </row>
    <row r="750" spans="1:52">
      <c r="A750" s="73"/>
      <c r="B750" s="73"/>
      <c r="C750" s="73"/>
      <c r="D750" s="74"/>
      <c r="E750" s="79"/>
      <c r="F750" s="80"/>
      <c r="G750" s="81"/>
      <c r="H750" s="130"/>
      <c r="I750" s="118"/>
      <c r="J750" s="73"/>
      <c r="K750" s="122"/>
      <c r="L750" s="120"/>
      <c r="M750" s="121"/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/>
      <c r="B751" s="73"/>
      <c r="C751" s="73"/>
      <c r="D751" s="74"/>
      <c r="E751" s="79"/>
      <c r="F751" s="80"/>
      <c r="G751" s="81"/>
      <c r="H751" s="130"/>
      <c r="I751" s="118"/>
      <c r="J751" s="73"/>
      <c r="K751" s="122"/>
      <c r="L751" s="120"/>
      <c r="M751" s="121"/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152"/>
      <c r="AP751" s="152"/>
      <c r="AQ751" s="105"/>
      <c r="AR751" s="106"/>
      <c r="AS751" s="107"/>
      <c r="AT751" s="108"/>
      <c r="AU751" s="89"/>
      <c r="AV751" s="158"/>
      <c r="AW751" s="152"/>
      <c r="AX751" s="122"/>
      <c r="AY751" s="120"/>
      <c r="AZ751" s="121"/>
    </row>
    <row r="752" spans="1:52">
      <c r="A752" s="73"/>
      <c r="B752" s="73"/>
      <c r="C752" s="73"/>
      <c r="D752" s="74"/>
      <c r="E752" s="106"/>
      <c r="F752" s="107"/>
      <c r="G752" s="108"/>
      <c r="H752" s="130"/>
      <c r="I752" s="118"/>
      <c r="J752" s="73"/>
      <c r="K752" s="122"/>
      <c r="L752" s="120"/>
      <c r="M752" s="121"/>
      <c r="N752" s="73"/>
      <c r="O752" s="73"/>
      <c r="P752" s="73"/>
      <c r="Q752" s="74"/>
      <c r="R752" s="106"/>
      <c r="S752" s="107"/>
      <c r="T752" s="108"/>
      <c r="U752" s="89"/>
      <c r="V752" s="118"/>
      <c r="W752" s="73"/>
      <c r="X752" s="119"/>
      <c r="Y752" s="120"/>
      <c r="Z752" s="121"/>
      <c r="AA752" s="73"/>
      <c r="AB752" s="73"/>
      <c r="AC752" s="73"/>
      <c r="AD752" s="74"/>
      <c r="AE752" s="106"/>
      <c r="AF752" s="107"/>
      <c r="AG752" s="108"/>
      <c r="AH752" s="89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/>
      <c r="B753" s="73"/>
      <c r="C753" s="73"/>
      <c r="D753" s="74"/>
      <c r="E753" s="79"/>
      <c r="F753" s="80"/>
      <c r="G753" s="81"/>
      <c r="H753" s="89"/>
      <c r="I753" s="118"/>
      <c r="J753" s="73"/>
      <c r="K753" s="122"/>
      <c r="L753" s="120"/>
      <c r="M753" s="121"/>
      <c r="N753" s="73"/>
      <c r="O753" s="73"/>
      <c r="P753" s="73"/>
      <c r="Q753" s="74"/>
      <c r="R753" s="79"/>
      <c r="S753" s="80"/>
      <c r="T753" s="81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79"/>
      <c r="AF753" s="80"/>
      <c r="AG753" s="81"/>
      <c r="AH753" s="82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/>
      <c r="B754" s="73"/>
      <c r="C754" s="73"/>
      <c r="D754" s="74"/>
      <c r="E754" s="79"/>
      <c r="F754" s="80"/>
      <c r="G754" s="81"/>
      <c r="H754" s="89"/>
      <c r="I754" s="118"/>
      <c r="J754" s="73"/>
      <c r="K754" s="122"/>
      <c r="L754" s="120"/>
      <c r="M754" s="121"/>
      <c r="N754" s="73"/>
      <c r="O754" s="73"/>
      <c r="P754" s="73"/>
      <c r="Q754" s="74"/>
      <c r="R754" s="79"/>
      <c r="S754" s="80"/>
      <c r="T754" s="81"/>
      <c r="U754" s="78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9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/>
      <c r="B755" s="73"/>
      <c r="C755" s="73"/>
      <c r="D755" s="74"/>
      <c r="E755" s="79"/>
      <c r="F755" s="80"/>
      <c r="G755" s="81"/>
      <c r="H755" s="89"/>
      <c r="I755" s="118"/>
      <c r="J755" s="73"/>
      <c r="K755" s="122"/>
      <c r="L755" s="120"/>
      <c r="M755" s="121"/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/>
      <c r="B756" s="73"/>
      <c r="C756" s="73"/>
      <c r="D756" s="74"/>
      <c r="E756" s="79"/>
      <c r="F756" s="80"/>
      <c r="G756" s="81"/>
      <c r="H756" s="89"/>
      <c r="I756" s="118"/>
      <c r="J756" s="73"/>
      <c r="K756" s="122"/>
      <c r="L756" s="120"/>
      <c r="M756" s="121"/>
      <c r="N756" s="73"/>
      <c r="O756" s="73"/>
      <c r="P756" s="73"/>
      <c r="Q756" s="74"/>
      <c r="R756" s="79"/>
      <c r="S756" s="80"/>
      <c r="T756" s="81"/>
      <c r="U756" s="89"/>
      <c r="V756" s="118"/>
      <c r="W756" s="73"/>
      <c r="X756" s="122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/>
      <c r="B757" s="73"/>
      <c r="C757" s="73"/>
      <c r="D757" s="74"/>
      <c r="E757" s="79"/>
      <c r="F757" s="80"/>
      <c r="G757" s="81"/>
      <c r="H757" s="89"/>
      <c r="I757" s="118"/>
      <c r="J757" s="73"/>
      <c r="K757" s="122"/>
      <c r="L757" s="120"/>
      <c r="M757" s="121"/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19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/>
      <c r="B758" s="73"/>
      <c r="C758" s="73"/>
      <c r="D758" s="74"/>
      <c r="E758" s="79"/>
      <c r="F758" s="80"/>
      <c r="G758" s="81"/>
      <c r="H758" s="89"/>
      <c r="I758" s="118"/>
      <c r="J758" s="73"/>
      <c r="K758" s="122"/>
      <c r="L758" s="120"/>
      <c r="M758" s="121"/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/>
      <c r="B759" s="73"/>
      <c r="C759" s="73"/>
      <c r="D759" s="74"/>
      <c r="E759" s="79"/>
      <c r="F759" s="80"/>
      <c r="G759" s="81"/>
      <c r="H759" s="89"/>
      <c r="I759" s="118"/>
      <c r="J759" s="73"/>
      <c r="K759" s="122"/>
      <c r="L759" s="120"/>
      <c r="M759" s="121"/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/>
      <c r="B760" s="73"/>
      <c r="C760" s="73"/>
      <c r="D760" s="74"/>
      <c r="E760" s="79"/>
      <c r="F760" s="80"/>
      <c r="G760" s="81"/>
      <c r="H760" s="89"/>
      <c r="I760" s="118"/>
      <c r="J760" s="73"/>
      <c r="K760" s="122"/>
      <c r="L760" s="120"/>
      <c r="M760" s="121"/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/>
      <c r="B761" s="73"/>
      <c r="C761" s="73"/>
      <c r="D761" s="74"/>
      <c r="E761" s="79"/>
      <c r="F761" s="80"/>
      <c r="G761" s="81"/>
      <c r="H761" s="89"/>
      <c r="I761" s="118"/>
      <c r="J761" s="73"/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/>
      <c r="B762" s="73"/>
      <c r="C762" s="73"/>
      <c r="D762" s="74"/>
      <c r="E762" s="79"/>
      <c r="F762" s="80"/>
      <c r="G762" s="81"/>
      <c r="H762" s="89"/>
      <c r="I762" s="118"/>
      <c r="J762" s="73"/>
      <c r="K762" s="122"/>
      <c r="L762" s="120"/>
      <c r="M762" s="121"/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/>
      <c r="B763" s="73"/>
      <c r="C763" s="73"/>
      <c r="D763" s="74"/>
      <c r="E763" s="79"/>
      <c r="F763" s="80"/>
      <c r="G763" s="81"/>
      <c r="H763" s="89"/>
      <c r="I763" s="118"/>
      <c r="J763" s="73"/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/>
      <c r="B764" s="73"/>
      <c r="C764" s="73"/>
      <c r="D764" s="74"/>
      <c r="E764" s="79"/>
      <c r="F764" s="80"/>
      <c r="G764" s="81"/>
      <c r="H764" s="89"/>
      <c r="I764" s="118"/>
      <c r="J764" s="73"/>
      <c r="K764" s="122"/>
      <c r="L764" s="120"/>
      <c r="M764" s="121"/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/>
      <c r="B765" s="73"/>
      <c r="C765" s="73"/>
      <c r="D765" s="74"/>
      <c r="E765" s="79"/>
      <c r="F765" s="80"/>
      <c r="G765" s="81"/>
      <c r="H765" s="89"/>
      <c r="I765" s="118"/>
      <c r="J765" s="73"/>
      <c r="K765" s="122"/>
      <c r="L765" s="120"/>
      <c r="M765" s="121"/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/>
      <c r="B766" s="73"/>
      <c r="C766" s="73"/>
      <c r="D766" s="74"/>
      <c r="E766" s="79"/>
      <c r="F766" s="80"/>
      <c r="G766" s="81"/>
      <c r="H766" s="78"/>
      <c r="I766" s="118"/>
      <c r="J766" s="73"/>
      <c r="K766" s="122"/>
      <c r="L766" s="120"/>
      <c r="M766" s="121"/>
      <c r="N766" s="73"/>
      <c r="O766" s="73"/>
      <c r="P766" s="73"/>
      <c r="Q766" s="74"/>
      <c r="R766" s="79"/>
      <c r="S766" s="80"/>
      <c r="T766" s="81"/>
      <c r="U766" s="78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/>
      <c r="B767" s="73"/>
      <c r="C767" s="73"/>
      <c r="D767" s="268"/>
      <c r="E767" s="79"/>
      <c r="F767" s="80"/>
      <c r="G767" s="81"/>
      <c r="H767" s="78"/>
      <c r="I767" s="118"/>
      <c r="J767" s="73"/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89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/>
      <c r="B768" s="73"/>
      <c r="C768" s="73"/>
      <c r="D768" s="74"/>
      <c r="E768" s="79"/>
      <c r="F768" s="80"/>
      <c r="G768" s="81"/>
      <c r="H768" s="78"/>
      <c r="I768" s="118"/>
      <c r="J768" s="73"/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78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/>
      <c r="B769" s="73"/>
      <c r="C769" s="73"/>
      <c r="D769" s="74"/>
      <c r="E769" s="79"/>
      <c r="F769" s="80"/>
      <c r="G769" s="81"/>
      <c r="H769" s="130"/>
      <c r="I769" s="118"/>
      <c r="J769" s="73"/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89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73"/>
      <c r="AP769" s="73"/>
      <c r="AQ769" s="74"/>
      <c r="AR769" s="79"/>
      <c r="AS769" s="80"/>
      <c r="AT769" s="81"/>
      <c r="AU769" s="89"/>
      <c r="AV769" s="158"/>
      <c r="AW769" s="152"/>
      <c r="AX769" s="122"/>
      <c r="AY769" s="120"/>
      <c r="AZ769" s="121"/>
    </row>
    <row r="770" spans="1:52">
      <c r="A770" s="73"/>
      <c r="B770" s="73"/>
      <c r="C770" s="73"/>
      <c r="D770" s="74"/>
      <c r="E770" s="79"/>
      <c r="F770" s="80"/>
      <c r="G770" s="81"/>
      <c r="H770" s="89"/>
      <c r="I770" s="118"/>
      <c r="J770" s="73"/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152"/>
      <c r="AP770" s="152"/>
      <c r="AQ770" s="105"/>
      <c r="AR770" s="106"/>
      <c r="AS770" s="107"/>
      <c r="AT770" s="108"/>
      <c r="AU770" s="89"/>
      <c r="AV770" s="158"/>
      <c r="AW770" s="152"/>
      <c r="AX770" s="122"/>
      <c r="AY770" s="120"/>
      <c r="AZ770" s="121"/>
    </row>
    <row r="771" spans="1:52">
      <c r="A771" s="73"/>
      <c r="B771" s="73"/>
      <c r="C771" s="73"/>
      <c r="D771" s="74"/>
      <c r="E771" s="79"/>
      <c r="F771" s="80"/>
      <c r="G771" s="81"/>
      <c r="H771" s="130"/>
      <c r="I771" s="118"/>
      <c r="J771" s="73"/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/>
      <c r="B772" s="73"/>
      <c r="C772" s="73"/>
      <c r="D772" s="74"/>
      <c r="E772" s="79"/>
      <c r="F772" s="80"/>
      <c r="G772" s="81"/>
      <c r="H772" s="78"/>
      <c r="I772" s="118"/>
      <c r="J772" s="73"/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78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/>
      <c r="B773" s="73"/>
      <c r="C773" s="73"/>
      <c r="D773" s="74"/>
      <c r="E773" s="79"/>
      <c r="F773" s="80"/>
      <c r="G773" s="81"/>
      <c r="H773" s="89"/>
      <c r="I773" s="118"/>
      <c r="J773" s="73"/>
      <c r="K773" s="122"/>
      <c r="L773" s="120"/>
      <c r="M773" s="121"/>
      <c r="N773" s="73"/>
      <c r="O773" s="73"/>
      <c r="P773" s="73"/>
      <c r="Q773" s="74"/>
      <c r="R773" s="79"/>
      <c r="S773" s="80"/>
      <c r="T773" s="81"/>
      <c r="U773" s="89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/>
      <c r="B774" s="73"/>
      <c r="C774" s="73"/>
      <c r="D774" s="74"/>
      <c r="E774" s="79"/>
      <c r="F774" s="80"/>
      <c r="G774" s="81"/>
      <c r="H774" s="89"/>
      <c r="I774" s="118"/>
      <c r="J774" s="73"/>
      <c r="K774" s="122"/>
      <c r="L774" s="120"/>
      <c r="M774" s="121"/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/>
      <c r="B775" s="73"/>
      <c r="C775" s="73"/>
      <c r="D775" s="74"/>
      <c r="E775" s="79"/>
      <c r="F775" s="80"/>
      <c r="G775" s="81"/>
      <c r="H775" s="89"/>
      <c r="I775" s="118"/>
      <c r="J775" s="73"/>
      <c r="K775" s="122"/>
      <c r="L775" s="120"/>
      <c r="M775" s="121"/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/>
      <c r="B776" s="73"/>
      <c r="C776" s="73"/>
      <c r="D776" s="74"/>
      <c r="E776" s="79"/>
      <c r="F776" s="80"/>
      <c r="G776" s="81"/>
      <c r="H776" s="78"/>
      <c r="I776" s="118"/>
      <c r="J776" s="73"/>
      <c r="K776" s="122"/>
      <c r="L776" s="120"/>
      <c r="M776" s="121"/>
      <c r="N776" s="73"/>
      <c r="O776" s="73"/>
      <c r="P776" s="73"/>
      <c r="Q776" s="74"/>
      <c r="R776" s="79"/>
      <c r="S776" s="80"/>
      <c r="T776" s="81"/>
      <c r="U776" s="78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/>
      <c r="B777" s="73"/>
      <c r="C777" s="73"/>
      <c r="D777" s="74"/>
      <c r="E777" s="270"/>
      <c r="F777" s="271"/>
      <c r="G777" s="272"/>
      <c r="H777" s="78"/>
      <c r="I777" s="118"/>
      <c r="J777" s="73"/>
      <c r="K777" s="122"/>
      <c r="L777" s="120"/>
      <c r="M777" s="121"/>
      <c r="N777" s="73"/>
      <c r="O777" s="73"/>
      <c r="P777" s="73"/>
      <c r="Q777" s="74"/>
      <c r="R777" s="270"/>
      <c r="S777" s="271"/>
      <c r="T777" s="272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/>
      <c r="B778" s="73"/>
      <c r="C778" s="73"/>
      <c r="D778" s="74"/>
      <c r="E778" s="270"/>
      <c r="F778" s="271"/>
      <c r="G778" s="272"/>
      <c r="H778" s="78"/>
      <c r="I778" s="118"/>
      <c r="J778" s="73"/>
      <c r="K778" s="122"/>
      <c r="L778" s="120"/>
      <c r="M778" s="121"/>
      <c r="N778" s="73"/>
      <c r="O778" s="73"/>
      <c r="P778" s="73"/>
      <c r="Q778" s="74"/>
      <c r="R778" s="270"/>
      <c r="S778" s="271"/>
      <c r="T778" s="272"/>
      <c r="U778" s="89"/>
      <c r="V778" s="118"/>
      <c r="W778" s="73"/>
      <c r="X778" s="119"/>
      <c r="Y778" s="120"/>
      <c r="Z778" s="121"/>
      <c r="AA778" s="73"/>
      <c r="AB778" s="73"/>
      <c r="AC778" s="73"/>
      <c r="AD778" s="74"/>
      <c r="AE778" s="270"/>
      <c r="AF778" s="271"/>
      <c r="AG778" s="272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/>
      <c r="B779" s="73"/>
      <c r="C779" s="73"/>
      <c r="D779" s="74"/>
      <c r="E779" s="79"/>
      <c r="F779" s="80"/>
      <c r="G779" s="81"/>
      <c r="H779" s="89"/>
      <c r="I779" s="118"/>
      <c r="J779" s="73"/>
      <c r="K779" s="122"/>
      <c r="L779" s="120"/>
      <c r="M779" s="121"/>
      <c r="N779" s="73"/>
      <c r="O779" s="73"/>
      <c r="P779" s="73"/>
      <c r="Q779" s="74"/>
      <c r="R779" s="79"/>
      <c r="S779" s="80"/>
      <c r="T779" s="81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79"/>
      <c r="AF779" s="80"/>
      <c r="AG779" s="81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/>
      <c r="B780" s="73"/>
      <c r="C780" s="73"/>
      <c r="D780" s="74"/>
      <c r="E780" s="79"/>
      <c r="F780" s="80"/>
      <c r="G780" s="81"/>
      <c r="H780" s="89"/>
      <c r="I780" s="118"/>
      <c r="J780" s="73"/>
      <c r="K780" s="122"/>
      <c r="L780" s="120"/>
      <c r="M780" s="121"/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/>
      <c r="B781" s="73"/>
      <c r="C781" s="73"/>
      <c r="D781" s="74"/>
      <c r="E781" s="79"/>
      <c r="F781" s="80"/>
      <c r="G781" s="81"/>
      <c r="H781" s="89"/>
      <c r="I781" s="118"/>
      <c r="J781" s="73"/>
      <c r="K781" s="122"/>
      <c r="L781" s="120"/>
      <c r="M781" s="121"/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/>
      <c r="B782" s="73"/>
      <c r="C782" s="73"/>
      <c r="D782" s="74"/>
      <c r="E782" s="79"/>
      <c r="F782" s="80"/>
      <c r="G782" s="81"/>
      <c r="H782" s="78"/>
      <c r="I782" s="118"/>
      <c r="J782" s="73"/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78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/>
      <c r="B783" s="73"/>
      <c r="C783" s="73"/>
      <c r="D783" s="74"/>
      <c r="E783" s="79"/>
      <c r="F783" s="80"/>
      <c r="G783" s="81"/>
      <c r="H783" s="78"/>
      <c r="I783" s="118"/>
      <c r="J783" s="73"/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/>
      <c r="B784" s="73"/>
      <c r="C784" s="73"/>
      <c r="D784" s="74"/>
      <c r="E784" s="79"/>
      <c r="F784" s="80"/>
      <c r="G784" s="81"/>
      <c r="H784" s="78"/>
      <c r="I784" s="118"/>
      <c r="J784" s="73"/>
      <c r="K784" s="122"/>
      <c r="L784" s="120"/>
      <c r="M784" s="121"/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/>
      <c r="B785" s="73"/>
      <c r="C785" s="73"/>
      <c r="D785" s="74"/>
      <c r="E785" s="79"/>
      <c r="F785" s="80"/>
      <c r="G785" s="81"/>
      <c r="H785" s="130"/>
      <c r="I785" s="118"/>
      <c r="J785" s="73"/>
      <c r="K785" s="122"/>
      <c r="L785" s="120"/>
      <c r="M785" s="121"/>
      <c r="N785" s="73"/>
      <c r="O785" s="73"/>
      <c r="P785" s="73"/>
      <c r="Q785" s="74"/>
      <c r="R785" s="79"/>
      <c r="S785" s="80"/>
      <c r="T785" s="81"/>
      <c r="U785" s="89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/>
      <c r="B786" s="73"/>
      <c r="C786" s="73"/>
      <c r="D786" s="74"/>
      <c r="E786" s="79"/>
      <c r="F786" s="80"/>
      <c r="G786" s="81"/>
      <c r="H786" s="130"/>
      <c r="I786" s="118"/>
      <c r="J786" s="73"/>
      <c r="K786" s="122"/>
      <c r="L786" s="120"/>
      <c r="M786" s="121"/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/>
      <c r="B787" s="73"/>
      <c r="C787" s="73"/>
      <c r="D787" s="74"/>
      <c r="E787" s="79"/>
      <c r="F787" s="80"/>
      <c r="G787" s="81"/>
      <c r="H787" s="130"/>
      <c r="I787" s="118"/>
      <c r="J787" s="73"/>
      <c r="K787" s="122"/>
      <c r="L787" s="120"/>
      <c r="M787" s="121"/>
      <c r="N787" s="73"/>
      <c r="O787" s="73"/>
      <c r="P787" s="73"/>
      <c r="Q787" s="74"/>
      <c r="R787" s="79"/>
      <c r="S787" s="80"/>
      <c r="T787" s="81"/>
      <c r="U787" s="78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78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/>
      <c r="B788" s="73"/>
      <c r="C788" s="73"/>
      <c r="D788" s="74"/>
      <c r="E788" s="79"/>
      <c r="F788" s="80"/>
      <c r="G788" s="81"/>
      <c r="H788" s="89"/>
      <c r="I788" s="118"/>
      <c r="J788" s="73"/>
      <c r="K788" s="122"/>
      <c r="L788" s="120"/>
      <c r="M788" s="121"/>
      <c r="N788" s="73"/>
      <c r="O788" s="73"/>
      <c r="P788" s="73"/>
      <c r="Q788" s="74"/>
      <c r="R788" s="79"/>
      <c r="S788" s="80"/>
      <c r="T788" s="81"/>
      <c r="U788" s="89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89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/>
      <c r="B789" s="73"/>
      <c r="C789" s="73"/>
      <c r="D789" s="74"/>
      <c r="E789" s="79"/>
      <c r="F789" s="80"/>
      <c r="G789" s="81"/>
      <c r="H789" s="78"/>
      <c r="I789" s="118"/>
      <c r="J789" s="73"/>
      <c r="K789" s="122"/>
      <c r="L789" s="120"/>
      <c r="M789" s="121"/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/>
      <c r="B790" s="73"/>
      <c r="C790" s="73"/>
      <c r="D790" s="74"/>
      <c r="E790" s="79"/>
      <c r="F790" s="80"/>
      <c r="G790" s="81"/>
      <c r="H790" s="78"/>
      <c r="I790" s="118"/>
      <c r="J790" s="73"/>
      <c r="K790" s="122"/>
      <c r="L790" s="120"/>
      <c r="M790" s="121"/>
      <c r="N790" s="73"/>
      <c r="O790" s="73"/>
      <c r="P790" s="73"/>
      <c r="Q790" s="74"/>
      <c r="R790" s="79"/>
      <c r="S790" s="80"/>
      <c r="T790" s="81"/>
      <c r="U790" s="78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/>
      <c r="B791" s="73"/>
      <c r="C791" s="73"/>
      <c r="D791" s="74"/>
      <c r="E791" s="79"/>
      <c r="F791" s="80"/>
      <c r="G791" s="81"/>
      <c r="H791" s="78"/>
      <c r="I791" s="118"/>
      <c r="J791" s="73"/>
      <c r="K791" s="122"/>
      <c r="L791" s="120"/>
      <c r="M791" s="121"/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/>
      <c r="B792" s="73"/>
      <c r="C792" s="73"/>
      <c r="D792" s="74"/>
      <c r="E792" s="79"/>
      <c r="F792" s="80"/>
      <c r="G792" s="81"/>
      <c r="H792" s="78"/>
      <c r="I792" s="118"/>
      <c r="J792" s="73"/>
      <c r="K792" s="122"/>
      <c r="L792" s="120"/>
      <c r="M792" s="121"/>
      <c r="N792" s="73"/>
      <c r="O792" s="73"/>
      <c r="P792" s="73"/>
      <c r="Q792" s="74"/>
      <c r="R792" s="79"/>
      <c r="S792" s="80"/>
      <c r="T792" s="81"/>
      <c r="U792" s="89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/>
      <c r="B793" s="73"/>
      <c r="C793" s="73"/>
      <c r="D793" s="74"/>
      <c r="E793" s="79"/>
      <c r="F793" s="80"/>
      <c r="G793" s="81"/>
      <c r="H793" s="78"/>
      <c r="I793" s="118"/>
      <c r="J793" s="73"/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78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/>
      <c r="B794" s="73"/>
      <c r="C794" s="73"/>
      <c r="D794" s="74"/>
      <c r="E794" s="79"/>
      <c r="F794" s="80"/>
      <c r="G794" s="81"/>
      <c r="H794" s="78"/>
      <c r="I794" s="118"/>
      <c r="J794" s="73"/>
      <c r="K794" s="122"/>
      <c r="L794" s="120"/>
      <c r="M794" s="121"/>
      <c r="N794" s="73"/>
      <c r="O794" s="73"/>
      <c r="P794" s="73"/>
      <c r="Q794" s="74"/>
      <c r="R794" s="79"/>
      <c r="S794" s="80"/>
      <c r="T794" s="81"/>
      <c r="U794" s="89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130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130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ht="22.5" spans="1:52">
      <c r="A798" s="73"/>
      <c r="B798" s="73"/>
      <c r="C798" s="73"/>
      <c r="D798" s="258"/>
      <c r="E798" s="79"/>
      <c r="F798" s="80"/>
      <c r="G798" s="81"/>
      <c r="H798" s="130"/>
      <c r="I798" s="118"/>
      <c r="J798" s="73"/>
      <c r="K798" s="122"/>
      <c r="L798" s="120"/>
      <c r="M798" s="121"/>
      <c r="N798" s="73"/>
      <c r="O798" s="73"/>
      <c r="P798" s="73"/>
      <c r="Q798" s="258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258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spans="1:52">
      <c r="A799" s="73"/>
      <c r="B799" s="73"/>
      <c r="C799" s="73"/>
      <c r="D799" s="74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74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74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89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82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89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9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/>
      <c r="C804" s="73"/>
      <c r="D804" s="74"/>
      <c r="E804" s="79"/>
      <c r="F804" s="80"/>
      <c r="G804" s="81"/>
      <c r="H804" s="89"/>
      <c r="I804" s="118"/>
      <c r="J804" s="73"/>
      <c r="K804" s="122"/>
      <c r="L804" s="120"/>
      <c r="M804" s="121"/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2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9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130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78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78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89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89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78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78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89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89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78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89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106"/>
      <c r="F834" s="107"/>
      <c r="G834" s="108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79"/>
      <c r="F835" s="80"/>
      <c r="G835" s="81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106"/>
      <c r="F837" s="107"/>
      <c r="G837" s="108"/>
      <c r="H837" s="130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79"/>
      <c r="F838" s="80"/>
      <c r="G838" s="81"/>
      <c r="H838" s="89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73"/>
      <c r="AP841" s="73"/>
      <c r="AQ841" s="74"/>
      <c r="AR841" s="79"/>
      <c r="AS841" s="80"/>
      <c r="AT841" s="81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152"/>
      <c r="AP842" s="152"/>
      <c r="AQ842" s="105"/>
      <c r="AR842" s="106"/>
      <c r="AS842" s="107"/>
      <c r="AT842" s="108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130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89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78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78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89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89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269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130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130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152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89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78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89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78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130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130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89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89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78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78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89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89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2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9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78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ht="68" customHeight="1" spans="1:52">
      <c r="A883" s="73"/>
      <c r="B883" s="73"/>
      <c r="C883" s="73"/>
      <c r="D883" s="74"/>
      <c r="E883" s="79"/>
      <c r="F883" s="80"/>
      <c r="G883" s="81"/>
      <c r="H883" s="130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130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130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27" customHeight="1" spans="1:52">
      <c r="A884" s="73"/>
      <c r="B884" s="73"/>
      <c r="C884" s="73"/>
      <c r="D884" s="74"/>
      <c r="E884" s="79"/>
      <c r="F884" s="80"/>
      <c r="G884" s="81"/>
      <c r="H884" s="78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78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78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spans="1:52">
      <c r="A885" s="73"/>
      <c r="B885" s="73"/>
      <c r="C885" s="73"/>
      <c r="D885" s="74"/>
      <c r="E885" s="79"/>
      <c r="F885" s="80"/>
      <c r="G885" s="81"/>
      <c r="H885" s="130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89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89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78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89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73"/>
      <c r="AP887" s="73"/>
      <c r="AQ887" s="74"/>
      <c r="AR887" s="106"/>
      <c r="AS887" s="107"/>
      <c r="AT887" s="108"/>
      <c r="AU887" s="82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130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130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152"/>
      <c r="AP888" s="152"/>
      <c r="AQ888" s="105"/>
      <c r="AR888" s="106"/>
      <c r="AS888" s="107"/>
      <c r="AT888" s="108"/>
      <c r="AU888" s="89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78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78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89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89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130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78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78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78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89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89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83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130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130"/>
      <c r="AI899" s="118"/>
      <c r="AJ899" s="73"/>
      <c r="AK899" s="119"/>
      <c r="AL899" s="120"/>
      <c r="AM899" s="121"/>
      <c r="AN899" s="152"/>
      <c r="AO899" s="73"/>
      <c r="AP899" s="73"/>
      <c r="AQ899" s="74"/>
      <c r="AR899" s="79"/>
      <c r="AS899" s="80"/>
      <c r="AT899" s="81"/>
      <c r="AU899" s="82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9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89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89"/>
      <c r="AI900" s="118"/>
      <c r="AJ900" s="73"/>
      <c r="AK900" s="119"/>
      <c r="AL900" s="120"/>
      <c r="AM900" s="121"/>
      <c r="AN900" s="152"/>
      <c r="AO900" s="152"/>
      <c r="AP900" s="152"/>
      <c r="AQ900" s="105"/>
      <c r="AR900" s="106"/>
      <c r="AS900" s="107"/>
      <c r="AT900" s="108"/>
      <c r="AU900" s="89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78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78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78"/>
      <c r="AI903" s="118"/>
      <c r="AJ903" s="73"/>
      <c r="AK903" s="119"/>
      <c r="AL903" s="120"/>
      <c r="AM903" s="121"/>
      <c r="AN903" s="152"/>
      <c r="AO903" s="73"/>
      <c r="AP903" s="73"/>
      <c r="AQ903" s="74"/>
      <c r="AR903" s="79"/>
      <c r="AS903" s="80"/>
      <c r="AT903" s="81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130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250"/>
      <c r="V904" s="229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130"/>
      <c r="AI904" s="118"/>
      <c r="AJ904" s="73"/>
      <c r="AK904" s="119"/>
      <c r="AL904" s="120"/>
      <c r="AM904" s="121"/>
      <c r="AN904" s="152"/>
      <c r="AO904" s="152"/>
      <c r="AP904" s="152"/>
      <c r="AQ904" s="105"/>
      <c r="AR904" s="106"/>
      <c r="AS904" s="107"/>
      <c r="AT904" s="108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89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89"/>
      <c r="V905" s="118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89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78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89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78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78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78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89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89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78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130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130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89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89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G916" s="81"/>
      <c r="H916" s="130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89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78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89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106"/>
      <c r="F924" s="107"/>
      <c r="G924" s="108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79"/>
      <c r="F925" s="80"/>
      <c r="G925" s="81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78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78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78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89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89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78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78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89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89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89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78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78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78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89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89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78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78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89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89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89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78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130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78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89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78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89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ht="52" customHeight="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130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89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78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89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130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130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130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78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78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89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89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89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273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130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ht="21" customHeight="1" spans="1:52">
      <c r="A964" s="73"/>
      <c r="B964" s="73"/>
      <c r="C964" s="73"/>
      <c r="D964" s="74"/>
      <c r="E964" s="79"/>
      <c r="F964" s="80"/>
      <c r="G964" s="81"/>
      <c r="H964" s="89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89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ht="53" customHeight="1" spans="1:52">
      <c r="A973" s="73"/>
      <c r="B973" s="73"/>
      <c r="C973" s="73"/>
      <c r="D973" s="74"/>
      <c r="E973" s="79"/>
      <c r="F973" s="80"/>
      <c r="G973" s="81"/>
      <c r="H973" s="130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130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130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spans="1:52">
      <c r="A974" s="73"/>
      <c r="B974" s="73"/>
      <c r="C974" s="73"/>
      <c r="D974" s="74"/>
      <c r="E974" s="79"/>
      <c r="F974" s="80"/>
      <c r="G974" s="81"/>
      <c r="H974" s="89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89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89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78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89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80"/>
      <c r="G977" s="81"/>
      <c r="H977" s="130"/>
      <c r="I977" s="118"/>
      <c r="J977" s="73"/>
      <c r="K977" s="122"/>
      <c r="L977" s="120"/>
      <c r="M977" s="121"/>
      <c r="N977" s="73"/>
      <c r="O977" s="73"/>
      <c r="P977" s="73"/>
      <c r="Q977" s="74"/>
      <c r="R977" s="274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79"/>
      <c r="F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79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78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130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130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89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89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78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78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78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130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130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82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9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89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89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130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89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130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130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130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89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89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89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130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78"/>
      <c r="V1009" s="15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82"/>
      <c r="V1010" s="11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78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9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78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89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89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78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89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130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78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130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130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130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89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89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89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130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130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89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130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130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89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89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89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130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89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ht="50" customHeight="1" spans="1:52">
      <c r="A1045" s="73"/>
      <c r="B1045" s="73"/>
      <c r="C1045" s="73"/>
      <c r="D1045" s="74"/>
      <c r="E1045" s="79"/>
      <c r="F1045" s="80"/>
      <c r="G1045" s="81"/>
      <c r="H1045" s="130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130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spans="1:52">
      <c r="A1046" s="73"/>
      <c r="B1046" s="73"/>
      <c r="C1046" s="73"/>
      <c r="D1046" s="74"/>
      <c r="E1046" s="79"/>
      <c r="F1046" s="80"/>
      <c r="G1046" s="81"/>
      <c r="H1046" s="78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78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147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89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78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78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89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89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2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9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78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130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78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78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89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130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130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204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89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56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256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89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256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106"/>
      <c r="F1066" s="107"/>
      <c r="G1066" s="108"/>
      <c r="H1066" s="89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106"/>
      <c r="S1066" s="107"/>
      <c r="T1066" s="108"/>
      <c r="U1066" s="89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79"/>
      <c r="F1067" s="80"/>
      <c r="G1067" s="81"/>
      <c r="H1067" s="78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79"/>
      <c r="S1067" s="80"/>
      <c r="T1067" s="81"/>
      <c r="U1067" s="78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78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89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89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89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78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78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89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89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2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78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78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130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89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78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78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89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89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2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9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130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130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130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82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89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89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9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2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78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9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89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78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78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89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89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275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275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275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5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74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74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152"/>
      <c r="C1119" s="194"/>
      <c r="D1119" s="190"/>
      <c r="E1119" s="79"/>
      <c r="F1119" s="80"/>
      <c r="G1119" s="81"/>
      <c r="H1119" s="130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73"/>
      <c r="C1120" s="73"/>
      <c r="D1120" s="275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5"/>
      <c r="E1121" s="79"/>
      <c r="F1121" s="80"/>
      <c r="G1121" s="81"/>
      <c r="H1121" s="89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5"/>
      <c r="E1122" s="79"/>
      <c r="F1122" s="80"/>
      <c r="G1122" s="81"/>
      <c r="H1122" s="130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5"/>
      <c r="E1123" s="79"/>
      <c r="F1123" s="80"/>
      <c r="G1123" s="81"/>
      <c r="H1123" s="89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5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275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275"/>
      <c r="AE1124" s="79"/>
      <c r="AF1124" s="80"/>
      <c r="AG1124" s="81"/>
      <c r="AH1124" s="82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74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74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74"/>
      <c r="AE1125" s="79"/>
      <c r="AF1125" s="80"/>
      <c r="AG1125" s="81"/>
      <c r="AH1125" s="89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78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89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78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78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89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89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130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89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78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78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89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78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89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78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78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256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89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89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78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89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147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89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78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130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147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2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78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78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78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89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89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130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78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78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78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89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89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89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78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89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78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78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89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89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78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89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78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78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89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89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78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89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130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147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89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78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78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130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130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82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89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78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78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89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89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130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89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78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78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89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89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2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78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9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82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2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9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11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2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130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89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78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78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89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78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89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89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78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89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89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82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78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89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82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78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9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89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78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89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78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89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89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78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78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89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2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78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9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276"/>
      <c r="E1305" s="79"/>
      <c r="F1305" s="80"/>
      <c r="G1305" s="81"/>
      <c r="H1305" s="89"/>
      <c r="I1305" s="118"/>
      <c r="J1305" s="73"/>
      <c r="K1305" s="122"/>
      <c r="L1305" s="120"/>
      <c r="M1305" s="121"/>
      <c r="N1305" s="73"/>
      <c r="O1305" s="73"/>
      <c r="P1305" s="73"/>
      <c r="Q1305" s="276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74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89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78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110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9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47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78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130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89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ht="38" customHeight="1" spans="1:52">
      <c r="A1322" s="73"/>
      <c r="B1322" s="73"/>
      <c r="C1322" s="73"/>
      <c r="D1322" s="74"/>
      <c r="E1322" s="79"/>
      <c r="F1322" s="80"/>
      <c r="G1322" s="81"/>
      <c r="H1322" s="130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42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89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89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78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89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78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89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89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78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78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147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89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89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78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89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78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89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78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89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78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89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89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78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89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78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89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78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89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78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89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78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78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82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89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9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78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89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78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89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130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78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89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89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78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89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78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130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89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78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89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130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2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78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78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89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106"/>
      <c r="F1457" s="107"/>
      <c r="G1457" s="108"/>
      <c r="H1457" s="89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79"/>
      <c r="F1458" s="80"/>
      <c r="G1458" s="81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78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89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2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78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9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78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89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78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89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130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2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9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78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89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2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9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130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2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89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9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130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2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9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78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82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9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130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2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89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9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78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89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89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82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ht="30" customHeight="1" spans="1:52">
      <c r="A1550" s="73"/>
      <c r="B1550" s="73"/>
      <c r="C1550" s="73"/>
      <c r="D1550" s="74"/>
      <c r="E1550" s="79"/>
      <c r="F1550" s="80"/>
      <c r="G1550" s="81"/>
      <c r="H1550" s="89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29" customHeight="1" spans="1:52">
      <c r="A1551" s="73"/>
      <c r="B1551" s="73"/>
      <c r="C1551" s="73"/>
      <c r="D1551" s="74"/>
      <c r="E1551" s="79"/>
      <c r="F1551" s="80"/>
      <c r="G1551" s="81"/>
      <c r="H1551" s="130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spans="1:52">
      <c r="A1552" s="73"/>
      <c r="B1552" s="73"/>
      <c r="C1552" s="73"/>
      <c r="D1552" s="74"/>
      <c r="E1552" s="79"/>
      <c r="F1552" s="80"/>
      <c r="G1552" s="81"/>
      <c r="H1552" s="78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130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89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2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9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82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9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89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78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89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89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78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130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78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83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9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89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78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89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106"/>
      <c r="F1600" s="107"/>
      <c r="G1600" s="108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130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130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130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78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78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1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9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130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267"/>
      <c r="Z1668" s="79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77"/>
      <c r="Z1669" s="183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67"/>
      <c r="Z1670" s="79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77"/>
      <c r="Z1671" s="183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67"/>
      <c r="Z1672" s="79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77"/>
      <c r="Z1673" s="183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67"/>
      <c r="Z1674" s="79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89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77"/>
      <c r="Z1675" s="183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67"/>
      <c r="Z1676" s="79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77"/>
      <c r="Z1677" s="183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67"/>
      <c r="Z1678" s="79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77"/>
      <c r="Z1679" s="183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67"/>
      <c r="Z1680" s="79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89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77"/>
      <c r="Z1681" s="183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67"/>
      <c r="Z1682" s="79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77"/>
      <c r="Z1683" s="183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78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67"/>
      <c r="Z1684" s="79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77"/>
      <c r="Z1685" s="183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89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3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77"/>
      <c r="Z1687" s="183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7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67"/>
      <c r="Z1689" s="79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77"/>
      <c r="Z1690" s="183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89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67"/>
      <c r="Z1691" s="79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78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77"/>
      <c r="Z1692" s="183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77"/>
      <c r="Z1694" s="183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83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7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78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67"/>
      <c r="Z1696" s="79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77"/>
      <c r="Z1697" s="183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119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67"/>
      <c r="Z1698" s="79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77"/>
      <c r="Z1699" s="183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8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67"/>
      <c r="Z1700" s="79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77"/>
      <c r="Z1701" s="183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67"/>
      <c r="Z1702" s="79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77"/>
      <c r="Z1703" s="183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67"/>
      <c r="Z1704" s="79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77"/>
      <c r="Z1705" s="183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67"/>
      <c r="Z1706" s="79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77"/>
      <c r="Z1707" s="183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89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77"/>
      <c r="Z1709" s="183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7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67"/>
      <c r="Z1711" s="79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2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77"/>
      <c r="Z1712" s="183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67"/>
      <c r="Z1713" s="79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77"/>
      <c r="Z1714" s="183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78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67"/>
      <c r="Z1715" s="79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89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77"/>
      <c r="Z1716" s="183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67"/>
      <c r="Z1717" s="79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89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77"/>
      <c r="Z1718" s="183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67"/>
      <c r="Z1719" s="79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77"/>
      <c r="Z1720" s="183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130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67"/>
      <c r="Z1721" s="79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78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77"/>
      <c r="Z1722" s="183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67"/>
      <c r="Z1723" s="79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77"/>
      <c r="Z1724" s="183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67"/>
      <c r="Z1725" s="79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77"/>
      <c r="Z1726" s="183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67"/>
      <c r="Z1727" s="79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77"/>
      <c r="Z1728" s="183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67"/>
      <c r="Z1729" s="79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77"/>
      <c r="Z1730" s="183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67"/>
      <c r="Z1731" s="79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77"/>
      <c r="Z1732" s="183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K1733" s="122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67"/>
      <c r="Z1733" s="79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77"/>
      <c r="Z1734" s="183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67"/>
      <c r="Z1735" s="79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77"/>
      <c r="Z1736" s="183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67"/>
      <c r="Z1737" s="79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78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77"/>
      <c r="Z1738" s="183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77"/>
      <c r="Z1740" s="183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1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7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67"/>
      <c r="Z1742" s="79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77"/>
      <c r="Z1743" s="183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67"/>
      <c r="Z1744" s="79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77"/>
      <c r="Z1745" s="183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67"/>
      <c r="Z1746" s="79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78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77"/>
      <c r="Z1747" s="183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67"/>
      <c r="Z1748" s="79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77"/>
      <c r="Z1749" s="183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67"/>
      <c r="Z1750" s="79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77"/>
      <c r="Z1751" s="183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67"/>
      <c r="Z1752" s="79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77"/>
      <c r="Z1753" s="183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78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67"/>
      <c r="Z1754" s="79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82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77"/>
      <c r="Z1755" s="183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67"/>
      <c r="Z1756" s="79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77"/>
      <c r="Z1757" s="183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78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67"/>
      <c r="Z1758" s="79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77"/>
      <c r="Z1759" s="183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67"/>
      <c r="Z1760" s="79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82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77"/>
      <c r="Z1761" s="183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67"/>
      <c r="Z1762" s="79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77"/>
      <c r="Z1763" s="183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9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2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77"/>
      <c r="Z1765" s="183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7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67"/>
      <c r="Z1767" s="79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77"/>
      <c r="Z1768" s="183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82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67"/>
      <c r="Z1769" s="79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77"/>
      <c r="Z1770" s="183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7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7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7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7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7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7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7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7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7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7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7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78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7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7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7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7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7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7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7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7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7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7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7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82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7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7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7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7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7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7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78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7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7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7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7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7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7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7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7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78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7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7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7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7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7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7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82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7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7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7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7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7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7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7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7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7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7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7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213"/>
      <c r="I1824" s="278"/>
      <c r="J1824" s="123"/>
      <c r="K1824" s="279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7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0"/>
      <c r="H1825" s="98"/>
      <c r="I1825" s="280"/>
      <c r="J1825" s="281"/>
      <c r="K1825" s="282"/>
      <c r="L1825" s="283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7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104"/>
      <c r="I1826" s="280"/>
      <c r="J1826" s="281"/>
      <c r="K1826" s="284"/>
      <c r="L1826" s="120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7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0"/>
      <c r="J1827" s="281"/>
      <c r="K1827" s="122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7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1"/>
      <c r="H1828" s="78"/>
      <c r="I1828" s="280"/>
      <c r="J1828" s="281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7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80"/>
      <c r="J1829" s="73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7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0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7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9"/>
      <c r="I1831" s="280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7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80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7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78"/>
      <c r="I1833" s="280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7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80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7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0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7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0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7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0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7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0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7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78"/>
      <c r="I1839" s="280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7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0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7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80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7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0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7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0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7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0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7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0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7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0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7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0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7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8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7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7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7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7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7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7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7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7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7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7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7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7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7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7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7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7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7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7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7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7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7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7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7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7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7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7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7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7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7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7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7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7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7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7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7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7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7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7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7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7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7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7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7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7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7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7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7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7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7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7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7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7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7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7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7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7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7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7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7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7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7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7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7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7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7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7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7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7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7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7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7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7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7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7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7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7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7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7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7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7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7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7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7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7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7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7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7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7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7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7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7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7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7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7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7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7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7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7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7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7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7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7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7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7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7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7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7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7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7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7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7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7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7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7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7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7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7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7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7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7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7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7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7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7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7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7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7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7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7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7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7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7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7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7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7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7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7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</sheetData>
  <autoFilter ref="A2:AZ694">
    <extLst/>
  </autoFilter>
  <mergeCells count="7486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E678:G678"/>
    <mergeCell ref="R678:T678"/>
    <mergeCell ref="AE678:AG678"/>
    <mergeCell ref="AR678:AT678"/>
    <mergeCell ref="E679:G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R693:T693"/>
    <mergeCell ref="AE693:AG693"/>
    <mergeCell ref="AR693:AT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E700:G700"/>
    <mergeCell ref="R700:T700"/>
    <mergeCell ref="AE700:AG700"/>
    <mergeCell ref="AR700:AT700"/>
    <mergeCell ref="E701:G701"/>
    <mergeCell ref="R701:T701"/>
    <mergeCell ref="AE701:AG701"/>
    <mergeCell ref="AR701:AT701"/>
    <mergeCell ref="E702:G702"/>
    <mergeCell ref="R702:T702"/>
    <mergeCell ref="AE702:AG702"/>
    <mergeCell ref="E703:G703"/>
    <mergeCell ref="R703:T703"/>
    <mergeCell ref="AE703:AG703"/>
    <mergeCell ref="AR703:AT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E771:G771"/>
    <mergeCell ref="R771:T771"/>
    <mergeCell ref="E772:G772"/>
    <mergeCell ref="R772:T772"/>
    <mergeCell ref="AE772:AG772"/>
    <mergeCell ref="AR772:A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AR781:AT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E801:G801"/>
    <mergeCell ref="R801:T801"/>
    <mergeCell ref="AE801:AG801"/>
    <mergeCell ref="AR801:AT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E838:G838"/>
    <mergeCell ref="R838:T838"/>
    <mergeCell ref="AE838:AG838"/>
    <mergeCell ref="AR838:AT838"/>
    <mergeCell ref="E839:G839"/>
    <mergeCell ref="E840:G840"/>
    <mergeCell ref="E841:G841"/>
    <mergeCell ref="R841:T841"/>
    <mergeCell ref="AE841:AG841"/>
    <mergeCell ref="AR841:AT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R904:T904"/>
    <mergeCell ref="AE904:AG904"/>
    <mergeCell ref="E905:G905"/>
    <mergeCell ref="R905:T905"/>
    <mergeCell ref="AE905:AG905"/>
    <mergeCell ref="AR905:AT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6:G916"/>
    <mergeCell ref="R916:T916"/>
    <mergeCell ref="AE916:AG916"/>
    <mergeCell ref="AR916:AT916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E1064:G1064"/>
    <mergeCell ref="E1065:G1065"/>
    <mergeCell ref="R1065:T1065"/>
    <mergeCell ref="E1066:G1066"/>
    <mergeCell ref="R1066:T1066"/>
    <mergeCell ref="E1067:G1067"/>
    <mergeCell ref="R1067:T1067"/>
    <mergeCell ref="E1068:G1068"/>
    <mergeCell ref="R1068:T1068"/>
    <mergeCell ref="AE1068:A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E1082:G1082"/>
    <mergeCell ref="R1082:T1082"/>
    <mergeCell ref="E1083:G1083"/>
    <mergeCell ref="R1083:T1083"/>
    <mergeCell ref="E1084:G1084"/>
    <mergeCell ref="R1084:T1084"/>
    <mergeCell ref="AE1084:AG1084"/>
    <mergeCell ref="E1085:G1085"/>
    <mergeCell ref="R1085:T1085"/>
    <mergeCell ref="E1086:G1086"/>
    <mergeCell ref="E1087:G1087"/>
    <mergeCell ref="R1087:T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AE1091:AG1091"/>
    <mergeCell ref="E1092:G1092"/>
    <mergeCell ref="E1093:G1093"/>
    <mergeCell ref="R1093:T1093"/>
    <mergeCell ref="E1094:G1094"/>
    <mergeCell ref="E1095:G1095"/>
    <mergeCell ref="E1096:G1096"/>
    <mergeCell ref="E1097:G1097"/>
    <mergeCell ref="R1097:T1097"/>
    <mergeCell ref="AE1097:AG1097"/>
    <mergeCell ref="AR1097:AT1097"/>
    <mergeCell ref="E1098:G1098"/>
    <mergeCell ref="R1098:T1098"/>
    <mergeCell ref="E1099:G1099"/>
    <mergeCell ref="E1100:G1100"/>
    <mergeCell ref="R1100:T1100"/>
    <mergeCell ref="AE1100:AG1100"/>
    <mergeCell ref="AR1100:AT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E1105:G1105"/>
    <mergeCell ref="R1105:T1105"/>
    <mergeCell ref="AE1105:AG1105"/>
    <mergeCell ref="AR1105:AT1105"/>
    <mergeCell ref="E1106:G1106"/>
    <mergeCell ref="E1107:G1107"/>
    <mergeCell ref="E1108:G1108"/>
    <mergeCell ref="E1109:G1109"/>
    <mergeCell ref="E1110:G1110"/>
    <mergeCell ref="E1111:G1111"/>
    <mergeCell ref="R1111:T1111"/>
    <mergeCell ref="E1112:G1112"/>
    <mergeCell ref="R1112:T1112"/>
    <mergeCell ref="E1113:G1113"/>
    <mergeCell ref="E1114:G1114"/>
    <mergeCell ref="R1114:T1114"/>
    <mergeCell ref="E1115:G1115"/>
    <mergeCell ref="E1116:G1116"/>
    <mergeCell ref="E1117:G1117"/>
    <mergeCell ref="R1117:T1117"/>
    <mergeCell ref="AE1117:AG1117"/>
    <mergeCell ref="E1118:G1118"/>
    <mergeCell ref="E1119:G1119"/>
    <mergeCell ref="E1120:G1120"/>
    <mergeCell ref="E1121:G1121"/>
    <mergeCell ref="E1122:G1122"/>
    <mergeCell ref="E1123:G1123"/>
    <mergeCell ref="E1124:G1124"/>
    <mergeCell ref="R1124:T1124"/>
    <mergeCell ref="AE1124:AG1124"/>
    <mergeCell ref="E1125:G1125"/>
    <mergeCell ref="E1126:G1126"/>
    <mergeCell ref="E1127:G1127"/>
    <mergeCell ref="R1127:T1127"/>
    <mergeCell ref="E1128:G1128"/>
    <mergeCell ref="E1129:G1129"/>
    <mergeCell ref="E1130:G1130"/>
    <mergeCell ref="E1131:G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R1144:T1144"/>
    <mergeCell ref="E1145:G1145"/>
    <mergeCell ref="E1146:G1146"/>
    <mergeCell ref="E1147:G1147"/>
    <mergeCell ref="E1148:G1148"/>
    <mergeCell ref="E1149:G1149"/>
    <mergeCell ref="E1150:G1150"/>
    <mergeCell ref="R1150:T1150"/>
    <mergeCell ref="AE1150:AG1150"/>
    <mergeCell ref="AR1150:AT1150"/>
    <mergeCell ref="E1151:G1151"/>
    <mergeCell ref="R1151:T1151"/>
    <mergeCell ref="AE1151:AG1151"/>
    <mergeCell ref="AR1151:AT1151"/>
    <mergeCell ref="E1152:G1152"/>
    <mergeCell ref="E1153:G1153"/>
    <mergeCell ref="R1153: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E1156:G1156"/>
    <mergeCell ref="R1156:T1156"/>
    <mergeCell ref="AE1156:A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E1651:G1651"/>
    <mergeCell ref="E1652:G1652"/>
    <mergeCell ref="E1653:G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</mergeCells>
  <conditionalFormatting sqref="Z43">
    <cfRule type="cellIs" dxfId="0" priority="30" operator="lessThan">
      <formula>30</formula>
    </cfRule>
  </conditionalFormatting>
  <conditionalFormatting sqref="Z44">
    <cfRule type="cellIs" dxfId="0" priority="31" operator="lessThan">
      <formula>30</formula>
    </cfRule>
  </conditionalFormatting>
  <conditionalFormatting sqref="Z588">
    <cfRule type="cellIs" dxfId="0" priority="22" operator="lessThan">
      <formula>30</formula>
    </cfRule>
  </conditionalFormatting>
  <conditionalFormatting sqref="M632">
    <cfRule type="cellIs" dxfId="0" priority="1" operator="lessThan">
      <formula>30</formula>
    </cfRule>
  </conditionalFormatting>
  <conditionalFormatting sqref="M708">
    <cfRule type="cellIs" dxfId="0" priority="78" operator="lessThan">
      <formula>30</formula>
    </cfRule>
  </conditionalFormatting>
  <conditionalFormatting sqref="M711">
    <cfRule type="cellIs" dxfId="0" priority="51" operator="lessThan">
      <formula>30</formula>
    </cfRule>
  </conditionalFormatting>
  <conditionalFormatting sqref="M713">
    <cfRule type="cellIs" dxfId="0" priority="63" operator="lessThan">
      <formula>30</formula>
    </cfRule>
  </conditionalFormatting>
  <conditionalFormatting sqref="M727">
    <cfRule type="cellIs" dxfId="0" priority="73" operator="lessThan">
      <formula>30</formula>
    </cfRule>
  </conditionalFormatting>
  <conditionalFormatting sqref="M1570">
    <cfRule type="cellIs" dxfId="0" priority="21" operator="lessThan">
      <formula>30</formula>
    </cfRule>
  </conditionalFormatting>
  <conditionalFormatting sqref="M1003:M1013">
    <cfRule type="cellIs" dxfId="0" priority="32" operator="lessThan">
      <formula>30</formula>
    </cfRule>
  </conditionalFormatting>
  <conditionalFormatting sqref="Z3:Z4">
    <cfRule type="cellIs" dxfId="0" priority="4" operator="lessThan">
      <formula>30</formula>
    </cfRule>
  </conditionalFormatting>
  <conditionalFormatting sqref="Z5:Z8">
    <cfRule type="cellIs" dxfId="0" priority="12" operator="lessThan">
      <formula>30</formula>
    </cfRule>
  </conditionalFormatting>
  <conditionalFormatting sqref="Z256:Z257">
    <cfRule type="cellIs" dxfId="0" priority="29" operator="lessThan">
      <formula>30</formula>
    </cfRule>
  </conditionalFormatting>
  <conditionalFormatting sqref="Z1668:Z1984">
    <cfRule type="cellIs" dxfId="0" priority="549" operator="lessThan">
      <formula>30</formula>
    </cfRule>
  </conditionalFormatting>
  <conditionalFormatting sqref="AM3:AM4">
    <cfRule type="cellIs" dxfId="0" priority="3" operator="lessThan">
      <formula>30</formula>
    </cfRule>
  </conditionalFormatting>
  <conditionalFormatting sqref="AM5:AM8">
    <cfRule type="cellIs" dxfId="0" priority="10" operator="lessThan">
      <formula>30</formula>
    </cfRule>
  </conditionalFormatting>
  <conditionalFormatting sqref="AM9:AM1984">
    <cfRule type="cellIs" dxfId="0" priority="27" operator="lessThan">
      <formula>30</formula>
    </cfRule>
  </conditionalFormatting>
  <conditionalFormatting sqref="AZ3:AZ4">
    <cfRule type="cellIs" dxfId="0" priority="2" operator="lessThan">
      <formula>30</formula>
    </cfRule>
  </conditionalFormatting>
  <conditionalFormatting sqref="AZ5:AZ8">
    <cfRule type="cellIs" dxfId="0" priority="8" operator="lessThan">
      <formula>30</formula>
    </cfRule>
  </conditionalFormatting>
  <conditionalFormatting sqref="AZ9:AZ1984">
    <cfRule type="cellIs" dxfId="0" priority="19" operator="lessThan">
      <formula>30</formula>
    </cfRule>
  </conditionalFormatting>
  <conditionalFormatting sqref="M3:M631 M633:M694">
    <cfRule type="cellIs" dxfId="0" priority="6" operator="lessThan">
      <formula>30</formula>
    </cfRule>
  </conditionalFormatting>
  <conditionalFormatting sqref="Z9:Z42 Z45:Z255 Z258:Z587 Z589:Z1667">
    <cfRule type="cellIs" dxfId="0" priority="34" operator="lessThan">
      <formula>30</formula>
    </cfRule>
  </conditionalFormatting>
  <conditionalFormatting sqref="M695:M707 M714:M726 M728:M1002 M709:M710 M712 M1014:M1569 M1571:M1984">
    <cfRule type="cellIs" dxfId="0" priority="25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5" max="51" man="1"/>
  </rowBreaks>
  <colBreaks count="2" manualBreakCount="2">
    <brk id="22" max="1943" man="1"/>
    <brk id="25" max="1943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1437</v>
      </c>
      <c r="B1" s="2"/>
      <c r="C1" s="3"/>
      <c r="D1" s="4" t="s">
        <v>1438</v>
      </c>
      <c r="E1" s="5"/>
      <c r="F1" s="6" t="s">
        <v>1439</v>
      </c>
      <c r="G1" s="6"/>
      <c r="H1" s="6"/>
      <c r="I1" s="35"/>
      <c r="J1" s="35"/>
      <c r="K1" s="35"/>
      <c r="L1" s="35"/>
      <c r="M1" s="3"/>
      <c r="N1" s="3"/>
      <c r="O1" s="36" t="s">
        <v>1440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1441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1442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1443</v>
      </c>
      <c r="D4" s="20"/>
      <c r="E4" s="21"/>
      <c r="F4" s="18" t="s">
        <v>1444</v>
      </c>
      <c r="G4" s="19" t="s">
        <v>1445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1446</v>
      </c>
      <c r="Q4" s="18" t="s">
        <v>1447</v>
      </c>
      <c r="R4" s="18" t="s">
        <v>10</v>
      </c>
      <c r="S4" s="18" t="s">
        <v>1448</v>
      </c>
    </row>
    <row r="5" spans="1:19">
      <c r="A5" s="22">
        <v>1</v>
      </c>
      <c r="B5" s="23" t="s">
        <v>27</v>
      </c>
      <c r="C5" s="24" t="s">
        <v>1449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1450</v>
      </c>
      <c r="Q5" s="52" t="s">
        <v>1451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1452</v>
      </c>
      <c r="C6" s="24" t="s">
        <v>1453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1454</v>
      </c>
      <c r="Q6" s="52" t="s">
        <v>1455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1456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1454</v>
      </c>
      <c r="Q7" s="52" t="s">
        <v>1457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1458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1454</v>
      </c>
      <c r="Q8" s="52" t="s">
        <v>1451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1454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1454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1454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1454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1454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2026-02-07T13:53:53Z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