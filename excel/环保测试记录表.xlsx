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总览表!$A$2:$AZ$829</definedName>
    <definedName name="_xlnm.Print_Area" localSheetId="0">总览表!$A$1:$AZ$1947</definedName>
  </definedNames>
  <calcPr calcId="144525"/>
</workbook>
</file>

<file path=xl/sharedStrings.xml><?xml version="1.0" encoding="utf-8"?>
<sst xmlns="http://schemas.openxmlformats.org/spreadsheetml/2006/main" count="4677" uniqueCount="1881">
  <si>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</si>
  <si>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</si>
  <si>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</si>
  <si>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</si>
  <si>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</si>
  <si>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</si>
  <si>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</si>
  <si>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</si>
  <si>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</si>
  <si>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</si>
  <si>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</si>
  <si>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</si>
  <si>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</si>
  <si>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</si>
  <si>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</si>
  <si>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</si>
  <si>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</si>
  <si>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</si>
  <si>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</si>
  <si>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</si>
  <si>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</si>
  <si>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</si>
  <si>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</si>
  <si>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</si>
  <si>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</si>
  <si>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</si>
  <si>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</si>
  <si>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</si>
  <si>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</si>
  <si>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</si>
  <si>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</si>
  <si>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</si>
  <si>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</si>
  <si>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</si>
  <si>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</si>
  <si>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</si>
  <si>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</si>
  <si>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</si>
  <si>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</si>
  <si>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</si>
  <si>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</si>
  <si>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</si>
  <si>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</si>
  <si>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</si>
  <si>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</si>
  <si>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</si>
  <si>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</si>
  <si>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</si>
  <si>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</si>
  <si>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</si>
  <si>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</si>
  <si>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</si>
  <si>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</si>
  <si>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</si>
  <si>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</si>
  <si>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</si>
  <si>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</si>
  <si>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</si>
  <si>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</si>
  <si>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</si>
  <si>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</si>
  <si>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</si>
  <si>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</si>
  <si>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</si>
  <si>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</si>
  <si>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</si>
  <si>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</si>
  <si>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</si>
  <si>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</si>
  <si>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</si>
  <si>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</si>
  <si>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</si>
  <si>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</si>
  <si>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</si>
  <si>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</si>
  <si>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</si>
  <si>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</si>
  <si>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</si>
  <si>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</si>
  <si>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</si>
  <si>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</si>
  <si>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</si>
  <si>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</si>
  <si>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</si>
  <si>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</si>
  <si>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</si>
  <si>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</si>
  <si>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</si>
  <si>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</si>
  <si>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</si>
  <si>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</si>
  <si>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</si>
  <si>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</si>
  <si>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</si>
  <si>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</si>
  <si>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</si>
  <si>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</si>
  <si>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</si>
  <si>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</si>
  <si>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</si>
  <si>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</si>
  <si>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</si>
  <si>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</si>
  <si>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</si>
  <si>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</si>
  <si>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</si>
  <si>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</si>
  <si>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</si>
  <si>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</si>
  <si>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</si>
  <si>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</si>
  <si>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</si>
  <si>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</si>
  <si>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</si>
  <si>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</si>
  <si>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</si>
  <si>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</si>
  <si>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</si>
  <si>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</si>
  <si>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</si>
  <si>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</si>
  <si>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</si>
  <si>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</si>
  <si>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</si>
  <si>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</si>
  <si>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</si>
  <si>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</si>
  <si>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</si>
  <si>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</si>
  <si>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</si>
  <si>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</si>
  <si>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</si>
  <si>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</si>
  <si>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</si>
  <si>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</si>
  <si>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</si>
  <si>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</si>
  <si>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</si>
  <si>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</si>
  <si>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</si>
  <si>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</si>
  <si>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</si>
  <si>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</si>
  <si>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</si>
  <si>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</si>
  <si>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</si>
  <si>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</si>
  <si>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</si>
  <si>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</si>
  <si>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</si>
  <si>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</si>
  <si>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</si>
  <si>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</si>
  <si>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</si>
  <si>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</si>
  <si>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</si>
  <si>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</si>
  <si>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</si>
  <si>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</si>
  <si>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</si>
  <si>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</si>
  <si>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</si>
  <si>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</si>
  <si>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</si>
  <si>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</si>
  <si>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</si>
  <si>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</si>
  <si>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</si>
  <si>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</si>
  <si>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</si>
  <si>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</si>
  <si>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</si>
  <si>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</si>
  <si>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</si>
  <si>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</si>
  <si>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</si>
  <si>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</si>
  <si>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</si>
  <si>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</si>
  <si>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</si>
  <si>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</si>
  <si>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</si>
  <si>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</si>
  <si>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</si>
  <si>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</si>
  <si>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</si>
  <si>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</si>
  <si>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</si>
  <si>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</si>
  <si>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</si>
  <si>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</si>
  <si>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</si>
  <si>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</si>
  <si>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</si>
  <si>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</si>
  <si>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</si>
  <si>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</si>
  <si>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</si>
  <si>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</si>
  <si>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</si>
  <si>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</si>
  <si>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</si>
  <si>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</si>
  <si>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</si>
  <si>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</si>
  <si>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</si>
  <si>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</si>
  <si>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</si>
  <si>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</si>
  <si>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</si>
  <si>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</si>
  <si>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</si>
  <si>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</si>
  <si>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</si>
  <si>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</si>
  <si>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</si>
  <si>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</si>
  <si>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</si>
  <si>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</si>
  <si>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</si>
  <si>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</si>
  <si>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</si>
  <si>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</si>
  <si>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</si>
  <si>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</si>
  <si>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</si>
  <si>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</si>
  <si>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</si>
  <si>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</si>
  <si>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</si>
  <si>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</si>
  <si>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</si>
  <si>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</si>
  <si>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</si>
  <si>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</si>
  <si>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</si>
  <si>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</si>
  <si>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</si>
  <si>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</si>
  <si>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</si>
  <si>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</si>
  <si>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</si>
  <si>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</si>
  <si>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</si>
  <si>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</si>
  <si>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</si>
  <si>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</si>
  <si>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</si>
  <si>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</si>
  <si>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</si>
  <si>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</si>
  <si>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</si>
  <si>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</si>
  <si>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</si>
  <si>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</si>
  <si>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</si>
  <si>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</si>
  <si>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</si>
  <si>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</si>
  <si>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</si>
  <si>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</si>
  <si>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</si>
  <si>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</si>
  <si>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</si>
  <si>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</si>
  <si>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</si>
  <si>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</si>
  <si>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</si>
  <si>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</si>
  <si>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</si>
  <si>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</si>
  <si>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</si>
  <si>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</si>
  <si>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</si>
  <si>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</si>
  <si>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</si>
  <si>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</si>
  <si>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</si>
  <si>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</si>
  <si>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</si>
  <si>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</si>
  <si>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</si>
  <si>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</si>
  <si>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</si>
  <si>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</si>
  <si>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</si>
  <si>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</si>
  <si>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</si>
  <si>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</si>
  <si>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</si>
  <si>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</si>
  <si>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</si>
  <si>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</si>
  <si>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</si>
  <si>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</si>
  <si>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</si>
  <si>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</si>
  <si>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</si>
  <si>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</si>
  <si>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</si>
  <si>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</si>
  <si>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</si>
  <si>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</si>
  <si>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</si>
  <si>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</si>
  <si>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</si>
  <si>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</si>
  <si>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</si>
  <si>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</si>
  <si>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</si>
  <si>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</si>
  <si>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</si>
  <si>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</si>
  <si>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</si>
  <si>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</si>
  <si>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</si>
  <si>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</si>
  <si>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</si>
  <si>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</si>
  <si>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</si>
  <si>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</si>
  <si>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</si>
  <si>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</si>
  <si>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</si>
  <si>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</si>
  <si>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</si>
  <si>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</si>
  <si>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</si>
  <si>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</si>
  <si>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</si>
  <si>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</si>
  <si>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</si>
  <si>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</si>
  <si>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</si>
  <si>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</si>
  <si>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</si>
  <si>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</si>
  <si>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</si>
  <si>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</si>
  <si>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</si>
  <si>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</si>
  <si>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</si>
  <si>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</si>
  <si>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</si>
  <si>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</si>
  <si>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</si>
  <si>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</si>
  <si>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</si>
  <si>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</si>
  <si>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</si>
  <si>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</si>
  <si>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</si>
  <si>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</si>
  <si>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</si>
  <si>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</si>
  <si>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</si>
  <si>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</si>
  <si>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</si>
  <si>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</si>
  <si>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</si>
  <si>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</si>
  <si>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</si>
  <si>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</si>
  <si>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</si>
  <si>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</si>
  <si>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</si>
  <si>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</si>
  <si>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</si>
  <si>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</si>
  <si>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</si>
  <si>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</si>
  <si>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</si>
  <si>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</si>
  <si>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</si>
  <si>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</si>
  <si>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</si>
  <si>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</si>
  <si>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</si>
  <si>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</si>
  <si>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</si>
  <si>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</si>
  <si>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</si>
  <si>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</si>
  <si>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</si>
  <si>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</si>
  <si>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</si>
  <si>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</si>
  <si>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</si>
  <si>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</si>
  <si>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</si>
  <si>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</si>
  <si>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</si>
  <si>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</si>
  <si>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</si>
  <si>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</si>
  <si>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</si>
  <si>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</si>
  <si>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</si>
  <si>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</si>
  <si>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</si>
  <si>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</si>
  <si>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</si>
  <si>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</si>
  <si>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</si>
  <si>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</si>
  <si>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</si>
  <si>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</si>
  <si>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</si>
  <si>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</si>
  <si>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</si>
  <si>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</si>
  <si>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</si>
  <si>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</si>
  <si>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</si>
  <si>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</si>
  <si>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</si>
  <si>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</si>
  <si>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</si>
  <si>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</si>
  <si>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</si>
  <si>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</si>
  <si>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</si>
  <si>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</si>
  <si>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</si>
  <si>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</si>
  <si>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</si>
  <si>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</si>
  <si>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</si>
  <si>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</si>
  <si>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</si>
  <si>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</si>
  <si>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</si>
  <si>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</si>
  <si>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</si>
  <si>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</si>
  <si>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</si>
  <si>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</si>
  <si>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</si>
  <si>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</si>
  <si>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</si>
  <si>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</si>
  <si>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</si>
  <si>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</si>
  <si>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</si>
  <si>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</si>
  <si>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</si>
  <si>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</si>
  <si>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</si>
  <si>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</si>
  <si>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</si>
  <si>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</si>
  <si>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</si>
  <si>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</si>
  <si>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</si>
  <si>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</si>
  <si>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</si>
  <si>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</si>
  <si>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</si>
  <si>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</si>
  <si>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</si>
  <si>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</si>
  <si>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</si>
  <si>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</si>
  <si>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</si>
  <si>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</si>
  <si>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</si>
  <si>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</si>
  <si>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</si>
  <si>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</si>
  <si>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</si>
  <si>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</si>
  <si>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</si>
  <si>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</si>
  <si>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</si>
  <si>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</si>
  <si>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</si>
  <si>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</si>
  <si>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</si>
  <si>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</si>
  <si>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</si>
  <si>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</si>
  <si>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</si>
  <si>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</si>
  <si>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</si>
  <si>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</si>
  <si>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</si>
  <si>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</si>
  <si>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</si>
  <si>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</si>
  <si>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</si>
  <si>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</si>
  <si>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</si>
  <si>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</si>
  <si>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</si>
  <si>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</si>
  <si>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</si>
  <si>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</si>
  <si>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</si>
  <si>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</si>
  <si>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</si>
  <si>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</si>
  <si>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</si>
  <si>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</si>
  <si>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</si>
  <si>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</si>
  <si>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</si>
  <si>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</si>
  <si>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</si>
  <si>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</si>
  <si>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</si>
  <si>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</si>
  <si>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</si>
  <si>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</si>
  <si>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</si>
  <si>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</si>
  <si>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</si>
  <si>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</si>
  <si>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</si>
  <si>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</si>
  <si>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</si>
  <si>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</si>
  <si>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</si>
  <si>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</si>
  <si>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</si>
  <si>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</si>
  <si>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</si>
  <si>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</si>
  <si>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</si>
  <si>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</si>
  <si>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</si>
  <si>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</si>
  <si>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</si>
  <si>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</si>
  <si>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</si>
  <si>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</si>
  <si>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</si>
  <si>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</si>
  <si>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</si>
  <si>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</si>
  <si>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</si>
  <si>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</si>
  <si>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</si>
  <si>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</si>
  <si>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</si>
  <si>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</si>
  <si>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</si>
  <si>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</si>
  <si>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</si>
  <si>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</si>
  <si>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</si>
  <si>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</si>
  <si>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</si>
  <si>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</si>
  <si>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</si>
  <si>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</si>
  <si>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</si>
  <si>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</si>
  <si>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</si>
  <si>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</si>
  <si>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</si>
  <si>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</si>
  <si>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</si>
  <si>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</si>
  <si>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</si>
  <si>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</si>
  <si>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</si>
  <si>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</si>
  <si>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</si>
  <si>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</si>
  <si>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</si>
  <si>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</si>
  <si>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</si>
  <si>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</si>
  <si>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</si>
  <si>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</si>
  <si>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</si>
  <si>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</si>
  <si>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</si>
  <si>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</si>
  <si>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</si>
  <si>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</si>
  <si>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</si>
  <si>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</si>
  <si>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</si>
  <si>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</si>
  <si>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</si>
  <si>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</si>
  <si>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</si>
  <si>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</si>
  <si>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</si>
  <si>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</si>
  <si>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</si>
  <si>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</si>
  <si>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</si>
  <si>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</si>
  <si>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</si>
  <si>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</si>
  <si>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</si>
  <si>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</si>
  <si>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</si>
  <si>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</si>
  <si>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</si>
  <si>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</si>
  <si>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</si>
  <si>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</si>
  <si>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</si>
  <si>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</si>
  <si>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</si>
  <si>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</si>
  <si>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</si>
  <si>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</si>
  <si>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</si>
  <si>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</si>
  <si>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</si>
  <si>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</si>
  <si>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</si>
  <si>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</si>
  <si>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</si>
  <si>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</si>
  <si>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</si>
  <si>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</si>
  <si>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</si>
  <si>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</si>
  <si>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</si>
  <si>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</si>
  <si>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</si>
  <si>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</si>
  <si>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</si>
  <si>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</si>
  <si>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</si>
  <si>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</si>
  <si>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</si>
  <si>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</si>
  <si>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</si>
  <si>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</si>
  <si>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</si>
  <si>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</si>
  <si>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</si>
  <si>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</si>
  <si>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</si>
  <si>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</si>
  <si>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</si>
  <si>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</si>
  <si>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</si>
  <si>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</si>
  <si>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</si>
  <si>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</si>
  <si>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</si>
  <si>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</si>
  <si>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</si>
  <si>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</si>
  <si>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</si>
  <si>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</si>
  <si>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</si>
  <si>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</si>
  <si>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</si>
  <si>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</si>
  <si>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</si>
  <si>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</si>
  <si>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</si>
  <si>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</si>
  <si>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</si>
  <si>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</si>
  <si>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</si>
  <si>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</si>
  <si>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</si>
  <si>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</si>
  <si>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</si>
  <si>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</si>
  <si>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</si>
  <si>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</si>
  <si>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</si>
  <si>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</si>
  <si>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</si>
  <si>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</si>
  <si>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</si>
  <si>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</si>
  <si>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</si>
  <si>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</si>
  <si>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</si>
  <si>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</si>
  <si>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</si>
  <si>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</si>
  <si>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</si>
  <si>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</si>
  <si>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</si>
  <si>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</si>
  <si>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</si>
  <si>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</si>
  <si>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</si>
  <si>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</si>
  <si>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</si>
  <si>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</si>
  <si>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</si>
  <si>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</si>
  <si>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</si>
  <si>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</si>
  <si>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</si>
  <si>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</si>
  <si>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</si>
  <si>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</si>
  <si>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</si>
  <si>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</si>
  <si>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</si>
  <si>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</si>
  <si>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</si>
  <si>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</si>
  <si>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</si>
  <si>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</si>
  <si>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</si>
  <si>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</si>
  <si>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</si>
  <si>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</si>
  <si>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</si>
  <si>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</si>
  <si>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</si>
  <si>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</si>
  <si>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</si>
  <si>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</si>
  <si>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</si>
  <si>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</si>
  <si>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</si>
  <si>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</si>
  <si>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</si>
  <si>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</si>
  <si>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</si>
  <si>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</si>
  <si>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</si>
  <si>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</si>
  <si>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</si>
  <si>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</si>
  <si>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</si>
  <si>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</si>
  <si>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</si>
  <si>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</si>
  <si>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</si>
  <si>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</si>
  <si>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</si>
  <si>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</si>
  <si>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</si>
  <si>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</si>
  <si>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</si>
  <si>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</si>
  <si>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</si>
  <si>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</si>
  <si>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</si>
  <si>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</si>
  <si>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</si>
  <si>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</si>
  <si>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</si>
  <si>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</si>
  <si>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</si>
  <si>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</si>
  <si>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</si>
  <si>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</si>
  <si>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</si>
  <si>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</si>
  <si>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</si>
  <si>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</si>
  <si>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</si>
  <si>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</si>
  <si>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</si>
  <si>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</si>
  <si>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</si>
  <si>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</si>
  <si>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</si>
  <si>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</si>
  <si>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</si>
  <si>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</si>
  <si>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</si>
  <si>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</si>
  <si>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</si>
  <si>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</si>
  <si>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</si>
  <si>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</si>
  <si>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</si>
  <si>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</si>
  <si>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</si>
  <si>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</si>
  <si>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</si>
  <si>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</si>
  <si>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</si>
  <si>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</si>
  <si>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</si>
  <si>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</si>
  <si>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</si>
  <si>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</si>
  <si>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</si>
  <si>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</si>
  <si>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</si>
  <si>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</si>
  <si>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</si>
  <si>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</si>
  <si>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</si>
  <si>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</si>
  <si>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</si>
  <si>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</si>
  <si>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</si>
  <si>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</si>
  <si>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</si>
  <si>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</si>
  <si>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</si>
  <si>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</si>
  <si>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</si>
  <si>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</si>
  <si>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</si>
  <si>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</si>
  <si>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</si>
  <si>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</si>
  <si>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</si>
  <si>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</si>
  <si>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</si>
  <si>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</si>
  <si>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</si>
  <si>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</si>
  <si>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</si>
  <si>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</si>
  <si>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</si>
  <si>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</si>
  <si>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</si>
  <si>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</si>
  <si>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</si>
  <si>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</si>
  <si>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</si>
  <si>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</si>
  <si>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</si>
  <si>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</si>
  <si>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</si>
  <si>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</si>
  <si>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</si>
  <si>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</si>
  <si>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</si>
  <si>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</si>
  <si>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</si>
  <si>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</si>
  <si>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</si>
  <si>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</si>
  <si>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</si>
  <si>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</si>
  <si>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</si>
  <si>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</si>
  <si>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</si>
  <si>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</si>
  <si>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</si>
  <si>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</si>
  <si>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</si>
  <si>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</si>
  <si>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</si>
  <si>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</si>
  <si>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</si>
  <si>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</si>
  <si>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</si>
  <si>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</si>
  <si>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</si>
  <si>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</si>
  <si>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</si>
  <si>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</si>
  <si>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</si>
  <si>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</si>
  <si>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</si>
  <si>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</si>
  <si>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</si>
  <si>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</si>
  <si>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</si>
  <si>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</si>
  <si>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</si>
  <si>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</si>
  <si>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</si>
  <si>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</si>
  <si>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</si>
  <si>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</si>
  <si>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</si>
  <si>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</si>
  <si>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</si>
  <si>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</si>
  <si>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</si>
  <si>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</si>
  <si>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</si>
  <si>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</si>
  <si>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</si>
  <si>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</si>
  <si>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</si>
  <si>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</si>
  <si>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</si>
  <si>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</si>
  <si>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</si>
  <si>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</si>
  <si>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</si>
  <si>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</si>
  <si>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</si>
  <si>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</si>
  <si>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</si>
  <si>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</si>
  <si>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</si>
  <si>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</si>
  <si>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</si>
  <si>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</si>
  <si>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</si>
  <si>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</si>
  <si>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</si>
  <si>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</si>
  <si>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</si>
  <si>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</si>
  <si>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</si>
  <si>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</si>
  <si>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</si>
  <si>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</si>
  <si>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</si>
  <si>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</si>
  <si>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</si>
  <si>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</si>
  <si>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</si>
  <si>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</si>
  <si>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</si>
  <si>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</si>
  <si>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</si>
  <si>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</si>
  <si>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</si>
  <si>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</si>
  <si>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</si>
  <si>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</si>
  <si>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</si>
  <si>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</si>
  <si>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</si>
  <si>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</si>
  <si>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</si>
  <si>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</si>
  <si>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</si>
  <si>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</si>
  <si>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</si>
  <si>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</si>
  <si>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</si>
  <si>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</si>
  <si>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</si>
  <si>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</si>
  <si>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</si>
  <si>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</si>
  <si>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</si>
  <si>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</si>
  <si>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</si>
  <si>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</si>
  <si>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</si>
  <si>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</si>
  <si>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</si>
  <si>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</si>
  <si>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</si>
  <si>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</si>
  <si>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</si>
  <si>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</si>
  <si>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</si>
  <si>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</si>
  <si>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</si>
  <si>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</si>
  <si>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</si>
  <si>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</si>
  <si>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</si>
  <si>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</si>
  <si>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</si>
  <si>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</si>
  <si>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</si>
  <si>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</si>
  <si>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</si>
  <si>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</si>
  <si>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</si>
  <si>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</si>
  <si>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</si>
  <si>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</si>
  <si>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</si>
  <si>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</si>
  <si>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</si>
  <si>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</si>
  <si>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</si>
  <si>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</si>
  <si>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</si>
  <si>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</si>
  <si>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</si>
  <si>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</si>
  <si>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</si>
  <si>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</si>
  <si>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</si>
  <si>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</si>
  <si>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</si>
  <si>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</si>
  <si>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</si>
  <si>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</si>
  <si>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</si>
  <si>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</si>
  <si>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</si>
  <si>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</si>
  <si>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</si>
  <si>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</si>
  <si>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</si>
  <si>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</si>
  <si>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</si>
  <si>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</si>
  <si>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</si>
  <si>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</si>
  <si>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</si>
  <si>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</si>
  <si>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</si>
  <si>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</si>
  <si>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</si>
  <si>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</si>
  <si>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</si>
  <si>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</si>
  <si>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</si>
  <si>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</si>
  <si>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</si>
  <si>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</si>
  <si>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</si>
  <si>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</si>
  <si>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</si>
  <si>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</si>
  <si>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</si>
  <si>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</si>
  <si>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</si>
  <si>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</si>
  <si>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</si>
  <si>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</si>
  <si>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</si>
  <si>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</si>
  <si>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</si>
  <si>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</si>
  <si>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</si>
  <si>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</si>
  <si>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</si>
  <si>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</si>
  <si>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</si>
  <si>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</si>
  <si>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</si>
  <si>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</si>
  <si>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</si>
  <si>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</si>
  <si>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</si>
  <si>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</si>
  <si>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</si>
  <si>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</si>
  <si>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</si>
  <si>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</si>
  <si>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</si>
  <si>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</si>
  <si>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</si>
  <si>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</si>
  <si>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</si>
  <si>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</si>
  <si>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</si>
  <si>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</si>
  <si>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</si>
  <si>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</si>
  <si>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</si>
  <si>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</si>
  <si>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</si>
  <si>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</si>
  <si>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</si>
  <si>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</si>
  <si>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</si>
  <si>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</si>
  <si>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</si>
  <si>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</si>
  <si>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</si>
  <si>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</si>
  <si>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</si>
  <si>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</si>
  <si>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</si>
  <si>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</si>
  <si>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</si>
  <si>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</si>
  <si>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</si>
  <si>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</si>
  <si>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</si>
  <si>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</si>
  <si>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</si>
  <si>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</si>
  <si>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</si>
  <si>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</si>
  <si>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</si>
  <si>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</si>
  <si>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</si>
  <si>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</si>
  <si>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</si>
  <si>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</si>
  <si>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</si>
  <si>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</si>
  <si>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</si>
  <si>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</si>
  <si>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</si>
  <si>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</si>
  <si>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</si>
  <si>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</si>
  <si>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</si>
  <si>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</si>
  <si>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</si>
  <si>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</si>
  <si>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</si>
  <si>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</si>
  <si>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</si>
  <si>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</si>
  <si>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</si>
  <si>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</si>
  <si>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</si>
  <si>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</si>
  <si>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</si>
  <si>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</si>
  <si>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</si>
  <si>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</si>
  <si>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</si>
  <si>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</si>
  <si>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</si>
  <si>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</si>
  <si>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</si>
  <si>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</si>
  <si>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</si>
  <si>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</si>
  <si>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</si>
  <si>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</si>
  <si>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</si>
  <si>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</si>
  <si>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</si>
  <si>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</si>
  <si>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</si>
  <si>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</si>
  <si>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</si>
  <si>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</si>
  <si>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</si>
  <si>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</si>
  <si>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</si>
  <si>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</si>
  <si>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</si>
  <si>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</si>
  <si>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</si>
  <si>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</si>
  <si>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</si>
  <si>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</si>
  <si>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</si>
  <si>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</si>
  <si>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</si>
  <si>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</si>
  <si>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</si>
  <si>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</si>
  <si>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</si>
  <si>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</si>
  <si>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</si>
  <si>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</si>
  <si>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</si>
  <si>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</si>
  <si>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</si>
  <si>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</si>
  <si>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</si>
  <si>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</si>
  <si>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</si>
  <si>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</si>
  <si>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</si>
  <si>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</si>
  <si>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</si>
  <si>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</si>
  <si>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</si>
  <si>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</si>
  <si>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</si>
  <si>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</si>
  <si>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</si>
  <si>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</si>
  <si>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</si>
  <si>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</si>
  <si>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</si>
  <si>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</si>
  <si>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</si>
  <si>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</si>
  <si>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</si>
  <si>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</si>
  <si>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</si>
  <si>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</si>
  <si>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</si>
  <si>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</si>
  <si>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</si>
  <si>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</si>
  <si>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</si>
  <si>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</si>
  <si>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</si>
  <si>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</si>
  <si>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</si>
  <si>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</si>
  <si>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</si>
  <si>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</si>
  <si>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</si>
  <si>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</si>
  <si>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</si>
  <si>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</si>
  <si>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</si>
  <si>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</si>
  <si>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</si>
  <si>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</si>
  <si>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</si>
  <si>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</si>
  <si>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</si>
  <si>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</si>
  <si>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</si>
  <si>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</si>
  <si>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</si>
  <si>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</si>
  <si>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</si>
  <si>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</si>
  <si>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</si>
  <si>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</si>
  <si>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</si>
  <si>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</si>
  <si>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</si>
  <si>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</si>
  <si>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</si>
  <si>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</si>
  <si>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</si>
  <si>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</si>
  <si>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</si>
  <si>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</si>
  <si>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</si>
  <si>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</si>
  <si>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</si>
  <si>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</si>
  <si>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</si>
  <si>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</si>
  <si>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</si>
  <si>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</si>
  <si>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</si>
  <si>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</si>
  <si>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</si>
  <si>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</si>
  <si>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</si>
  <si>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</si>
  <si>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</si>
  <si>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</si>
  <si>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</si>
  <si>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</si>
  <si>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</si>
  <si>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</si>
  <si>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</si>
  <si>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</si>
  <si>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</si>
  <si>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</si>
  <si>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</si>
  <si>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</si>
  <si>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</si>
  <si>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</si>
  <si>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</si>
  <si>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</si>
  <si>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</si>
  <si>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</si>
  <si>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</si>
  <si>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</si>
  <si>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</si>
  <si>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</si>
  <si>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</si>
  <si>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</si>
  <si>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</si>
  <si>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</si>
  <si>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</si>
  <si>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</si>
  <si>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</si>
  <si>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</si>
  <si>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</si>
  <si>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</si>
  <si>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</si>
  <si>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</si>
  <si>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</si>
  <si>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</si>
  <si>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</si>
  <si>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</si>
  <si>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</si>
  <si>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</si>
  <si>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</si>
  <si>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</si>
  <si>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</si>
  <si>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</si>
  <si>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</si>
  <si>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</si>
  <si>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</si>
  <si>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</si>
  <si>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</si>
  <si>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</si>
  <si>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</si>
  <si>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</si>
  <si>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</si>
  <si>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</si>
  <si>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</si>
  <si>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</si>
  <si>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</si>
  <si>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</si>
  <si>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</si>
  <si>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</si>
  <si>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</si>
  <si>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</si>
  <si>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</si>
  <si>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</si>
  <si>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</si>
  <si>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</si>
  <si>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</si>
  <si>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</si>
  <si>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</si>
  <si>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</si>
  <si>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</si>
  <si>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</si>
  <si>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</si>
  <si>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</si>
  <si>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</si>
  <si>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</si>
  <si>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</si>
  <si>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</si>
  <si>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</si>
  <si>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</si>
  <si>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</si>
  <si>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</si>
  <si>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</si>
  <si>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</si>
  <si>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</si>
  <si>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</si>
  <si>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</si>
  <si>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</si>
  <si>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</si>
  <si>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</si>
  <si>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</si>
  <si>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</si>
  <si>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</si>
  <si>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</si>
  <si>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</si>
  <si>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</si>
  <si>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</si>
  <si>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</si>
  <si>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</si>
  <si>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</si>
  <si>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</si>
  <si>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</si>
  <si>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</si>
  <si>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</si>
  <si>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</si>
  <si>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</si>
  <si>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</si>
  <si>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</si>
  <si>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</si>
  <si>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</si>
  <si>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</si>
  <si>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</si>
  <si>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</si>
  <si>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</si>
  <si>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</si>
  <si>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</si>
  <si>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</si>
  <si>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</si>
  <si>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</si>
  <si>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</si>
  <si>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</si>
  <si>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</si>
  <si>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</si>
  <si>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</si>
  <si>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</si>
  <si>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</si>
  <si>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</si>
  <si>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</si>
  <si>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</si>
  <si>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</si>
  <si>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</si>
  <si>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</si>
  <si>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</si>
  <si>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</si>
  <si>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</si>
  <si>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</si>
  <si>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</si>
  <si>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</si>
  <si>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</si>
  <si>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</si>
  <si>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</si>
  <si>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</si>
  <si>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</si>
  <si>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</si>
  <si>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</si>
  <si>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</si>
  <si>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</si>
  <si>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</si>
  <si>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</si>
  <si>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</si>
  <si>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</si>
  <si>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</si>
  <si>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</si>
  <si>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</si>
  <si>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</si>
  <si>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</si>
  <si>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</si>
  <si>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</si>
  <si>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</si>
  <si>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</si>
  <si>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</si>
  <si>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</si>
  <si>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</si>
  <si>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</si>
  <si>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</si>
  <si>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</si>
  <si>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</si>
  <si>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</si>
  <si>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</si>
  <si>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</si>
  <si>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</si>
  <si>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</si>
  <si>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</si>
  <si>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</si>
  <si>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</si>
  <si>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</si>
  <si>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</si>
  <si>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</si>
  <si>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</si>
  <si>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</si>
  <si>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</si>
  <si>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</si>
  <si>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</si>
  <si>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</si>
  <si>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</si>
  <si>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</si>
  <si>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</si>
  <si>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</si>
  <si>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</si>
  <si>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</si>
  <si>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</si>
  <si>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</si>
  <si>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</si>
  <si>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</si>
  <si>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</si>
  <si>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</si>
  <si>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</si>
  <si>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</si>
  <si>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</si>
  <si>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</si>
  <si>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</si>
  <si>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</si>
  <si>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</si>
  <si>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</si>
  <si>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</si>
  <si>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</si>
  <si>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</si>
  <si>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</si>
  <si>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</si>
  <si>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</si>
  <si>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</si>
  <si>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</si>
  <si>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</si>
  <si>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</si>
  <si>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</si>
  <si>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</si>
  <si>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</si>
  <si>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</si>
  <si>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</si>
  <si>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</si>
  <si>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</si>
  <si>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</si>
  <si>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</si>
  <si>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</si>
  <si>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</si>
  <si>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</si>
  <si>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</si>
  <si>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</si>
  <si>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</si>
  <si>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</si>
  <si>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</si>
  <si>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</si>
  <si>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</si>
  <si>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</si>
  <si>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</si>
  <si>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</si>
  <si>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</si>
  <si>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</si>
  <si>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</si>
  <si>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</si>
  <si>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</si>
  <si>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</si>
  <si>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</si>
  <si>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</si>
  <si>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</si>
  <si>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</si>
  <si>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</si>
  <si>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</si>
  <si>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</si>
  <si>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</si>
  <si>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</si>
  <si>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</si>
  <si>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</si>
  <si>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</si>
  <si>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</si>
  <si>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</si>
  <si>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</si>
  <si>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</si>
  <si>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</si>
  <si>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</si>
  <si>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</si>
  <si>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</si>
  <si>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</si>
  <si>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</si>
  <si>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</si>
  <si>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</si>
  <si>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</si>
  <si>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</si>
  <si>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</si>
  <si>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</si>
  <si>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</si>
  <si>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</si>
  <si>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</si>
  <si>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</si>
  <si>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</si>
  <si>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</si>
  <si>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</si>
  <si>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</si>
  <si>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</si>
  <si>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</si>
  <si>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</si>
  <si>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</si>
  <si>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</si>
  <si>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</si>
  <si>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</si>
  <si>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</si>
  <si>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</si>
  <si>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</si>
  <si>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</si>
  <si>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</si>
  <si>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</si>
  <si>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</si>
  <si>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</si>
  <si>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</si>
  <si>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</si>
  <si>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</si>
  <si>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</si>
  <si>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</si>
  <si>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</si>
  <si>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</si>
  <si>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</si>
  <si>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</si>
  <si>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</si>
  <si>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</si>
  <si>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</si>
  <si>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</si>
  <si>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</si>
  <si>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</si>
  <si>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</si>
  <si>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</si>
  <si>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</si>
  <si>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</si>
  <si>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</si>
  <si>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</si>
  <si>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</si>
  <si>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</si>
  <si>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</si>
  <si>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</si>
  <si>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</si>
  <si>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</si>
  <si>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</si>
  <si>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</si>
  <si>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</si>
  <si>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</si>
  <si>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</si>
  <si>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</si>
  <si>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</si>
  <si>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</si>
  <si>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</si>
  <si>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</si>
  <si>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</si>
  <si>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</si>
  <si>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</si>
  <si>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</si>
  <si>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</si>
  <si>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</si>
  <si>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</si>
  <si>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</si>
  <si>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</si>
  <si>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</si>
  <si>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</si>
  <si>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</si>
  <si>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</si>
  <si>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</si>
  <si>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</si>
  <si>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</si>
  <si>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</si>
  <si>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</si>
  <si>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</si>
  <si>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</si>
  <si>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</si>
  <si>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</si>
  <si>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</si>
  <si>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</si>
  <si>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</si>
  <si>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</si>
  <si>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</si>
  <si>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</si>
  <si>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</si>
  <si>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</si>
  <si>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</si>
  <si>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</si>
  <si>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</si>
  <si>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</si>
  <si>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</si>
  <si>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</si>
  <si>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</si>
  <si>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</si>
  <si>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</si>
  <si>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</si>
  <si>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</si>
  <si>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</si>
  <si>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</si>
  <si>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</si>
  <si>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</si>
  <si>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</si>
  <si>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</si>
  <si>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</si>
  <si>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</si>
  <si>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</si>
  <si>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</si>
  <si>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</si>
  <si>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</si>
  <si>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</si>
  <si>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</si>
  <si>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</si>
  <si>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</si>
  <si>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</si>
  <si>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</si>
  <si>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</si>
  <si>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</si>
  <si>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</si>
  <si>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</si>
  <si>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</si>
  <si>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</si>
  <si>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</si>
  <si>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</si>
  <si>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</si>
  <si>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</si>
  <si>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</si>
  <si>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</si>
  <si>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</si>
  <si>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</si>
  <si>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</si>
  <si>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</si>
  <si>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</si>
  <si>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</si>
  <si>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</si>
  <si>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</si>
  <si>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</si>
  <si>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</si>
  <si>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</si>
  <si>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</si>
  <si>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</si>
  <si>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</si>
  <si>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</si>
  <si>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</si>
  <si>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</si>
  <si>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</si>
  <si>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</si>
  <si>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</si>
  <si>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</si>
  <si>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</si>
  <si>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</si>
  <si>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</si>
  <si>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</si>
  <si>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</si>
  <si>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</si>
  <si>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</si>
  <si>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</si>
  <si>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</si>
  <si>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</si>
  <si>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</si>
  <si>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</si>
  <si>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</si>
  <si>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</si>
  <si>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</si>
  <si>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</si>
  <si>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</si>
  <si>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</si>
  <si>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</si>
  <si>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</si>
  <si>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</si>
  <si>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</si>
  <si>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</si>
  <si>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</si>
  <si>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</si>
  <si>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</si>
  <si>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</si>
  <si>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</si>
  <si>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</si>
  <si>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</si>
  <si>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</si>
  <si>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</si>
  <si>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</si>
  <si>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</si>
  <si>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</si>
  <si>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</si>
  <si>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</si>
  <si>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</si>
  <si>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</si>
  <si>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</si>
  <si>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</si>
  <si>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</si>
  <si>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</si>
  <si>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</si>
  <si>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</si>
  <si>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</si>
  <si>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</si>
  <si>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</si>
  <si>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</si>
  <si>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</si>
  <si>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</si>
  <si>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</si>
  <si>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</si>
  <si>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</si>
  <si>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</si>
  <si>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</si>
  <si>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</si>
  <si>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</si>
  <si>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</si>
  <si>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</si>
  <si>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</si>
  <si>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</si>
  <si>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</si>
  <si>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</si>
  <si>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</si>
  <si>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</si>
  <si>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</si>
  <si>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</si>
  <si>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</si>
  <si>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</si>
  <si>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</si>
  <si>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</si>
  <si>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</si>
  <si>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</si>
  <si>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</si>
  <si>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</si>
  <si>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</si>
  <si>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</si>
  <si>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</si>
  <si>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</si>
  <si>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</si>
  <si>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</si>
  <si>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</si>
  <si>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</si>
  <si>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</si>
  <si>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</si>
  <si>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</si>
  <si>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</si>
  <si>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</si>
  <si>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</si>
  <si>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</si>
  <si>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</si>
  <si>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</si>
  <si>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</si>
  <si>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</si>
  <si>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</si>
  <si>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</si>
  <si>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</si>
  <si>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</si>
  <si>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</si>
  <si>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</si>
  <si>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</si>
  <si>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</si>
  <si>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</si>
  <si>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</si>
  <si>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</si>
  <si>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</si>
  <si>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</si>
  <si>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</si>
  <si>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</si>
  <si>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</si>
  <si>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</si>
  <si>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</si>
  <si>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</si>
  <si>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</si>
  <si>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</si>
  <si>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</si>
  <si>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</si>
  <si>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</si>
  <si>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</si>
  <si>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</si>
  <si>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</si>
  <si>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</si>
  <si>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</si>
  <si>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</si>
  <si>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</si>
  <si>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</si>
  <si>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</si>
  <si>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</si>
  <si>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</si>
  <si>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</si>
  <si>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</si>
  <si>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</si>
  <si>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</si>
  <si>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</si>
  <si>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</si>
  <si>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</si>
  <si>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</si>
  <si>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</si>
  <si>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怡华晟</t>
  </si>
  <si>
    <t>501145000031A</t>
  </si>
  <si>
    <t>706070000011B</t>
  </si>
  <si>
    <t>蒋品国际</t>
  </si>
  <si>
    <t>801803500011A</t>
  </si>
  <si>
    <t>橡皮筋</t>
  </si>
  <si>
    <t>223020080091A</t>
  </si>
  <si>
    <t>灰色卡扣</t>
  </si>
  <si>
    <t>223180000171A</t>
  </si>
  <si>
    <t>223020070111A</t>
  </si>
  <si>
    <t>223180060091A</t>
  </si>
  <si>
    <t>223180060081A</t>
  </si>
  <si>
    <t>301040090101A</t>
  </si>
  <si>
    <t>鑫华良</t>
  </si>
  <si>
    <t>802100010011A</t>
  </si>
  <si>
    <t>UV胶</t>
  </si>
  <si>
    <t>223030000051A</t>
  </si>
  <si>
    <t>223030000471A</t>
  </si>
  <si>
    <t>Kinavo</t>
  </si>
  <si>
    <t>219602040011A</t>
  </si>
  <si>
    <t>220621010031A</t>
  </si>
  <si>
    <t>304100000031A</t>
  </si>
  <si>
    <t>101180300061A</t>
  </si>
  <si>
    <t>101140400031A</t>
  </si>
  <si>
    <t>福 尔欣</t>
  </si>
  <si>
    <t>吉瑞达</t>
  </si>
  <si>
    <t>601T88M50011A</t>
  </si>
  <si>
    <t>223180060051A</t>
  </si>
  <si>
    <t>223180090121A</t>
  </si>
  <si>
    <t>223070000081A</t>
  </si>
  <si>
    <t>221079200071A</t>
  </si>
  <si>
    <t>101220600011A</t>
  </si>
  <si>
    <t>UL20549</t>
  </si>
  <si>
    <t>104240220011A</t>
  </si>
  <si>
    <t>101212000021A</t>
  </si>
  <si>
    <t>USB3.1线材</t>
  </si>
  <si>
    <t>307115100011A</t>
  </si>
  <si>
    <t>黑色套管</t>
  </si>
  <si>
    <t>221079220011A</t>
  </si>
  <si>
    <t>224040010021A</t>
  </si>
  <si>
    <t>后屏蔽壳</t>
  </si>
  <si>
    <t>224640000021A</t>
  </si>
  <si>
    <t>223180090231A</t>
  </si>
  <si>
    <t>223030080031A</t>
  </si>
  <si>
    <t>306020070021A</t>
  </si>
  <si>
    <t>223180060021A</t>
  </si>
  <si>
    <t>307235100011A</t>
  </si>
  <si>
    <t>3.5套管</t>
  </si>
  <si>
    <t>704B1A010011B</t>
  </si>
  <si>
    <t>纸盒+内卡</t>
  </si>
  <si>
    <t>703D7B900051R</t>
  </si>
  <si>
    <t>705D6B810011R</t>
  </si>
  <si>
    <t>纸板</t>
  </si>
  <si>
    <t>223040070011A</t>
  </si>
  <si>
    <t>内主体</t>
  </si>
  <si>
    <t>224640100081A</t>
  </si>
  <si>
    <t>223080060031A</t>
  </si>
  <si>
    <t>306000000091A</t>
  </si>
  <si>
    <t>黑色胶料</t>
  </si>
  <si>
    <t>220252030041A</t>
  </si>
  <si>
    <t>219201020051A</t>
  </si>
  <si>
    <t>224640100101A</t>
  </si>
  <si>
    <t>101260300021A</t>
  </si>
  <si>
    <t>104221380011A</t>
  </si>
  <si>
    <t>灰色电子线</t>
  </si>
  <si>
    <t>307135190011A</t>
  </si>
  <si>
    <t>白色套管</t>
  </si>
  <si>
    <t>307120100011A</t>
  </si>
  <si>
    <t>307245100011A</t>
  </si>
  <si>
    <t>黑色超薄套管</t>
  </si>
  <si>
    <t>307155100011A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</si>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</sst>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6" formatCode="yyyy/m/d;@"/>
    <numFmt numFmtId="44" formatCode="_ &quot;￥&quot;* #,##0.00_ ;_ &quot;￥&quot;* \-#,##0.00_ ;_ &quot;￥&quot;* &quot;-&quot;??_ ;_ @_ 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0"/>
      <name val="Times New Roman"/>
      <charset val="134"/>
    </font>
    <font>
      <sz val="11"/>
      <color rgb="FF9C0006"/>
      <name val="宋体"/>
      <charset val="0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3" fillId="11" borderId="24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1" fillId="15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9" fillId="17" borderId="25" applyNumberFormat="0" applyFont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63" fillId="0" borderId="27" applyNumberFormat="0" applyFill="0" applyAlignment="0" applyProtection="0">
      <alignment vertical="center"/>
    </xf>
    <xf numFmtId="0" fontId="65" fillId="0" borderId="27" applyNumberFormat="0" applyFill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62" fillId="0" borderId="28" applyNumberFormat="0" applyFill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67" fillId="23" borderId="29" applyNumberFormat="0" applyAlignment="0" applyProtection="0">
      <alignment vertical="center"/>
    </xf>
    <xf numFmtId="0" fontId="64" fillId="23" borderId="24" applyNumberFormat="0" applyAlignment="0" applyProtection="0">
      <alignment vertical="center"/>
    </xf>
    <xf numFmtId="0" fontId="61" fillId="18" borderId="26" applyNumberFormat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0" borderId="23" applyNumberFormat="0" applyFill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1" fillId="24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1" fillId="31" borderId="0" applyNumberFormat="0" applyBorder="0" applyAlignment="0" applyProtection="0">
      <alignment vertical="center"/>
    </xf>
    <xf numFmtId="0" fontId="55" fillId="0" borderId="0"/>
  </cellStyleXfs>
  <cellXfs count="28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7"/>
  <sheetViews>
    <sheetView tabSelected="1" view="pageBreakPreview" zoomScale="115" zoomScaleNormal="100" zoomScaleSheetLayoutView="115" workbookViewId="0">
      <pane ySplit="2" topLeftCell="A828" activePane="bottomLeft" state="frozen"/>
      <selection/>
      <selection pane="bottomLeft" activeCell="K839" sqref="K839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25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-46090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-46090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-46090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25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-46090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-46090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-46090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25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25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25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25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25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25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25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25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26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26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26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26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26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26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26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26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26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26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26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26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26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26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26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26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26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26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26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26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26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26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26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26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26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27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27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27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27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27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27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27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27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27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27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27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27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27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27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27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27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27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27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27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27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27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27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27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27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28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28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28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28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28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28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28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28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28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28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28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28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28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28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28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28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28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28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28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28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28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28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28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28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28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28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28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28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28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29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10"/>
        <v>46119</v>
      </c>
      <c r="M92" s="121">
        <f ca="1" t="shared" si="11"/>
        <v>29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10"/>
        <v>46119</v>
      </c>
      <c r="M93" s="121">
        <f ca="1" t="shared" si="11"/>
        <v>29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10"/>
        <v>46119</v>
      </c>
      <c r="M94" s="121">
        <f ca="1" t="shared" si="11"/>
        <v>29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10"/>
        <v>46119</v>
      </c>
      <c r="M95" s="121">
        <f ca="1" t="shared" si="11"/>
        <v>29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10"/>
        <v>46119</v>
      </c>
      <c r="M96" s="121">
        <f ca="1" t="shared" si="11"/>
        <v>29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10"/>
        <v>46119</v>
      </c>
      <c r="M97" s="121">
        <f ca="1" t="shared" si="11"/>
        <v>29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10"/>
        <v>46119</v>
      </c>
      <c r="M98" s="121">
        <f ca="1" t="shared" si="11"/>
        <v>29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10"/>
        <v>46119</v>
      </c>
      <c r="M99" s="121">
        <f ca="1" t="shared" si="11"/>
        <v>29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10"/>
        <v>46119</v>
      </c>
      <c r="M100" s="121">
        <f ca="1" t="shared" si="11"/>
        <v>29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10"/>
        <v>46119</v>
      </c>
      <c r="M101" s="121">
        <f ca="1" t="shared" si="11"/>
        <v>29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10"/>
        <v>46119</v>
      </c>
      <c r="M102" s="121">
        <f ca="1" t="shared" si="11"/>
        <v>29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10"/>
        <v>46119</v>
      </c>
      <c r="M103" s="121">
        <f ca="1" t="shared" si="11"/>
        <v>29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10"/>
        <v>46119</v>
      </c>
      <c r="M104" s="121">
        <f ca="1" t="shared" si="11"/>
        <v>29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10"/>
        <v>46119</v>
      </c>
      <c r="M105" s="121">
        <f ca="1" t="shared" si="11"/>
        <v>29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10"/>
        <v>46119</v>
      </c>
      <c r="M106" s="121">
        <f ca="1" t="shared" si="11"/>
        <v>29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10"/>
        <v>46119</v>
      </c>
      <c r="M107" s="121">
        <f ca="1" t="shared" si="11"/>
        <v>29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10"/>
        <v>46119</v>
      </c>
      <c r="M108" s="121">
        <f ca="1" t="shared" si="11"/>
        <v>29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10"/>
        <v>46119</v>
      </c>
      <c r="M109" s="121">
        <f ca="1" t="shared" si="11"/>
        <v>29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10"/>
        <v>46119</v>
      </c>
      <c r="M110" s="121">
        <f ca="1" t="shared" si="11"/>
        <v>29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10"/>
        <v>46119</v>
      </c>
      <c r="M111" s="121">
        <f ca="1" t="shared" si="11"/>
        <v>29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ref="L112:L147" si="12">EDATE(I112,J112)</f>
        <v>46119</v>
      </c>
      <c r="M112" s="121">
        <f ca="1" t="shared" ref="M112:M147" si="13">L112-TODAY()</f>
        <v>29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12"/>
        <v>46119</v>
      </c>
      <c r="M113" s="121">
        <f ca="1" t="shared" si="13"/>
        <v>29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12"/>
        <v>46119</v>
      </c>
      <c r="M114" s="121">
        <f ca="1" t="shared" si="13"/>
        <v>29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12"/>
        <v>46119</v>
      </c>
      <c r="M115" s="121">
        <f ca="1" t="shared" si="13"/>
        <v>29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12"/>
        <v>46119</v>
      </c>
      <c r="M116" s="121">
        <f ca="1" t="shared" si="13"/>
        <v>29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12"/>
        <v>46119</v>
      </c>
      <c r="M117" s="121">
        <f ca="1" t="shared" si="13"/>
        <v>29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12"/>
        <v>46119</v>
      </c>
      <c r="M118" s="121">
        <f ca="1" t="shared" si="13"/>
        <v>29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12"/>
        <v>46119</v>
      </c>
      <c r="M119" s="121">
        <f ca="1" t="shared" si="13"/>
        <v>29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12"/>
        <v>46120</v>
      </c>
      <c r="M120" s="121">
        <f ca="1" t="shared" si="13"/>
        <v>30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12"/>
        <v>46120</v>
      </c>
      <c r="M121" s="121">
        <f ca="1" t="shared" si="13"/>
        <v>30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12"/>
        <v>46120</v>
      </c>
      <c r="M122" s="121">
        <f ca="1" t="shared" si="13"/>
        <v>30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12"/>
        <v>46120</v>
      </c>
      <c r="M123" s="121">
        <f ca="1" t="shared" si="13"/>
        <v>30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12"/>
        <v>46120</v>
      </c>
      <c r="M124" s="121">
        <f ca="1" t="shared" si="13"/>
        <v>30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12"/>
        <v>46120</v>
      </c>
      <c r="M125" s="121">
        <f ca="1" t="shared" si="13"/>
        <v>30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12"/>
        <v>46120</v>
      </c>
      <c r="M126" s="121">
        <f ca="1" t="shared" si="13"/>
        <v>30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12"/>
        <v>46120</v>
      </c>
      <c r="M127" s="121">
        <f ca="1" t="shared" si="13"/>
        <v>30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12"/>
        <v>46120</v>
      </c>
      <c r="M128" s="121">
        <f ca="1" t="shared" si="13"/>
        <v>30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12"/>
        <v>46120</v>
      </c>
      <c r="M129" s="121">
        <f ca="1" t="shared" si="13"/>
        <v>30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12"/>
        <v>46120</v>
      </c>
      <c r="M130" s="121">
        <f ca="1" t="shared" si="13"/>
        <v>30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si="12"/>
        <v>46120</v>
      </c>
      <c r="M131" s="121">
        <f ca="1" t="shared" si="13"/>
        <v>30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12"/>
        <v>46120</v>
      </c>
      <c r="M132" s="121">
        <f ca="1" t="shared" si="13"/>
        <v>30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12"/>
        <v>46120</v>
      </c>
      <c r="M133" s="121">
        <f ca="1" t="shared" si="13"/>
        <v>30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12"/>
        <v>46120</v>
      </c>
      <c r="M134" s="121">
        <f ca="1" t="shared" si="13"/>
        <v>30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12"/>
        <v>46120</v>
      </c>
      <c r="M135" s="121">
        <f ca="1" t="shared" si="13"/>
        <v>30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12"/>
        <v>46120</v>
      </c>
      <c r="M136" s="121">
        <f ca="1" t="shared" si="13"/>
        <v>30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12"/>
        <v>46120</v>
      </c>
      <c r="M137" s="121">
        <f ca="1" t="shared" si="13"/>
        <v>30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12"/>
        <v>46120</v>
      </c>
      <c r="M138" s="121">
        <f ca="1" t="shared" si="13"/>
        <v>30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12"/>
        <v>46120</v>
      </c>
      <c r="M139" s="121">
        <f ca="1" t="shared" si="13"/>
        <v>30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12"/>
        <v>46120</v>
      </c>
      <c r="M140" s="121">
        <f ca="1" t="shared" si="13"/>
        <v>30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12"/>
        <v>46120</v>
      </c>
      <c r="M141" s="121">
        <f ca="1" t="shared" si="13"/>
        <v>30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12"/>
        <v>46120</v>
      </c>
      <c r="M142" s="121">
        <f ca="1" t="shared" si="13"/>
        <v>30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12"/>
        <v>46120</v>
      </c>
      <c r="M143" s="121">
        <f ca="1" t="shared" si="13"/>
        <v>30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12"/>
        <v>46120</v>
      </c>
      <c r="M144" s="121">
        <f ca="1" t="shared" si="13"/>
        <v>30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12"/>
        <v>46120</v>
      </c>
      <c r="M145" s="121">
        <f ca="1" t="shared" si="13"/>
        <v>30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12"/>
        <v>46120</v>
      </c>
      <c r="M146" s="121">
        <f ca="1" t="shared" si="13"/>
        <v>30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12"/>
        <v>46121</v>
      </c>
      <c r="M147" s="121">
        <f ca="1" t="shared" si="13"/>
        <v>31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ref="L148:L174" si="14">EDATE(I148,J148)</f>
        <v>46121</v>
      </c>
      <c r="M148" s="121">
        <f ca="1" t="shared" ref="M148:M174" si="15">L148-TODAY()</f>
        <v>31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14"/>
        <v>46121</v>
      </c>
      <c r="M149" s="121">
        <f ca="1" t="shared" si="15"/>
        <v>31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14"/>
        <v>46121</v>
      </c>
      <c r="M150" s="121">
        <f ca="1" t="shared" si="15"/>
        <v>31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14"/>
        <v>46121</v>
      </c>
      <c r="M151" s="121">
        <f ca="1" t="shared" si="15"/>
        <v>31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14"/>
        <v>46121</v>
      </c>
      <c r="M152" s="121">
        <f ca="1" t="shared" si="15"/>
        <v>31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14"/>
        <v>46121</v>
      </c>
      <c r="M153" s="121">
        <f ca="1" t="shared" si="15"/>
        <v>31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14"/>
        <v>46121</v>
      </c>
      <c r="M154" s="121">
        <f ca="1" t="shared" si="15"/>
        <v>31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14"/>
        <v>46121</v>
      </c>
      <c r="M155" s="121">
        <f ca="1" t="shared" si="15"/>
        <v>31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14"/>
        <v>46121</v>
      </c>
      <c r="M156" s="121">
        <f ca="1" t="shared" si="15"/>
        <v>31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14"/>
        <v>46121</v>
      </c>
      <c r="M157" s="121">
        <f ca="1" t="shared" si="15"/>
        <v>31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14"/>
        <v>46121</v>
      </c>
      <c r="M158" s="121">
        <f ca="1" t="shared" si="15"/>
        <v>31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14"/>
        <v>46121</v>
      </c>
      <c r="M159" s="121">
        <f ca="1" t="shared" si="15"/>
        <v>31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14"/>
        <v>46121</v>
      </c>
      <c r="M160" s="121">
        <f ca="1" t="shared" si="15"/>
        <v>31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14"/>
        <v>46121</v>
      </c>
      <c r="M161" s="121">
        <f ca="1" t="shared" si="15"/>
        <v>31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14"/>
        <v>46121</v>
      </c>
      <c r="M162" s="121">
        <f ca="1" t="shared" si="15"/>
        <v>31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14"/>
        <v>46121</v>
      </c>
      <c r="M163" s="121">
        <f ca="1" t="shared" si="15"/>
        <v>31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14"/>
        <v>46121</v>
      </c>
      <c r="M164" s="121">
        <f ca="1" t="shared" si="15"/>
        <v>31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14"/>
        <v>46121</v>
      </c>
      <c r="M165" s="121">
        <f ca="1" t="shared" si="15"/>
        <v>31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31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31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31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31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31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31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31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31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32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32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32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32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32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32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32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32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32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32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32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32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32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32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32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32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32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32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32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32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32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32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32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33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33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33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33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33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33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33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33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34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34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34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34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34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34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34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34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34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34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34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34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34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34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34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35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35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35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35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35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35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35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35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35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35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35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35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35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36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36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36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36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36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36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36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36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36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36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36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36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36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36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36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36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36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36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36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36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36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36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36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36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36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36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36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36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36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36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37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37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37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37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37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37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37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37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37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37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37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37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37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37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37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37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37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37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37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37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37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37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37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38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38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38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38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38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38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38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38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38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38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38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38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38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38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38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39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39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39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39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39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39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39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39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39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39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39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39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39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39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39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39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39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39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39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39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39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39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39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39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39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39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39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39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39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40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40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40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40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40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40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40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40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41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41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41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41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41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41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41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41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41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41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41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41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41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41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34"/>
        <v>46132</v>
      </c>
      <c r="M361" s="121">
        <f ca="1" t="shared" si="35"/>
        <v>42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ref="L362:L389" si="36">EDATE(I362,J362)</f>
        <v>46132</v>
      </c>
      <c r="M362" s="121">
        <f ca="1" t="shared" ref="M362:M389" si="37">L362-TODAY()</f>
        <v>42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36"/>
        <v>46132</v>
      </c>
      <c r="M363" s="121">
        <f ca="1" t="shared" si="37"/>
        <v>42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36"/>
        <v>46132</v>
      </c>
      <c r="M364" s="121">
        <f ca="1" t="shared" si="37"/>
        <v>42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36"/>
        <v>46132</v>
      </c>
      <c r="M365" s="121">
        <f ca="1" t="shared" si="37"/>
        <v>42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36"/>
        <v>46132</v>
      </c>
      <c r="M366" s="121">
        <f ca="1" t="shared" si="37"/>
        <v>42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36"/>
        <v>46132</v>
      </c>
      <c r="M367" s="121">
        <f ca="1" t="shared" si="37"/>
        <v>42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36"/>
        <v>46132</v>
      </c>
      <c r="M368" s="121">
        <f ca="1" t="shared" si="37"/>
        <v>42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36"/>
        <v>46132</v>
      </c>
      <c r="M369" s="121">
        <f ca="1" t="shared" si="37"/>
        <v>42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36"/>
        <v>46132</v>
      </c>
      <c r="M370" s="121">
        <f ca="1" t="shared" si="37"/>
        <v>42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36"/>
        <v>46132</v>
      </c>
      <c r="M371" s="121">
        <f ca="1" t="shared" si="37"/>
        <v>42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36"/>
        <v>46132</v>
      </c>
      <c r="M372" s="121">
        <f ca="1" t="shared" si="37"/>
        <v>42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36"/>
        <v>46132</v>
      </c>
      <c r="M373" s="121">
        <f ca="1" t="shared" si="37"/>
        <v>42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36"/>
        <v>46132</v>
      </c>
      <c r="M374" s="121">
        <f ca="1" t="shared" si="37"/>
        <v>42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36"/>
        <v>46132</v>
      </c>
      <c r="M375" s="121">
        <f ca="1" t="shared" si="37"/>
        <v>42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36"/>
        <v>46132</v>
      </c>
      <c r="M376" s="121">
        <f ca="1" t="shared" si="37"/>
        <v>42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36"/>
        <v>46132</v>
      </c>
      <c r="M377" s="121">
        <f ca="1" t="shared" si="37"/>
        <v>42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36"/>
        <v>46132</v>
      </c>
      <c r="M378" s="121">
        <f ca="1" t="shared" si="37"/>
        <v>42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36"/>
        <v>46132</v>
      </c>
      <c r="M379" s="121">
        <f ca="1" t="shared" si="37"/>
        <v>42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36"/>
        <v>46132</v>
      </c>
      <c r="M383" s="121">
        <f ca="1" t="shared" si="37"/>
        <v>42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36"/>
        <v>46132</v>
      </c>
      <c r="M384" s="121">
        <f ca="1" t="shared" si="37"/>
        <v>42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36"/>
        <v>46132</v>
      </c>
      <c r="M385" s="121">
        <f ca="1" t="shared" si="37"/>
        <v>42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36"/>
        <v>46132</v>
      </c>
      <c r="M386" s="121">
        <f ca="1" t="shared" si="37"/>
        <v>42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si="36"/>
        <v>46132</v>
      </c>
      <c r="M387" s="121">
        <f ca="1" t="shared" si="37"/>
        <v>42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36"/>
        <v>46132</v>
      </c>
      <c r="M388" s="121">
        <f ca="1" t="shared" si="37"/>
        <v>42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36"/>
        <v>46132</v>
      </c>
      <c r="M389" s="121">
        <f ca="1" t="shared" si="37"/>
        <v>42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ref="L390:L408" si="38">EDATE(I390,J390)</f>
        <v>46133</v>
      </c>
      <c r="M390" s="121">
        <f ca="1" t="shared" ref="M390:M408" si="39">L390-TODAY()</f>
        <v>43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38"/>
        <v>46133</v>
      </c>
      <c r="M391" s="121">
        <f ca="1" t="shared" si="39"/>
        <v>43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38"/>
        <v>46133</v>
      </c>
      <c r="M392" s="121">
        <f ca="1" t="shared" si="39"/>
        <v>43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38"/>
        <v>46133</v>
      </c>
      <c r="M393" s="121">
        <f ca="1" t="shared" si="39"/>
        <v>43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38"/>
        <v>46133</v>
      </c>
      <c r="M394" s="121">
        <f ca="1" t="shared" si="39"/>
        <v>43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38"/>
        <v>46133</v>
      </c>
      <c r="M395" s="121">
        <f ca="1" t="shared" si="39"/>
        <v>43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38"/>
        <v>46133</v>
      </c>
      <c r="M396" s="121">
        <f ca="1" t="shared" si="39"/>
        <v>43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38"/>
        <v>46133</v>
      </c>
      <c r="M397" s="121">
        <f ca="1" t="shared" si="39"/>
        <v>43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38"/>
        <v>46133</v>
      </c>
      <c r="M398" s="121">
        <f ca="1" t="shared" si="39"/>
        <v>43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38"/>
        <v>46133</v>
      </c>
      <c r="M399" s="121">
        <f ca="1" t="shared" si="39"/>
        <v>43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38"/>
        <v>46133</v>
      </c>
      <c r="M400" s="121">
        <f ca="1" t="shared" si="39"/>
        <v>43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38"/>
        <v>46133</v>
      </c>
      <c r="M401" s="121">
        <f ca="1" t="shared" si="39"/>
        <v>43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38"/>
        <v>46133</v>
      </c>
      <c r="M402" s="121">
        <f ca="1" t="shared" si="39"/>
        <v>43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38"/>
        <v>46133</v>
      </c>
      <c r="M403" s="121">
        <f ca="1" t="shared" si="39"/>
        <v>43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38"/>
        <v>46133</v>
      </c>
      <c r="M404" s="121">
        <f ca="1" t="shared" si="39"/>
        <v>43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38"/>
        <v>46133</v>
      </c>
      <c r="M405" s="121">
        <f ca="1" t="shared" si="39"/>
        <v>43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38"/>
        <v>46133</v>
      </c>
      <c r="M406" s="121">
        <f ca="1" t="shared" si="39"/>
        <v>43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38"/>
        <v>46133</v>
      </c>
      <c r="M408" s="121">
        <f ca="1" t="shared" si="39"/>
        <v>43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ref="L409:L435" si="40">EDATE(I409,J409)</f>
        <v>46134</v>
      </c>
      <c r="M409" s="121">
        <f ca="1" t="shared" ref="M409:M435" si="41">L409-TODAY()</f>
        <v>44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40"/>
        <v>46134</v>
      </c>
      <c r="M410" s="121">
        <f ca="1" t="shared" si="41"/>
        <v>44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40"/>
        <v>46134</v>
      </c>
      <c r="M411" s="121">
        <f ca="1" t="shared" si="41"/>
        <v>44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40"/>
        <v>46134</v>
      </c>
      <c r="M412" s="121">
        <f ca="1" t="shared" si="41"/>
        <v>44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40"/>
        <v>46134</v>
      </c>
      <c r="M413" s="121">
        <f ca="1" t="shared" si="41"/>
        <v>44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40"/>
        <v>46134</v>
      </c>
      <c r="M414" s="121">
        <f ca="1" t="shared" si="41"/>
        <v>44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40"/>
        <v>46134</v>
      </c>
      <c r="M418" s="121">
        <f ca="1" t="shared" si="41"/>
        <v>44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40"/>
        <v>46134</v>
      </c>
      <c r="M419" s="121">
        <f ca="1" t="shared" si="41"/>
        <v>44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40"/>
        <v>46134</v>
      </c>
      <c r="M420" s="121">
        <f ca="1" t="shared" si="41"/>
        <v>44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40"/>
        <v>46134</v>
      </c>
      <c r="M421" s="121">
        <f ca="1" t="shared" si="41"/>
        <v>44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40"/>
        <v>46134</v>
      </c>
      <c r="M422" s="121">
        <f ca="1" t="shared" si="41"/>
        <v>44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40"/>
        <v>46134</v>
      </c>
      <c r="M423" s="121">
        <f ca="1" t="shared" si="41"/>
        <v>44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40"/>
        <v>46134</v>
      </c>
      <c r="M424" s="121">
        <f ca="1" t="shared" si="41"/>
        <v>44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40"/>
        <v>46134</v>
      </c>
      <c r="M425" s="121">
        <f ca="1" t="shared" si="41"/>
        <v>44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40"/>
        <v>46134</v>
      </c>
      <c r="M426" s="121">
        <f ca="1" t="shared" si="41"/>
        <v>44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40"/>
        <v>46134</v>
      </c>
      <c r="M427" s="121">
        <f ca="1" t="shared" si="41"/>
        <v>44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40"/>
        <v>46134</v>
      </c>
      <c r="M428" s="121">
        <f ca="1" t="shared" si="41"/>
        <v>44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40"/>
        <v>46134</v>
      </c>
      <c r="M429" s="121">
        <f ca="1" t="shared" si="41"/>
        <v>44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40"/>
        <v>46134</v>
      </c>
      <c r="M430" s="121">
        <f ca="1" t="shared" si="41"/>
        <v>44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40"/>
        <v>46134</v>
      </c>
      <c r="M431" s="121">
        <f ca="1" t="shared" si="41"/>
        <v>44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40"/>
        <v>46134</v>
      </c>
      <c r="M432" s="121">
        <f ca="1" t="shared" si="41"/>
        <v>44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40"/>
        <v>46134</v>
      </c>
      <c r="M433" s="121">
        <f ca="1" t="shared" si="41"/>
        <v>44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40"/>
        <v>46134</v>
      </c>
      <c r="M434" s="121">
        <f ca="1" t="shared" si="41"/>
        <v>44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40"/>
        <v>46134</v>
      </c>
      <c r="M435" s="121">
        <f ca="1" t="shared" si="41"/>
        <v>44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ref="L436:L450" si="42">EDATE(I436,J436)</f>
        <v>46135</v>
      </c>
      <c r="M436" s="121">
        <f ca="1" t="shared" ref="M436:M450" si="43">L436-TODAY()</f>
        <v>45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42"/>
        <v>46135</v>
      </c>
      <c r="M437" s="121">
        <f ca="1" t="shared" si="43"/>
        <v>45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42"/>
        <v>46135</v>
      </c>
      <c r="M438" s="121">
        <f ca="1" t="shared" si="43"/>
        <v>45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42"/>
        <v>46135</v>
      </c>
      <c r="M439" s="121">
        <f ca="1" t="shared" si="43"/>
        <v>45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42"/>
        <v>46135</v>
      </c>
      <c r="M440" s="121">
        <f ca="1" t="shared" si="43"/>
        <v>45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42"/>
        <v>46135</v>
      </c>
      <c r="M441" s="121">
        <f ca="1" t="shared" si="43"/>
        <v>45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42"/>
        <v>46135</v>
      </c>
      <c r="M442" s="121">
        <f ca="1" t="shared" si="43"/>
        <v>45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42"/>
        <v>46135</v>
      </c>
      <c r="M443" s="121">
        <f ca="1" t="shared" si="43"/>
        <v>45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42"/>
        <v>46135</v>
      </c>
      <c r="M444" s="121">
        <f ca="1" t="shared" si="43"/>
        <v>45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42"/>
        <v>46135</v>
      </c>
      <c r="M445" s="121">
        <f ca="1" t="shared" si="43"/>
        <v>45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42"/>
        <v>46135</v>
      </c>
      <c r="M446" s="121">
        <f ca="1" t="shared" si="43"/>
        <v>45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42"/>
        <v>46135</v>
      </c>
      <c r="M447" s="121">
        <f ca="1" t="shared" si="43"/>
        <v>45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42"/>
        <v>46135</v>
      </c>
      <c r="M448" s="121">
        <f ca="1" t="shared" si="43"/>
        <v>45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42"/>
        <v>46135</v>
      </c>
      <c r="M449" s="121">
        <f ca="1" t="shared" si="43"/>
        <v>45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si="44"/>
        <v>46136</v>
      </c>
      <c r="M451" s="121">
        <f ca="1" t="shared" si="45"/>
        <v>46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44"/>
        <v>46136</v>
      </c>
      <c r="M452" s="121">
        <f ca="1" t="shared" si="45"/>
        <v>46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44"/>
        <v>46136</v>
      </c>
      <c r="M453" s="121">
        <f ca="1" t="shared" si="45"/>
        <v>46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44"/>
        <v>46136</v>
      </c>
      <c r="M454" s="121">
        <f ca="1" t="shared" si="45"/>
        <v>46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44"/>
        <v>46136</v>
      </c>
      <c r="M455" s="121">
        <f ca="1" t="shared" si="45"/>
        <v>46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44"/>
        <v>46136</v>
      </c>
      <c r="M456" s="121">
        <f ca="1" t="shared" si="45"/>
        <v>46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44"/>
        <v>46136</v>
      </c>
      <c r="M457" s="121">
        <f ca="1" t="shared" si="45"/>
        <v>46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44"/>
        <v>46136</v>
      </c>
      <c r="M458" s="121">
        <f ca="1" t="shared" si="45"/>
        <v>46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44"/>
        <v>46136</v>
      </c>
      <c r="M459" s="121">
        <f ca="1" t="shared" si="45"/>
        <v>46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44"/>
        <v>46136</v>
      </c>
      <c r="M460" s="121">
        <f ca="1" t="shared" si="45"/>
        <v>46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44"/>
        <v>46136</v>
      </c>
      <c r="M461" s="121">
        <f ca="1" t="shared" si="45"/>
        <v>46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44"/>
        <v>46136</v>
      </c>
      <c r="M462" s="121">
        <f ca="1" t="shared" si="45"/>
        <v>46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44"/>
        <v>46136</v>
      </c>
      <c r="M463" s="121">
        <f ca="1" t="shared" si="45"/>
        <v>46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44"/>
        <v>46136</v>
      </c>
      <c r="M464" s="121">
        <f ca="1" t="shared" si="45"/>
        <v>46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44"/>
        <v>46136</v>
      </c>
      <c r="M465" s="121">
        <f ca="1" t="shared" si="45"/>
        <v>46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44"/>
        <v>46136</v>
      </c>
      <c r="M466" s="121">
        <f ca="1" t="shared" si="45"/>
        <v>46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44"/>
        <v>46136</v>
      </c>
      <c r="M467" s="121">
        <f ca="1" t="shared" si="45"/>
        <v>46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44"/>
        <v>46136</v>
      </c>
      <c r="M468" s="121">
        <f ca="1" t="shared" si="45"/>
        <v>46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44"/>
        <v>46136</v>
      </c>
      <c r="M469" s="121">
        <f ca="1" t="shared" si="45"/>
        <v>46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ref="L470:L484" si="46">EDATE(I470,J470)</f>
        <v>46136</v>
      </c>
      <c r="M470" s="121">
        <f ca="1" t="shared" ref="M470:M484" si="47">L470-TODAY()</f>
        <v>46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46"/>
        <v>46136</v>
      </c>
      <c r="M471" s="121">
        <f ca="1" t="shared" si="47"/>
        <v>46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46"/>
        <v>46136</v>
      </c>
      <c r="M473" s="121">
        <f ca="1" t="shared" si="47"/>
        <v>46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46"/>
        <v>46136</v>
      </c>
      <c r="M474" s="121">
        <f ca="1" t="shared" si="47"/>
        <v>46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46"/>
        <v>46136</v>
      </c>
      <c r="M475" s="121">
        <f ca="1" t="shared" si="47"/>
        <v>46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46"/>
        <v>46136</v>
      </c>
      <c r="M476" s="121">
        <f ca="1" t="shared" si="47"/>
        <v>46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46"/>
        <v>46136</v>
      </c>
      <c r="M477" s="121">
        <f ca="1" t="shared" si="47"/>
        <v>46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46"/>
        <v>46136</v>
      </c>
      <c r="M478" s="121">
        <f ca="1" t="shared" si="47"/>
        <v>46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46"/>
        <v>46136</v>
      </c>
      <c r="M479" s="121">
        <f ca="1" t="shared" si="47"/>
        <v>46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46"/>
        <v>46136</v>
      </c>
      <c r="M480" s="121">
        <f ca="1" t="shared" si="47"/>
        <v>46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46"/>
        <v>46136</v>
      </c>
      <c r="M481" s="121">
        <f ca="1" t="shared" si="47"/>
        <v>46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46"/>
        <v>46136</v>
      </c>
      <c r="M482" s="121">
        <f ca="1" t="shared" si="47"/>
        <v>46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46"/>
        <v>46136</v>
      </c>
      <c r="M483" s="121">
        <f ca="1" t="shared" si="47"/>
        <v>46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46"/>
        <v>46136</v>
      </c>
      <c r="M484" s="121">
        <f ca="1" t="shared" si="47"/>
        <v>46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ref="L485:L501" si="48">EDATE(I485,J485)</f>
        <v>46137</v>
      </c>
      <c r="M485" s="121">
        <f ca="1" t="shared" ref="M485:M501" si="49">L485-TODAY()</f>
        <v>47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48"/>
        <v>46137</v>
      </c>
      <c r="M486" s="121">
        <f ca="1" t="shared" si="49"/>
        <v>47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48"/>
        <v>46137</v>
      </c>
      <c r="M487" s="121">
        <f ca="1" t="shared" si="49"/>
        <v>47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48"/>
        <v>46137</v>
      </c>
      <c r="M488" s="121">
        <f ca="1" t="shared" si="49"/>
        <v>47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48"/>
        <v>46137</v>
      </c>
      <c r="M489" s="121">
        <f ca="1" t="shared" si="49"/>
        <v>47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48"/>
        <v>46137</v>
      </c>
      <c r="M490" s="121">
        <f ca="1" t="shared" si="49"/>
        <v>47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48"/>
        <v>46137</v>
      </c>
      <c r="M491" s="121">
        <f ca="1" t="shared" si="49"/>
        <v>47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48"/>
        <v>46137</v>
      </c>
      <c r="M492" s="121">
        <f ca="1" t="shared" si="49"/>
        <v>47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48"/>
        <v>46137</v>
      </c>
      <c r="M493" s="121">
        <f ca="1" t="shared" si="49"/>
        <v>47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48"/>
        <v>46137</v>
      </c>
      <c r="M494" s="121">
        <f ca="1" t="shared" si="49"/>
        <v>47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48"/>
        <v>46137</v>
      </c>
      <c r="M495" s="121">
        <f ca="1" t="shared" si="49"/>
        <v>47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48"/>
        <v>46137</v>
      </c>
      <c r="M496" s="121">
        <f ca="1" t="shared" si="49"/>
        <v>47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48"/>
        <v>46137</v>
      </c>
      <c r="M497" s="121">
        <f ca="1" t="shared" si="49"/>
        <v>47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48"/>
        <v>46137</v>
      </c>
      <c r="M498" s="121">
        <f ca="1" t="shared" si="49"/>
        <v>47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48"/>
        <v>46137</v>
      </c>
      <c r="M499" s="121">
        <f ca="1" t="shared" si="49"/>
        <v>47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48"/>
        <v>46137</v>
      </c>
      <c r="M500" s="121">
        <f ca="1" t="shared" si="49"/>
        <v>47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50"/>
        <v>46138</v>
      </c>
      <c r="M502" s="121">
        <f ca="1" t="shared" si="51"/>
        <v>48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50"/>
        <v>46138</v>
      </c>
      <c r="M503" s="121">
        <f ca="1" t="shared" si="51"/>
        <v>48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50"/>
        <v>46138</v>
      </c>
      <c r="M504" s="121">
        <f ca="1" t="shared" si="51"/>
        <v>48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50"/>
        <v>46138</v>
      </c>
      <c r="M505" s="121">
        <f ca="1" t="shared" si="51"/>
        <v>48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50"/>
        <v>46138</v>
      </c>
      <c r="M506" s="121">
        <f ca="1" t="shared" si="51"/>
        <v>48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50"/>
        <v>46138</v>
      </c>
      <c r="M507" s="121">
        <f ca="1" t="shared" si="51"/>
        <v>48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50"/>
        <v>46138</v>
      </c>
      <c r="M508" s="121">
        <f ca="1" t="shared" si="51"/>
        <v>48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50"/>
        <v>46138</v>
      </c>
      <c r="M509" s="121">
        <f ca="1" t="shared" si="51"/>
        <v>48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50"/>
        <v>46138</v>
      </c>
      <c r="M510" s="121">
        <f ca="1" t="shared" si="51"/>
        <v>48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50"/>
        <v>46138</v>
      </c>
      <c r="M511" s="121">
        <f ca="1" t="shared" si="51"/>
        <v>48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50"/>
        <v>46138</v>
      </c>
      <c r="M512" s="121">
        <f ca="1" t="shared" si="51"/>
        <v>48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50"/>
        <v>46138</v>
      </c>
      <c r="M514" s="121">
        <f ca="1" t="shared" si="51"/>
        <v>48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si="50"/>
        <v>46138</v>
      </c>
      <c r="M515" s="121">
        <f ca="1" t="shared" si="51"/>
        <v>48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50"/>
        <v>46138</v>
      </c>
      <c r="M516" s="121">
        <f ca="1" t="shared" si="51"/>
        <v>48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50"/>
        <v>46138</v>
      </c>
      <c r="M517" s="121">
        <f ca="1" t="shared" si="51"/>
        <v>48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50"/>
        <v>46139</v>
      </c>
      <c r="M518" s="121">
        <f ca="1" t="shared" si="51"/>
        <v>49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50"/>
        <v>46139</v>
      </c>
      <c r="M519" s="121">
        <f ca="1" t="shared" si="51"/>
        <v>49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50"/>
        <v>46139</v>
      </c>
      <c r="M520" s="121">
        <f ca="1" t="shared" si="51"/>
        <v>49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50"/>
        <v>46139</v>
      </c>
      <c r="M521" s="121">
        <f ca="1" t="shared" si="51"/>
        <v>49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50"/>
        <v>46139</v>
      </c>
      <c r="M522" s="121">
        <f ca="1" t="shared" si="51"/>
        <v>49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50"/>
        <v>46139</v>
      </c>
      <c r="M523" s="121">
        <f ca="1" t="shared" si="51"/>
        <v>49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50"/>
        <v>46139</v>
      </c>
      <c r="M524" s="121">
        <f ca="1" t="shared" si="51"/>
        <v>49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50"/>
        <v>46139</v>
      </c>
      <c r="M525" s="121">
        <f ca="1" t="shared" si="51"/>
        <v>49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50"/>
        <v>46139</v>
      </c>
      <c r="M526" s="121">
        <f ca="1" t="shared" si="51"/>
        <v>49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50"/>
        <v>46139</v>
      </c>
      <c r="M527" s="121">
        <f ca="1" t="shared" si="51"/>
        <v>49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50"/>
        <v>46139</v>
      </c>
      <c r="M528" s="121">
        <f ca="1" t="shared" si="51"/>
        <v>49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50"/>
        <v>46139</v>
      </c>
      <c r="M530" s="121">
        <f ca="1" t="shared" si="51"/>
        <v>49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50"/>
        <v>46139</v>
      </c>
      <c r="M531" s="121">
        <f ca="1" t="shared" si="51"/>
        <v>49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50"/>
        <v>46139</v>
      </c>
      <c r="M532" s="121">
        <f ca="1" t="shared" si="51"/>
        <v>49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50"/>
        <v>46139</v>
      </c>
      <c r="M533" s="121">
        <f ca="1" t="shared" si="51"/>
        <v>49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50"/>
        <v>46139</v>
      </c>
      <c r="M534" s="121">
        <f ca="1" t="shared" si="51"/>
        <v>49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ref="L535:L554" si="52">EDATE(I535,J535)</f>
        <v>46140</v>
      </c>
      <c r="M535" s="121">
        <f ca="1" t="shared" ref="M535:M554" si="53">L535-TODAY()</f>
        <v>50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52"/>
        <v>46140</v>
      </c>
      <c r="M536" s="121">
        <f ca="1" t="shared" si="53"/>
        <v>50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52"/>
        <v>46140</v>
      </c>
      <c r="M537" s="121">
        <f ca="1" t="shared" si="53"/>
        <v>50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52"/>
        <v>46140</v>
      </c>
      <c r="M538" s="121">
        <f ca="1" t="shared" si="53"/>
        <v>50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52"/>
        <v>46140</v>
      </c>
      <c r="M539" s="121">
        <f ca="1" t="shared" si="53"/>
        <v>50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52"/>
        <v>46140</v>
      </c>
      <c r="M540" s="121">
        <f ca="1" t="shared" si="53"/>
        <v>50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52"/>
        <v>46140</v>
      </c>
      <c r="M541" s="121">
        <f ca="1" t="shared" si="53"/>
        <v>50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52"/>
        <v>46140</v>
      </c>
      <c r="M542" s="121">
        <f ca="1" t="shared" si="53"/>
        <v>50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52"/>
        <v>46140</v>
      </c>
      <c r="M543" s="121">
        <f ca="1" t="shared" si="53"/>
        <v>50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52"/>
        <v>46140</v>
      </c>
      <c r="M544" s="121">
        <f ca="1" t="shared" si="53"/>
        <v>50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52"/>
        <v>46140</v>
      </c>
      <c r="M545" s="121">
        <f ca="1" t="shared" si="53"/>
        <v>50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52"/>
        <v>46140</v>
      </c>
      <c r="M546" s="121">
        <f ca="1" t="shared" si="53"/>
        <v>50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52"/>
        <v>46140</v>
      </c>
      <c r="M547" s="121">
        <f ca="1" t="shared" si="53"/>
        <v>50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52"/>
        <v>46140</v>
      </c>
      <c r="M548" s="121">
        <f ca="1" t="shared" si="53"/>
        <v>50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52"/>
        <v>46140</v>
      </c>
      <c r="M549" s="121">
        <f ca="1" t="shared" si="53"/>
        <v>50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52"/>
        <v>46140</v>
      </c>
      <c r="M550" s="121">
        <f ca="1" t="shared" si="53"/>
        <v>50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52"/>
        <v>46140</v>
      </c>
      <c r="M551" s="121">
        <f ca="1" t="shared" si="53"/>
        <v>50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54"/>
        <v>46141</v>
      </c>
      <c r="M555" s="121">
        <f ca="1" t="shared" si="55"/>
        <v>51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54"/>
        <v>46141</v>
      </c>
      <c r="M556" s="121">
        <f ca="1" t="shared" si="55"/>
        <v>51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54"/>
        <v>46141</v>
      </c>
      <c r="M557" s="121">
        <f ca="1" t="shared" si="55"/>
        <v>51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54"/>
        <v>46141</v>
      </c>
      <c r="M558" s="121">
        <f ca="1" t="shared" si="55"/>
        <v>51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54"/>
        <v>46141</v>
      </c>
      <c r="M559" s="121">
        <f ca="1" t="shared" si="55"/>
        <v>51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54"/>
        <v>46141</v>
      </c>
      <c r="M560" s="121">
        <f ca="1" t="shared" si="55"/>
        <v>51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54"/>
        <v>46141</v>
      </c>
      <c r="M561" s="121">
        <f ca="1" t="shared" si="55"/>
        <v>51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54"/>
        <v>46141</v>
      </c>
      <c r="M562" s="121">
        <f ca="1" t="shared" si="55"/>
        <v>51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54"/>
        <v>46141</v>
      </c>
      <c r="M563" s="121">
        <f ca="1" t="shared" si="55"/>
        <v>51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54"/>
        <v>46141</v>
      </c>
      <c r="M565" s="121">
        <f ca="1" t="shared" si="55"/>
        <v>51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54"/>
        <v>46141</v>
      </c>
      <c r="M566" s="121">
        <f ca="1" t="shared" si="55"/>
        <v>51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ref="L567:L589" si="56">EDATE(I567,J567)</f>
        <v>46142</v>
      </c>
      <c r="M567" s="121">
        <f ca="1" t="shared" ref="M567:M589" si="57">L567-TODAY()</f>
        <v>52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56"/>
        <v>46142</v>
      </c>
      <c r="M568" s="121">
        <f ca="1" t="shared" si="57"/>
        <v>52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56"/>
        <v>46142</v>
      </c>
      <c r="M569" s="121">
        <f ca="1" t="shared" si="57"/>
        <v>52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56"/>
        <v>46142</v>
      </c>
      <c r="M570" s="121">
        <f ca="1" t="shared" si="57"/>
        <v>52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56"/>
        <v>46142</v>
      </c>
      <c r="M571" s="121">
        <f ca="1" t="shared" si="57"/>
        <v>52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56"/>
        <v>46142</v>
      </c>
      <c r="M572" s="121">
        <f ca="1" t="shared" si="57"/>
        <v>52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56"/>
        <v>46142</v>
      </c>
      <c r="M573" s="121">
        <f ca="1" t="shared" si="57"/>
        <v>52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56"/>
        <v>46142</v>
      </c>
      <c r="M574" s="121">
        <f ca="1" t="shared" si="57"/>
        <v>52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56"/>
        <v>46142</v>
      </c>
      <c r="M575" s="121">
        <f ca="1" t="shared" si="57"/>
        <v>52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56"/>
        <v>46142</v>
      </c>
      <c r="M576" s="121">
        <f ca="1" t="shared" si="57"/>
        <v>52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56"/>
        <v>46142</v>
      </c>
      <c r="M577" s="121">
        <f ca="1" t="shared" si="57"/>
        <v>52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56"/>
        <v>46142</v>
      </c>
      <c r="M578" s="121">
        <f ca="1" t="shared" si="57"/>
        <v>52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si="56"/>
        <v>46142</v>
      </c>
      <c r="M579" s="121">
        <f ca="1" t="shared" si="57"/>
        <v>52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56"/>
        <v>46142</v>
      </c>
      <c r="M580" s="121">
        <f ca="1" t="shared" si="57"/>
        <v>52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56"/>
        <v>46142</v>
      </c>
      <c r="M584" s="121">
        <f ca="1" t="shared" si="57"/>
        <v>52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56"/>
        <v>46142</v>
      </c>
      <c r="M585" s="121">
        <f ca="1" t="shared" si="57"/>
        <v>52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56"/>
        <v>46142</v>
      </c>
      <c r="M586" s="121">
        <f ca="1" t="shared" si="57"/>
        <v>52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56"/>
        <v>46142</v>
      </c>
      <c r="M587" s="121">
        <f ca="1" t="shared" si="57"/>
        <v>52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56"/>
        <v>46142</v>
      </c>
      <c r="M588" s="121">
        <f ca="1" t="shared" si="57"/>
        <v>52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56"/>
        <v>46142</v>
      </c>
      <c r="M589" s="121">
        <f ca="1" t="shared" si="57"/>
        <v>52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ref="L590:L610" si="58">EDATE(I590,J590)</f>
        <v>46142</v>
      </c>
      <c r="M590" s="121">
        <f ca="1" t="shared" ref="M590:M610" si="59">L590-TODAY()</f>
        <v>52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58"/>
        <v>46142</v>
      </c>
      <c r="M591" s="121">
        <f ca="1" t="shared" si="59"/>
        <v>52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58"/>
        <v>46142</v>
      </c>
      <c r="M592" s="121">
        <f ca="1" t="shared" si="59"/>
        <v>52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58"/>
        <v>46142</v>
      </c>
      <c r="M593" s="121">
        <f ca="1" t="shared" si="59"/>
        <v>52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58"/>
        <v>46142</v>
      </c>
      <c r="M594" s="121">
        <f ca="1" t="shared" si="59"/>
        <v>52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58"/>
        <v>46142</v>
      </c>
      <c r="M595" s="121">
        <f ca="1" t="shared" si="59"/>
        <v>52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58"/>
        <v>46142</v>
      </c>
      <c r="M596" s="121">
        <f ca="1" t="shared" si="59"/>
        <v>52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58"/>
        <v>46142</v>
      </c>
      <c r="M597" s="121">
        <f ca="1" t="shared" si="59"/>
        <v>52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58"/>
        <v>46142</v>
      </c>
      <c r="M598" s="121">
        <f ca="1" t="shared" si="59"/>
        <v>52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58"/>
        <v>46142</v>
      </c>
      <c r="M599" s="121">
        <f ca="1" t="shared" si="59"/>
        <v>52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58"/>
        <v>46142</v>
      </c>
      <c r="M600" s="121">
        <f ca="1" t="shared" si="59"/>
        <v>52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58"/>
        <v>46142</v>
      </c>
      <c r="M601" s="121">
        <f ca="1" t="shared" si="59"/>
        <v>52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58"/>
        <v>46142</v>
      </c>
      <c r="M602" s="121">
        <f ca="1" t="shared" si="59"/>
        <v>52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58"/>
        <v>46142</v>
      </c>
      <c r="M603" s="121">
        <f ca="1" t="shared" si="59"/>
        <v>52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58"/>
        <v>46142</v>
      </c>
      <c r="M604" s="121">
        <f ca="1" t="shared" si="59"/>
        <v>52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58"/>
        <v>46142</v>
      </c>
      <c r="M605" s="121">
        <f ca="1" t="shared" si="59"/>
        <v>52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58"/>
        <v>46142</v>
      </c>
      <c r="M606" s="121">
        <f ca="1" t="shared" si="59"/>
        <v>52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58"/>
        <v>#VALUE!</v>
      </c>
      <c r="M607" s="121" t="e">
        <f ca="1" t="shared" si="5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58"/>
        <v>46142</v>
      </c>
      <c r="M608" s="121">
        <f ca="1" t="shared" si="59"/>
        <v>52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58"/>
        <v>#VALUE!</v>
      </c>
      <c r="M609" s="121" t="e">
        <f ca="1" t="shared" si="5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58"/>
        <v>46142</v>
      </c>
      <c r="M610" s="121">
        <f ca="1" t="shared" si="59"/>
        <v>52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ref="L611:L630" si="60">EDATE(I611,J611)</f>
        <v>46143</v>
      </c>
      <c r="M611" s="121">
        <f ca="1" t="shared" ref="M611:M630" si="61">L611-TODAY()</f>
        <v>53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60"/>
        <v>46143</v>
      </c>
      <c r="M612" s="121">
        <f ca="1" t="shared" si="61"/>
        <v>53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60"/>
        <v>46143</v>
      </c>
      <c r="M613" s="121">
        <f ca="1" t="shared" si="61"/>
        <v>53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60"/>
        <v>46143</v>
      </c>
      <c r="M614" s="121">
        <f ca="1" t="shared" si="61"/>
        <v>53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60"/>
        <v>46143</v>
      </c>
      <c r="M615" s="121">
        <f ca="1" t="shared" si="61"/>
        <v>53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60"/>
        <v>46143</v>
      </c>
      <c r="M616" s="121">
        <f ca="1" t="shared" si="61"/>
        <v>53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60"/>
        <v>46143</v>
      </c>
      <c r="M617" s="121">
        <f ca="1" t="shared" si="61"/>
        <v>53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60"/>
        <v>46143</v>
      </c>
      <c r="M618" s="121">
        <f ca="1" t="shared" si="61"/>
        <v>53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60"/>
        <v>46143</v>
      </c>
      <c r="M619" s="121">
        <f ca="1" t="shared" si="61"/>
        <v>53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60"/>
        <v>46143</v>
      </c>
      <c r="M620" s="121">
        <f ca="1" t="shared" si="61"/>
        <v>53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60"/>
        <v>46143</v>
      </c>
      <c r="M621" s="121">
        <f ca="1" t="shared" si="61"/>
        <v>53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60"/>
        <v>46143</v>
      </c>
      <c r="M622" s="121">
        <f ca="1" t="shared" si="61"/>
        <v>53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60"/>
        <v>46143</v>
      </c>
      <c r="M623" s="121">
        <f ca="1" t="shared" si="61"/>
        <v>53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60"/>
        <v>46143</v>
      </c>
      <c r="M624" s="121">
        <f ca="1" t="shared" si="61"/>
        <v>53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60"/>
        <v>#VALUE!</v>
      </c>
      <c r="M625" s="121" t="e">
        <f ca="1" t="shared" si="61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60"/>
        <v>46143</v>
      </c>
      <c r="M626" s="121">
        <f ca="1" t="shared" si="61"/>
        <v>53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60"/>
        <v>#VALUE!</v>
      </c>
      <c r="M627" s="121" t="e">
        <f ca="1" t="shared" si="61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60"/>
        <v>46143</v>
      </c>
      <c r="M628" s="121">
        <f ca="1" t="shared" si="61"/>
        <v>53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60"/>
        <v>46143</v>
      </c>
      <c r="M629" s="121">
        <f ca="1" t="shared" si="61"/>
        <v>53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si="60"/>
        <v>#VALUE!</v>
      </c>
      <c r="M630" s="121" t="e">
        <f ca="1" t="shared" si="61"/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>
        <v>629</v>
      </c>
      <c r="B631" s="73" t="s">
        <v>169</v>
      </c>
      <c r="C631" s="73" t="s">
        <v>158</v>
      </c>
      <c r="D631" s="74" t="s">
        <v>749</v>
      </c>
      <c r="E631" s="79" t="s">
        <v>221</v>
      </c>
      <c r="F631" s="80"/>
      <c r="G631" s="81"/>
      <c r="H631" s="82"/>
      <c r="I631" s="118">
        <v>46054</v>
      </c>
      <c r="J631" s="118" t="s">
        <v>473</v>
      </c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1488</v>
      </c>
      <c r="E632" s="79" t="s">
        <v>19</v>
      </c>
      <c r="F632" s="80"/>
      <c r="G632" s="81"/>
      <c r="H632" s="82"/>
      <c r="I632" s="118">
        <v>46055</v>
      </c>
      <c r="J632" s="73">
        <v>3</v>
      </c>
      <c r="K632" s="122" t="s">
        <v>1489</v>
      </c>
      <c r="L632" s="120">
        <f>EDATE(I632,J632)</f>
        <v>46144</v>
      </c>
      <c r="M632" s="121">
        <f ca="1">L632-TODAY()</f>
        <v>54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7" customHeight="1" spans="1:52">
      <c r="A633" s="73">
        <v>631</v>
      </c>
      <c r="B633" s="73" t="s">
        <v>140</v>
      </c>
      <c r="C633" s="73" t="s">
        <v>13</v>
      </c>
      <c r="D633" s="74" t="s">
        <v>1490</v>
      </c>
      <c r="E633" s="79" t="s">
        <v>78</v>
      </c>
      <c r="F633" s="80"/>
      <c r="G633" s="81"/>
      <c r="H633" s="82"/>
      <c r="I633" s="118">
        <v>46055</v>
      </c>
      <c r="J633" s="73">
        <v>3</v>
      </c>
      <c r="K633" s="122" t="s">
        <v>1491</v>
      </c>
      <c r="L633" s="120">
        <f>EDATE(I633,J633)</f>
        <v>46144</v>
      </c>
      <c r="M633" s="121">
        <f ca="1">L633-TODAY()</f>
        <v>54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6" customHeight="1" spans="1:52">
      <c r="A634" s="73">
        <v>632</v>
      </c>
      <c r="B634" s="73" t="s">
        <v>140</v>
      </c>
      <c r="C634" s="73" t="s">
        <v>13</v>
      </c>
      <c r="D634" s="74" t="s">
        <v>1492</v>
      </c>
      <c r="E634" s="79" t="s">
        <v>47</v>
      </c>
      <c r="F634" s="80"/>
      <c r="G634" s="81"/>
      <c r="H634" s="82"/>
      <c r="I634" s="118">
        <v>46055</v>
      </c>
      <c r="J634" s="73">
        <v>3</v>
      </c>
      <c r="K634" s="122" t="s">
        <v>1493</v>
      </c>
      <c r="L634" s="120">
        <f t="shared" ref="L634:L639" si="62">EDATE(I634,J634)</f>
        <v>46144</v>
      </c>
      <c r="M634" s="121">
        <f ca="1" t="shared" ref="M634:M639" si="63">L634-TODAY()</f>
        <v>54</v>
      </c>
      <c r="N634" s="73"/>
      <c r="O634" s="73"/>
      <c r="P634" s="73"/>
      <c r="Q634" s="74"/>
      <c r="R634" s="79"/>
      <c r="S634" s="80"/>
      <c r="T634" s="81"/>
      <c r="U634" s="7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7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1494</v>
      </c>
      <c r="C635" s="73" t="s">
        <v>27</v>
      </c>
      <c r="D635" s="74" t="s">
        <v>1495</v>
      </c>
      <c r="E635" s="79" t="s">
        <v>1169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1496</v>
      </c>
      <c r="L635" s="120">
        <f t="shared" si="62"/>
        <v>46144</v>
      </c>
      <c r="M635" s="121">
        <f ca="1" t="shared" si="63"/>
        <v>54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ht="20" customHeight="1" spans="1:52">
      <c r="A636" s="73">
        <v>634</v>
      </c>
      <c r="B636" s="73" t="s">
        <v>1497</v>
      </c>
      <c r="C636" s="73" t="s">
        <v>13</v>
      </c>
      <c r="D636" s="74" t="s">
        <v>1498</v>
      </c>
      <c r="E636" s="79" t="s">
        <v>25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1499</v>
      </c>
      <c r="L636" s="120">
        <f t="shared" si="62"/>
        <v>46144</v>
      </c>
      <c r="M636" s="121">
        <f ca="1" t="shared" si="63"/>
        <v>54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13</v>
      </c>
      <c r="D637" s="74" t="s">
        <v>1500</v>
      </c>
      <c r="E637" s="79" t="s">
        <v>1501</v>
      </c>
      <c r="F637" s="80"/>
      <c r="G637" s="81"/>
      <c r="H637" s="158" t="s">
        <v>16</v>
      </c>
      <c r="I637" s="118">
        <v>46055</v>
      </c>
      <c r="J637" s="73">
        <v>3</v>
      </c>
      <c r="K637" s="122" t="s">
        <v>1502</v>
      </c>
      <c r="L637" s="120">
        <f t="shared" si="62"/>
        <v>46144</v>
      </c>
      <c r="M637" s="121">
        <f ca="1" t="shared" si="63"/>
        <v>54</v>
      </c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1503</v>
      </c>
      <c r="E638" s="79" t="s">
        <v>1504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1505</v>
      </c>
      <c r="L638" s="120">
        <f t="shared" si="62"/>
        <v>46144</v>
      </c>
      <c r="M638" s="121">
        <f ca="1" t="shared" si="63"/>
        <v>54</v>
      </c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1497</v>
      </c>
      <c r="C639" s="73" t="s">
        <v>27</v>
      </c>
      <c r="D639" s="74" t="s">
        <v>1506</v>
      </c>
      <c r="E639" s="79" t="s">
        <v>1507</v>
      </c>
      <c r="F639" s="80"/>
      <c r="G639" s="81"/>
      <c r="H639" s="78" t="s">
        <v>16</v>
      </c>
      <c r="I639" s="118">
        <v>46055</v>
      </c>
      <c r="J639" s="73">
        <v>3</v>
      </c>
      <c r="K639" s="122" t="s">
        <v>1508</v>
      </c>
      <c r="L639" s="120">
        <f t="shared" si="62"/>
        <v>46144</v>
      </c>
      <c r="M639" s="121">
        <f ca="1" t="shared" si="63"/>
        <v>54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12</v>
      </c>
      <c r="C640" s="73" t="s">
        <v>13</v>
      </c>
      <c r="D640" s="74" t="s">
        <v>1509</v>
      </c>
      <c r="E640" s="79" t="s">
        <v>25</v>
      </c>
      <c r="F640" s="80"/>
      <c r="G640" s="81"/>
      <c r="H640" s="78" t="s">
        <v>16</v>
      </c>
      <c r="I640" s="118">
        <v>46056</v>
      </c>
      <c r="J640" s="73">
        <v>3</v>
      </c>
      <c r="K640" s="122" t="s">
        <v>1510</v>
      </c>
      <c r="L640" s="120">
        <f t="shared" ref="L640:L660" si="64">EDATE(I640,J640)</f>
        <v>46145</v>
      </c>
      <c r="M640" s="121">
        <f ca="1" t="shared" ref="M640:M660" si="65">L640-TODAY()</f>
        <v>55</v>
      </c>
      <c r="N640" s="73"/>
      <c r="O640" s="73"/>
      <c r="P640" s="73"/>
      <c r="Q640" s="74"/>
      <c r="R640" s="79"/>
      <c r="S640" s="80"/>
      <c r="T640" s="81"/>
      <c r="U640" s="15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158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158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1511</v>
      </c>
      <c r="E641" s="79" t="s">
        <v>71</v>
      </c>
      <c r="F641" s="80"/>
      <c r="G641" s="81"/>
      <c r="H641" s="82"/>
      <c r="I641" s="118">
        <v>46056</v>
      </c>
      <c r="J641" s="73">
        <v>3</v>
      </c>
      <c r="K641" s="122" t="s">
        <v>1512</v>
      </c>
      <c r="L641" s="120">
        <f t="shared" si="64"/>
        <v>46145</v>
      </c>
      <c r="M641" s="121">
        <f ca="1" t="shared" si="65"/>
        <v>55</v>
      </c>
      <c r="N641" s="73"/>
      <c r="O641" s="73"/>
      <c r="P641" s="73"/>
      <c r="Q641" s="74"/>
      <c r="R641" s="79"/>
      <c r="S641" s="80"/>
      <c r="T641" s="81"/>
      <c r="U641" s="89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1513</v>
      </c>
      <c r="E642" s="79" t="s">
        <v>1514</v>
      </c>
      <c r="F642" s="80"/>
      <c r="G642" s="81"/>
      <c r="H642" s="89" t="s">
        <v>16</v>
      </c>
      <c r="I642" s="118">
        <v>46056</v>
      </c>
      <c r="J642" s="73">
        <v>3</v>
      </c>
      <c r="K642" s="122" t="s">
        <v>1515</v>
      </c>
      <c r="L642" s="120">
        <f t="shared" si="64"/>
        <v>46145</v>
      </c>
      <c r="M642" s="121">
        <f ca="1" t="shared" si="65"/>
        <v>55</v>
      </c>
      <c r="N642" s="73"/>
      <c r="O642" s="73"/>
      <c r="P642" s="73"/>
      <c r="Q642" s="74"/>
      <c r="R642" s="79"/>
      <c r="S642" s="80"/>
      <c r="T642" s="81"/>
      <c r="U642" s="130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1516</v>
      </c>
      <c r="E643" s="79" t="s">
        <v>1517</v>
      </c>
      <c r="F643" s="80"/>
      <c r="G643" s="81"/>
      <c r="H643" s="82"/>
      <c r="I643" s="118">
        <v>46056</v>
      </c>
      <c r="J643" s="73">
        <v>3</v>
      </c>
      <c r="K643" s="122" t="s">
        <v>1518</v>
      </c>
      <c r="L643" s="120">
        <f t="shared" si="64"/>
        <v>46145</v>
      </c>
      <c r="M643" s="121">
        <f ca="1" t="shared" si="65"/>
        <v>55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140</v>
      </c>
      <c r="C644" s="73" t="s">
        <v>13</v>
      </c>
      <c r="D644" s="74" t="s">
        <v>1519</v>
      </c>
      <c r="E644" s="79" t="s">
        <v>1520</v>
      </c>
      <c r="F644" s="80"/>
      <c r="G644" s="81"/>
      <c r="H644" s="82"/>
      <c r="I644" s="118">
        <v>46056</v>
      </c>
      <c r="J644" s="73">
        <v>3</v>
      </c>
      <c r="K644" s="122" t="s">
        <v>1521</v>
      </c>
      <c r="L644" s="120">
        <f t="shared" si="64"/>
        <v>46145</v>
      </c>
      <c r="M644" s="121">
        <f ca="1" t="shared" si="65"/>
        <v>55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349</v>
      </c>
      <c r="C645" s="73" t="s">
        <v>13</v>
      </c>
      <c r="D645" s="74" t="s">
        <v>1522</v>
      </c>
      <c r="E645" s="79" t="s">
        <v>90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1523</v>
      </c>
      <c r="L645" s="120">
        <f t="shared" si="64"/>
        <v>46145</v>
      </c>
      <c r="M645" s="121">
        <f ca="1" t="shared" si="65"/>
        <v>55</v>
      </c>
      <c r="N645" s="73"/>
      <c r="O645" s="73"/>
      <c r="P645" s="73"/>
      <c r="Q645" s="74"/>
      <c r="R645" s="79"/>
      <c r="S645" s="80"/>
      <c r="T645" s="81"/>
      <c r="U645" s="78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78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13</v>
      </c>
      <c r="D646" s="74" t="s">
        <v>1524</v>
      </c>
      <c r="E646" s="79" t="s">
        <v>32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1525</v>
      </c>
      <c r="L646" s="120">
        <f t="shared" si="64"/>
        <v>46145</v>
      </c>
      <c r="M646" s="121">
        <f ca="1" t="shared" si="65"/>
        <v>55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37</v>
      </c>
      <c r="C647" s="73" t="s">
        <v>27</v>
      </c>
      <c r="D647" s="74" t="s">
        <v>1526</v>
      </c>
      <c r="E647" s="79" t="s">
        <v>318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1527</v>
      </c>
      <c r="L647" s="120">
        <f t="shared" si="64"/>
        <v>46145</v>
      </c>
      <c r="M647" s="121">
        <f ca="1" t="shared" si="65"/>
        <v>55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73"/>
      <c r="AP647" s="73"/>
      <c r="AQ647" s="74"/>
      <c r="AR647" s="79"/>
      <c r="AS647" s="80"/>
      <c r="AT647" s="81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1528</v>
      </c>
      <c r="C648" s="73" t="s">
        <v>13</v>
      </c>
      <c r="D648" s="74" t="s">
        <v>1529</v>
      </c>
      <c r="E648" s="79" t="s">
        <v>1530</v>
      </c>
      <c r="F648" s="80"/>
      <c r="G648" s="81"/>
      <c r="H648" s="78" t="s">
        <v>16</v>
      </c>
      <c r="I648" s="118">
        <v>46056</v>
      </c>
      <c r="J648" s="73">
        <v>3</v>
      </c>
      <c r="K648" s="122" t="s">
        <v>1531</v>
      </c>
      <c r="L648" s="120">
        <f t="shared" si="64"/>
        <v>46145</v>
      </c>
      <c r="M648" s="121">
        <f ca="1" t="shared" si="65"/>
        <v>55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1163</v>
      </c>
      <c r="C649" s="73" t="s">
        <v>158</v>
      </c>
      <c r="D649" s="74" t="s">
        <v>589</v>
      </c>
      <c r="E649" s="79" t="s">
        <v>471</v>
      </c>
      <c r="F649" s="80"/>
      <c r="G649" s="81"/>
      <c r="H649" s="82"/>
      <c r="I649" s="118">
        <v>46056</v>
      </c>
      <c r="J649" s="118" t="s">
        <v>473</v>
      </c>
      <c r="K649" s="122" t="s">
        <v>1532</v>
      </c>
      <c r="L649" s="120" t="e">
        <f t="shared" si="64"/>
        <v>#VALUE!</v>
      </c>
      <c r="M649" s="121" t="e">
        <f ca="1" t="shared" si="65"/>
        <v>#VALUE!</v>
      </c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1533</v>
      </c>
      <c r="E650" s="79" t="s">
        <v>1534</v>
      </c>
      <c r="F650" s="80"/>
      <c r="G650" s="81"/>
      <c r="H650" s="82"/>
      <c r="I650" s="118">
        <v>46056</v>
      </c>
      <c r="J650" s="73">
        <v>3</v>
      </c>
      <c r="K650" s="122" t="s">
        <v>1535</v>
      </c>
      <c r="L650" s="120">
        <f t="shared" si="64"/>
        <v>46145</v>
      </c>
      <c r="M650" s="121">
        <f ca="1" t="shared" si="65"/>
        <v>55</v>
      </c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1536</v>
      </c>
      <c r="E651" s="79" t="s">
        <v>1537</v>
      </c>
      <c r="F651" s="80"/>
      <c r="G651" s="81"/>
      <c r="H651" s="82"/>
      <c r="I651" s="118">
        <v>46056</v>
      </c>
      <c r="J651" s="73">
        <v>3</v>
      </c>
      <c r="K651" s="122" t="s">
        <v>1538</v>
      </c>
      <c r="L651" s="120">
        <f t="shared" si="64"/>
        <v>46145</v>
      </c>
      <c r="M651" s="121">
        <f ca="1" t="shared" si="65"/>
        <v>55</v>
      </c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175</v>
      </c>
      <c r="E652" s="79" t="s">
        <v>1539</v>
      </c>
      <c r="F652" s="80"/>
      <c r="G652" s="81"/>
      <c r="H652" s="82"/>
      <c r="I652" s="118">
        <v>46056</v>
      </c>
      <c r="J652" s="118" t="s">
        <v>473</v>
      </c>
      <c r="K652" s="122" t="s">
        <v>1540</v>
      </c>
      <c r="L652" s="120" t="e">
        <f t="shared" si="64"/>
        <v>#VALUE!</v>
      </c>
      <c r="M652" s="121" t="e">
        <f ca="1" t="shared" si="65"/>
        <v>#VALUE!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78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169</v>
      </c>
      <c r="C653" s="73" t="s">
        <v>158</v>
      </c>
      <c r="D653" s="74" t="s">
        <v>1541</v>
      </c>
      <c r="E653" s="79" t="s">
        <v>1542</v>
      </c>
      <c r="F653" s="80"/>
      <c r="G653" s="81"/>
      <c r="H653" s="82"/>
      <c r="I653" s="118">
        <v>46056</v>
      </c>
      <c r="J653" s="73">
        <v>3</v>
      </c>
      <c r="K653" s="122" t="s">
        <v>1543</v>
      </c>
      <c r="L653" s="120">
        <f t="shared" si="64"/>
        <v>46145</v>
      </c>
      <c r="M653" s="121">
        <f ca="1" t="shared" si="65"/>
        <v>55</v>
      </c>
      <c r="N653" s="73"/>
      <c r="O653" s="73"/>
      <c r="P653" s="73"/>
      <c r="Q653" s="74"/>
      <c r="R653" s="79"/>
      <c r="S653" s="80"/>
      <c r="T653" s="81"/>
      <c r="U653" s="78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>
        <v>652</v>
      </c>
      <c r="B654" s="73" t="s">
        <v>49</v>
      </c>
      <c r="C654" s="73" t="s">
        <v>27</v>
      </c>
      <c r="D654" s="74" t="s">
        <v>821</v>
      </c>
      <c r="E654" s="79" t="s">
        <v>822</v>
      </c>
      <c r="F654" s="80"/>
      <c r="G654" s="81"/>
      <c r="H654" s="82"/>
      <c r="I654" s="118">
        <v>46056</v>
      </c>
      <c r="J654" s="73">
        <v>3</v>
      </c>
      <c r="K654" s="122" t="s">
        <v>1544</v>
      </c>
      <c r="L654" s="120">
        <f t="shared" si="64"/>
        <v>46145</v>
      </c>
      <c r="M654" s="121">
        <f ca="1" t="shared" si="65"/>
        <v>55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>
        <v>653</v>
      </c>
      <c r="B655" s="73" t="s">
        <v>462</v>
      </c>
      <c r="C655" s="73" t="s">
        <v>13</v>
      </c>
      <c r="D655" s="74" t="s">
        <v>1545</v>
      </c>
      <c r="E655" s="79" t="s">
        <v>32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1546</v>
      </c>
      <c r="L655" s="120">
        <f t="shared" si="64"/>
        <v>46145</v>
      </c>
      <c r="M655" s="121">
        <f ca="1" t="shared" si="65"/>
        <v>55</v>
      </c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1547</v>
      </c>
      <c r="E656" s="79" t="s">
        <v>71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1548</v>
      </c>
      <c r="L656" s="120">
        <f t="shared" si="64"/>
        <v>46145</v>
      </c>
      <c r="M656" s="121">
        <f ca="1" t="shared" si="65"/>
        <v>55</v>
      </c>
      <c r="N656" s="73"/>
      <c r="O656" s="73"/>
      <c r="P656" s="73"/>
      <c r="Q656" s="74"/>
      <c r="R656" s="79"/>
      <c r="S656" s="80"/>
      <c r="T656" s="81"/>
      <c r="U656" s="130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462</v>
      </c>
      <c r="C657" s="73" t="s">
        <v>13</v>
      </c>
      <c r="D657" s="74" t="s">
        <v>1549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1550</v>
      </c>
      <c r="L657" s="120">
        <f t="shared" si="64"/>
        <v>46145</v>
      </c>
      <c r="M657" s="121">
        <f ca="1" t="shared" si="65"/>
        <v>55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>
        <v>656</v>
      </c>
      <c r="B658" s="73" t="s">
        <v>314</v>
      </c>
      <c r="C658" s="73" t="s">
        <v>13</v>
      </c>
      <c r="D658" s="74" t="s">
        <v>1551</v>
      </c>
      <c r="E658" s="79" t="s">
        <v>32</v>
      </c>
      <c r="F658" s="80"/>
      <c r="G658" s="81"/>
      <c r="H658" s="130" t="s">
        <v>16</v>
      </c>
      <c r="I658" s="118">
        <v>46056</v>
      </c>
      <c r="J658" s="73">
        <v>3</v>
      </c>
      <c r="K658" s="122" t="s">
        <v>1552</v>
      </c>
      <c r="L658" s="120">
        <f t="shared" si="64"/>
        <v>46145</v>
      </c>
      <c r="M658" s="121">
        <f ca="1" t="shared" si="65"/>
        <v>55</v>
      </c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140</v>
      </c>
      <c r="C659" s="73" t="s">
        <v>27</v>
      </c>
      <c r="D659" s="74" t="s">
        <v>1553</v>
      </c>
      <c r="E659" s="79" t="s">
        <v>118</v>
      </c>
      <c r="F659" s="80"/>
      <c r="G659" s="81"/>
      <c r="H659" s="204"/>
      <c r="I659" s="118">
        <v>46057</v>
      </c>
      <c r="J659" s="73">
        <v>3</v>
      </c>
      <c r="K659" s="122" t="s">
        <v>1554</v>
      </c>
      <c r="L659" s="120">
        <f t="shared" si="64"/>
        <v>46146</v>
      </c>
      <c r="M659" s="121">
        <f ca="1" t="shared" si="65"/>
        <v>56</v>
      </c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852</v>
      </c>
      <c r="C660" s="73" t="s">
        <v>27</v>
      </c>
      <c r="D660" s="74" t="s">
        <v>1555</v>
      </c>
      <c r="E660" s="79" t="s">
        <v>988</v>
      </c>
      <c r="F660" s="80"/>
      <c r="G660" s="81"/>
      <c r="H660" s="204"/>
      <c r="I660" s="118">
        <v>46057</v>
      </c>
      <c r="J660" s="73">
        <v>3</v>
      </c>
      <c r="K660" s="122" t="s">
        <v>1556</v>
      </c>
      <c r="L660" s="120">
        <f t="shared" si="64"/>
        <v>46146</v>
      </c>
      <c r="M660" s="121">
        <f ca="1" t="shared" si="65"/>
        <v>56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223</v>
      </c>
      <c r="C661" s="73" t="s">
        <v>158</v>
      </c>
      <c r="D661" s="74" t="s">
        <v>224</v>
      </c>
      <c r="E661" s="79" t="s">
        <v>225</v>
      </c>
      <c r="F661" s="80"/>
      <c r="G661" s="81"/>
      <c r="H661" s="204"/>
      <c r="I661" s="118">
        <v>46057</v>
      </c>
      <c r="J661" s="118" t="s">
        <v>473</v>
      </c>
      <c r="K661" s="122"/>
      <c r="L661" s="120" t="e">
        <f t="shared" ref="L661:L682" si="66">EDATE(I661,J661)</f>
        <v>#VALUE!</v>
      </c>
      <c r="M661" s="121" t="e">
        <f ca="1" t="shared" ref="M661:M682" si="67">L661-TODAY()</f>
        <v>#VALUE!</v>
      </c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753</v>
      </c>
      <c r="C662" s="73" t="s">
        <v>158</v>
      </c>
      <c r="D662" s="74" t="s">
        <v>1557</v>
      </c>
      <c r="E662" s="79" t="s">
        <v>158</v>
      </c>
      <c r="F662" s="80"/>
      <c r="G662" s="81"/>
      <c r="H662" s="204"/>
      <c r="I662" s="118">
        <v>46057</v>
      </c>
      <c r="J662" s="73">
        <v>3</v>
      </c>
      <c r="K662" s="122" t="s">
        <v>1558</v>
      </c>
      <c r="L662" s="120">
        <f t="shared" si="66"/>
        <v>46146</v>
      </c>
      <c r="M662" s="121">
        <f ca="1" t="shared" si="67"/>
        <v>56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7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162</v>
      </c>
      <c r="C663" s="73" t="s">
        <v>158</v>
      </c>
      <c r="D663" s="74" t="s">
        <v>585</v>
      </c>
      <c r="E663" s="79" t="s">
        <v>1559</v>
      </c>
      <c r="F663" s="80"/>
      <c r="G663" s="81"/>
      <c r="H663" s="204"/>
      <c r="I663" s="118">
        <v>46057</v>
      </c>
      <c r="J663" s="118" t="s">
        <v>473</v>
      </c>
      <c r="K663" s="122"/>
      <c r="L663" s="120" t="e">
        <f t="shared" si="66"/>
        <v>#VALUE!</v>
      </c>
      <c r="M663" s="121" t="e">
        <f ca="1" t="shared" si="67"/>
        <v>#VALUE!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1562</v>
      </c>
      <c r="F664" s="80"/>
      <c r="G664" s="81"/>
      <c r="H664" s="204"/>
      <c r="I664" s="118">
        <v>46057</v>
      </c>
      <c r="J664" s="73">
        <v>3</v>
      </c>
      <c r="K664" s="122" t="s">
        <v>1563</v>
      </c>
      <c r="L664" s="120">
        <f t="shared" si="66"/>
        <v>46146</v>
      </c>
      <c r="M664" s="121">
        <f ca="1" t="shared" si="67"/>
        <v>56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1564</v>
      </c>
      <c r="C665" s="73" t="s">
        <v>158</v>
      </c>
      <c r="D665" s="74" t="s">
        <v>1565</v>
      </c>
      <c r="E665" s="79" t="s">
        <v>221</v>
      </c>
      <c r="F665" s="80"/>
      <c r="G665" s="81"/>
      <c r="H665" s="204"/>
      <c r="I665" s="118">
        <v>46057</v>
      </c>
      <c r="J665" s="73">
        <v>3</v>
      </c>
      <c r="K665" s="122" t="s">
        <v>1566</v>
      </c>
      <c r="L665" s="120">
        <f t="shared" si="66"/>
        <v>46146</v>
      </c>
      <c r="M665" s="121">
        <f ca="1" t="shared" si="67"/>
        <v>56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162</v>
      </c>
      <c r="C666" s="73" t="s">
        <v>158</v>
      </c>
      <c r="D666" s="74" t="s">
        <v>591</v>
      </c>
      <c r="E666" s="79" t="s">
        <v>225</v>
      </c>
      <c r="F666" s="80"/>
      <c r="G666" s="81"/>
      <c r="H666" s="204"/>
      <c r="I666" s="118">
        <v>46057</v>
      </c>
      <c r="J666" s="118" t="s">
        <v>473</v>
      </c>
      <c r="K666" s="122" t="s">
        <v>1567</v>
      </c>
      <c r="L666" s="120" t="e">
        <f t="shared" si="66"/>
        <v>#VALUE!</v>
      </c>
      <c r="M666" s="121" t="e">
        <f ca="1" t="shared" si="67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395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66"/>
        <v>#VALUE!</v>
      </c>
      <c r="M667" s="121" t="e">
        <f ca="1" t="shared" si="67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157</v>
      </c>
      <c r="C668" s="73" t="s">
        <v>158</v>
      </c>
      <c r="D668" s="74" t="s">
        <v>159</v>
      </c>
      <c r="E668" s="79" t="s">
        <v>160</v>
      </c>
      <c r="F668" s="80"/>
      <c r="G668" s="81"/>
      <c r="H668" s="204"/>
      <c r="I668" s="118">
        <v>46057</v>
      </c>
      <c r="J668" s="118" t="s">
        <v>473</v>
      </c>
      <c r="K668" s="122"/>
      <c r="L668" s="120" t="e">
        <f t="shared" si="66"/>
        <v>#VALUE!</v>
      </c>
      <c r="M668" s="121" t="e">
        <f ca="1" t="shared" si="67"/>
        <v>#VALUE!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1568</v>
      </c>
      <c r="E669" s="79" t="s">
        <v>815</v>
      </c>
      <c r="F669" s="80"/>
      <c r="G669" s="81"/>
      <c r="H669" s="78" t="s">
        <v>16</v>
      </c>
      <c r="I669" s="118">
        <v>46058</v>
      </c>
      <c r="J669" s="73">
        <v>3</v>
      </c>
      <c r="K669" s="122" t="s">
        <v>1569</v>
      </c>
      <c r="L669" s="120">
        <f t="shared" si="66"/>
        <v>46147</v>
      </c>
      <c r="M669" s="121">
        <f ca="1" t="shared" si="67"/>
        <v>57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82</v>
      </c>
      <c r="C670" s="73" t="s">
        <v>27</v>
      </c>
      <c r="D670" s="74" t="s">
        <v>1570</v>
      </c>
      <c r="E670" s="79" t="s">
        <v>90</v>
      </c>
      <c r="F670" s="80"/>
      <c r="G670" s="81"/>
      <c r="H670" s="82"/>
      <c r="I670" s="118">
        <v>46058</v>
      </c>
      <c r="J670" s="73">
        <v>3</v>
      </c>
      <c r="K670" s="122" t="s">
        <v>1571</v>
      </c>
      <c r="L670" s="120">
        <f t="shared" si="66"/>
        <v>46147</v>
      </c>
      <c r="M670" s="121">
        <f ca="1" t="shared" si="67"/>
        <v>57</v>
      </c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349</v>
      </c>
      <c r="C671" s="73" t="s">
        <v>27</v>
      </c>
      <c r="D671" s="74" t="s">
        <v>1572</v>
      </c>
      <c r="E671" s="79" t="s">
        <v>318</v>
      </c>
      <c r="F671" s="80"/>
      <c r="G671" s="81"/>
      <c r="H671" s="78" t="s">
        <v>16</v>
      </c>
      <c r="I671" s="118">
        <v>46058</v>
      </c>
      <c r="J671" s="73">
        <v>3</v>
      </c>
      <c r="K671" s="122" t="s">
        <v>1573</v>
      </c>
      <c r="L671" s="120">
        <f t="shared" si="66"/>
        <v>46147</v>
      </c>
      <c r="M671" s="121">
        <f ca="1" t="shared" si="67"/>
        <v>57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>
        <v>670</v>
      </c>
      <c r="B672" s="73" t="s">
        <v>780</v>
      </c>
      <c r="C672" s="73" t="s">
        <v>27</v>
      </c>
      <c r="D672" s="74" t="s">
        <v>1574</v>
      </c>
      <c r="E672" s="79" t="s">
        <v>118</v>
      </c>
      <c r="F672" s="80"/>
      <c r="G672" s="81"/>
      <c r="H672" s="78" t="s">
        <v>16</v>
      </c>
      <c r="I672" s="118">
        <v>46058</v>
      </c>
      <c r="J672" s="73">
        <v>3</v>
      </c>
      <c r="K672" s="122" t="s">
        <v>1575</v>
      </c>
      <c r="L672" s="120">
        <f t="shared" si="66"/>
        <v>46147</v>
      </c>
      <c r="M672" s="121">
        <f ca="1" t="shared" si="67"/>
        <v>57</v>
      </c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>
        <v>671</v>
      </c>
      <c r="B673" s="73" t="s">
        <v>780</v>
      </c>
      <c r="C673" s="73" t="s">
        <v>27</v>
      </c>
      <c r="D673" s="94" t="s">
        <v>1576</v>
      </c>
      <c r="E673" s="79" t="s">
        <v>78</v>
      </c>
      <c r="F673" s="80"/>
      <c r="G673" s="81"/>
      <c r="H673" s="78" t="s">
        <v>16</v>
      </c>
      <c r="I673" s="118">
        <v>46058</v>
      </c>
      <c r="J673" s="73">
        <v>3</v>
      </c>
      <c r="K673" s="122" t="s">
        <v>1577</v>
      </c>
      <c r="L673" s="120">
        <f t="shared" si="66"/>
        <v>46147</v>
      </c>
      <c r="M673" s="121">
        <f ca="1" t="shared" si="67"/>
        <v>57</v>
      </c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443</v>
      </c>
      <c r="C674" s="73" t="s">
        <v>27</v>
      </c>
      <c r="D674" s="74" t="s">
        <v>1578</v>
      </c>
      <c r="E674" s="79" t="s">
        <v>1579</v>
      </c>
      <c r="F674" s="80"/>
      <c r="G674" s="81"/>
      <c r="H674" s="78" t="s">
        <v>16</v>
      </c>
      <c r="I674" s="118">
        <v>46058</v>
      </c>
      <c r="J674" s="73">
        <v>3</v>
      </c>
      <c r="K674" s="122" t="s">
        <v>1580</v>
      </c>
      <c r="L674" s="120">
        <f t="shared" si="66"/>
        <v>46147</v>
      </c>
      <c r="M674" s="121">
        <f ca="1" t="shared" si="67"/>
        <v>57</v>
      </c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1581</v>
      </c>
      <c r="C675" s="73" t="s">
        <v>13</v>
      </c>
      <c r="D675" s="74" t="s">
        <v>1582</v>
      </c>
      <c r="E675" s="79" t="s">
        <v>1583</v>
      </c>
      <c r="F675" s="80"/>
      <c r="G675" s="81"/>
      <c r="H675" s="82"/>
      <c r="I675" s="118">
        <v>46058</v>
      </c>
      <c r="J675" s="73">
        <v>3</v>
      </c>
      <c r="K675" s="122" t="s">
        <v>1584</v>
      </c>
      <c r="L675" s="120">
        <f t="shared" si="66"/>
        <v>46147</v>
      </c>
      <c r="M675" s="121">
        <f ca="1" t="shared" si="67"/>
        <v>57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1581</v>
      </c>
      <c r="C676" s="73" t="s">
        <v>13</v>
      </c>
      <c r="D676" s="74" t="s">
        <v>1585</v>
      </c>
      <c r="E676" s="79" t="s">
        <v>1586</v>
      </c>
      <c r="F676" s="80"/>
      <c r="G676" s="81"/>
      <c r="H676" s="82"/>
      <c r="I676" s="118">
        <v>46058</v>
      </c>
      <c r="J676" s="73">
        <v>3</v>
      </c>
      <c r="K676" s="122" t="s">
        <v>1587</v>
      </c>
      <c r="L676" s="120">
        <f t="shared" si="66"/>
        <v>46147</v>
      </c>
      <c r="M676" s="121">
        <f ca="1" t="shared" si="67"/>
        <v>57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1581</v>
      </c>
      <c r="C677" s="73" t="s">
        <v>27</v>
      </c>
      <c r="D677" s="74" t="s">
        <v>1588</v>
      </c>
      <c r="E677" s="79" t="s">
        <v>118</v>
      </c>
      <c r="F677" s="80"/>
      <c r="G677" s="81"/>
      <c r="H677" s="89" t="s">
        <v>16</v>
      </c>
      <c r="I677" s="118">
        <v>46058</v>
      </c>
      <c r="J677" s="73">
        <v>3</v>
      </c>
      <c r="K677" s="122" t="s">
        <v>1589</v>
      </c>
      <c r="L677" s="120">
        <f t="shared" ref="L677:L696" si="68">EDATE(I677,J677)</f>
        <v>46147</v>
      </c>
      <c r="M677" s="121">
        <f ca="1" t="shared" ref="M677:M696" si="69">L677-TODAY()</f>
        <v>57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1163</v>
      </c>
      <c r="C678" s="73" t="s">
        <v>158</v>
      </c>
      <c r="D678" s="74" t="s">
        <v>589</v>
      </c>
      <c r="E678" s="79" t="s">
        <v>471</v>
      </c>
      <c r="F678" s="80"/>
      <c r="G678" s="81"/>
      <c r="H678" s="82"/>
      <c r="I678" s="118">
        <v>46058</v>
      </c>
      <c r="J678" s="118" t="s">
        <v>473</v>
      </c>
      <c r="K678" s="122" t="s">
        <v>1590</v>
      </c>
      <c r="L678" s="120" t="e">
        <f t="shared" si="68"/>
        <v>#VALUE!</v>
      </c>
      <c r="M678" s="121" t="e">
        <f ca="1" t="shared" si="69"/>
        <v>#VALUE!</v>
      </c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1591</v>
      </c>
      <c r="C679" s="73" t="s">
        <v>27</v>
      </c>
      <c r="D679" s="74" t="s">
        <v>1592</v>
      </c>
      <c r="E679" s="79" t="s">
        <v>1593</v>
      </c>
      <c r="F679" s="80"/>
      <c r="G679" s="81"/>
      <c r="H679" s="82"/>
      <c r="I679" s="118">
        <v>46058</v>
      </c>
      <c r="J679" s="73">
        <v>3</v>
      </c>
      <c r="K679" s="122" t="s">
        <v>1594</v>
      </c>
      <c r="L679" s="120">
        <f t="shared" si="68"/>
        <v>46147</v>
      </c>
      <c r="M679" s="121">
        <f ca="1" t="shared" si="69"/>
        <v>57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1581</v>
      </c>
      <c r="C680" s="73" t="s">
        <v>13</v>
      </c>
      <c r="D680" s="74" t="s">
        <v>1595</v>
      </c>
      <c r="E680" s="79" t="s">
        <v>78</v>
      </c>
      <c r="F680" s="80"/>
      <c r="G680" s="81"/>
      <c r="H680" s="82"/>
      <c r="I680" s="118">
        <v>46058</v>
      </c>
      <c r="J680" s="73">
        <v>3</v>
      </c>
      <c r="K680" s="122" t="s">
        <v>1596</v>
      </c>
      <c r="L680" s="120">
        <f t="shared" si="68"/>
        <v>46147</v>
      </c>
      <c r="M680" s="121">
        <f ca="1" t="shared" si="69"/>
        <v>57</v>
      </c>
      <c r="N680" s="73"/>
      <c r="O680" s="73"/>
      <c r="P680" s="73"/>
      <c r="Q680" s="74"/>
      <c r="R680" s="79"/>
      <c r="S680" s="80"/>
      <c r="T680" s="81"/>
      <c r="U680" s="82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324</v>
      </c>
      <c r="C681" s="73" t="s">
        <v>1597</v>
      </c>
      <c r="D681" s="74" t="s">
        <v>1598</v>
      </c>
      <c r="E681" s="79" t="s">
        <v>1599</v>
      </c>
      <c r="F681" s="80"/>
      <c r="G681" s="81"/>
      <c r="H681" s="82"/>
      <c r="I681" s="118">
        <v>46058</v>
      </c>
      <c r="J681" s="73">
        <v>3</v>
      </c>
      <c r="K681" s="122" t="s">
        <v>1600</v>
      </c>
      <c r="L681" s="120">
        <f t="shared" si="68"/>
        <v>46147</v>
      </c>
      <c r="M681" s="121">
        <f ca="1" t="shared" si="69"/>
        <v>57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1601</v>
      </c>
      <c r="C682" s="73" t="s">
        <v>1597</v>
      </c>
      <c r="D682" s="74" t="s">
        <v>1602</v>
      </c>
      <c r="E682" s="79" t="s">
        <v>1603</v>
      </c>
      <c r="F682" s="80"/>
      <c r="G682" s="81"/>
      <c r="H682" s="89" t="s">
        <v>16</v>
      </c>
      <c r="I682" s="118">
        <v>46058</v>
      </c>
      <c r="J682" s="73">
        <v>3</v>
      </c>
      <c r="K682" s="122" t="s">
        <v>1604</v>
      </c>
      <c r="L682" s="120">
        <f t="shared" si="68"/>
        <v>46147</v>
      </c>
      <c r="M682" s="121">
        <f ca="1" t="shared" si="69"/>
        <v>57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864</v>
      </c>
      <c r="C683" s="73" t="s">
        <v>228</v>
      </c>
      <c r="D683" s="74" t="s">
        <v>1605</v>
      </c>
      <c r="E683" s="79" t="s">
        <v>765</v>
      </c>
      <c r="F683" s="80"/>
      <c r="G683" s="81"/>
      <c r="H683" s="82"/>
      <c r="I683" s="118">
        <v>46058</v>
      </c>
      <c r="J683" s="73">
        <v>3</v>
      </c>
      <c r="K683" s="122" t="s">
        <v>1606</v>
      </c>
      <c r="L683" s="120">
        <f t="shared" si="68"/>
        <v>46147</v>
      </c>
      <c r="M683" s="121">
        <f ca="1" t="shared" si="69"/>
        <v>57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1607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 t="s">
        <v>1608</v>
      </c>
      <c r="L684" s="120">
        <f t="shared" si="68"/>
        <v>46147</v>
      </c>
      <c r="M684" s="121">
        <f ca="1" t="shared" si="69"/>
        <v>57</v>
      </c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>
        <v>683</v>
      </c>
      <c r="B685" s="73" t="s">
        <v>37</v>
      </c>
      <c r="C685" s="73" t="s">
        <v>27</v>
      </c>
      <c r="D685" s="74" t="s">
        <v>1609</v>
      </c>
      <c r="E685" s="79" t="s">
        <v>318</v>
      </c>
      <c r="F685" s="80"/>
      <c r="G685" s="81"/>
      <c r="H685" s="89" t="s">
        <v>16</v>
      </c>
      <c r="I685" s="118">
        <v>46058</v>
      </c>
      <c r="J685" s="73">
        <v>3</v>
      </c>
      <c r="K685" s="122" t="s">
        <v>1610</v>
      </c>
      <c r="L685" s="120">
        <f t="shared" si="68"/>
        <v>46147</v>
      </c>
      <c r="M685" s="121">
        <f ca="1" t="shared" si="69"/>
        <v>57</v>
      </c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5" customHeight="1" spans="1:52">
      <c r="A686" s="73">
        <v>684</v>
      </c>
      <c r="B686" s="73" t="s">
        <v>753</v>
      </c>
      <c r="C686" s="73" t="s">
        <v>158</v>
      </c>
      <c r="D686" s="74" t="s">
        <v>754</v>
      </c>
      <c r="E686" s="79" t="s">
        <v>158</v>
      </c>
      <c r="F686" s="80"/>
      <c r="G686" s="81"/>
      <c r="H686" s="82"/>
      <c r="I686" s="118">
        <v>46058</v>
      </c>
      <c r="J686" s="118" t="s">
        <v>473</v>
      </c>
      <c r="K686" s="122"/>
      <c r="L686" s="120" t="e">
        <f t="shared" si="68"/>
        <v>#VALUE!</v>
      </c>
      <c r="M686" s="121" t="e">
        <f ca="1" t="shared" si="69"/>
        <v>#VALUE!</v>
      </c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23" customHeight="1" spans="1:52">
      <c r="A687" s="73">
        <v>685</v>
      </c>
      <c r="B687" s="73" t="s">
        <v>169</v>
      </c>
      <c r="C687" s="73" t="s">
        <v>158</v>
      </c>
      <c r="D687" s="74" t="s">
        <v>1611</v>
      </c>
      <c r="E687" s="79" t="s">
        <v>221</v>
      </c>
      <c r="F687" s="80"/>
      <c r="G687" s="81"/>
      <c r="H687" s="82"/>
      <c r="I687" s="118">
        <v>46060</v>
      </c>
      <c r="J687" s="73">
        <v>3</v>
      </c>
      <c r="K687" s="122" t="s">
        <v>1612</v>
      </c>
      <c r="L687" s="120">
        <f t="shared" si="68"/>
        <v>46149</v>
      </c>
      <c r="M687" s="121">
        <f ca="1" t="shared" si="69"/>
        <v>59</v>
      </c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30" customHeight="1" spans="1:52">
      <c r="A688" s="73">
        <v>686</v>
      </c>
      <c r="B688" s="73" t="s">
        <v>162</v>
      </c>
      <c r="C688" s="73" t="s">
        <v>158</v>
      </c>
      <c r="D688" s="74" t="s">
        <v>591</v>
      </c>
      <c r="E688" s="79" t="s">
        <v>225</v>
      </c>
      <c r="F688" s="80"/>
      <c r="G688" s="81"/>
      <c r="H688" s="82"/>
      <c r="I688" s="118">
        <v>46060</v>
      </c>
      <c r="J688" s="118" t="s">
        <v>473</v>
      </c>
      <c r="K688" s="122"/>
      <c r="L688" s="120" t="e">
        <f t="shared" si="68"/>
        <v>#VALUE!</v>
      </c>
      <c r="M688" s="121" t="e">
        <f ca="1" t="shared" si="69"/>
        <v>#VALUE!</v>
      </c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25" customHeight="1" spans="1:52">
      <c r="A689" s="73">
        <v>687</v>
      </c>
      <c r="B689" s="73" t="s">
        <v>827</v>
      </c>
      <c r="C689" s="73" t="s">
        <v>13</v>
      </c>
      <c r="D689" s="74" t="s">
        <v>1613</v>
      </c>
      <c r="E689" s="79" t="s">
        <v>1614</v>
      </c>
      <c r="F689" s="80"/>
      <c r="G689" s="81"/>
      <c r="H689" s="82"/>
      <c r="I689" s="118">
        <v>46060</v>
      </c>
      <c r="J689" s="73" t="s">
        <v>473</v>
      </c>
      <c r="K689" s="122" t="s">
        <v>1615</v>
      </c>
      <c r="L689" s="120" t="e">
        <f t="shared" si="68"/>
        <v>#VALUE!</v>
      </c>
      <c r="M689" s="121" t="e">
        <f ca="1" t="shared" si="69"/>
        <v>#VALUE!</v>
      </c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827</v>
      </c>
      <c r="C690" s="73" t="s">
        <v>13</v>
      </c>
      <c r="D690" s="74" t="s">
        <v>1616</v>
      </c>
      <c r="E690" s="79" t="s">
        <v>1459</v>
      </c>
      <c r="F690" s="80"/>
      <c r="G690" s="81"/>
      <c r="H690" s="82"/>
      <c r="I690" s="118">
        <v>46060</v>
      </c>
      <c r="J690" s="73" t="s">
        <v>473</v>
      </c>
      <c r="K690" s="122" t="s">
        <v>1617</v>
      </c>
      <c r="L690" s="120" t="e">
        <f t="shared" si="68"/>
        <v>#VALUE!</v>
      </c>
      <c r="M690" s="121" t="e">
        <f ca="1" t="shared" si="69"/>
        <v>#VALUE!</v>
      </c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13</v>
      </c>
      <c r="D691" s="74" t="s">
        <v>1618</v>
      </c>
      <c r="E691" s="79" t="s">
        <v>1619</v>
      </c>
      <c r="F691" s="80"/>
      <c r="G691" s="81"/>
      <c r="H691" s="78" t="s">
        <v>16</v>
      </c>
      <c r="I691" s="118">
        <v>46060</v>
      </c>
      <c r="J691" s="73">
        <v>3</v>
      </c>
      <c r="K691" s="122" t="s">
        <v>1620</v>
      </c>
      <c r="L691" s="120">
        <f t="shared" si="68"/>
        <v>46149</v>
      </c>
      <c r="M691" s="121">
        <f ca="1" t="shared" si="69"/>
        <v>59</v>
      </c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1621</v>
      </c>
      <c r="E692" s="79" t="s">
        <v>1622</v>
      </c>
      <c r="F692" s="80"/>
      <c r="G692" s="81"/>
      <c r="H692" s="78" t="s">
        <v>16</v>
      </c>
      <c r="I692" s="118">
        <v>46060</v>
      </c>
      <c r="J692" s="73">
        <v>3</v>
      </c>
      <c r="K692" s="122" t="s">
        <v>1623</v>
      </c>
      <c r="L692" s="120">
        <f t="shared" si="68"/>
        <v>46149</v>
      </c>
      <c r="M692" s="121">
        <f ca="1" t="shared" si="69"/>
        <v>59</v>
      </c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1332</v>
      </c>
      <c r="C693" s="73" t="s">
        <v>27</v>
      </c>
      <c r="D693" s="74" t="s">
        <v>1624</v>
      </c>
      <c r="E693" s="79" t="s">
        <v>1625</v>
      </c>
      <c r="F693" s="80"/>
      <c r="G693" s="81"/>
      <c r="H693" s="78" t="s">
        <v>16</v>
      </c>
      <c r="I693" s="118">
        <v>46060</v>
      </c>
      <c r="J693" s="73">
        <v>3</v>
      </c>
      <c r="K693" s="122" t="s">
        <v>1626</v>
      </c>
      <c r="L693" s="120">
        <f t="shared" si="68"/>
        <v>46149</v>
      </c>
      <c r="M693" s="121">
        <f ca="1" t="shared" si="69"/>
        <v>59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1329</v>
      </c>
      <c r="C694" s="73" t="s">
        <v>27</v>
      </c>
      <c r="D694" s="74" t="s">
        <v>1627</v>
      </c>
      <c r="E694" s="79" t="s">
        <v>1169</v>
      </c>
      <c r="F694" s="80"/>
      <c r="G694" s="81"/>
      <c r="H694" s="78" t="s">
        <v>16</v>
      </c>
      <c r="I694" s="118">
        <v>46060</v>
      </c>
      <c r="J694" s="73">
        <v>3</v>
      </c>
      <c r="K694" s="122" t="s">
        <v>1628</v>
      </c>
      <c r="L694" s="120">
        <f t="shared" si="68"/>
        <v>46149</v>
      </c>
      <c r="M694" s="121">
        <f ca="1" t="shared" si="69"/>
        <v>59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169</v>
      </c>
      <c r="C695" s="73" t="s">
        <v>158</v>
      </c>
      <c r="D695" s="74" t="s">
        <v>749</v>
      </c>
      <c r="E695" s="79" t="s">
        <v>221</v>
      </c>
      <c r="F695" s="80"/>
      <c r="G695" s="81"/>
      <c r="H695" s="82"/>
      <c r="I695" s="118">
        <v>46061</v>
      </c>
      <c r="J695" s="73" t="s">
        <v>473</v>
      </c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1629</v>
      </c>
      <c r="E696" s="79" t="s">
        <v>1630</v>
      </c>
      <c r="F696" s="80"/>
      <c r="G696" s="81"/>
      <c r="H696" s="78" t="s">
        <v>16</v>
      </c>
      <c r="I696" s="118">
        <v>46061</v>
      </c>
      <c r="J696" s="73">
        <v>3</v>
      </c>
      <c r="K696" s="122" t="s">
        <v>1631</v>
      </c>
      <c r="L696" s="120">
        <f>EDATE(I696,J696)</f>
        <v>46150</v>
      </c>
      <c r="M696" s="121">
        <f ca="1">L696-TODAY()</f>
        <v>60</v>
      </c>
      <c r="N696" s="73"/>
      <c r="O696" s="73"/>
      <c r="P696" s="73"/>
      <c r="Q696" s="74"/>
      <c r="R696" s="79"/>
      <c r="S696" s="80"/>
      <c r="T696" s="81"/>
      <c r="U696" s="89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1632</v>
      </c>
      <c r="E697" s="79" t="s">
        <v>491</v>
      </c>
      <c r="F697" s="80"/>
      <c r="G697" s="81"/>
      <c r="H697" s="78" t="s">
        <v>16</v>
      </c>
      <c r="I697" s="118">
        <v>46061</v>
      </c>
      <c r="J697" s="73">
        <v>3</v>
      </c>
      <c r="K697" s="122" t="s">
        <v>1633</v>
      </c>
      <c r="L697" s="120">
        <f>EDATE(I697,J697)</f>
        <v>46150</v>
      </c>
      <c r="M697" s="121">
        <f ca="1">L697-TODAY()</f>
        <v>60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78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548</v>
      </c>
      <c r="C698" s="73" t="s">
        <v>228</v>
      </c>
      <c r="D698" s="74" t="s">
        <v>1634</v>
      </c>
      <c r="E698" s="79" t="s">
        <v>491</v>
      </c>
      <c r="F698" s="80"/>
      <c r="G698" s="81"/>
      <c r="H698" s="78" t="s">
        <v>16</v>
      </c>
      <c r="I698" s="118">
        <v>46061</v>
      </c>
      <c r="J698" s="73">
        <v>3</v>
      </c>
      <c r="K698" s="122" t="s">
        <v>1635</v>
      </c>
      <c r="L698" s="120">
        <v>46149</v>
      </c>
      <c r="M698" s="121">
        <v>89</v>
      </c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548</v>
      </c>
      <c r="C699" s="73" t="s">
        <v>228</v>
      </c>
      <c r="D699" s="74" t="s">
        <v>1636</v>
      </c>
      <c r="E699" s="79" t="s">
        <v>491</v>
      </c>
      <c r="F699" s="80"/>
      <c r="G699" s="81"/>
      <c r="H699" s="78" t="s">
        <v>16</v>
      </c>
      <c r="I699" s="118">
        <v>46061</v>
      </c>
      <c r="J699" s="73">
        <v>3</v>
      </c>
      <c r="K699" s="122" t="s">
        <v>1637</v>
      </c>
      <c r="L699" s="120">
        <v>46149</v>
      </c>
      <c r="M699" s="121">
        <v>89</v>
      </c>
      <c r="N699" s="73"/>
      <c r="O699" s="73"/>
      <c r="P699" s="73"/>
      <c r="Q699" s="74"/>
      <c r="R699" s="79"/>
      <c r="S699" s="80"/>
      <c r="T699" s="81"/>
      <c r="U699" s="78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ht="24" customHeight="1" spans="1:52">
      <c r="A700" s="73">
        <v>698</v>
      </c>
      <c r="B700" s="73" t="s">
        <v>1638</v>
      </c>
      <c r="C700" s="73" t="s">
        <v>228</v>
      </c>
      <c r="D700" s="74" t="s">
        <v>1639</v>
      </c>
      <c r="E700" s="79" t="s">
        <v>491</v>
      </c>
      <c r="F700" s="80"/>
      <c r="G700" s="81"/>
      <c r="H700" s="78" t="s">
        <v>16</v>
      </c>
      <c r="I700" s="118">
        <v>46061</v>
      </c>
      <c r="J700" s="73">
        <v>3</v>
      </c>
      <c r="K700" s="122" t="s">
        <v>1640</v>
      </c>
      <c r="L700" s="120">
        <v>46149</v>
      </c>
      <c r="M700" s="121">
        <v>89</v>
      </c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1638</v>
      </c>
      <c r="C701" s="73" t="s">
        <v>228</v>
      </c>
      <c r="D701" s="74" t="s">
        <v>1641</v>
      </c>
      <c r="E701" s="79" t="s">
        <v>491</v>
      </c>
      <c r="F701" s="80"/>
      <c r="G701" s="81"/>
      <c r="H701" s="78" t="s">
        <v>16</v>
      </c>
      <c r="I701" s="118">
        <v>46061</v>
      </c>
      <c r="J701" s="73">
        <v>3</v>
      </c>
      <c r="K701" s="122" t="s">
        <v>1642</v>
      </c>
      <c r="L701" s="120">
        <v>46149</v>
      </c>
      <c r="M701" s="121">
        <v>89</v>
      </c>
      <c r="N701" s="73"/>
      <c r="O701" s="73"/>
      <c r="P701" s="73"/>
      <c r="Q701" s="74"/>
      <c r="R701" s="79"/>
      <c r="S701" s="80"/>
      <c r="T701" s="81"/>
      <c r="U701" s="82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78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1638</v>
      </c>
      <c r="C702" s="73" t="s">
        <v>228</v>
      </c>
      <c r="D702" s="74" t="s">
        <v>1643</v>
      </c>
      <c r="E702" s="79" t="s">
        <v>491</v>
      </c>
      <c r="F702" s="80"/>
      <c r="G702" s="81"/>
      <c r="H702" s="78" t="s">
        <v>16</v>
      </c>
      <c r="I702" s="118">
        <v>46061</v>
      </c>
      <c r="J702" s="73">
        <v>3</v>
      </c>
      <c r="K702" s="122" t="s">
        <v>1644</v>
      </c>
      <c r="L702" s="120">
        <v>46149</v>
      </c>
      <c r="M702" s="121">
        <v>89</v>
      </c>
      <c r="N702" s="73"/>
      <c r="O702" s="73"/>
      <c r="P702" s="73"/>
      <c r="Q702" s="74"/>
      <c r="R702" s="79"/>
      <c r="S702" s="80"/>
      <c r="T702" s="81"/>
      <c r="U702" s="89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9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1645</v>
      </c>
      <c r="C703" s="73" t="s">
        <v>228</v>
      </c>
      <c r="D703" s="74" t="s">
        <v>1646</v>
      </c>
      <c r="E703" s="79" t="s">
        <v>419</v>
      </c>
      <c r="F703" s="80"/>
      <c r="G703" s="81"/>
      <c r="H703" s="78" t="s">
        <v>16</v>
      </c>
      <c r="I703" s="118">
        <v>46061</v>
      </c>
      <c r="J703" s="73">
        <v>3</v>
      </c>
      <c r="K703" s="122" t="s">
        <v>1647</v>
      </c>
      <c r="L703" s="120">
        <v>46149</v>
      </c>
      <c r="M703" s="121">
        <v>89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25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1648</v>
      </c>
      <c r="E704" s="79" t="s">
        <v>1649</v>
      </c>
      <c r="F704" s="80"/>
      <c r="G704" s="81"/>
      <c r="H704" s="78" t="s">
        <v>16</v>
      </c>
      <c r="I704" s="118">
        <v>46061</v>
      </c>
      <c r="J704" s="73">
        <v>3</v>
      </c>
      <c r="K704" s="122" t="s">
        <v>1650</v>
      </c>
      <c r="L704" s="120">
        <v>46149</v>
      </c>
      <c r="M704" s="121">
        <v>89</v>
      </c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130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ht="30" customHeight="1" spans="1:52">
      <c r="A705" s="73">
        <v>703</v>
      </c>
      <c r="B705" s="73" t="s">
        <v>462</v>
      </c>
      <c r="C705" s="73" t="s">
        <v>228</v>
      </c>
      <c r="D705" s="74" t="s">
        <v>1651</v>
      </c>
      <c r="E705" s="79" t="s">
        <v>1649</v>
      </c>
      <c r="F705" s="80"/>
      <c r="G705" s="81"/>
      <c r="H705" s="78" t="s">
        <v>16</v>
      </c>
      <c r="I705" s="118">
        <v>46061</v>
      </c>
      <c r="J705" s="73">
        <v>3</v>
      </c>
      <c r="K705" s="122" t="s">
        <v>1652</v>
      </c>
      <c r="L705" s="120">
        <v>46149</v>
      </c>
      <c r="M705" s="121">
        <v>89</v>
      </c>
      <c r="N705" s="73"/>
      <c r="O705" s="73"/>
      <c r="P705" s="73"/>
      <c r="Q705" s="74"/>
      <c r="R705" s="79"/>
      <c r="S705" s="80"/>
      <c r="T705" s="81"/>
      <c r="U705" s="130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3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462</v>
      </c>
      <c r="C706" s="73" t="s">
        <v>228</v>
      </c>
      <c r="D706" s="74" t="s">
        <v>1653</v>
      </c>
      <c r="E706" s="79" t="s">
        <v>1649</v>
      </c>
      <c r="F706" s="80"/>
      <c r="G706" s="81"/>
      <c r="H706" s="78" t="s">
        <v>16</v>
      </c>
      <c r="I706" s="118">
        <v>46061</v>
      </c>
      <c r="J706" s="73">
        <v>3</v>
      </c>
      <c r="K706" s="122" t="s">
        <v>1654</v>
      </c>
      <c r="L706" s="120">
        <v>46149</v>
      </c>
      <c r="M706" s="121">
        <v>89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45</v>
      </c>
      <c r="C707" s="73" t="s">
        <v>27</v>
      </c>
      <c r="D707" s="74" t="s">
        <v>1655</v>
      </c>
      <c r="E707" s="79" t="s">
        <v>118</v>
      </c>
      <c r="F707" s="80"/>
      <c r="G707" s="81"/>
      <c r="H707" s="78" t="s">
        <v>16</v>
      </c>
      <c r="I707" s="118">
        <v>46061</v>
      </c>
      <c r="J707" s="73">
        <v>3</v>
      </c>
      <c r="K707" s="122" t="s">
        <v>1656</v>
      </c>
      <c r="L707" s="120">
        <v>46149</v>
      </c>
      <c r="M707" s="121">
        <v>89</v>
      </c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1657</v>
      </c>
      <c r="C708" s="73" t="s">
        <v>27</v>
      </c>
      <c r="D708" s="74" t="s">
        <v>1658</v>
      </c>
      <c r="E708" s="79" t="s">
        <v>205</v>
      </c>
      <c r="F708" s="80"/>
      <c r="G708" s="81"/>
      <c r="H708" s="82"/>
      <c r="I708" s="118">
        <v>46061</v>
      </c>
      <c r="J708" s="73">
        <v>3</v>
      </c>
      <c r="K708" s="122" t="s">
        <v>1659</v>
      </c>
      <c r="L708" s="120">
        <v>46149</v>
      </c>
      <c r="M708" s="121">
        <v>89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421</v>
      </c>
      <c r="C709" s="73" t="s">
        <v>27</v>
      </c>
      <c r="D709" s="74" t="s">
        <v>1660</v>
      </c>
      <c r="E709" s="79" t="s">
        <v>361</v>
      </c>
      <c r="F709" s="80"/>
      <c r="G709" s="81"/>
      <c r="H709" s="78" t="s">
        <v>16</v>
      </c>
      <c r="I709" s="118">
        <v>46061</v>
      </c>
      <c r="J709" s="73">
        <v>3</v>
      </c>
      <c r="K709" s="122" t="s">
        <v>1661</v>
      </c>
      <c r="L709" s="120">
        <v>46149</v>
      </c>
      <c r="M709" s="121">
        <v>89</v>
      </c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37</v>
      </c>
      <c r="C710" s="73" t="s">
        <v>13</v>
      </c>
      <c r="D710" s="74" t="s">
        <v>1662</v>
      </c>
      <c r="E710" s="79" t="s">
        <v>1663</v>
      </c>
      <c r="F710" s="80"/>
      <c r="G710" s="81"/>
      <c r="H710" s="78" t="s">
        <v>16</v>
      </c>
      <c r="I710" s="118">
        <v>46061</v>
      </c>
      <c r="J710" s="73">
        <v>3</v>
      </c>
      <c r="K710" s="122" t="s">
        <v>1664</v>
      </c>
      <c r="L710" s="120">
        <v>46149</v>
      </c>
      <c r="M710" s="121">
        <v>89</v>
      </c>
      <c r="N710" s="73"/>
      <c r="O710" s="73"/>
      <c r="P710" s="73"/>
      <c r="Q710" s="74"/>
      <c r="R710" s="79"/>
      <c r="S710" s="80"/>
      <c r="T710" s="81"/>
      <c r="U710" s="130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130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45</v>
      </c>
      <c r="C711" s="73" t="s">
        <v>13</v>
      </c>
      <c r="D711" s="74" t="s">
        <v>1665</v>
      </c>
      <c r="E711" s="79" t="s">
        <v>47</v>
      </c>
      <c r="F711" s="80"/>
      <c r="G711" s="81"/>
      <c r="H711" s="78" t="s">
        <v>16</v>
      </c>
      <c r="I711" s="118">
        <v>46061</v>
      </c>
      <c r="J711" s="73">
        <v>3</v>
      </c>
      <c r="K711" s="122" t="s">
        <v>1666</v>
      </c>
      <c r="L711" s="120">
        <v>46149</v>
      </c>
      <c r="M711" s="121">
        <v>89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157</v>
      </c>
      <c r="C712" s="73" t="s">
        <v>158</v>
      </c>
      <c r="D712" s="74" t="s">
        <v>589</v>
      </c>
      <c r="E712" s="79" t="s">
        <v>471</v>
      </c>
      <c r="F712" s="80"/>
      <c r="G712" s="81"/>
      <c r="H712" s="82"/>
      <c r="I712" s="118">
        <v>46061</v>
      </c>
      <c r="J712" s="118" t="s">
        <v>473</v>
      </c>
      <c r="K712" s="122"/>
      <c r="L712" s="120" t="e">
        <f t="shared" ref="L712:L716" si="70">EDATE(I712,J712)</f>
        <v>#VALUE!</v>
      </c>
      <c r="M712" s="121" t="e">
        <f ca="1" t="shared" ref="M712:M716" si="71">L712-TODAY()</f>
        <v>#VALUE!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157</v>
      </c>
      <c r="C713" s="73" t="s">
        <v>158</v>
      </c>
      <c r="D713" s="74" t="s">
        <v>589</v>
      </c>
      <c r="E713" s="79" t="s">
        <v>464</v>
      </c>
      <c r="F713" s="80"/>
      <c r="G713" s="81"/>
      <c r="H713" s="82"/>
      <c r="I713" s="118">
        <v>46061</v>
      </c>
      <c r="J713" s="118" t="s">
        <v>473</v>
      </c>
      <c r="K713" s="122"/>
      <c r="L713" s="120" t="e">
        <f t="shared" si="70"/>
        <v>#VALUE!</v>
      </c>
      <c r="M713" s="121" t="e">
        <f ca="1" t="shared" si="71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181</v>
      </c>
      <c r="C714" s="73" t="s">
        <v>158</v>
      </c>
      <c r="D714" s="74" t="s">
        <v>1667</v>
      </c>
      <c r="E714" s="79" t="s">
        <v>1668</v>
      </c>
      <c r="F714" s="80"/>
      <c r="G714" s="81"/>
      <c r="H714" s="82"/>
      <c r="I714" s="118">
        <v>46061</v>
      </c>
      <c r="J714" s="73">
        <v>3</v>
      </c>
      <c r="K714" s="122" t="s">
        <v>1669</v>
      </c>
      <c r="L714" s="120">
        <v>46149</v>
      </c>
      <c r="M714" s="121">
        <v>89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1163</v>
      </c>
      <c r="C715" s="73" t="s">
        <v>158</v>
      </c>
      <c r="D715" s="74" t="s">
        <v>589</v>
      </c>
      <c r="E715" s="79" t="s">
        <v>471</v>
      </c>
      <c r="F715" s="80"/>
      <c r="G715" s="81"/>
      <c r="H715" s="82"/>
      <c r="I715" s="118">
        <v>46061</v>
      </c>
      <c r="J715" s="118" t="s">
        <v>473</v>
      </c>
      <c r="K715" s="122"/>
      <c r="L715" s="120" t="e">
        <f t="shared" si="70"/>
        <v>#VALUE!</v>
      </c>
      <c r="M715" s="121" t="e">
        <f ca="1" t="shared" si="71"/>
        <v>#VALUE!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397</v>
      </c>
      <c r="C716" s="73" t="s">
        <v>158</v>
      </c>
      <c r="D716" s="74" t="s">
        <v>1445</v>
      </c>
      <c r="E716" s="79" t="s">
        <v>1446</v>
      </c>
      <c r="F716" s="80"/>
      <c r="G716" s="81"/>
      <c r="H716" s="82"/>
      <c r="I716" s="118">
        <v>46061</v>
      </c>
      <c r="J716" s="118" t="s">
        <v>473</v>
      </c>
      <c r="K716" s="122" t="s">
        <v>1670</v>
      </c>
      <c r="L716" s="120" t="e">
        <f t="shared" si="70"/>
        <v>#VALUE!</v>
      </c>
      <c r="M716" s="121" t="e">
        <f ca="1" t="shared" si="71"/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250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22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397</v>
      </c>
      <c r="C717" s="73" t="s">
        <v>158</v>
      </c>
      <c r="D717" s="74" t="s">
        <v>1671</v>
      </c>
      <c r="E717" s="79" t="s">
        <v>1672</v>
      </c>
      <c r="F717" s="80"/>
      <c r="G717" s="81"/>
      <c r="H717" s="82"/>
      <c r="I717" s="118">
        <v>46061</v>
      </c>
      <c r="J717" s="73">
        <v>3</v>
      </c>
      <c r="K717" s="122" t="s">
        <v>1673</v>
      </c>
      <c r="L717" s="120">
        <v>46149</v>
      </c>
      <c r="M717" s="121">
        <v>89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78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395</v>
      </c>
      <c r="C718" s="73" t="s">
        <v>158</v>
      </c>
      <c r="D718" s="74" t="s">
        <v>159</v>
      </c>
      <c r="E718" s="79" t="s">
        <v>464</v>
      </c>
      <c r="F718" s="80"/>
      <c r="G718" s="81"/>
      <c r="H718" s="82"/>
      <c r="I718" s="118">
        <v>46061</v>
      </c>
      <c r="J718" s="118" t="s">
        <v>473</v>
      </c>
      <c r="K718" s="122"/>
      <c r="L718" s="120" t="e">
        <f>EDATE(I718,J718)</f>
        <v>#VALUE!</v>
      </c>
      <c r="M718" s="121" t="e">
        <f ca="1">L718-TODAY()</f>
        <v>#VALUE!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756</v>
      </c>
      <c r="C719" s="73" t="s">
        <v>158</v>
      </c>
      <c r="D719" s="74" t="s">
        <v>1674</v>
      </c>
      <c r="E719" s="79" t="s">
        <v>221</v>
      </c>
      <c r="F719" s="80"/>
      <c r="G719" s="81"/>
      <c r="H719" s="82"/>
      <c r="I719" s="118">
        <v>46061</v>
      </c>
      <c r="J719" s="73">
        <v>3</v>
      </c>
      <c r="K719" s="122" t="s">
        <v>1675</v>
      </c>
      <c r="L719" s="120">
        <v>46149</v>
      </c>
      <c r="M719" s="121">
        <v>89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533</v>
      </c>
      <c r="C720" s="73" t="s">
        <v>158</v>
      </c>
      <c r="D720" s="74" t="s">
        <v>1676</v>
      </c>
      <c r="E720" s="79" t="s">
        <v>1677</v>
      </c>
      <c r="F720" s="80"/>
      <c r="G720" s="81"/>
      <c r="H720" s="82"/>
      <c r="I720" s="118">
        <v>46061</v>
      </c>
      <c r="J720" s="73">
        <v>3</v>
      </c>
      <c r="K720" s="122" t="s">
        <v>1678</v>
      </c>
      <c r="L720" s="120">
        <v>46149</v>
      </c>
      <c r="M720" s="121">
        <v>89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533</v>
      </c>
      <c r="C721" s="73" t="s">
        <v>158</v>
      </c>
      <c r="D721" s="74" t="s">
        <v>1679</v>
      </c>
      <c r="E721" s="79" t="s">
        <v>1677</v>
      </c>
      <c r="F721" s="80"/>
      <c r="G721" s="81"/>
      <c r="H721" s="82"/>
      <c r="I721" s="118">
        <v>46061</v>
      </c>
      <c r="J721" s="73">
        <v>3</v>
      </c>
      <c r="K721" s="122" t="s">
        <v>1680</v>
      </c>
      <c r="L721" s="120">
        <v>46149</v>
      </c>
      <c r="M721" s="121">
        <v>89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106</v>
      </c>
      <c r="C722" s="73" t="s">
        <v>27</v>
      </c>
      <c r="D722" s="74" t="s">
        <v>107</v>
      </c>
      <c r="E722" s="79" t="s">
        <v>108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ref="L722:L725" si="72">EDATE(I722,J722)</f>
        <v>#VALUE!</v>
      </c>
      <c r="M722" s="121" t="e">
        <f ca="1" t="shared" ref="M722:M725" si="73">L722-TODAY()</f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630</v>
      </c>
      <c r="C723" s="73" t="s">
        <v>228</v>
      </c>
      <c r="D723" s="74" t="s">
        <v>1681</v>
      </c>
      <c r="E723" s="79" t="s">
        <v>632</v>
      </c>
      <c r="F723" s="80"/>
      <c r="G723" s="81"/>
      <c r="H723" s="78" t="s">
        <v>16</v>
      </c>
      <c r="I723" s="118">
        <v>46061</v>
      </c>
      <c r="J723" s="73">
        <v>3</v>
      </c>
      <c r="K723" s="122" t="s">
        <v>1682</v>
      </c>
      <c r="L723" s="120">
        <v>46151</v>
      </c>
      <c r="M723" s="121">
        <v>91</v>
      </c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827</v>
      </c>
      <c r="C724" s="73" t="s">
        <v>13</v>
      </c>
      <c r="D724" s="74" t="s">
        <v>1683</v>
      </c>
      <c r="E724" s="79" t="s">
        <v>1684</v>
      </c>
      <c r="F724" s="80"/>
      <c r="G724" s="81"/>
      <c r="H724" s="82"/>
      <c r="I724" s="118">
        <v>46061</v>
      </c>
      <c r="J724" s="118" t="s">
        <v>473</v>
      </c>
      <c r="K724" s="122" t="s">
        <v>1685</v>
      </c>
      <c r="L724" s="120" t="e">
        <f t="shared" si="72"/>
        <v>#VALUE!</v>
      </c>
      <c r="M724" s="121" t="e">
        <f ca="1" t="shared" si="73"/>
        <v>#VALUE!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827</v>
      </c>
      <c r="C725" s="73" t="s">
        <v>13</v>
      </c>
      <c r="D725" s="74" t="s">
        <v>1686</v>
      </c>
      <c r="E725" s="79" t="s">
        <v>1687</v>
      </c>
      <c r="F725" s="80"/>
      <c r="G725" s="81"/>
      <c r="H725" s="82"/>
      <c r="I725" s="118">
        <v>46061</v>
      </c>
      <c r="J725" s="118" t="s">
        <v>473</v>
      </c>
      <c r="K725" s="122" t="s">
        <v>1688</v>
      </c>
      <c r="L725" s="120" t="e">
        <f t="shared" si="72"/>
        <v>#VALUE!</v>
      </c>
      <c r="M725" s="121" t="e">
        <f ca="1" t="shared" si="73"/>
        <v>#VALUE!</v>
      </c>
      <c r="N725" s="73"/>
      <c r="O725" s="73"/>
      <c r="P725" s="73"/>
      <c r="Q725" s="74"/>
      <c r="R725" s="79"/>
      <c r="S725" s="80"/>
      <c r="T725" s="81"/>
      <c r="U725" s="78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462</v>
      </c>
      <c r="C726" s="73" t="s">
        <v>27</v>
      </c>
      <c r="D726" s="74" t="s">
        <v>1689</v>
      </c>
      <c r="E726" s="79" t="s">
        <v>118</v>
      </c>
      <c r="F726" s="80"/>
      <c r="G726" s="81"/>
      <c r="H726" s="89" t="s">
        <v>16</v>
      </c>
      <c r="I726" s="118">
        <v>46061</v>
      </c>
      <c r="J726" s="73">
        <v>3</v>
      </c>
      <c r="K726" s="122" t="s">
        <v>1690</v>
      </c>
      <c r="L726" s="120">
        <v>46154</v>
      </c>
      <c r="M726" s="121">
        <v>94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636</v>
      </c>
      <c r="C727" s="73" t="s">
        <v>228</v>
      </c>
      <c r="D727" s="74" t="s">
        <v>1691</v>
      </c>
      <c r="E727" s="79" t="s">
        <v>802</v>
      </c>
      <c r="F727" s="80"/>
      <c r="G727" s="81"/>
      <c r="H727" s="89" t="s">
        <v>16</v>
      </c>
      <c r="I727" s="118">
        <v>46061</v>
      </c>
      <c r="J727" s="73">
        <v>3</v>
      </c>
      <c r="K727" s="122" t="s">
        <v>1692</v>
      </c>
      <c r="L727" s="120">
        <v>46155</v>
      </c>
      <c r="M727" s="121">
        <v>95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181</v>
      </c>
      <c r="C728" s="73" t="s">
        <v>158</v>
      </c>
      <c r="D728" s="74" t="s">
        <v>1693</v>
      </c>
      <c r="E728" s="79" t="s">
        <v>1694</v>
      </c>
      <c r="F728" s="80"/>
      <c r="G728" s="81"/>
      <c r="H728" s="82"/>
      <c r="I728" s="118">
        <v>46062</v>
      </c>
      <c r="J728" s="73">
        <v>3</v>
      </c>
      <c r="K728" s="122" t="s">
        <v>1695</v>
      </c>
      <c r="L728" s="120">
        <v>46156</v>
      </c>
      <c r="M728" s="121">
        <v>96</v>
      </c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181</v>
      </c>
      <c r="C729" s="73" t="s">
        <v>158</v>
      </c>
      <c r="D729" s="74" t="s">
        <v>1696</v>
      </c>
      <c r="E729" s="79" t="s">
        <v>1668</v>
      </c>
      <c r="F729" s="80"/>
      <c r="G729" s="81"/>
      <c r="H729" s="82"/>
      <c r="I729" s="118">
        <v>46062</v>
      </c>
      <c r="J729" s="73">
        <v>3</v>
      </c>
      <c r="K729" s="122" t="s">
        <v>1697</v>
      </c>
      <c r="L729" s="120">
        <v>46157</v>
      </c>
      <c r="M729" s="121">
        <v>97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1698</v>
      </c>
      <c r="E730" s="79" t="s">
        <v>1699</v>
      </c>
      <c r="F730" s="80"/>
      <c r="G730" s="81"/>
      <c r="H730" s="82"/>
      <c r="I730" s="118">
        <v>46062</v>
      </c>
      <c r="J730" s="73">
        <v>3</v>
      </c>
      <c r="K730" s="122" t="s">
        <v>1700</v>
      </c>
      <c r="L730" s="120">
        <v>46158</v>
      </c>
      <c r="M730" s="121">
        <v>98</v>
      </c>
      <c r="N730" s="73"/>
      <c r="O730" s="73"/>
      <c r="P730" s="73"/>
      <c r="Q730" s="74"/>
      <c r="R730" s="79"/>
      <c r="S730" s="80"/>
      <c r="T730" s="81"/>
      <c r="U730" s="147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130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130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1701</v>
      </c>
      <c r="E731" s="79" t="s">
        <v>1702</v>
      </c>
      <c r="F731" s="80"/>
      <c r="G731" s="81"/>
      <c r="H731" s="82"/>
      <c r="I731" s="118">
        <v>46062</v>
      </c>
      <c r="J731" s="73">
        <v>3</v>
      </c>
      <c r="K731" s="122" t="s">
        <v>1703</v>
      </c>
      <c r="L731" s="120">
        <v>46159</v>
      </c>
      <c r="M731" s="121">
        <v>99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1704</v>
      </c>
      <c r="E732" s="79" t="s">
        <v>1705</v>
      </c>
      <c r="F732" s="80"/>
      <c r="G732" s="81"/>
      <c r="H732" s="82"/>
      <c r="I732" s="118">
        <v>46062</v>
      </c>
      <c r="J732" s="73">
        <v>3</v>
      </c>
      <c r="K732" s="122" t="s">
        <v>1706</v>
      </c>
      <c r="L732" s="120">
        <v>46160</v>
      </c>
      <c r="M732" s="121">
        <v>100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533</v>
      </c>
      <c r="C733" s="73" t="s">
        <v>158</v>
      </c>
      <c r="D733" s="74" t="s">
        <v>1707</v>
      </c>
      <c r="E733" s="79" t="s">
        <v>1708</v>
      </c>
      <c r="F733" s="80"/>
      <c r="G733" s="81"/>
      <c r="H733" s="82"/>
      <c r="I733" s="118">
        <v>46062</v>
      </c>
      <c r="J733" s="73">
        <v>3</v>
      </c>
      <c r="K733" s="122" t="s">
        <v>1709</v>
      </c>
      <c r="L733" s="120">
        <v>46161</v>
      </c>
      <c r="M733" s="121">
        <v>101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533</v>
      </c>
      <c r="C734" s="73" t="s">
        <v>158</v>
      </c>
      <c r="D734" s="74" t="s">
        <v>1710</v>
      </c>
      <c r="E734" s="79" t="s">
        <v>1668</v>
      </c>
      <c r="F734" s="80"/>
      <c r="G734" s="81"/>
      <c r="H734" s="82"/>
      <c r="I734" s="118">
        <v>46062</v>
      </c>
      <c r="J734" s="73">
        <v>3</v>
      </c>
      <c r="K734" s="122" t="s">
        <v>1711</v>
      </c>
      <c r="L734" s="120">
        <v>46162</v>
      </c>
      <c r="M734" s="121">
        <v>102</v>
      </c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1712</v>
      </c>
      <c r="C735" s="73" t="s">
        <v>158</v>
      </c>
      <c r="D735" s="74" t="s">
        <v>1713</v>
      </c>
      <c r="E735" s="79" t="s">
        <v>1714</v>
      </c>
      <c r="F735" s="80"/>
      <c r="G735" s="81"/>
      <c r="H735" s="82"/>
      <c r="I735" s="118">
        <v>46062</v>
      </c>
      <c r="J735" s="73">
        <v>3</v>
      </c>
      <c r="K735" s="122" t="s">
        <v>1715</v>
      </c>
      <c r="L735" s="120">
        <v>46163</v>
      </c>
      <c r="M735" s="121">
        <v>103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753</v>
      </c>
      <c r="C736" s="73" t="s">
        <v>158</v>
      </c>
      <c r="D736" s="74" t="s">
        <v>754</v>
      </c>
      <c r="E736" s="79" t="s">
        <v>158</v>
      </c>
      <c r="F736" s="80"/>
      <c r="G736" s="81"/>
      <c r="H736" s="82"/>
      <c r="I736" s="118">
        <v>46062</v>
      </c>
      <c r="J736" s="118" t="s">
        <v>473</v>
      </c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324</v>
      </c>
      <c r="C737" s="73" t="s">
        <v>13</v>
      </c>
      <c r="D737" s="74" t="s">
        <v>1716</v>
      </c>
      <c r="E737" s="79" t="s">
        <v>1717</v>
      </c>
      <c r="F737" s="80"/>
      <c r="G737" s="81"/>
      <c r="H737" s="130" t="s">
        <v>16</v>
      </c>
      <c r="I737" s="118">
        <v>46063</v>
      </c>
      <c r="J737" s="73">
        <v>3</v>
      </c>
      <c r="K737" s="122" t="s">
        <v>1718</v>
      </c>
      <c r="L737" s="120">
        <v>46165</v>
      </c>
      <c r="M737" s="121">
        <v>105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157</v>
      </c>
      <c r="C738" s="73" t="s">
        <v>158</v>
      </c>
      <c r="D738" s="74" t="s">
        <v>589</v>
      </c>
      <c r="E738" s="79" t="s">
        <v>471</v>
      </c>
      <c r="F738" s="80"/>
      <c r="G738" s="81"/>
      <c r="H738" s="204"/>
      <c r="I738" s="118">
        <v>46065</v>
      </c>
      <c r="J738" s="118" t="s">
        <v>473</v>
      </c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13</v>
      </c>
      <c r="D739" s="74" t="s">
        <v>1719</v>
      </c>
      <c r="E739" s="79" t="s">
        <v>71</v>
      </c>
      <c r="F739" s="80"/>
      <c r="G739" s="81"/>
      <c r="H739" s="130" t="s">
        <v>16</v>
      </c>
      <c r="I739" s="118">
        <v>46078</v>
      </c>
      <c r="J739" s="73">
        <v>3</v>
      </c>
      <c r="K739" s="122" t="s">
        <v>1720</v>
      </c>
      <c r="L739" s="120">
        <v>46167</v>
      </c>
      <c r="M739" s="121">
        <v>107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462</v>
      </c>
      <c r="C740" s="73" t="s">
        <v>158</v>
      </c>
      <c r="D740" s="74" t="s">
        <v>463</v>
      </c>
      <c r="E740" s="79" t="s">
        <v>464</v>
      </c>
      <c r="F740" s="80"/>
      <c r="G740" s="81"/>
      <c r="H740" s="204"/>
      <c r="I740" s="118">
        <v>46078</v>
      </c>
      <c r="J740" s="118" t="s">
        <v>473</v>
      </c>
      <c r="K740" s="122" t="s">
        <v>1721</v>
      </c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27</v>
      </c>
      <c r="D741" s="74" t="s">
        <v>1722</v>
      </c>
      <c r="E741" s="79" t="s">
        <v>318</v>
      </c>
      <c r="F741" s="80"/>
      <c r="G741" s="81"/>
      <c r="H741" s="130" t="s">
        <v>16</v>
      </c>
      <c r="I741" s="118">
        <v>46079</v>
      </c>
      <c r="J741" s="73">
        <v>3</v>
      </c>
      <c r="K741" s="122" t="s">
        <v>1723</v>
      </c>
      <c r="L741" s="120">
        <v>46169</v>
      </c>
      <c r="M741" s="121">
        <v>109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2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349</v>
      </c>
      <c r="C742" s="73" t="s">
        <v>13</v>
      </c>
      <c r="D742" s="74" t="s">
        <v>1724</v>
      </c>
      <c r="E742" s="79" t="s">
        <v>25</v>
      </c>
      <c r="F742" s="80"/>
      <c r="G742" s="81"/>
      <c r="H742" s="130" t="s">
        <v>16</v>
      </c>
      <c r="I742" s="118">
        <v>46079</v>
      </c>
      <c r="J742" s="73">
        <v>3</v>
      </c>
      <c r="K742" s="122" t="s">
        <v>1725</v>
      </c>
      <c r="L742" s="120">
        <v>46170</v>
      </c>
      <c r="M742" s="121">
        <v>110</v>
      </c>
      <c r="N742" s="73"/>
      <c r="O742" s="73"/>
      <c r="P742" s="73"/>
      <c r="Q742" s="74"/>
      <c r="R742" s="79"/>
      <c r="S742" s="80"/>
      <c r="T742" s="81"/>
      <c r="U742" s="82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349</v>
      </c>
      <c r="C743" s="73" t="s">
        <v>13</v>
      </c>
      <c r="D743" s="74" t="s">
        <v>1726</v>
      </c>
      <c r="E743" s="79" t="s">
        <v>78</v>
      </c>
      <c r="F743" s="80"/>
      <c r="G743" s="81"/>
      <c r="H743" s="130" t="s">
        <v>16</v>
      </c>
      <c r="I743" s="118">
        <v>46079</v>
      </c>
      <c r="J743" s="73">
        <v>3</v>
      </c>
      <c r="K743" s="122" t="s">
        <v>1727</v>
      </c>
      <c r="L743" s="120">
        <v>46171</v>
      </c>
      <c r="M743" s="121">
        <v>111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827</v>
      </c>
      <c r="C744" s="73" t="s">
        <v>13</v>
      </c>
      <c r="D744" s="74" t="s">
        <v>1728</v>
      </c>
      <c r="E744" s="79" t="s">
        <v>1729</v>
      </c>
      <c r="F744" s="80"/>
      <c r="G744" s="81"/>
      <c r="H744" s="130" t="s">
        <v>16</v>
      </c>
      <c r="I744" s="118">
        <v>46079</v>
      </c>
      <c r="J744" s="73">
        <v>3</v>
      </c>
      <c r="K744" s="122" t="s">
        <v>1730</v>
      </c>
      <c r="L744" s="120">
        <v>46172</v>
      </c>
      <c r="M744" s="121">
        <v>112</v>
      </c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827</v>
      </c>
      <c r="C745" s="73" t="s">
        <v>13</v>
      </c>
      <c r="D745" s="74" t="s">
        <v>1731</v>
      </c>
      <c r="E745" s="79" t="s">
        <v>1732</v>
      </c>
      <c r="F745" s="80"/>
      <c r="G745" s="81"/>
      <c r="H745" s="130" t="s">
        <v>16</v>
      </c>
      <c r="I745" s="118">
        <v>46079</v>
      </c>
      <c r="J745" s="73">
        <v>3</v>
      </c>
      <c r="K745" s="122" t="s">
        <v>1733</v>
      </c>
      <c r="L745" s="120">
        <v>46173</v>
      </c>
      <c r="M745" s="121">
        <v>113</v>
      </c>
      <c r="N745" s="73"/>
      <c r="O745" s="73"/>
      <c r="P745" s="73"/>
      <c r="Q745" s="74"/>
      <c r="R745" s="79"/>
      <c r="S745" s="80"/>
      <c r="T745" s="81"/>
      <c r="U745" s="89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73"/>
      <c r="AP745" s="73"/>
      <c r="AQ745" s="74"/>
      <c r="AR745" s="79"/>
      <c r="AS745" s="80"/>
      <c r="AT745" s="81"/>
      <c r="AU745" s="82"/>
      <c r="AV745" s="158"/>
      <c r="AW745" s="152"/>
      <c r="AX745" s="122"/>
      <c r="AY745" s="120"/>
      <c r="AZ745" s="121"/>
    </row>
    <row r="746" spans="1:52">
      <c r="A746" s="73">
        <v>744</v>
      </c>
      <c r="B746" s="73" t="s">
        <v>162</v>
      </c>
      <c r="C746" s="73" t="s">
        <v>158</v>
      </c>
      <c r="D746" s="74" t="s">
        <v>585</v>
      </c>
      <c r="E746" s="79" t="s">
        <v>586</v>
      </c>
      <c r="F746" s="80"/>
      <c r="G746" s="81"/>
      <c r="H746" s="82"/>
      <c r="I746" s="118">
        <v>46079</v>
      </c>
      <c r="J746" s="73" t="s">
        <v>473</v>
      </c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1734</v>
      </c>
      <c r="E747" s="79" t="s">
        <v>1735</v>
      </c>
      <c r="F747" s="80"/>
      <c r="G747" s="81"/>
      <c r="H747" s="82"/>
      <c r="I747" s="118">
        <v>46080</v>
      </c>
      <c r="J747" s="73">
        <v>3</v>
      </c>
      <c r="K747" s="122" t="s">
        <v>1736</v>
      </c>
      <c r="L747" s="120">
        <v>46175</v>
      </c>
      <c r="M747" s="121">
        <v>115</v>
      </c>
      <c r="N747" s="73"/>
      <c r="O747" s="73"/>
      <c r="P747" s="73"/>
      <c r="Q747" s="74"/>
      <c r="R747" s="79"/>
      <c r="S747" s="80"/>
      <c r="T747" s="81"/>
      <c r="U747" s="78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78"/>
      <c r="AI747" s="118"/>
      <c r="AJ747" s="73"/>
      <c r="AK747" s="119"/>
      <c r="AL747" s="120"/>
      <c r="AM747" s="121"/>
      <c r="AN747" s="152"/>
      <c r="AO747" s="152"/>
      <c r="AP747" s="268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ht="25" customHeight="1" spans="1:52">
      <c r="A748" s="73">
        <v>746</v>
      </c>
      <c r="B748" s="73" t="s">
        <v>421</v>
      </c>
      <c r="C748" s="73" t="s">
        <v>13</v>
      </c>
      <c r="D748" s="74" t="s">
        <v>1737</v>
      </c>
      <c r="E748" s="79" t="s">
        <v>1738</v>
      </c>
      <c r="F748" s="80"/>
      <c r="G748" s="81"/>
      <c r="H748" s="82"/>
      <c r="I748" s="118">
        <v>46080</v>
      </c>
      <c r="J748" s="73">
        <v>3</v>
      </c>
      <c r="K748" s="122" t="s">
        <v>1739</v>
      </c>
      <c r="L748" s="120">
        <v>46176</v>
      </c>
      <c r="M748" s="121">
        <v>116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1740</v>
      </c>
      <c r="E749" s="79" t="s">
        <v>1741</v>
      </c>
      <c r="F749" s="80"/>
      <c r="G749" s="81"/>
      <c r="H749" s="82"/>
      <c r="I749" s="118">
        <v>46080</v>
      </c>
      <c r="J749" s="73">
        <v>3</v>
      </c>
      <c r="K749" s="122" t="s">
        <v>1742</v>
      </c>
      <c r="L749" s="120">
        <v>46177</v>
      </c>
      <c r="M749" s="121">
        <v>117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89"/>
      <c r="AI749" s="118"/>
      <c r="AJ749" s="73"/>
      <c r="AK749" s="119"/>
      <c r="AL749" s="120"/>
      <c r="AM749" s="121"/>
      <c r="AN749" s="152"/>
      <c r="AO749" s="152"/>
      <c r="AP749" s="152"/>
      <c r="AQ749" s="105"/>
      <c r="AR749" s="106"/>
      <c r="AS749" s="107"/>
      <c r="AT749" s="108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421</v>
      </c>
      <c r="C750" s="73" t="s">
        <v>13</v>
      </c>
      <c r="D750" s="74" t="s">
        <v>1743</v>
      </c>
      <c r="E750" s="79" t="s">
        <v>1744</v>
      </c>
      <c r="F750" s="80"/>
      <c r="G750" s="81"/>
      <c r="H750" s="130" t="s">
        <v>16</v>
      </c>
      <c r="I750" s="118">
        <v>46080</v>
      </c>
      <c r="J750" s="73">
        <v>3</v>
      </c>
      <c r="K750" s="122" t="s">
        <v>1745</v>
      </c>
      <c r="L750" s="120">
        <v>46178</v>
      </c>
      <c r="M750" s="121">
        <v>118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421</v>
      </c>
      <c r="C751" s="73" t="s">
        <v>13</v>
      </c>
      <c r="D751" s="74" t="s">
        <v>1746</v>
      </c>
      <c r="E751" s="79" t="s">
        <v>78</v>
      </c>
      <c r="F751" s="80"/>
      <c r="G751" s="81"/>
      <c r="H751" s="204"/>
      <c r="I751" s="118">
        <v>46080</v>
      </c>
      <c r="J751" s="73">
        <v>3</v>
      </c>
      <c r="K751" s="122" t="s">
        <v>1747</v>
      </c>
      <c r="L751" s="120">
        <v>46179</v>
      </c>
      <c r="M751" s="121">
        <v>119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89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349</v>
      </c>
      <c r="C752" s="73" t="s">
        <v>13</v>
      </c>
      <c r="D752" s="74" t="s">
        <v>1748</v>
      </c>
      <c r="E752" s="79" t="s">
        <v>1104</v>
      </c>
      <c r="F752" s="80"/>
      <c r="G752" s="81"/>
      <c r="H752" s="130" t="s">
        <v>16</v>
      </c>
      <c r="I752" s="118">
        <v>46080</v>
      </c>
      <c r="J752" s="73">
        <v>3</v>
      </c>
      <c r="K752" s="122" t="s">
        <v>1749</v>
      </c>
      <c r="L752" s="120">
        <v>46180</v>
      </c>
      <c r="M752" s="121">
        <v>120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349</v>
      </c>
      <c r="C753" s="73" t="s">
        <v>13</v>
      </c>
      <c r="D753" s="74" t="s">
        <v>1750</v>
      </c>
      <c r="E753" s="79" t="s">
        <v>78</v>
      </c>
      <c r="F753" s="80"/>
      <c r="G753" s="81"/>
      <c r="H753" s="130" t="s">
        <v>16</v>
      </c>
      <c r="I753" s="118">
        <v>46080</v>
      </c>
      <c r="J753" s="73">
        <v>3</v>
      </c>
      <c r="K753" s="122" t="s">
        <v>1751</v>
      </c>
      <c r="L753" s="120">
        <v>46181</v>
      </c>
      <c r="M753" s="121">
        <v>121</v>
      </c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73"/>
      <c r="AP753" s="73"/>
      <c r="AQ753" s="74"/>
      <c r="AR753" s="79"/>
      <c r="AS753" s="80"/>
      <c r="AT753" s="81"/>
      <c r="AU753" s="130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1752</v>
      </c>
      <c r="C754" s="73" t="s">
        <v>13</v>
      </c>
      <c r="D754" s="74" t="s">
        <v>1753</v>
      </c>
      <c r="E754" s="79" t="s">
        <v>1754</v>
      </c>
      <c r="F754" s="80"/>
      <c r="G754" s="81"/>
      <c r="H754" s="130" t="s">
        <v>16</v>
      </c>
      <c r="I754" s="118">
        <v>46080</v>
      </c>
      <c r="J754" s="73">
        <v>3</v>
      </c>
      <c r="K754" s="122" t="s">
        <v>1755</v>
      </c>
      <c r="L754" s="120">
        <v>46182</v>
      </c>
      <c r="M754" s="121">
        <v>122</v>
      </c>
      <c r="N754" s="73"/>
      <c r="O754" s="73"/>
      <c r="P754" s="73"/>
      <c r="Q754" s="74"/>
      <c r="R754" s="79"/>
      <c r="S754" s="80"/>
      <c r="T754" s="81"/>
      <c r="U754" s="130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130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1752</v>
      </c>
      <c r="C755" s="73" t="s">
        <v>13</v>
      </c>
      <c r="D755" s="74" t="s">
        <v>1756</v>
      </c>
      <c r="E755" s="106" t="s">
        <v>78</v>
      </c>
      <c r="F755" s="107"/>
      <c r="G755" s="108"/>
      <c r="H755" s="130" t="s">
        <v>16</v>
      </c>
      <c r="I755" s="118">
        <v>46080</v>
      </c>
      <c r="J755" s="73">
        <v>3</v>
      </c>
      <c r="K755" s="122" t="s">
        <v>1757</v>
      </c>
      <c r="L755" s="120">
        <v>46183</v>
      </c>
      <c r="M755" s="121">
        <v>123</v>
      </c>
      <c r="N755" s="73"/>
      <c r="O755" s="73"/>
      <c r="P755" s="73"/>
      <c r="Q755" s="74"/>
      <c r="R755" s="106"/>
      <c r="S755" s="107"/>
      <c r="T755" s="108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106"/>
      <c r="AF755" s="107"/>
      <c r="AG755" s="108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1752</v>
      </c>
      <c r="C756" s="73" t="s">
        <v>27</v>
      </c>
      <c r="D756" s="74" t="s">
        <v>1758</v>
      </c>
      <c r="E756" s="79" t="s">
        <v>205</v>
      </c>
      <c r="F756" s="80"/>
      <c r="G756" s="81"/>
      <c r="H756" s="130" t="s">
        <v>16</v>
      </c>
      <c r="I756" s="118">
        <v>46080</v>
      </c>
      <c r="J756" s="73">
        <v>3</v>
      </c>
      <c r="K756" s="122" t="s">
        <v>1759</v>
      </c>
      <c r="L756" s="120">
        <v>46184</v>
      </c>
      <c r="M756" s="121">
        <v>124</v>
      </c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2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1752</v>
      </c>
      <c r="C757" s="73" t="s">
        <v>27</v>
      </c>
      <c r="D757" s="74" t="s">
        <v>1760</v>
      </c>
      <c r="E757" s="79" t="s">
        <v>22</v>
      </c>
      <c r="F757" s="80"/>
      <c r="G757" s="81"/>
      <c r="H757" s="130" t="s">
        <v>16</v>
      </c>
      <c r="I757" s="118">
        <v>46080</v>
      </c>
      <c r="J757" s="73">
        <v>3</v>
      </c>
      <c r="K757" s="122" t="s">
        <v>1761</v>
      </c>
      <c r="L757" s="120">
        <v>46185</v>
      </c>
      <c r="M757" s="121">
        <v>125</v>
      </c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1762</v>
      </c>
      <c r="E758" s="79" t="s">
        <v>423</v>
      </c>
      <c r="F758" s="80"/>
      <c r="G758" s="81"/>
      <c r="H758" s="130" t="s">
        <v>16</v>
      </c>
      <c r="I758" s="118">
        <v>46081</v>
      </c>
      <c r="J758" s="73">
        <v>3</v>
      </c>
      <c r="K758" s="122" t="s">
        <v>1763</v>
      </c>
      <c r="L758" s="120">
        <v>46186</v>
      </c>
      <c r="M758" s="121">
        <v>126</v>
      </c>
      <c r="N758" s="73"/>
      <c r="O758" s="73"/>
      <c r="P758" s="73"/>
      <c r="Q758" s="74"/>
      <c r="R758" s="79"/>
      <c r="S758" s="80"/>
      <c r="T758" s="81"/>
      <c r="U758" s="78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1764</v>
      </c>
      <c r="E759" s="79" t="s">
        <v>423</v>
      </c>
      <c r="F759" s="80"/>
      <c r="G759" s="81"/>
      <c r="H759" s="130" t="s">
        <v>16</v>
      </c>
      <c r="I759" s="118">
        <v>46081</v>
      </c>
      <c r="J759" s="73">
        <v>3</v>
      </c>
      <c r="K759" s="122" t="s">
        <v>1765</v>
      </c>
      <c r="L759" s="120">
        <v>46187</v>
      </c>
      <c r="M759" s="121">
        <v>127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22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13</v>
      </c>
      <c r="D760" s="74" t="s">
        <v>1766</v>
      </c>
      <c r="E760" s="79" t="s">
        <v>1153</v>
      </c>
      <c r="F760" s="80"/>
      <c r="G760" s="81"/>
      <c r="H760" s="130" t="s">
        <v>16</v>
      </c>
      <c r="I760" s="118">
        <v>46081</v>
      </c>
      <c r="J760" s="73">
        <v>3</v>
      </c>
      <c r="K760" s="122" t="s">
        <v>1767</v>
      </c>
      <c r="L760" s="120">
        <v>46188</v>
      </c>
      <c r="M760" s="121">
        <v>128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13</v>
      </c>
      <c r="D761" s="74" t="s">
        <v>1768</v>
      </c>
      <c r="E761" s="79" t="s">
        <v>372</v>
      </c>
      <c r="F761" s="80"/>
      <c r="G761" s="81"/>
      <c r="H761" s="130" t="s">
        <v>16</v>
      </c>
      <c r="I761" s="118">
        <v>46081</v>
      </c>
      <c r="J761" s="73">
        <v>3</v>
      </c>
      <c r="K761" s="122" t="s">
        <v>1769</v>
      </c>
      <c r="L761" s="120">
        <v>46189</v>
      </c>
      <c r="M761" s="121">
        <v>129</v>
      </c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462</v>
      </c>
      <c r="C762" s="73" t="s">
        <v>27</v>
      </c>
      <c r="D762" s="74" t="s">
        <v>1770</v>
      </c>
      <c r="E762" s="79" t="s">
        <v>118</v>
      </c>
      <c r="F762" s="80"/>
      <c r="G762" s="81"/>
      <c r="H762" s="130" t="s">
        <v>16</v>
      </c>
      <c r="I762" s="118">
        <v>46081</v>
      </c>
      <c r="J762" s="73">
        <v>3</v>
      </c>
      <c r="K762" s="122" t="s">
        <v>1771</v>
      </c>
      <c r="L762" s="120">
        <v>46190</v>
      </c>
      <c r="M762" s="121">
        <v>130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462</v>
      </c>
      <c r="C763" s="73" t="s">
        <v>158</v>
      </c>
      <c r="D763" s="74" t="s">
        <v>463</v>
      </c>
      <c r="E763" s="79" t="s">
        <v>464</v>
      </c>
      <c r="F763" s="80"/>
      <c r="G763" s="81"/>
      <c r="H763" s="82"/>
      <c r="I763" s="118">
        <v>46081</v>
      </c>
      <c r="J763" s="73" t="s">
        <v>473</v>
      </c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1128</v>
      </c>
      <c r="C764" s="73" t="s">
        <v>27</v>
      </c>
      <c r="D764" s="74" t="s">
        <v>1772</v>
      </c>
      <c r="E764" s="79" t="s">
        <v>205</v>
      </c>
      <c r="F764" s="80"/>
      <c r="G764" s="81"/>
      <c r="H764" s="82"/>
      <c r="I764" s="118">
        <v>46081</v>
      </c>
      <c r="J764" s="73">
        <v>3</v>
      </c>
      <c r="K764" s="122" t="s">
        <v>1773</v>
      </c>
      <c r="L764" s="120">
        <v>46192</v>
      </c>
      <c r="M764" s="121">
        <v>132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1155</v>
      </c>
      <c r="C765" s="73" t="s">
        <v>27</v>
      </c>
      <c r="D765" s="74" t="s">
        <v>1774</v>
      </c>
      <c r="E765" s="79" t="s">
        <v>1775</v>
      </c>
      <c r="F765" s="80"/>
      <c r="G765" s="81"/>
      <c r="H765" s="82"/>
      <c r="I765" s="118">
        <v>46081</v>
      </c>
      <c r="J765" s="73" t="s">
        <v>473</v>
      </c>
      <c r="K765" s="122" t="s">
        <v>1617</v>
      </c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827</v>
      </c>
      <c r="C766" s="73" t="s">
        <v>13</v>
      </c>
      <c r="D766" s="74" t="s">
        <v>1776</v>
      </c>
      <c r="E766" s="79" t="s">
        <v>1777</v>
      </c>
      <c r="F766" s="80"/>
      <c r="G766" s="81"/>
      <c r="H766" s="89" t="s">
        <v>16</v>
      </c>
      <c r="I766" s="118">
        <v>46081</v>
      </c>
      <c r="J766" s="73">
        <v>3</v>
      </c>
      <c r="K766" s="122" t="s">
        <v>1778</v>
      </c>
      <c r="L766" s="120">
        <v>46194</v>
      </c>
      <c r="M766" s="121">
        <v>134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314</v>
      </c>
      <c r="C767" s="73" t="s">
        <v>13</v>
      </c>
      <c r="D767" s="74" t="s">
        <v>1779</v>
      </c>
      <c r="E767" s="79" t="s">
        <v>608</v>
      </c>
      <c r="F767" s="80"/>
      <c r="G767" s="81"/>
      <c r="H767" s="82"/>
      <c r="I767" s="118">
        <v>46081</v>
      </c>
      <c r="J767" s="73">
        <v>3</v>
      </c>
      <c r="K767" s="122" t="s">
        <v>1780</v>
      </c>
      <c r="L767" s="120">
        <v>46195</v>
      </c>
      <c r="M767" s="121">
        <v>135</v>
      </c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1332</v>
      </c>
      <c r="C768" s="73" t="s">
        <v>27</v>
      </c>
      <c r="D768" s="74" t="s">
        <v>1781</v>
      </c>
      <c r="E768" s="79" t="s">
        <v>1625</v>
      </c>
      <c r="F768" s="80"/>
      <c r="G768" s="81"/>
      <c r="H768" s="89" t="s">
        <v>16</v>
      </c>
      <c r="I768" s="118">
        <v>46082</v>
      </c>
      <c r="J768" s="73">
        <v>3</v>
      </c>
      <c r="K768" s="122" t="s">
        <v>1782</v>
      </c>
      <c r="L768" s="120">
        <v>46196</v>
      </c>
      <c r="M768" s="121">
        <v>136</v>
      </c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1342</v>
      </c>
      <c r="C769" s="73" t="s">
        <v>158</v>
      </c>
      <c r="D769" s="74" t="s">
        <v>589</v>
      </c>
      <c r="E769" s="79" t="s">
        <v>471</v>
      </c>
      <c r="F769" s="80"/>
      <c r="G769" s="81"/>
      <c r="H769" s="82"/>
      <c r="I769" s="118">
        <v>46082</v>
      </c>
      <c r="J769" s="73" t="s">
        <v>473</v>
      </c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827</v>
      </c>
      <c r="C770" s="73" t="s">
        <v>13</v>
      </c>
      <c r="D770" s="269" t="s">
        <v>1783</v>
      </c>
      <c r="E770" s="79" t="s">
        <v>1784</v>
      </c>
      <c r="F770" s="80"/>
      <c r="G770" s="81"/>
      <c r="H770" s="82"/>
      <c r="I770" s="118">
        <v>46082</v>
      </c>
      <c r="J770" s="73" t="s">
        <v>473</v>
      </c>
      <c r="K770" s="122" t="s">
        <v>1785</v>
      </c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827</v>
      </c>
      <c r="C771" s="73" t="s">
        <v>13</v>
      </c>
      <c r="D771" s="74" t="s">
        <v>1783</v>
      </c>
      <c r="E771" s="79" t="s">
        <v>1784</v>
      </c>
      <c r="F771" s="80"/>
      <c r="G771" s="81"/>
      <c r="H771" s="82"/>
      <c r="I771" s="118">
        <v>46083</v>
      </c>
      <c r="J771" s="73" t="s">
        <v>473</v>
      </c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78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162</v>
      </c>
      <c r="C772" s="73" t="s">
        <v>158</v>
      </c>
      <c r="D772" s="74" t="s">
        <v>224</v>
      </c>
      <c r="E772" s="79" t="s">
        <v>225</v>
      </c>
      <c r="F772" s="80"/>
      <c r="G772" s="81"/>
      <c r="H772" s="82"/>
      <c r="I772" s="118">
        <v>46083</v>
      </c>
      <c r="J772" s="73" t="s">
        <v>473</v>
      </c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73"/>
      <c r="AP772" s="73"/>
      <c r="AQ772" s="74"/>
      <c r="AR772" s="79"/>
      <c r="AS772" s="80"/>
      <c r="AT772" s="81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753</v>
      </c>
      <c r="C773" s="73" t="s">
        <v>158</v>
      </c>
      <c r="D773" s="74" t="s">
        <v>1557</v>
      </c>
      <c r="E773" s="79" t="s">
        <v>464</v>
      </c>
      <c r="F773" s="80"/>
      <c r="G773" s="81"/>
      <c r="H773" s="82"/>
      <c r="I773" s="118">
        <v>46083</v>
      </c>
      <c r="J773" s="73" t="s">
        <v>473</v>
      </c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1786</v>
      </c>
      <c r="C774" s="73" t="s">
        <v>228</v>
      </c>
      <c r="D774" s="74" t="s">
        <v>1787</v>
      </c>
      <c r="E774" s="79" t="s">
        <v>546</v>
      </c>
      <c r="F774" s="80"/>
      <c r="G774" s="81"/>
      <c r="H774" s="82"/>
      <c r="I774" s="118">
        <v>46083</v>
      </c>
      <c r="J774" s="73" t="s">
        <v>473</v>
      </c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1788</v>
      </c>
      <c r="C775" s="73" t="s">
        <v>13</v>
      </c>
      <c r="D775" s="74" t="s">
        <v>1789</v>
      </c>
      <c r="E775" s="79" t="s">
        <v>1717</v>
      </c>
      <c r="F775" s="80"/>
      <c r="G775" s="81"/>
      <c r="H775" s="78" t="s">
        <v>16</v>
      </c>
      <c r="I775" s="118">
        <v>46083</v>
      </c>
      <c r="J775" s="73">
        <v>3</v>
      </c>
      <c r="K775" s="122"/>
      <c r="L775" s="120">
        <v>46203</v>
      </c>
      <c r="M775" s="121">
        <v>143</v>
      </c>
      <c r="N775" s="73"/>
      <c r="O775" s="73"/>
      <c r="P775" s="73"/>
      <c r="Q775" s="74"/>
      <c r="R775" s="79"/>
      <c r="S775" s="80"/>
      <c r="T775" s="81"/>
      <c r="U775" s="78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636</v>
      </c>
      <c r="C776" s="73" t="s">
        <v>228</v>
      </c>
      <c r="D776" s="74" t="s">
        <v>1790</v>
      </c>
      <c r="E776" s="79" t="s">
        <v>802</v>
      </c>
      <c r="F776" s="80"/>
      <c r="G776" s="81"/>
      <c r="H776" s="78" t="s">
        <v>16</v>
      </c>
      <c r="I776" s="118">
        <v>46083</v>
      </c>
      <c r="J776" s="73">
        <v>3</v>
      </c>
      <c r="K776" s="122"/>
      <c r="L776" s="120">
        <v>46204</v>
      </c>
      <c r="M776" s="121">
        <v>144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1791</v>
      </c>
      <c r="C777" s="73" t="s">
        <v>228</v>
      </c>
      <c r="D777" s="74" t="s">
        <v>1792</v>
      </c>
      <c r="E777" s="79" t="s">
        <v>1793</v>
      </c>
      <c r="F777" s="80"/>
      <c r="G777" s="81"/>
      <c r="H777" s="78" t="s">
        <v>16</v>
      </c>
      <c r="I777" s="118">
        <v>46083</v>
      </c>
      <c r="J777" s="73">
        <v>3</v>
      </c>
      <c r="K777" s="122"/>
      <c r="L777" s="120">
        <v>46205</v>
      </c>
      <c r="M777" s="121">
        <v>145</v>
      </c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421</v>
      </c>
      <c r="C778" s="73" t="s">
        <v>13</v>
      </c>
      <c r="D778" s="74" t="s">
        <v>1794</v>
      </c>
      <c r="E778" s="79" t="s">
        <v>1795</v>
      </c>
      <c r="F778" s="80"/>
      <c r="G778" s="81"/>
      <c r="H778" s="78" t="s">
        <v>16</v>
      </c>
      <c r="I778" s="118">
        <v>46084</v>
      </c>
      <c r="J778" s="73">
        <v>3</v>
      </c>
      <c r="K778" s="122"/>
      <c r="L778" s="120">
        <v>46206</v>
      </c>
      <c r="M778" s="121">
        <v>146</v>
      </c>
      <c r="N778" s="73"/>
      <c r="O778" s="73"/>
      <c r="P778" s="73"/>
      <c r="Q778" s="74"/>
      <c r="R778" s="79"/>
      <c r="S778" s="80"/>
      <c r="T778" s="81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1796</v>
      </c>
      <c r="E779" s="79" t="s">
        <v>78</v>
      </c>
      <c r="F779" s="80"/>
      <c r="G779" s="81"/>
      <c r="H779" s="78" t="s">
        <v>16</v>
      </c>
      <c r="I779" s="118">
        <v>46084</v>
      </c>
      <c r="J779" s="73">
        <v>3</v>
      </c>
      <c r="K779" s="122"/>
      <c r="L779" s="120">
        <v>46207</v>
      </c>
      <c r="M779" s="121">
        <v>147</v>
      </c>
      <c r="N779" s="73"/>
      <c r="O779" s="73"/>
      <c r="P779" s="73"/>
      <c r="Q779" s="74"/>
      <c r="R779" s="79"/>
      <c r="S779" s="80"/>
      <c r="T779" s="81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1797</v>
      </c>
      <c r="E780" s="270" t="s">
        <v>241</v>
      </c>
      <c r="F780" s="271"/>
      <c r="G780" s="272"/>
      <c r="H780" s="78" t="s">
        <v>16</v>
      </c>
      <c r="I780" s="118">
        <v>46084</v>
      </c>
      <c r="J780" s="73">
        <v>3</v>
      </c>
      <c r="K780" s="122"/>
      <c r="L780" s="120">
        <v>46208</v>
      </c>
      <c r="M780" s="121">
        <v>148</v>
      </c>
      <c r="N780" s="73"/>
      <c r="O780" s="73"/>
      <c r="P780" s="73"/>
      <c r="Q780" s="74"/>
      <c r="R780" s="270"/>
      <c r="S780" s="271"/>
      <c r="T780" s="272"/>
      <c r="U780" s="78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314</v>
      </c>
      <c r="C781" s="73" t="s">
        <v>13</v>
      </c>
      <c r="D781" s="74" t="s">
        <v>1798</v>
      </c>
      <c r="E781" s="270" t="s">
        <v>25</v>
      </c>
      <c r="F781" s="271"/>
      <c r="G781" s="272"/>
      <c r="H781" s="78" t="s">
        <v>16</v>
      </c>
      <c r="I781" s="118">
        <v>46084</v>
      </c>
      <c r="J781" s="73">
        <v>3</v>
      </c>
      <c r="K781" s="122"/>
      <c r="L781" s="120">
        <v>46209</v>
      </c>
      <c r="M781" s="121">
        <v>149</v>
      </c>
      <c r="N781" s="73"/>
      <c r="O781" s="73"/>
      <c r="P781" s="73"/>
      <c r="Q781" s="74"/>
      <c r="R781" s="270"/>
      <c r="S781" s="271"/>
      <c r="T781" s="272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270"/>
      <c r="AF781" s="271"/>
      <c r="AG781" s="272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314</v>
      </c>
      <c r="C782" s="73" t="s">
        <v>13</v>
      </c>
      <c r="D782" s="74" t="s">
        <v>1799</v>
      </c>
      <c r="E782" s="270" t="s">
        <v>25</v>
      </c>
      <c r="F782" s="271"/>
      <c r="G782" s="272"/>
      <c r="H782" s="78" t="s">
        <v>16</v>
      </c>
      <c r="I782" s="118">
        <v>46084</v>
      </c>
      <c r="J782" s="73">
        <v>3</v>
      </c>
      <c r="K782" s="122"/>
      <c r="L782" s="120">
        <v>46210</v>
      </c>
      <c r="M782" s="121">
        <v>150</v>
      </c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59</v>
      </c>
      <c r="C783" s="73" t="s">
        <v>13</v>
      </c>
      <c r="D783" s="74" t="s">
        <v>1800</v>
      </c>
      <c r="E783" s="79" t="s">
        <v>615</v>
      </c>
      <c r="F783" s="80"/>
      <c r="G783" s="81"/>
      <c r="H783" s="82"/>
      <c r="I783" s="118">
        <v>46084</v>
      </c>
      <c r="J783" s="73">
        <v>3</v>
      </c>
      <c r="K783" s="122"/>
      <c r="L783" s="120">
        <v>46211</v>
      </c>
      <c r="M783" s="121">
        <v>151</v>
      </c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753</v>
      </c>
      <c r="C784" s="73" t="s">
        <v>158</v>
      </c>
      <c r="D784" s="74" t="s">
        <v>754</v>
      </c>
      <c r="E784" s="79" t="s">
        <v>158</v>
      </c>
      <c r="F784" s="80"/>
      <c r="G784" s="81"/>
      <c r="H784" s="82"/>
      <c r="I784" s="118">
        <v>46084</v>
      </c>
      <c r="J784" s="73" t="s">
        <v>473</v>
      </c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89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223</v>
      </c>
      <c r="C785" s="73" t="s">
        <v>158</v>
      </c>
      <c r="D785" s="74" t="s">
        <v>224</v>
      </c>
      <c r="E785" s="79" t="s">
        <v>225</v>
      </c>
      <c r="F785" s="80"/>
      <c r="G785" s="81"/>
      <c r="H785" s="82"/>
      <c r="I785" s="118">
        <v>46084</v>
      </c>
      <c r="J785" s="73" t="s">
        <v>473</v>
      </c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162</v>
      </c>
      <c r="C786" s="73" t="s">
        <v>158</v>
      </c>
      <c r="D786" s="74" t="s">
        <v>166</v>
      </c>
      <c r="E786" s="79" t="s">
        <v>167</v>
      </c>
      <c r="F786" s="80"/>
      <c r="G786" s="81"/>
      <c r="H786" s="82"/>
      <c r="I786" s="118">
        <v>46084</v>
      </c>
      <c r="J786" s="73" t="s">
        <v>473</v>
      </c>
      <c r="K786" s="122"/>
      <c r="L786" s="120">
        <v>46214</v>
      </c>
      <c r="M786" s="121">
        <v>154</v>
      </c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1801</v>
      </c>
      <c r="C787" s="73" t="s">
        <v>228</v>
      </c>
      <c r="D787" s="74" t="s">
        <v>1802</v>
      </c>
      <c r="E787" s="79" t="s">
        <v>1803</v>
      </c>
      <c r="F787" s="80"/>
      <c r="G787" s="81"/>
      <c r="H787" s="78" t="s">
        <v>16</v>
      </c>
      <c r="I787" s="118">
        <v>46084</v>
      </c>
      <c r="J787" s="73">
        <v>3</v>
      </c>
      <c r="K787" s="122"/>
      <c r="L787" s="120">
        <v>46215</v>
      </c>
      <c r="M787" s="121">
        <v>155</v>
      </c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37</v>
      </c>
      <c r="C788" s="73" t="s">
        <v>13</v>
      </c>
      <c r="D788" s="74" t="s">
        <v>1804</v>
      </c>
      <c r="E788" s="79" t="s">
        <v>78</v>
      </c>
      <c r="F788" s="80"/>
      <c r="G788" s="81"/>
      <c r="H788" s="78" t="s">
        <v>16</v>
      </c>
      <c r="I788" s="118">
        <v>46085</v>
      </c>
      <c r="J788" s="73">
        <v>3</v>
      </c>
      <c r="K788" s="122"/>
      <c r="L788" s="120">
        <v>46216</v>
      </c>
      <c r="M788" s="121">
        <v>156</v>
      </c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12</v>
      </c>
      <c r="C789" s="73" t="s">
        <v>13</v>
      </c>
      <c r="D789" s="74" t="s">
        <v>1805</v>
      </c>
      <c r="E789" s="79" t="s">
        <v>78</v>
      </c>
      <c r="F789" s="80"/>
      <c r="G789" s="81"/>
      <c r="H789" s="78" t="s">
        <v>16</v>
      </c>
      <c r="I789" s="118">
        <v>46085</v>
      </c>
      <c r="J789" s="73">
        <v>3</v>
      </c>
      <c r="K789" s="122"/>
      <c r="L789" s="120">
        <v>46217</v>
      </c>
      <c r="M789" s="121">
        <v>157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1806</v>
      </c>
      <c r="C790" s="73" t="s">
        <v>13</v>
      </c>
      <c r="D790" s="74" t="s">
        <v>1807</v>
      </c>
      <c r="E790" s="79" t="s">
        <v>47</v>
      </c>
      <c r="F790" s="80"/>
      <c r="G790" s="81"/>
      <c r="H790" s="78" t="s">
        <v>16</v>
      </c>
      <c r="I790" s="118">
        <v>46085</v>
      </c>
      <c r="J790" s="73">
        <v>3</v>
      </c>
      <c r="K790" s="122"/>
      <c r="L790" s="120">
        <v>46218</v>
      </c>
      <c r="M790" s="121">
        <v>158</v>
      </c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78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1806</v>
      </c>
      <c r="C791" s="73" t="s">
        <v>27</v>
      </c>
      <c r="D791" s="74" t="s">
        <v>1808</v>
      </c>
      <c r="E791" s="79" t="s">
        <v>118</v>
      </c>
      <c r="F791" s="80"/>
      <c r="G791" s="81"/>
      <c r="H791" s="78" t="s">
        <v>16</v>
      </c>
      <c r="I791" s="118">
        <v>46085</v>
      </c>
      <c r="J791" s="73">
        <v>3</v>
      </c>
      <c r="K791" s="122"/>
      <c r="L791" s="120">
        <v>46219</v>
      </c>
      <c r="M791" s="121">
        <v>159</v>
      </c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1528</v>
      </c>
      <c r="C792" s="73" t="s">
        <v>13</v>
      </c>
      <c r="D792" s="74" t="s">
        <v>1809</v>
      </c>
      <c r="E792" s="79" t="s">
        <v>791</v>
      </c>
      <c r="F792" s="80"/>
      <c r="G792" s="81"/>
      <c r="H792" s="78" t="s">
        <v>16</v>
      </c>
      <c r="I792" s="118">
        <v>46085</v>
      </c>
      <c r="J792" s="73">
        <v>3</v>
      </c>
      <c r="K792" s="122"/>
      <c r="L792" s="120">
        <v>46220</v>
      </c>
      <c r="M792" s="121">
        <v>160</v>
      </c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162</v>
      </c>
      <c r="C793" s="73" t="s">
        <v>158</v>
      </c>
      <c r="D793" s="74" t="s">
        <v>1810</v>
      </c>
      <c r="E793" s="79" t="s">
        <v>167</v>
      </c>
      <c r="F793" s="80"/>
      <c r="G793" s="81"/>
      <c r="H793" s="82"/>
      <c r="I793" s="118">
        <v>46085</v>
      </c>
      <c r="J793" s="73">
        <v>3</v>
      </c>
      <c r="K793" s="122"/>
      <c r="L793" s="120">
        <v>46221</v>
      </c>
      <c r="M793" s="121">
        <v>161</v>
      </c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162</v>
      </c>
      <c r="C794" s="73" t="s">
        <v>158</v>
      </c>
      <c r="D794" s="74" t="s">
        <v>1811</v>
      </c>
      <c r="E794" s="79" t="s">
        <v>167</v>
      </c>
      <c r="F794" s="80"/>
      <c r="G794" s="81"/>
      <c r="H794" s="82"/>
      <c r="I794" s="118">
        <v>46085</v>
      </c>
      <c r="J794" s="73">
        <v>3</v>
      </c>
      <c r="K794" s="122"/>
      <c r="L794" s="120">
        <v>46222</v>
      </c>
      <c r="M794" s="121">
        <v>162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>
        <v>793</v>
      </c>
      <c r="B795" s="73" t="s">
        <v>1812</v>
      </c>
      <c r="C795" s="73" t="s">
        <v>158</v>
      </c>
      <c r="D795" s="74" t="s">
        <v>754</v>
      </c>
      <c r="E795" s="79" t="s">
        <v>158</v>
      </c>
      <c r="F795" s="80"/>
      <c r="G795" s="81"/>
      <c r="H795" s="82"/>
      <c r="I795" s="118">
        <v>46085</v>
      </c>
      <c r="J795" s="73" t="s">
        <v>473</v>
      </c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>
        <v>794</v>
      </c>
      <c r="B796" s="73" t="s">
        <v>1813</v>
      </c>
      <c r="C796" s="73" t="s">
        <v>27</v>
      </c>
      <c r="D796" s="74" t="s">
        <v>1814</v>
      </c>
      <c r="E796" s="79" t="s">
        <v>1169</v>
      </c>
      <c r="F796" s="80"/>
      <c r="G796" s="81"/>
      <c r="H796" s="78" t="s">
        <v>16</v>
      </c>
      <c r="I796" s="118">
        <v>46085</v>
      </c>
      <c r="J796" s="73">
        <v>3</v>
      </c>
      <c r="K796" s="122"/>
      <c r="L796" s="120">
        <v>46224</v>
      </c>
      <c r="M796" s="121">
        <v>164</v>
      </c>
      <c r="N796" s="73"/>
      <c r="O796" s="73"/>
      <c r="P796" s="73"/>
      <c r="Q796" s="74"/>
      <c r="R796" s="79"/>
      <c r="S796" s="80"/>
      <c r="T796" s="81"/>
      <c r="U796" s="78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>
        <v>795</v>
      </c>
      <c r="B797" s="73" t="s">
        <v>82</v>
      </c>
      <c r="C797" s="73" t="s">
        <v>13</v>
      </c>
      <c r="D797" s="74" t="s">
        <v>1815</v>
      </c>
      <c r="E797" s="79" t="s">
        <v>25</v>
      </c>
      <c r="F797" s="80"/>
      <c r="G797" s="81"/>
      <c r="H797" s="82"/>
      <c r="I797" s="118">
        <v>46086</v>
      </c>
      <c r="J797" s="73">
        <v>3</v>
      </c>
      <c r="K797" s="122"/>
      <c r="L797" s="120">
        <v>46225</v>
      </c>
      <c r="M797" s="121">
        <v>165</v>
      </c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>
        <v>796</v>
      </c>
      <c r="B798" s="73" t="s">
        <v>82</v>
      </c>
      <c r="C798" s="73" t="s">
        <v>13</v>
      </c>
      <c r="D798" s="74" t="s">
        <v>1816</v>
      </c>
      <c r="E798" s="79" t="s">
        <v>47</v>
      </c>
      <c r="F798" s="80"/>
      <c r="G798" s="81"/>
      <c r="H798" s="82"/>
      <c r="I798" s="118">
        <v>46086</v>
      </c>
      <c r="J798" s="73">
        <v>3</v>
      </c>
      <c r="K798" s="122"/>
      <c r="L798" s="120">
        <v>46226</v>
      </c>
      <c r="M798" s="121">
        <v>166</v>
      </c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>
        <v>797</v>
      </c>
      <c r="B799" s="73" t="s">
        <v>140</v>
      </c>
      <c r="C799" s="73" t="s">
        <v>13</v>
      </c>
      <c r="D799" s="74" t="s">
        <v>1817</v>
      </c>
      <c r="E799" s="79" t="s">
        <v>78</v>
      </c>
      <c r="F799" s="80"/>
      <c r="G799" s="81"/>
      <c r="H799" s="82"/>
      <c r="I799" s="118">
        <v>46086</v>
      </c>
      <c r="J799" s="73">
        <v>3</v>
      </c>
      <c r="K799" s="122"/>
      <c r="L799" s="120">
        <v>46227</v>
      </c>
      <c r="M799" s="121">
        <v>167</v>
      </c>
      <c r="N799" s="73"/>
      <c r="O799" s="73"/>
      <c r="P799" s="73"/>
      <c r="Q799" s="74"/>
      <c r="R799" s="79"/>
      <c r="S799" s="80"/>
      <c r="T799" s="81"/>
      <c r="U799" s="89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89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>
        <v>798</v>
      </c>
      <c r="B800" s="273" t="s">
        <v>45</v>
      </c>
      <c r="C800" s="73" t="s">
        <v>27</v>
      </c>
      <c r="D800" s="74" t="s">
        <v>1818</v>
      </c>
      <c r="E800" s="79" t="s">
        <v>35</v>
      </c>
      <c r="F800" s="80"/>
      <c r="G800" s="81"/>
      <c r="H800" s="78" t="s">
        <v>16</v>
      </c>
      <c r="I800" s="118">
        <v>46086</v>
      </c>
      <c r="J800" s="73">
        <v>3</v>
      </c>
      <c r="K800" s="122"/>
      <c r="L800" s="120">
        <v>46228</v>
      </c>
      <c r="M800" s="121">
        <v>168</v>
      </c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ht="22.5" spans="1:52">
      <c r="A801" s="73">
        <v>799</v>
      </c>
      <c r="B801" s="273" t="s">
        <v>1163</v>
      </c>
      <c r="C801" s="259" t="s">
        <v>158</v>
      </c>
      <c r="D801" s="74" t="s">
        <v>589</v>
      </c>
      <c r="E801" s="110" t="s">
        <v>471</v>
      </c>
      <c r="F801" s="111"/>
      <c r="G801" s="112"/>
      <c r="H801" s="204"/>
      <c r="I801" s="118">
        <v>46086</v>
      </c>
      <c r="J801" s="73" t="s">
        <v>473</v>
      </c>
      <c r="K801" s="122"/>
      <c r="L801" s="120"/>
      <c r="M801" s="121"/>
      <c r="N801" s="73"/>
      <c r="O801" s="73"/>
      <c r="P801" s="73"/>
      <c r="Q801" s="258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258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>
        <v>800</v>
      </c>
      <c r="B802" s="273" t="s">
        <v>157</v>
      </c>
      <c r="C802" s="259" t="s">
        <v>158</v>
      </c>
      <c r="D802" s="74" t="s">
        <v>589</v>
      </c>
      <c r="E802" s="110" t="s">
        <v>471</v>
      </c>
      <c r="F802" s="111"/>
      <c r="G802" s="112"/>
      <c r="H802" s="204"/>
      <c r="I802" s="118">
        <v>46086</v>
      </c>
      <c r="J802" s="73" t="s">
        <v>473</v>
      </c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>
        <v>801</v>
      </c>
      <c r="B803" s="273" t="s">
        <v>1342</v>
      </c>
      <c r="C803" s="259" t="s">
        <v>158</v>
      </c>
      <c r="D803" s="74" t="s">
        <v>589</v>
      </c>
      <c r="E803" s="110" t="s">
        <v>471</v>
      </c>
      <c r="F803" s="111"/>
      <c r="G803" s="112"/>
      <c r="H803" s="204"/>
      <c r="I803" s="118">
        <v>46086</v>
      </c>
      <c r="J803" s="73" t="s">
        <v>473</v>
      </c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130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>
        <v>802</v>
      </c>
      <c r="B804" s="273" t="s">
        <v>157</v>
      </c>
      <c r="C804" s="259" t="s">
        <v>158</v>
      </c>
      <c r="D804" s="74" t="s">
        <v>470</v>
      </c>
      <c r="E804" s="74" t="s">
        <v>464</v>
      </c>
      <c r="F804" s="274"/>
      <c r="G804" s="275"/>
      <c r="H804" s="204"/>
      <c r="I804" s="118">
        <v>46086</v>
      </c>
      <c r="J804" s="73" t="s">
        <v>473</v>
      </c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130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>
        <v>803</v>
      </c>
      <c r="B805" s="273" t="s">
        <v>162</v>
      </c>
      <c r="C805" s="259" t="s">
        <v>158</v>
      </c>
      <c r="D805" s="74" t="s">
        <v>1819</v>
      </c>
      <c r="E805" s="74" t="s">
        <v>1820</v>
      </c>
      <c r="F805" s="274"/>
      <c r="G805" s="275"/>
      <c r="H805" s="204"/>
      <c r="I805" s="118">
        <v>46086</v>
      </c>
      <c r="J805" s="73">
        <v>3</v>
      </c>
      <c r="K805" s="122"/>
      <c r="L805" s="120">
        <v>46233</v>
      </c>
      <c r="M805" s="121">
        <v>173</v>
      </c>
      <c r="N805" s="73"/>
      <c r="O805" s="73"/>
      <c r="P805" s="73"/>
      <c r="Q805" s="74"/>
      <c r="R805" s="79"/>
      <c r="S805" s="80"/>
      <c r="T805" s="81"/>
      <c r="U805" s="82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>
        <v>804</v>
      </c>
      <c r="B806" s="273" t="s">
        <v>169</v>
      </c>
      <c r="C806" s="259" t="s">
        <v>158</v>
      </c>
      <c r="D806" s="74" t="s">
        <v>1821</v>
      </c>
      <c r="E806" s="74" t="s">
        <v>1668</v>
      </c>
      <c r="F806" s="274"/>
      <c r="G806" s="275"/>
      <c r="H806" s="204"/>
      <c r="I806" s="118">
        <v>46086</v>
      </c>
      <c r="J806" s="73">
        <v>3</v>
      </c>
      <c r="K806" s="122"/>
      <c r="L806" s="120">
        <v>46234</v>
      </c>
      <c r="M806" s="121">
        <v>174</v>
      </c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>
        <v>805</v>
      </c>
      <c r="B807" s="273" t="s">
        <v>397</v>
      </c>
      <c r="C807" s="259" t="s">
        <v>158</v>
      </c>
      <c r="D807" s="74" t="s">
        <v>1822</v>
      </c>
      <c r="E807" s="79" t="s">
        <v>1823</v>
      </c>
      <c r="F807" s="80"/>
      <c r="G807" s="81"/>
      <c r="H807" s="204"/>
      <c r="I807" s="118">
        <v>46086</v>
      </c>
      <c r="J807" s="73">
        <v>3</v>
      </c>
      <c r="K807" s="122"/>
      <c r="L807" s="120">
        <v>46235</v>
      </c>
      <c r="M807" s="121">
        <v>175</v>
      </c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>
        <v>806</v>
      </c>
      <c r="B808" s="273" t="s">
        <v>756</v>
      </c>
      <c r="C808" s="259" t="s">
        <v>158</v>
      </c>
      <c r="D808" s="74" t="s">
        <v>1674</v>
      </c>
      <c r="E808" s="79" t="s">
        <v>221</v>
      </c>
      <c r="F808" s="80"/>
      <c r="G808" s="81"/>
      <c r="H808" s="204"/>
      <c r="I808" s="118">
        <v>46086</v>
      </c>
      <c r="J808" s="73" t="s">
        <v>473</v>
      </c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>
        <v>807</v>
      </c>
      <c r="B809" s="273" t="s">
        <v>484</v>
      </c>
      <c r="C809" s="94" t="s">
        <v>228</v>
      </c>
      <c r="D809" s="74" t="s">
        <v>1824</v>
      </c>
      <c r="E809" s="74" t="s">
        <v>1825</v>
      </c>
      <c r="F809" s="274"/>
      <c r="G809" s="275"/>
      <c r="H809" s="78" t="s">
        <v>16</v>
      </c>
      <c r="I809" s="118">
        <v>46086</v>
      </c>
      <c r="J809" s="73">
        <v>3</v>
      </c>
      <c r="K809" s="122"/>
      <c r="L809" s="120">
        <v>46224</v>
      </c>
      <c r="M809" s="121">
        <v>164</v>
      </c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>
        <v>808</v>
      </c>
      <c r="B810" s="73" t="s">
        <v>82</v>
      </c>
      <c r="C810" s="73" t="s">
        <v>27</v>
      </c>
      <c r="D810" s="74" t="s">
        <v>1826</v>
      </c>
      <c r="E810" s="79" t="s">
        <v>43</v>
      </c>
      <c r="F810" s="80"/>
      <c r="G810" s="81"/>
      <c r="H810" s="82"/>
      <c r="I810" s="118">
        <v>46087</v>
      </c>
      <c r="J810" s="73">
        <v>3</v>
      </c>
      <c r="K810" s="122"/>
      <c r="L810" s="120">
        <v>46225</v>
      </c>
      <c r="M810" s="121">
        <v>165</v>
      </c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>
        <v>809</v>
      </c>
      <c r="B811" s="73" t="s">
        <v>82</v>
      </c>
      <c r="C811" s="73" t="s">
        <v>27</v>
      </c>
      <c r="D811" s="74" t="s">
        <v>1827</v>
      </c>
      <c r="E811" s="79" t="s">
        <v>1828</v>
      </c>
      <c r="F811" s="80"/>
      <c r="G811" s="81"/>
      <c r="H811" s="82"/>
      <c r="I811" s="118">
        <v>46087</v>
      </c>
      <c r="J811" s="73">
        <v>3</v>
      </c>
      <c r="K811" s="122"/>
      <c r="L811" s="120">
        <v>46226</v>
      </c>
      <c r="M811" s="121">
        <v>166</v>
      </c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>
        <v>810</v>
      </c>
      <c r="B812" s="73" t="s">
        <v>82</v>
      </c>
      <c r="C812" s="73" t="s">
        <v>27</v>
      </c>
      <c r="D812" s="74" t="s">
        <v>1829</v>
      </c>
      <c r="E812" s="79" t="s">
        <v>22</v>
      </c>
      <c r="F812" s="80"/>
      <c r="G812" s="81"/>
      <c r="H812" s="82"/>
      <c r="I812" s="118">
        <v>46087</v>
      </c>
      <c r="J812" s="73">
        <v>3</v>
      </c>
      <c r="K812" s="122"/>
      <c r="L812" s="120">
        <v>46227</v>
      </c>
      <c r="M812" s="121">
        <v>167</v>
      </c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>
        <v>811</v>
      </c>
      <c r="B813" s="73" t="s">
        <v>82</v>
      </c>
      <c r="C813" s="73" t="s">
        <v>13</v>
      </c>
      <c r="D813" s="74" t="s">
        <v>1830</v>
      </c>
      <c r="E813" s="79" t="s">
        <v>47</v>
      </c>
      <c r="F813" s="80"/>
      <c r="G813" s="81"/>
      <c r="H813" s="89" t="s">
        <v>16</v>
      </c>
      <c r="I813" s="118">
        <v>46087</v>
      </c>
      <c r="J813" s="73">
        <v>3</v>
      </c>
      <c r="K813" s="122"/>
      <c r="L813" s="120">
        <v>46228</v>
      </c>
      <c r="M813" s="121">
        <v>168</v>
      </c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>
        <v>812</v>
      </c>
      <c r="B814" s="73" t="s">
        <v>82</v>
      </c>
      <c r="C814" s="73" t="s">
        <v>13</v>
      </c>
      <c r="D814" s="74" t="s">
        <v>1831</v>
      </c>
      <c r="E814" s="79" t="s">
        <v>507</v>
      </c>
      <c r="F814" s="80"/>
      <c r="G814" s="81"/>
      <c r="H814" s="82"/>
      <c r="I814" s="118">
        <v>46087</v>
      </c>
      <c r="J814" s="73">
        <v>3</v>
      </c>
      <c r="K814" s="122"/>
      <c r="L814" s="120">
        <v>46229</v>
      </c>
      <c r="M814" s="121">
        <v>169</v>
      </c>
      <c r="N814" s="73"/>
      <c r="O814" s="73"/>
      <c r="P814" s="73"/>
      <c r="Q814" s="74"/>
      <c r="R814" s="79"/>
      <c r="S814" s="80"/>
      <c r="T814" s="81"/>
      <c r="U814" s="82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>
        <v>813</v>
      </c>
      <c r="B815" s="73" t="s">
        <v>82</v>
      </c>
      <c r="C815" s="73" t="s">
        <v>13</v>
      </c>
      <c r="D815" s="74" t="s">
        <v>1832</v>
      </c>
      <c r="E815" s="79" t="s">
        <v>608</v>
      </c>
      <c r="F815" s="80"/>
      <c r="G815" s="81"/>
      <c r="H815" s="89" t="s">
        <v>16</v>
      </c>
      <c r="I815" s="118">
        <v>46087</v>
      </c>
      <c r="J815" s="73">
        <v>3</v>
      </c>
      <c r="K815" s="122"/>
      <c r="L815" s="120">
        <v>46230</v>
      </c>
      <c r="M815" s="121">
        <v>170</v>
      </c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>
        <v>814</v>
      </c>
      <c r="B816" s="73" t="s">
        <v>82</v>
      </c>
      <c r="C816" s="73" t="s">
        <v>13</v>
      </c>
      <c r="D816" s="74" t="s">
        <v>1833</v>
      </c>
      <c r="E816" s="79" t="s">
        <v>25</v>
      </c>
      <c r="F816" s="80"/>
      <c r="G816" s="81"/>
      <c r="H816" s="89" t="s">
        <v>16</v>
      </c>
      <c r="I816" s="118">
        <v>46087</v>
      </c>
      <c r="J816" s="73">
        <v>3</v>
      </c>
      <c r="K816" s="122"/>
      <c r="L816" s="120">
        <v>46231</v>
      </c>
      <c r="M816" s="121">
        <v>171</v>
      </c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>
        <v>815</v>
      </c>
      <c r="B817" s="73" t="s">
        <v>484</v>
      </c>
      <c r="C817" s="73" t="s">
        <v>228</v>
      </c>
      <c r="D817" s="74" t="s">
        <v>1834</v>
      </c>
      <c r="E817" s="79" t="s">
        <v>1835</v>
      </c>
      <c r="F817" s="80"/>
      <c r="G817" s="81"/>
      <c r="H817" s="89" t="s">
        <v>16</v>
      </c>
      <c r="I817" s="118">
        <v>46087</v>
      </c>
      <c r="J817" s="73">
        <v>3</v>
      </c>
      <c r="K817" s="122"/>
      <c r="L817" s="120">
        <v>46232</v>
      </c>
      <c r="M817" s="121">
        <v>172</v>
      </c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>
        <v>816</v>
      </c>
      <c r="B818" s="73" t="s">
        <v>636</v>
      </c>
      <c r="C818" s="73" t="s">
        <v>228</v>
      </c>
      <c r="D818" s="74" t="s">
        <v>1836</v>
      </c>
      <c r="E818" s="79" t="s">
        <v>1837</v>
      </c>
      <c r="F818" s="80"/>
      <c r="G818" s="81"/>
      <c r="H818" s="89" t="s">
        <v>16</v>
      </c>
      <c r="I818" s="118">
        <v>46087</v>
      </c>
      <c r="J818" s="73">
        <v>3</v>
      </c>
      <c r="K818" s="122"/>
      <c r="L818" s="120">
        <v>46233</v>
      </c>
      <c r="M818" s="121">
        <v>173</v>
      </c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>
        <v>817</v>
      </c>
      <c r="B819" s="73" t="s">
        <v>227</v>
      </c>
      <c r="C819" s="73" t="s">
        <v>228</v>
      </c>
      <c r="D819" s="74" t="s">
        <v>1838</v>
      </c>
      <c r="E819" s="79" t="s">
        <v>230</v>
      </c>
      <c r="F819" s="80"/>
      <c r="G819" s="81"/>
      <c r="H819" s="82"/>
      <c r="I819" s="118">
        <v>46087</v>
      </c>
      <c r="J819" s="73">
        <v>3</v>
      </c>
      <c r="K819" s="122"/>
      <c r="L819" s="120">
        <v>46234</v>
      </c>
      <c r="M819" s="121">
        <v>174</v>
      </c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>
        <v>818</v>
      </c>
      <c r="B820" s="73" t="s">
        <v>227</v>
      </c>
      <c r="C820" s="73" t="s">
        <v>228</v>
      </c>
      <c r="D820" s="74" t="s">
        <v>1839</v>
      </c>
      <c r="E820" s="79" t="s">
        <v>1840</v>
      </c>
      <c r="F820" s="80"/>
      <c r="G820" s="81"/>
      <c r="H820" s="89" t="s">
        <v>16</v>
      </c>
      <c r="I820" s="118">
        <v>46087</v>
      </c>
      <c r="J820" s="73">
        <v>3</v>
      </c>
      <c r="K820" s="122"/>
      <c r="L820" s="120">
        <v>46235</v>
      </c>
      <c r="M820" s="121">
        <v>175</v>
      </c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>
        <v>819</v>
      </c>
      <c r="B821" s="73" t="s">
        <v>82</v>
      </c>
      <c r="C821" s="73" t="s">
        <v>13</v>
      </c>
      <c r="D821" s="74" t="s">
        <v>1841</v>
      </c>
      <c r="E821" s="79" t="s">
        <v>1842</v>
      </c>
      <c r="F821" s="80"/>
      <c r="G821" s="81"/>
      <c r="H821" s="89" t="s">
        <v>16</v>
      </c>
      <c r="I821" s="118">
        <v>46088</v>
      </c>
      <c r="J821" s="73">
        <v>3</v>
      </c>
      <c r="K821" s="122"/>
      <c r="L821" s="120">
        <v>46236</v>
      </c>
      <c r="M821" s="121">
        <v>176</v>
      </c>
      <c r="N821" s="73"/>
      <c r="O821" s="73"/>
      <c r="P821" s="73"/>
      <c r="Q821" s="74"/>
      <c r="R821" s="79"/>
      <c r="S821" s="80"/>
      <c r="T821" s="81"/>
      <c r="U821" s="78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>
        <v>820</v>
      </c>
      <c r="B822" s="73" t="s">
        <v>12</v>
      </c>
      <c r="C822" s="73" t="s">
        <v>27</v>
      </c>
      <c r="D822" s="74" t="s">
        <v>1843</v>
      </c>
      <c r="E822" s="79" t="s">
        <v>22</v>
      </c>
      <c r="F822" s="80"/>
      <c r="G822" s="81"/>
      <c r="H822" s="89" t="s">
        <v>16</v>
      </c>
      <c r="I822" s="118">
        <v>46088</v>
      </c>
      <c r="J822" s="73">
        <v>3</v>
      </c>
      <c r="K822" s="122"/>
      <c r="L822" s="120">
        <v>46237</v>
      </c>
      <c r="M822" s="121">
        <v>177</v>
      </c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>
        <v>821</v>
      </c>
      <c r="B823" s="73" t="s">
        <v>443</v>
      </c>
      <c r="C823" s="73" t="s">
        <v>13</v>
      </c>
      <c r="D823" s="74" t="s">
        <v>1844</v>
      </c>
      <c r="E823" s="79" t="s">
        <v>25</v>
      </c>
      <c r="F823" s="80"/>
      <c r="G823" s="81"/>
      <c r="H823" s="89" t="s">
        <v>16</v>
      </c>
      <c r="I823" s="118">
        <v>46088</v>
      </c>
      <c r="J823" s="73">
        <v>3</v>
      </c>
      <c r="K823" s="122"/>
      <c r="L823" s="120">
        <v>46238</v>
      </c>
      <c r="M823" s="121">
        <v>178</v>
      </c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>
        <v>822</v>
      </c>
      <c r="B824" s="73" t="s">
        <v>448</v>
      </c>
      <c r="C824" s="73" t="s">
        <v>13</v>
      </c>
      <c r="D824" s="74" t="s">
        <v>1845</v>
      </c>
      <c r="E824" s="79" t="s">
        <v>22</v>
      </c>
      <c r="F824" s="80"/>
      <c r="G824" s="81"/>
      <c r="H824" s="89" t="s">
        <v>16</v>
      </c>
      <c r="I824" s="118">
        <v>46088</v>
      </c>
      <c r="J824" s="73">
        <v>3</v>
      </c>
      <c r="K824" s="122"/>
      <c r="L824" s="120">
        <v>46239</v>
      </c>
      <c r="M824" s="121">
        <v>179</v>
      </c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>
        <v>823</v>
      </c>
      <c r="B825" s="73" t="s">
        <v>162</v>
      </c>
      <c r="C825" s="73" t="s">
        <v>158</v>
      </c>
      <c r="D825" s="74" t="s">
        <v>166</v>
      </c>
      <c r="E825" s="79" t="s">
        <v>167</v>
      </c>
      <c r="F825" s="80"/>
      <c r="G825" s="81"/>
      <c r="H825" s="82"/>
      <c r="I825" s="118"/>
      <c r="J825" s="73" t="s">
        <v>473</v>
      </c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>
        <v>824</v>
      </c>
      <c r="B826" s="73" t="s">
        <v>162</v>
      </c>
      <c r="C826" s="73" t="s">
        <v>158</v>
      </c>
      <c r="D826" s="74" t="s">
        <v>965</v>
      </c>
      <c r="E826" s="79" t="s">
        <v>1714</v>
      </c>
      <c r="F826" s="80"/>
      <c r="G826" s="81"/>
      <c r="H826" s="82"/>
      <c r="I826" s="118"/>
      <c r="J826" s="73" t="s">
        <v>473</v>
      </c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>
        <v>825</v>
      </c>
      <c r="B827" s="73" t="s">
        <v>466</v>
      </c>
      <c r="C827" s="73" t="s">
        <v>158</v>
      </c>
      <c r="D827" s="74" t="s">
        <v>467</v>
      </c>
      <c r="E827" s="79" t="s">
        <v>1823</v>
      </c>
      <c r="F827" s="80"/>
      <c r="G827" s="81"/>
      <c r="H827" s="82"/>
      <c r="I827" s="118"/>
      <c r="J827" s="73" t="s">
        <v>473</v>
      </c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>
        <v>826</v>
      </c>
      <c r="B828" s="73" t="s">
        <v>466</v>
      </c>
      <c r="C828" s="73" t="s">
        <v>158</v>
      </c>
      <c r="D828" s="74" t="s">
        <v>467</v>
      </c>
      <c r="E828" s="79" t="s">
        <v>1823</v>
      </c>
      <c r="F828" s="80"/>
      <c r="G828" s="81"/>
      <c r="H828" s="82"/>
      <c r="I828" s="118"/>
      <c r="J828" s="73" t="s">
        <v>473</v>
      </c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>
        <v>827</v>
      </c>
      <c r="B829" s="73" t="s">
        <v>324</v>
      </c>
      <c r="C829" s="73" t="s">
        <v>228</v>
      </c>
      <c r="D829" s="74" t="s">
        <v>1716</v>
      </c>
      <c r="E829" s="79" t="s">
        <v>1846</v>
      </c>
      <c r="F829" s="80"/>
      <c r="G829" s="81"/>
      <c r="H829" s="82"/>
      <c r="I829" s="118">
        <v>46088</v>
      </c>
      <c r="J829" s="73">
        <v>3</v>
      </c>
      <c r="K829" s="122"/>
      <c r="L829" s="120">
        <v>46244</v>
      </c>
      <c r="M829" s="121">
        <v>184</v>
      </c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>
        <v>828</v>
      </c>
      <c r="B830" s="73" t="s">
        <v>731</v>
      </c>
      <c r="C830" s="73" t="s">
        <v>27</v>
      </c>
      <c r="D830" s="74" t="s">
        <v>1847</v>
      </c>
      <c r="E830" s="79" t="s">
        <v>118</v>
      </c>
      <c r="F830" s="80"/>
      <c r="G830" s="81"/>
      <c r="H830" s="89" t="s">
        <v>16</v>
      </c>
      <c r="I830" s="118">
        <v>46089</v>
      </c>
      <c r="J830" s="73">
        <v>3</v>
      </c>
      <c r="K830" s="122"/>
      <c r="L830" s="120">
        <v>46245</v>
      </c>
      <c r="M830" s="121">
        <v>185</v>
      </c>
      <c r="N830" s="73"/>
      <c r="O830" s="73"/>
      <c r="P830" s="73"/>
      <c r="Q830" s="74"/>
      <c r="R830" s="79"/>
      <c r="S830" s="80"/>
      <c r="T830" s="81"/>
      <c r="U830" s="78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>
        <v>829</v>
      </c>
      <c r="B831" s="73" t="s">
        <v>731</v>
      </c>
      <c r="C831" s="73" t="s">
        <v>13</v>
      </c>
      <c r="D831" s="74" t="s">
        <v>1848</v>
      </c>
      <c r="E831" s="79" t="s">
        <v>47</v>
      </c>
      <c r="F831" s="80"/>
      <c r="G831" s="81"/>
      <c r="H831" s="82"/>
      <c r="I831" s="118">
        <v>46089</v>
      </c>
      <c r="J831" s="73">
        <v>3</v>
      </c>
      <c r="K831" s="122"/>
      <c r="L831" s="120">
        <v>46246</v>
      </c>
      <c r="M831" s="121">
        <v>186</v>
      </c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>
        <v>830</v>
      </c>
      <c r="B832" s="73" t="s">
        <v>88</v>
      </c>
      <c r="C832" s="73" t="s">
        <v>27</v>
      </c>
      <c r="D832" s="74" t="s">
        <v>1849</v>
      </c>
      <c r="E832" s="79" t="s">
        <v>118</v>
      </c>
      <c r="F832" s="80"/>
      <c r="G832" s="81"/>
      <c r="H832" s="89" t="s">
        <v>16</v>
      </c>
      <c r="I832" s="118">
        <v>46089</v>
      </c>
      <c r="J832" s="73">
        <v>3</v>
      </c>
      <c r="K832" s="122"/>
      <c r="L832" s="120">
        <v>46247</v>
      </c>
      <c r="M832" s="121">
        <v>187</v>
      </c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>
        <v>831</v>
      </c>
      <c r="B833" s="73" t="s">
        <v>169</v>
      </c>
      <c r="C833" s="73" t="s">
        <v>158</v>
      </c>
      <c r="D833" s="74" t="s">
        <v>1850</v>
      </c>
      <c r="E833" s="79" t="s">
        <v>167</v>
      </c>
      <c r="F833" s="80"/>
      <c r="G833" s="81"/>
      <c r="H833" s="82"/>
      <c r="I833" s="118">
        <v>46089</v>
      </c>
      <c r="J833" s="73">
        <v>3</v>
      </c>
      <c r="K833" s="122"/>
      <c r="L833" s="120">
        <v>46248</v>
      </c>
      <c r="M833" s="121">
        <v>188</v>
      </c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>
        <v>832</v>
      </c>
      <c r="B834" s="73" t="s">
        <v>169</v>
      </c>
      <c r="C834" s="73" t="s">
        <v>158</v>
      </c>
      <c r="D834" s="74" t="s">
        <v>1611</v>
      </c>
      <c r="E834" s="79" t="s">
        <v>221</v>
      </c>
      <c r="F834" s="80"/>
      <c r="G834" s="81"/>
      <c r="H834" s="82"/>
      <c r="I834" s="118">
        <v>46089</v>
      </c>
      <c r="J834" s="73" t="s">
        <v>473</v>
      </c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>
        <v>833</v>
      </c>
      <c r="B835" s="73" t="s">
        <v>181</v>
      </c>
      <c r="C835" s="73" t="s">
        <v>158</v>
      </c>
      <c r="D835" s="74" t="s">
        <v>1851</v>
      </c>
      <c r="E835" s="79" t="s">
        <v>1852</v>
      </c>
      <c r="F835" s="80"/>
      <c r="G835" s="81"/>
      <c r="H835" s="82"/>
      <c r="I835" s="118">
        <v>46089</v>
      </c>
      <c r="J835" s="73">
        <v>3</v>
      </c>
      <c r="K835" s="122"/>
      <c r="L835" s="120">
        <v>46250</v>
      </c>
      <c r="M835" s="121">
        <v>190</v>
      </c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>
        <v>834</v>
      </c>
      <c r="B836" s="73" t="s">
        <v>181</v>
      </c>
      <c r="C836" s="73" t="s">
        <v>158</v>
      </c>
      <c r="D836" s="74" t="s">
        <v>1667</v>
      </c>
      <c r="E836" s="79" t="s">
        <v>1668</v>
      </c>
      <c r="F836" s="80"/>
      <c r="G836" s="81"/>
      <c r="H836" s="82"/>
      <c r="I836" s="118">
        <v>46089</v>
      </c>
      <c r="J836" s="73" t="s">
        <v>473</v>
      </c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>
        <v>835</v>
      </c>
      <c r="B837" s="73" t="s">
        <v>466</v>
      </c>
      <c r="C837" s="73" t="s">
        <v>158</v>
      </c>
      <c r="D837" s="74" t="s">
        <v>1019</v>
      </c>
      <c r="E837" s="106" t="s">
        <v>586</v>
      </c>
      <c r="F837" s="107"/>
      <c r="G837" s="108"/>
      <c r="H837" s="82"/>
      <c r="I837" s="118">
        <v>46089</v>
      </c>
      <c r="J837" s="73" t="s">
        <v>473</v>
      </c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>
        <v>836</v>
      </c>
      <c r="B838" s="73" t="s">
        <v>223</v>
      </c>
      <c r="C838" s="73" t="s">
        <v>158</v>
      </c>
      <c r="D838" s="74" t="s">
        <v>224</v>
      </c>
      <c r="E838" s="79" t="s">
        <v>225</v>
      </c>
      <c r="F838" s="80"/>
      <c r="G838" s="81"/>
      <c r="H838" s="82"/>
      <c r="I838" s="118">
        <v>46089</v>
      </c>
      <c r="J838" s="73" t="s">
        <v>473</v>
      </c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>
        <v>837</v>
      </c>
      <c r="B839" s="73" t="s">
        <v>484</v>
      </c>
      <c r="C839" s="73" t="s">
        <v>228</v>
      </c>
      <c r="D839" s="74" t="s">
        <v>1853</v>
      </c>
      <c r="E839" s="79" t="s">
        <v>1854</v>
      </c>
      <c r="F839" s="80"/>
      <c r="G839" s="81"/>
      <c r="H839" s="89" t="s">
        <v>16</v>
      </c>
      <c r="I839" s="118">
        <v>46089</v>
      </c>
      <c r="J839" s="73">
        <v>3</v>
      </c>
      <c r="K839" s="122"/>
      <c r="L839" s="120">
        <v>46254</v>
      </c>
      <c r="M839" s="121">
        <v>194</v>
      </c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>
        <v>838</v>
      </c>
      <c r="B840" s="73" t="s">
        <v>484</v>
      </c>
      <c r="C840" s="73" t="s">
        <v>228</v>
      </c>
      <c r="D840" s="74" t="s">
        <v>1855</v>
      </c>
      <c r="E840" s="106" t="s">
        <v>1825</v>
      </c>
      <c r="F840" s="107"/>
      <c r="G840" s="108"/>
      <c r="H840" s="89" t="s">
        <v>16</v>
      </c>
      <c r="I840" s="118">
        <v>46089</v>
      </c>
      <c r="J840" s="73">
        <v>3</v>
      </c>
      <c r="K840" s="122"/>
      <c r="L840" s="120">
        <v>46255</v>
      </c>
      <c r="M840" s="121">
        <v>195</v>
      </c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>
        <v>839</v>
      </c>
      <c r="B841" s="73" t="s">
        <v>484</v>
      </c>
      <c r="C841" s="73" t="s">
        <v>228</v>
      </c>
      <c r="D841" s="74" t="s">
        <v>1856</v>
      </c>
      <c r="E841" s="79" t="s">
        <v>1857</v>
      </c>
      <c r="F841" s="80"/>
      <c r="G841" s="81"/>
      <c r="H841" s="89" t="s">
        <v>16</v>
      </c>
      <c r="I841" s="118">
        <v>46089</v>
      </c>
      <c r="J841" s="73">
        <v>3</v>
      </c>
      <c r="K841" s="122"/>
      <c r="L841" s="120">
        <v>46256</v>
      </c>
      <c r="M841" s="121">
        <v>196</v>
      </c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>
        <v>840</v>
      </c>
      <c r="B842" s="73" t="s">
        <v>484</v>
      </c>
      <c r="C842" s="73" t="s">
        <v>228</v>
      </c>
      <c r="D842" s="74" t="s">
        <v>1858</v>
      </c>
      <c r="E842" s="79" t="s">
        <v>1825</v>
      </c>
      <c r="F842" s="80"/>
      <c r="G842" s="81"/>
      <c r="H842" s="89" t="s">
        <v>16</v>
      </c>
      <c r="I842" s="118">
        <v>46089</v>
      </c>
      <c r="J842" s="73">
        <v>3</v>
      </c>
      <c r="K842" s="122"/>
      <c r="L842" s="120">
        <v>46257</v>
      </c>
      <c r="M842" s="121">
        <v>197</v>
      </c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73"/>
      <c r="AP844" s="73"/>
      <c r="AQ844" s="74"/>
      <c r="AR844" s="79"/>
      <c r="AS844" s="80"/>
      <c r="AT844" s="81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89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89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130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130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78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78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89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89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268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130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78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130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78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130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130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89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78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78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89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2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/>
      <c r="B884" s="73"/>
      <c r="C884" s="73"/>
      <c r="D884" s="74"/>
      <c r="E884" s="79"/>
      <c r="F884" s="80"/>
      <c r="G884" s="81"/>
      <c r="H884" s="89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89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spans="1:52">
      <c r="A885" s="73"/>
      <c r="B885" s="73"/>
      <c r="C885" s="73"/>
      <c r="D885" s="74"/>
      <c r="E885" s="79"/>
      <c r="F885" s="80"/>
      <c r="G885" s="81"/>
      <c r="H885" s="78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68" customHeight="1" spans="1:52">
      <c r="A886" s="73"/>
      <c r="B886" s="73"/>
      <c r="C886" s="73"/>
      <c r="D886" s="74"/>
      <c r="E886" s="79"/>
      <c r="F886" s="80"/>
      <c r="G886" s="81"/>
      <c r="H886" s="130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130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130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ht="27" customHeight="1" spans="1:52">
      <c r="A887" s="73"/>
      <c r="B887" s="73"/>
      <c r="C887" s="73"/>
      <c r="D887" s="74"/>
      <c r="E887" s="79"/>
      <c r="F887" s="80"/>
      <c r="G887" s="81"/>
      <c r="H887" s="78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78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78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130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78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89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89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73"/>
      <c r="AP890" s="73"/>
      <c r="AQ890" s="74"/>
      <c r="AR890" s="106"/>
      <c r="AS890" s="107"/>
      <c r="AT890" s="108"/>
      <c r="AU890" s="82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130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130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78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78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78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89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89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130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78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78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78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78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3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130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130"/>
      <c r="AI902" s="118"/>
      <c r="AJ902" s="73"/>
      <c r="AK902" s="119"/>
      <c r="AL902" s="120"/>
      <c r="AM902" s="121"/>
      <c r="AN902" s="152"/>
      <c r="AO902" s="73"/>
      <c r="AP902" s="73"/>
      <c r="AQ902" s="74"/>
      <c r="AR902" s="79"/>
      <c r="AS902" s="80"/>
      <c r="AT902" s="81"/>
      <c r="AU902" s="82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89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89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78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78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78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78"/>
      <c r="AI906" s="118"/>
      <c r="AJ906" s="73"/>
      <c r="AK906" s="119"/>
      <c r="AL906" s="120"/>
      <c r="AM906" s="121"/>
      <c r="AN906" s="152"/>
      <c r="AO906" s="73"/>
      <c r="AP906" s="73"/>
      <c r="AQ906" s="74"/>
      <c r="AR906" s="79"/>
      <c r="AS906" s="80"/>
      <c r="AT906" s="81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130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250"/>
      <c r="V907" s="229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130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89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89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78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78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78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89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78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78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130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130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130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78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106"/>
      <c r="F927" s="107"/>
      <c r="G927" s="108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89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89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78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78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78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78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89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89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78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78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78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89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78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130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78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78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ht="52" customHeight="1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130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89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78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89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89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130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130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130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78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78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78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78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276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130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ht="21" customHeight="1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ht="53" customHeight="1" spans="1:52">
      <c r="A976" s="73"/>
      <c r="B976" s="73"/>
      <c r="C976" s="73"/>
      <c r="D976" s="74"/>
      <c r="E976" s="79"/>
      <c r="F976" s="80"/>
      <c r="G976" s="81"/>
      <c r="H976" s="130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130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130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89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78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89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277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130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130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78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78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130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130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130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89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89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89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78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78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78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78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78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130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130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2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130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130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89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89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130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130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130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130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89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130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78"/>
      <c r="V1012" s="15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130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2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78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78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78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78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89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89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130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130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78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78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89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130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130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130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130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130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89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89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130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130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130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89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89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89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89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ht="50" customHeight="1" spans="1:52">
      <c r="A1048" s="73"/>
      <c r="B1048" s="73"/>
      <c r="C1048" s="73"/>
      <c r="D1048" s="74"/>
      <c r="E1048" s="79"/>
      <c r="F1048" s="80"/>
      <c r="G1048" s="81"/>
      <c r="H1048" s="130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130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147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78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89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2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89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78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130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130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78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78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78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130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130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04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89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256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256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256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256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106"/>
      <c r="F1069" s="107"/>
      <c r="G1069" s="108"/>
      <c r="H1069" s="89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106"/>
      <c r="S1069" s="107"/>
      <c r="T1069" s="108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78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78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78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89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78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89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89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82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130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78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78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78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78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89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2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130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130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130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130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2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89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2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89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78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78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78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74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74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8"/>
      <c r="E1120" s="79"/>
      <c r="F1120" s="80"/>
      <c r="G1120" s="81"/>
      <c r="H1120" s="89"/>
      <c r="I1120" s="118"/>
      <c r="J1120" s="73"/>
      <c r="K1120" s="122"/>
      <c r="L1120" s="120"/>
      <c r="M1120" s="121"/>
      <c r="N1120" s="73"/>
      <c r="O1120" s="73"/>
      <c r="P1120" s="73"/>
      <c r="Q1120" s="278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278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8"/>
      <c r="E1121" s="79"/>
      <c r="F1121" s="80"/>
      <c r="G1121" s="81"/>
      <c r="H1121" s="89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152"/>
      <c r="C1122" s="194"/>
      <c r="D1122" s="190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8"/>
      <c r="E1123" s="79"/>
      <c r="F1123" s="80"/>
      <c r="G1123" s="81"/>
      <c r="H1123" s="130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8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8"/>
      <c r="E1125" s="79"/>
      <c r="F1125" s="80"/>
      <c r="G1125" s="81"/>
      <c r="H1125" s="130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278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278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278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278"/>
      <c r="AE1127" s="79"/>
      <c r="AF1127" s="80"/>
      <c r="AG1127" s="81"/>
      <c r="AH1127" s="82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89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78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78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89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78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78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78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89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130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130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89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89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89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89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89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78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78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78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78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78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256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256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78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89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147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89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130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89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130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147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2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78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78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78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130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78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78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78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78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89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89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78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78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89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78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89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78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89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130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147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89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78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130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130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82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89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78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78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89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130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89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78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2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78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2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2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11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2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130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78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78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78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78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89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82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9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78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89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2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2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89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89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78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78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89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89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89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78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78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2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78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279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279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89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89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78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78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0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0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19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19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47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78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89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89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ht="38" customHeight="1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ht="42" customHeight="1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130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130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89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89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89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78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78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89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78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147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89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78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78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78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89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89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89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89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78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78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89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89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78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78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78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78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78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78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89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78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78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2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89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89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78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78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89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89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130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78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89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78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78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78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78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130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130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78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78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9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130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2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78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106"/>
      <c r="F1460" s="107"/>
      <c r="G1460" s="108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78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2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78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89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89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78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78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78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78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130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2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2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89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89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2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130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89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130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78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2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130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2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89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89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89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89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82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82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ht="30" customHeight="1" spans="1:52">
      <c r="A1553" s="73"/>
      <c r="B1553" s="73"/>
      <c r="C1553" s="73"/>
      <c r="D1553" s="74"/>
      <c r="E1553" s="79"/>
      <c r="F1553" s="80"/>
      <c r="G1553" s="81"/>
      <c r="H1553" s="89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ht="29" customHeight="1" spans="1:52">
      <c r="A1554" s="73"/>
      <c r="B1554" s="73"/>
      <c r="C1554" s="73"/>
      <c r="D1554" s="74"/>
      <c r="E1554" s="79"/>
      <c r="F1554" s="80"/>
      <c r="G1554" s="81"/>
      <c r="H1554" s="130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130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130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89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89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2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2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2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89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78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89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78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78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130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130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83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89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106"/>
      <c r="F1603" s="107"/>
      <c r="G1603" s="108"/>
      <c r="H1603" s="89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106"/>
      <c r="F1604" s="107"/>
      <c r="G1604" s="108"/>
      <c r="H1604" s="89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78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78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130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89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89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130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130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78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78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78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78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81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89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130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130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120"/>
      <c r="Z1669" s="121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120"/>
      <c r="Z1670" s="121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80"/>
      <c r="Z1672" s="183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80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80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89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80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80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80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80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67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80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67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80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83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80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80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67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80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89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67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80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80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83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80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78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78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80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11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11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80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89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80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89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80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67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80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67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80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78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80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80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2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80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80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80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89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80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80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130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80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78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80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80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80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80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80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80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67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80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67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80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78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80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1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80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80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9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80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9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80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80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80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80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80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80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80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78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67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80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67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80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9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80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80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67"/>
      <c r="Z1770" s="79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80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67"/>
      <c r="Z1772" s="79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0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0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0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78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0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0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0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0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0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0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0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0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0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78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0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0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0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0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82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0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82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0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0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0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0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0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0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0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0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0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0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0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0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0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78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0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0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0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0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0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0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82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0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0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0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0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82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0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0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0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82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0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0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0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0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0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0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78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0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0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0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82"/>
      <c r="I1825" s="118"/>
      <c r="J1825" s="73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0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82"/>
      <c r="I1826" s="118"/>
      <c r="J1826" s="73"/>
      <c r="K1826" s="122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0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1"/>
      <c r="H1827" s="213"/>
      <c r="I1827" s="281"/>
      <c r="J1827" s="123"/>
      <c r="K1827" s="28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0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98"/>
      <c r="I1828" s="283"/>
      <c r="J1828" s="284"/>
      <c r="K1828" s="285"/>
      <c r="L1828" s="286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0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0"/>
      <c r="H1829" s="104"/>
      <c r="I1829" s="283"/>
      <c r="J1829" s="284"/>
      <c r="K1829" s="287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0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0"/>
      <c r="H1830" s="104"/>
      <c r="I1830" s="283"/>
      <c r="J1830" s="284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0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283"/>
      <c r="J1831" s="284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0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3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0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3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0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9"/>
      <c r="I1834" s="283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0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3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0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283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0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3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0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3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0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3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0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83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0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3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0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283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0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78"/>
      <c r="I1843" s="283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0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3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0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3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0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3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0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3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0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3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0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82"/>
      <c r="I1849" s="283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0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82"/>
      <c r="I1850" s="283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0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0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0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0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0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0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0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0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0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0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0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0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0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0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0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0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0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0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0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0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0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0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0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0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0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0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0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0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0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0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0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0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0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0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0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0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0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0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0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0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0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0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0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0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0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0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0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0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0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0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0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0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0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0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0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0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0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0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0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0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0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0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0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0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0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0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0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0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0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0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0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0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0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0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0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0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0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0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0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0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0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0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0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0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0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0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0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0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0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0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0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0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0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0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0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0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0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0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0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0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0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0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0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0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0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0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0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0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0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0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0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0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0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0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0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0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0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0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0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0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0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0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0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0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0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0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0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0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0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0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0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0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0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0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0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80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8"/>
      <c r="J1986" s="73"/>
      <c r="K1986" s="122"/>
      <c r="L1986" s="120"/>
      <c r="M1986" s="121"/>
      <c r="N1986" s="73"/>
      <c r="O1986" s="73"/>
      <c r="P1986" s="73"/>
      <c r="Q1986" s="74"/>
      <c r="R1986" s="79"/>
      <c r="S1986" s="80"/>
      <c r="T1986" s="81"/>
      <c r="U1986" s="89"/>
      <c r="V1986" s="118"/>
      <c r="W1986" s="73"/>
      <c r="X1986" s="119"/>
      <c r="Y1986" s="280"/>
      <c r="Z1986" s="183"/>
      <c r="AA1986" s="73"/>
      <c r="AB1986" s="73"/>
      <c r="AC1986" s="73"/>
      <c r="AD1986" s="74"/>
      <c r="AE1986" s="79"/>
      <c r="AF1986" s="80"/>
      <c r="AG1986" s="81"/>
      <c r="AH1986" s="89"/>
      <c r="AI1986" s="118"/>
      <c r="AJ1986" s="73"/>
      <c r="AK1986" s="119"/>
      <c r="AL1986" s="120"/>
      <c r="AM1986" s="121"/>
      <c r="AN1986" s="152"/>
      <c r="AO1986" s="152"/>
      <c r="AP1986" s="152"/>
      <c r="AQ1986" s="105"/>
      <c r="AR1986" s="106"/>
      <c r="AS1986" s="107"/>
      <c r="AT1986" s="108"/>
      <c r="AU1986" s="89"/>
      <c r="AV1986" s="158"/>
      <c r="AW1986" s="152"/>
      <c r="AX1986" s="122"/>
      <c r="AY1986" s="120"/>
      <c r="AZ1986" s="121"/>
    </row>
    <row r="1987" spans="1:52">
      <c r="A1987" s="73"/>
      <c r="B1987" s="73"/>
      <c r="C1987" s="73"/>
      <c r="D1987" s="74"/>
      <c r="E1987" s="79"/>
      <c r="F1987" s="80"/>
      <c r="G1987" s="81"/>
      <c r="H1987" s="78"/>
      <c r="I1987" s="118"/>
      <c r="J1987" s="73"/>
      <c r="K1987" s="122"/>
      <c r="L1987" s="120"/>
      <c r="M1987" s="121"/>
      <c r="N1987" s="73"/>
      <c r="O1987" s="73"/>
      <c r="P1987" s="73"/>
      <c r="Q1987" s="74"/>
      <c r="R1987" s="79"/>
      <c r="S1987" s="80"/>
      <c r="T1987" s="81"/>
      <c r="U1987" s="89"/>
      <c r="V1987" s="118"/>
      <c r="W1987" s="73"/>
      <c r="X1987" s="119"/>
      <c r="Y1987" s="280"/>
      <c r="Z1987" s="183"/>
      <c r="AA1987" s="73"/>
      <c r="AB1987" s="73"/>
      <c r="AC1987" s="73"/>
      <c r="AD1987" s="74"/>
      <c r="AE1987" s="79"/>
      <c r="AF1987" s="80"/>
      <c r="AG1987" s="81"/>
      <c r="AH1987" s="89"/>
      <c r="AI1987" s="118"/>
      <c r="AJ1987" s="73"/>
      <c r="AK1987" s="119"/>
      <c r="AL1987" s="120"/>
      <c r="AM1987" s="121"/>
      <c r="AN1987" s="152"/>
      <c r="AO1987" s="152"/>
      <c r="AP1987" s="152"/>
      <c r="AQ1987" s="105"/>
      <c r="AR1987" s="106"/>
      <c r="AS1987" s="107"/>
      <c r="AT1987" s="108"/>
      <c r="AU1987" s="89"/>
      <c r="AV1987" s="158"/>
      <c r="AW1987" s="152"/>
      <c r="AX1987" s="122"/>
      <c r="AY1987" s="120"/>
      <c r="AZ1987" s="121"/>
    </row>
  </sheetData>
  <autoFilter ref="A2:AZ829">
    <extLst/>
  </autoFilter>
  <mergeCells count="7489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E841:G841"/>
    <mergeCell ref="R841:T841"/>
    <mergeCell ref="AE841:AG841"/>
    <mergeCell ref="AR841:AT841"/>
    <mergeCell ref="E842:G842"/>
    <mergeCell ref="E843:G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R907:T907"/>
    <mergeCell ref="AE907:AG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R1064:T1064"/>
    <mergeCell ref="AE1064:AG1064"/>
    <mergeCell ref="AR1064:AT1064"/>
    <mergeCell ref="E1065:G1065"/>
    <mergeCell ref="R1065:T1065"/>
    <mergeCell ref="AE1065:AG1065"/>
    <mergeCell ref="AR1065:AT1065"/>
    <mergeCell ref="E1066:G1066"/>
    <mergeCell ref="E1067:G1067"/>
    <mergeCell ref="E1068:G1068"/>
    <mergeCell ref="R1068:T1068"/>
    <mergeCell ref="E1069:G1069"/>
    <mergeCell ref="R1069:T1069"/>
    <mergeCell ref="E1070:G1070"/>
    <mergeCell ref="R1070:T1070"/>
    <mergeCell ref="E1071:G1071"/>
    <mergeCell ref="R1071:T1071"/>
    <mergeCell ref="AE1071:AG1071"/>
    <mergeCell ref="E1072:G1072"/>
    <mergeCell ref="E1073:G1073"/>
    <mergeCell ref="E1074:G1074"/>
    <mergeCell ref="E1075:G1075"/>
    <mergeCell ref="R1075:T1075"/>
    <mergeCell ref="E1076:G1076"/>
    <mergeCell ref="E1077:G1077"/>
    <mergeCell ref="E1078:G1078"/>
    <mergeCell ref="R1078:T1078"/>
    <mergeCell ref="E1079:G1079"/>
    <mergeCell ref="R1079:T1079"/>
    <mergeCell ref="E1080:G1080"/>
    <mergeCell ref="R1080:T1080"/>
    <mergeCell ref="E1081:G1081"/>
    <mergeCell ref="E1082:G1082"/>
    <mergeCell ref="R1082:T1082"/>
    <mergeCell ref="E1083:G1083"/>
    <mergeCell ref="R1083:T1083"/>
    <mergeCell ref="E1084:G1084"/>
    <mergeCell ref="E1085:G1085"/>
    <mergeCell ref="R1085:T1085"/>
    <mergeCell ref="E1086:G1086"/>
    <mergeCell ref="R1086:T1086"/>
    <mergeCell ref="E1087:G1087"/>
    <mergeCell ref="R1087:T1087"/>
    <mergeCell ref="AE1087:AG1087"/>
    <mergeCell ref="E1088:G1088"/>
    <mergeCell ref="R1088:T1088"/>
    <mergeCell ref="E1089:G1089"/>
    <mergeCell ref="E1090:G1090"/>
    <mergeCell ref="R1090:T1090"/>
    <mergeCell ref="E1091:G1091"/>
    <mergeCell ref="R1091:T1091"/>
    <mergeCell ref="E1092:G1092"/>
    <mergeCell ref="R1092:T1092"/>
    <mergeCell ref="E1093:G1093"/>
    <mergeCell ref="R1093:T1093"/>
    <mergeCell ref="E1094:G1094"/>
    <mergeCell ref="R1094:T1094"/>
    <mergeCell ref="AE1094:AG1094"/>
    <mergeCell ref="E1095:G1095"/>
    <mergeCell ref="E1096:G1096"/>
    <mergeCell ref="R1096:T1096"/>
    <mergeCell ref="E1097:G1097"/>
    <mergeCell ref="E1098:G1098"/>
    <mergeCell ref="E1099:G1099"/>
    <mergeCell ref="E1100:G1100"/>
    <mergeCell ref="R1100:T1100"/>
    <mergeCell ref="AE1100:AG1100"/>
    <mergeCell ref="AR1100:AT1100"/>
    <mergeCell ref="E1101:G1101"/>
    <mergeCell ref="R1101:T1101"/>
    <mergeCell ref="E1102:G1102"/>
    <mergeCell ref="E1103:G1103"/>
    <mergeCell ref="R1103:T1103"/>
    <mergeCell ref="AE1103:AG1103"/>
    <mergeCell ref="AR1103:AT1103"/>
    <mergeCell ref="E1104:G1104"/>
    <mergeCell ref="R1104:T1104"/>
    <mergeCell ref="AE1104:AG1104"/>
    <mergeCell ref="AR1104:AT1104"/>
    <mergeCell ref="E1105:G1105"/>
    <mergeCell ref="R1105:T1105"/>
    <mergeCell ref="AE1105:AG1105"/>
    <mergeCell ref="AR1105:AT1105"/>
    <mergeCell ref="E1106:G1106"/>
    <mergeCell ref="E1108:G1108"/>
    <mergeCell ref="R1108:T1108"/>
    <mergeCell ref="AE1108:AG1108"/>
    <mergeCell ref="AR1108:AT1108"/>
    <mergeCell ref="E1109:G1109"/>
    <mergeCell ref="E1110:G1110"/>
    <mergeCell ref="E1111:G1111"/>
    <mergeCell ref="E1112:G1112"/>
    <mergeCell ref="E1113:G1113"/>
    <mergeCell ref="E1114:G1114"/>
    <mergeCell ref="R1114:T1114"/>
    <mergeCell ref="E1115:G1115"/>
    <mergeCell ref="R1115:T1115"/>
    <mergeCell ref="E1116:G1116"/>
    <mergeCell ref="E1117:G1117"/>
    <mergeCell ref="R1117:T1117"/>
    <mergeCell ref="E1118:G1118"/>
    <mergeCell ref="E1119:G1119"/>
    <mergeCell ref="E1120:G1120"/>
    <mergeCell ref="R1120:T1120"/>
    <mergeCell ref="AE1120:AG1120"/>
    <mergeCell ref="E1121:G1121"/>
    <mergeCell ref="E1122:G1122"/>
    <mergeCell ref="E1123:G1123"/>
    <mergeCell ref="E1124:G1124"/>
    <mergeCell ref="E1125:G1125"/>
    <mergeCell ref="E1126:G1126"/>
    <mergeCell ref="E1127:G1127"/>
    <mergeCell ref="R1127:T1127"/>
    <mergeCell ref="AE1127:AG1127"/>
    <mergeCell ref="E1128:G1128"/>
    <mergeCell ref="E1129:G1129"/>
    <mergeCell ref="E1130:G1130"/>
    <mergeCell ref="R1130:T1130"/>
    <mergeCell ref="E1131:G1131"/>
    <mergeCell ref="E1132:G1132"/>
    <mergeCell ref="E1133:G1133"/>
    <mergeCell ref="E1134:G1134"/>
    <mergeCell ref="E1135:G1135"/>
    <mergeCell ref="E1136:G1136"/>
    <mergeCell ref="E1137:G1137"/>
    <mergeCell ref="R1137:T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E1146:G1146"/>
    <mergeCell ref="E1147:G1147"/>
    <mergeCell ref="R1147:T1147"/>
    <mergeCell ref="E1148:G1148"/>
    <mergeCell ref="E1149:G1149"/>
    <mergeCell ref="E1150:G1150"/>
    <mergeCell ref="E1151:G1151"/>
    <mergeCell ref="E1152:G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E1156:G1156"/>
    <mergeCell ref="R1156:T1156"/>
    <mergeCell ref="E1157:G1157"/>
    <mergeCell ref="R1157:T1157"/>
    <mergeCell ref="AE1157:AG1157"/>
    <mergeCell ref="AR1157:AT1157"/>
    <mergeCell ref="E1158:G1158"/>
    <mergeCell ref="R1158:T1158"/>
    <mergeCell ref="AE1158:AG1158"/>
    <mergeCell ref="E1159:G1159"/>
    <mergeCell ref="R1159:T1159"/>
    <mergeCell ref="AE1159:AG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E1654:G1654"/>
    <mergeCell ref="E1655:G1655"/>
    <mergeCell ref="E1656:G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</mergeCells>
  <conditionalFormatting sqref="Z43">
    <cfRule type="cellIs" dxfId="0" priority="47" operator="lessThan">
      <formula>30</formula>
    </cfRule>
  </conditionalFormatting>
  <conditionalFormatting sqref="Z44">
    <cfRule type="cellIs" dxfId="0" priority="48" operator="lessThan">
      <formula>30</formula>
    </cfRule>
  </conditionalFormatting>
  <conditionalFormatting sqref="Z588">
    <cfRule type="cellIs" dxfId="0" priority="39" operator="lessThan">
      <formula>30</formula>
    </cfRule>
  </conditionalFormatting>
  <conditionalFormatting sqref="M633">
    <cfRule type="cellIs" dxfId="0" priority="18" operator="lessThan">
      <formula>30</formula>
    </cfRule>
  </conditionalFormatting>
  <conditionalFormatting sqref="M711">
    <cfRule type="cellIs" dxfId="0" priority="16" operator="lessThan">
      <formula>30</formula>
    </cfRule>
  </conditionalFormatting>
  <conditionalFormatting sqref="M712">
    <cfRule type="cellIs" dxfId="0" priority="12" operator="lessThan">
      <formula>30</formula>
    </cfRule>
  </conditionalFormatting>
  <conditionalFormatting sqref="M713">
    <cfRule type="cellIs" dxfId="0" priority="11" operator="lessThan">
      <formula>30</formula>
    </cfRule>
  </conditionalFormatting>
  <conditionalFormatting sqref="M714">
    <cfRule type="cellIs" dxfId="0" priority="14" operator="lessThan">
      <formula>30</formula>
    </cfRule>
  </conditionalFormatting>
  <conditionalFormatting sqref="M715">
    <cfRule type="cellIs" dxfId="0" priority="10" operator="lessThan">
      <formula>30</formula>
    </cfRule>
  </conditionalFormatting>
  <conditionalFormatting sqref="M716">
    <cfRule type="cellIs" dxfId="0" priority="9" operator="lessThan">
      <formula>30</formula>
    </cfRule>
  </conditionalFormatting>
  <conditionalFormatting sqref="M718">
    <cfRule type="cellIs" dxfId="0" priority="8" operator="lessThan">
      <formula>30</formula>
    </cfRule>
  </conditionalFormatting>
  <conditionalFormatting sqref="M722">
    <cfRule type="cellIs" dxfId="0" priority="7" operator="lessThan">
      <formula>30</formula>
    </cfRule>
  </conditionalFormatting>
  <conditionalFormatting sqref="M724">
    <cfRule type="cellIs" dxfId="0" priority="6" operator="lessThan">
      <formula>30</formula>
    </cfRule>
  </conditionalFormatting>
  <conditionalFormatting sqref="M725">
    <cfRule type="cellIs" dxfId="0" priority="5" operator="lessThan">
      <formula>30</formula>
    </cfRule>
  </conditionalFormatting>
  <conditionalFormatting sqref="M1573">
    <cfRule type="cellIs" dxfId="0" priority="38" operator="lessThan">
      <formula>30</formula>
    </cfRule>
  </conditionalFormatting>
  <conditionalFormatting sqref="M687:M697">
    <cfRule type="cellIs" dxfId="0" priority="13" operator="lessThan">
      <formula>30</formula>
    </cfRule>
  </conditionalFormatting>
  <conditionalFormatting sqref="M809:M842">
    <cfRule type="cellIs" dxfId="0" priority="1" operator="lessThan">
      <formula>30</formula>
    </cfRule>
  </conditionalFormatting>
  <conditionalFormatting sqref="M1006:M1016">
    <cfRule type="cellIs" dxfId="0" priority="49" operator="lessThan">
      <formula>30</formula>
    </cfRule>
  </conditionalFormatting>
  <conditionalFormatting sqref="Z3:Z4">
    <cfRule type="cellIs" dxfId="0" priority="21" operator="lessThan">
      <formula>30</formula>
    </cfRule>
  </conditionalFormatting>
  <conditionalFormatting sqref="Z5:Z8">
    <cfRule type="cellIs" dxfId="0" priority="29" operator="lessThan">
      <formula>30</formula>
    </cfRule>
  </conditionalFormatting>
  <conditionalFormatting sqref="Z256:Z257">
    <cfRule type="cellIs" dxfId="0" priority="46" operator="lessThan">
      <formula>30</formula>
    </cfRule>
  </conditionalFormatting>
  <conditionalFormatting sqref="Z1671:Z1987">
    <cfRule type="cellIs" dxfId="0" priority="566" operator="lessThan">
      <formula>30</formula>
    </cfRule>
  </conditionalFormatting>
  <conditionalFormatting sqref="AM3:AM4">
    <cfRule type="cellIs" dxfId="0" priority="20" operator="lessThan">
      <formula>30</formula>
    </cfRule>
  </conditionalFormatting>
  <conditionalFormatting sqref="AM5:AM8">
    <cfRule type="cellIs" dxfId="0" priority="27" operator="lessThan">
      <formula>30</formula>
    </cfRule>
  </conditionalFormatting>
  <conditionalFormatting sqref="AM9:AM1987">
    <cfRule type="cellIs" dxfId="0" priority="44" operator="lessThan">
      <formula>30</formula>
    </cfRule>
  </conditionalFormatting>
  <conditionalFormatting sqref="AZ3:AZ4">
    <cfRule type="cellIs" dxfId="0" priority="19" operator="lessThan">
      <formula>30</formula>
    </cfRule>
  </conditionalFormatting>
  <conditionalFormatting sqref="AZ5:AZ8">
    <cfRule type="cellIs" dxfId="0" priority="25" operator="lessThan">
      <formula>30</formula>
    </cfRule>
  </conditionalFormatting>
  <conditionalFormatting sqref="AZ9:AZ1987">
    <cfRule type="cellIs" dxfId="0" priority="36" operator="lessThan">
      <formula>30</formula>
    </cfRule>
  </conditionalFormatting>
  <conditionalFormatting sqref="M3:M632 M634:M686">
    <cfRule type="cellIs" dxfId="0" priority="23" operator="lessThan">
      <formula>30</formula>
    </cfRule>
  </conditionalFormatting>
  <conditionalFormatting sqref="Z9:Z42 Z45:Z255 Z258:Z587 Z589:Z1670">
    <cfRule type="cellIs" dxfId="0" priority="51" operator="lessThan">
      <formula>30</formula>
    </cfRule>
  </conditionalFormatting>
  <conditionalFormatting sqref="M698:M710 M726:M808 M723 M719:M721 M717">
    <cfRule type="cellIs" dxfId="0" priority="17" operator="lessThan">
      <formula>30</formula>
    </cfRule>
  </conditionalFormatting>
  <conditionalFormatting sqref="M843:M1005 M1574:M1987 M1017:M1572">
    <cfRule type="cellIs" dxfId="0" priority="269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8" max="51" man="1"/>
  </rowBreaks>
  <colBreaks count="2" manualBreakCount="2">
    <brk id="22" max="1946" man="1"/>
    <brk id="25" max="1946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1859</v>
      </c>
      <c r="B1" s="2"/>
      <c r="C1" s="3"/>
      <c r="D1" s="4" t="s">
        <v>1860</v>
      </c>
      <c r="E1" s="5"/>
      <c r="F1" s="6" t="s">
        <v>1861</v>
      </c>
      <c r="G1" s="6"/>
      <c r="H1" s="6"/>
      <c r="I1" s="35"/>
      <c r="J1" s="35"/>
      <c r="K1" s="35"/>
      <c r="L1" s="35"/>
      <c r="M1" s="3"/>
      <c r="N1" s="3"/>
      <c r="O1" s="36" t="s">
        <v>1862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1863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1864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1865</v>
      </c>
      <c r="D4" s="20"/>
      <c r="E4" s="21"/>
      <c r="F4" s="18" t="s">
        <v>1866</v>
      </c>
      <c r="G4" s="19" t="s">
        <v>1867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1868</v>
      </c>
      <c r="Q4" s="18" t="s">
        <v>1869</v>
      </c>
      <c r="R4" s="18" t="s">
        <v>10</v>
      </c>
      <c r="S4" s="18" t="s">
        <v>1870</v>
      </c>
    </row>
    <row r="5" spans="1:19">
      <c r="A5" s="22">
        <v>1</v>
      </c>
      <c r="B5" s="23" t="s">
        <v>27</v>
      </c>
      <c r="C5" s="24" t="s">
        <v>1871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1872</v>
      </c>
      <c r="Q5" s="52" t="s">
        <v>1873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1874</v>
      </c>
      <c r="C6" s="24" t="s">
        <v>1875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1876</v>
      </c>
      <c r="Q6" s="52" t="s">
        <v>1877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1878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1876</v>
      </c>
      <c r="Q7" s="52" t="s">
        <v>1879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1880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1876</v>
      </c>
      <c r="Q8" s="52" t="s">
        <v>1873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1876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1876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1876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1876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1876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2026-03-09T00:40:31Z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