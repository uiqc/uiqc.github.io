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总览表!$A$2:$AZ$1984</definedName>
    <definedName name="_xlnm.Print_Area" localSheetId="0">总览表!$A$1:$AZ$1944</definedName>
  </definedNames>
  <calcPr calcId="144525"/>
</workbook>
</file>

<file path=xl/sharedStrings.xml><?xml version="1.0" encoding="utf-8"?>
<sst xmlns="http://schemas.openxmlformats.org/spreadsheetml/2006/main" count="1080" uniqueCount="411">
  <si>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</si>
  <si>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</si>
  <si>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</si>
  <si>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</si>
  <si>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</si>
  <si>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</si>
  <si>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</si>
  <si>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</si>
  <si>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</si>
  <si>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</si>
  <si>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</si>
  <si>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</si>
  <si>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</si>
  <si>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</si>
  <si>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</si>
  <si>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</si>
  <si>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</si>
  <si>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223020010051A</t>
  </si>
  <si>
    <t>HSL胶壳</t>
  </si>
  <si>
    <t>224642100021A</t>
  </si>
  <si>
    <t>线夹</t>
  </si>
  <si>
    <t>223020060091A</t>
  </si>
  <si>
    <t>蓝色胶壳</t>
  </si>
  <si>
    <t>五金</t>
  </si>
  <si>
    <t>224640100061A</t>
  </si>
  <si>
    <t>铜管</t>
  </si>
  <si>
    <t>223110000011A</t>
  </si>
  <si>
    <t>胶壳</t>
  </si>
  <si>
    <t>221072010201A</t>
  </si>
  <si>
    <t>铜芯</t>
  </si>
  <si>
    <t>新衡焱</t>
  </si>
  <si>
    <t>221072010161A</t>
  </si>
  <si>
    <t>224640100031A</t>
  </si>
  <si>
    <t>221072010151A</t>
  </si>
  <si>
    <t>铜芯+绝缘</t>
  </si>
  <si>
    <t>东一思创</t>
  </si>
  <si>
    <t>223020090281A</t>
  </si>
  <si>
    <t>白色胶壳</t>
  </si>
  <si>
    <t>创益通</t>
  </si>
  <si>
    <t>301150080011A</t>
  </si>
  <si>
    <t>灰色胶壳</t>
  </si>
  <si>
    <t>206011E90011A</t>
  </si>
  <si>
    <t>USB胶芯+端子</t>
  </si>
  <si>
    <t>2230600J0011A</t>
  </si>
  <si>
    <t>线盖</t>
  </si>
  <si>
    <t>意顿</t>
  </si>
  <si>
    <t>3010400D0031A</t>
  </si>
  <si>
    <t>透明件</t>
  </si>
  <si>
    <t>223030000371A</t>
  </si>
  <si>
    <t>胶壳+主体</t>
  </si>
  <si>
    <t>221072010141A</t>
  </si>
  <si>
    <t>221075010011A</t>
  </si>
  <si>
    <t>223030040011A</t>
  </si>
  <si>
    <t>咖喱色胶壳</t>
  </si>
  <si>
    <t>223030090041A</t>
  </si>
  <si>
    <t>223030090031A</t>
  </si>
  <si>
    <t>223030000291A</t>
  </si>
  <si>
    <t>黑色胶壳</t>
  </si>
  <si>
    <t>223030090021A</t>
  </si>
  <si>
    <t>电连</t>
  </si>
  <si>
    <t>223180020020A</t>
  </si>
  <si>
    <t>酒红色胶壳</t>
  </si>
  <si>
    <t>223180090191A</t>
  </si>
  <si>
    <t>正业电子</t>
  </si>
  <si>
    <t>224040100081A</t>
  </si>
  <si>
    <t>屏蔽壳</t>
  </si>
  <si>
    <t>捷瑞普</t>
  </si>
  <si>
    <t>224031220041A</t>
  </si>
  <si>
    <t>下马口铁</t>
  </si>
  <si>
    <t>224031210041A</t>
  </si>
  <si>
    <t>上马口铁</t>
  </si>
  <si>
    <t>天祥瑞</t>
  </si>
  <si>
    <t>224030200011A</t>
  </si>
  <si>
    <t>马口铁</t>
  </si>
  <si>
    <t>万连</t>
  </si>
  <si>
    <t>219201020041A</t>
  </si>
  <si>
    <t>鑫佳泓</t>
  </si>
  <si>
    <t>UA9CSWH00827A</t>
  </si>
  <si>
    <t>天线转接线</t>
  </si>
  <si>
    <t>慧盈</t>
  </si>
  <si>
    <t>221079220041A</t>
  </si>
  <si>
    <t>224540200251A</t>
  </si>
  <si>
    <t>201012200060A</t>
  </si>
  <si>
    <t>221079150051A</t>
  </si>
  <si>
    <t>端子</t>
  </si>
  <si>
    <t>223030060241A</t>
  </si>
  <si>
    <t>221073203011A</t>
  </si>
  <si>
    <t>221072010181A</t>
  </si>
  <si>
    <t>221073030021A</t>
  </si>
  <si>
    <t>224641210011A</t>
  </si>
  <si>
    <t>206022850011A</t>
  </si>
  <si>
    <t>灰色单体母座</t>
  </si>
  <si>
    <t>206022850021A</t>
  </si>
  <si>
    <t>灰色双体母座</t>
  </si>
  <si>
    <t>品源</t>
  </si>
  <si>
    <t>221071100011A</t>
  </si>
  <si>
    <t>公针</t>
  </si>
  <si>
    <t>精益达</t>
  </si>
  <si>
    <t>223030460011A</t>
  </si>
  <si>
    <t>223030090071A</t>
  </si>
  <si>
    <t>223070460011A</t>
  </si>
  <si>
    <t>221072150131A</t>
  </si>
  <si>
    <t>221072120041A</t>
  </si>
  <si>
    <t>223030000171A</t>
  </si>
  <si>
    <t>林全</t>
  </si>
  <si>
    <t>206001050061A</t>
  </si>
  <si>
    <t>转接头</t>
  </si>
  <si>
    <t>艾力升</t>
  </si>
  <si>
    <t>线材</t>
  </si>
  <si>
    <t>101210100011A</t>
  </si>
  <si>
    <t>RTK031</t>
  </si>
  <si>
    <t>新雅</t>
  </si>
  <si>
    <t>101260400171A</t>
  </si>
  <si>
    <t>USB2.0线材</t>
  </si>
  <si>
    <t>101150200011A</t>
  </si>
  <si>
    <t>UL2464</t>
  </si>
  <si>
    <t>东田通利</t>
  </si>
  <si>
    <t>101220780011A</t>
  </si>
  <si>
    <t>104220200011A</t>
  </si>
  <si>
    <t>UL1007</t>
  </si>
  <si>
    <t>104160500011A</t>
  </si>
  <si>
    <t>UL1015 #16</t>
  </si>
  <si>
    <t>104260320011A</t>
  </si>
  <si>
    <t>UL1061#26</t>
  </si>
  <si>
    <t>琦富瑞</t>
  </si>
  <si>
    <t>104121420011A</t>
  </si>
  <si>
    <t>UL3239 #12红色</t>
  </si>
  <si>
    <t>104121400011A</t>
  </si>
  <si>
    <t>UL3239 #12黑色</t>
  </si>
  <si>
    <t>221079200061A</t>
  </si>
  <si>
    <t>223030090191A</t>
  </si>
  <si>
    <t>兴阳</t>
  </si>
  <si>
    <t>301080000031A</t>
  </si>
  <si>
    <t>上盖</t>
  </si>
  <si>
    <t>221079220131A</t>
  </si>
  <si>
    <t>中心针</t>
  </si>
  <si>
    <t>223030070051A</t>
  </si>
  <si>
    <t>223020080221A</t>
  </si>
  <si>
    <t>创联</t>
  </si>
  <si>
    <t>206151060011A</t>
  </si>
  <si>
    <t>连接器</t>
  </si>
  <si>
    <t>219201020101A</t>
  </si>
  <si>
    <t>223030050031A</t>
  </si>
  <si>
    <t>绿色卡扣</t>
  </si>
  <si>
    <t>223020060101A</t>
  </si>
  <si>
    <t>221073100011A</t>
  </si>
  <si>
    <t>224602000021A</t>
  </si>
  <si>
    <t>223020000531A</t>
  </si>
  <si>
    <t>101280400031A</t>
  </si>
  <si>
    <t>UL2725</t>
  </si>
  <si>
    <t>强桦</t>
  </si>
  <si>
    <t>101240400051A</t>
  </si>
  <si>
    <t>UL20276</t>
  </si>
  <si>
    <t>吉达</t>
  </si>
  <si>
    <t>辅料</t>
  </si>
  <si>
    <t>703D7B900021R</t>
  </si>
  <si>
    <t>纸箱</t>
  </si>
  <si>
    <t>705C4D820011A</t>
  </si>
  <si>
    <t>隔板</t>
  </si>
  <si>
    <t>705D6B820011R</t>
  </si>
  <si>
    <t>223030400011A</t>
  </si>
  <si>
    <t>双胞胎黑色胶壳</t>
  </si>
  <si>
    <t>223030070041A</t>
  </si>
  <si>
    <t>紫色卡扣</t>
  </si>
  <si>
    <t>223070400011A</t>
  </si>
  <si>
    <t>2230700E0051A</t>
  </si>
  <si>
    <t>223110000021A</t>
  </si>
  <si>
    <t>223020000541A</t>
  </si>
  <si>
    <t>224042100051A</t>
  </si>
  <si>
    <t>223020050061A</t>
  </si>
  <si>
    <t>胶芯绿色</t>
  </si>
  <si>
    <t>223020070021A</t>
  </si>
  <si>
    <t>402442200081A</t>
  </si>
  <si>
    <t>223020000281A</t>
  </si>
  <si>
    <t>黑色卡扣</t>
  </si>
  <si>
    <t>221071200081A</t>
  </si>
  <si>
    <t>224640100021A</t>
  </si>
  <si>
    <t>219202020011A</t>
  </si>
  <si>
    <t>HSL胶芯</t>
  </si>
  <si>
    <t>223020010011A</t>
  </si>
  <si>
    <t>HSL棕色胶壳</t>
  </si>
  <si>
    <t>221072120021A</t>
  </si>
  <si>
    <t>220202100011A</t>
  </si>
  <si>
    <t>HSL端子</t>
  </si>
  <si>
    <t>221072030061A</t>
  </si>
  <si>
    <t>外导体</t>
  </si>
  <si>
    <t>223030000201A</t>
  </si>
  <si>
    <t>浩宝源</t>
  </si>
  <si>
    <t>215152130021A</t>
  </si>
  <si>
    <t>IDC</t>
  </si>
  <si>
    <t>肯耐特</t>
  </si>
  <si>
    <t>2230200F0031A</t>
  </si>
  <si>
    <t>223030470011A</t>
  </si>
  <si>
    <t>2230304E0011A</t>
  </si>
  <si>
    <t>221079120071A</t>
  </si>
  <si>
    <t>母端子</t>
  </si>
  <si>
    <t>224540200201A</t>
  </si>
  <si>
    <t>224600200011A</t>
  </si>
  <si>
    <t>223030080091A</t>
  </si>
  <si>
    <t>灰色后盖</t>
  </si>
  <si>
    <t>223130030081A</t>
  </si>
  <si>
    <t>橙色防水圈</t>
  </si>
  <si>
    <t>223190070021A</t>
  </si>
  <si>
    <t>紫红色卡扣</t>
  </si>
  <si>
    <t>223130020091A</t>
  </si>
  <si>
    <t>红色密封圈</t>
  </si>
  <si>
    <t>翼连</t>
  </si>
  <si>
    <t>221079030051A</t>
  </si>
  <si>
    <t>224070100011A</t>
  </si>
  <si>
    <t>主体</t>
  </si>
  <si>
    <t>上海云萨</t>
  </si>
  <si>
    <t>101200580011A</t>
  </si>
  <si>
    <t>灰白色线材</t>
  </si>
  <si>
    <t>嘉森</t>
  </si>
  <si>
    <t>501150000021A</t>
  </si>
  <si>
    <t>50P黑色PVC</t>
  </si>
  <si>
    <t>科峰</t>
  </si>
  <si>
    <t>406003030011A</t>
  </si>
  <si>
    <t>磁环</t>
  </si>
  <si>
    <t>长园</t>
  </si>
  <si>
    <t>307347100011A</t>
  </si>
  <si>
    <t>套管</t>
  </si>
  <si>
    <t>307332100011A</t>
  </si>
  <si>
    <t>炜和</t>
  </si>
  <si>
    <t>801919010011A</t>
  </si>
  <si>
    <t>日东胶纸</t>
  </si>
  <si>
    <t>椿森</t>
  </si>
  <si>
    <t>5025000D0011A</t>
  </si>
  <si>
    <t>PP料</t>
  </si>
  <si>
    <t>701A9A2D0011R</t>
  </si>
  <si>
    <t>PE袋</t>
  </si>
  <si>
    <t>力缘</t>
  </si>
  <si>
    <t>224640100181A</t>
  </si>
  <si>
    <t>221072030031A</t>
  </si>
  <si>
    <t>301020000011A</t>
  </si>
  <si>
    <t>2230700E0011A</t>
  </si>
  <si>
    <t>219341050011A</t>
  </si>
  <si>
    <t>224041220031A</t>
  </si>
  <si>
    <t>上铜壳</t>
  </si>
  <si>
    <t>224041210031A</t>
  </si>
  <si>
    <t>下铜壳</t>
  </si>
  <si>
    <t>206012E90011A</t>
  </si>
  <si>
    <t>主体+端子</t>
  </si>
  <si>
    <t>224542100081A</t>
  </si>
  <si>
    <t>2230200D0011A</t>
  </si>
  <si>
    <t>二次锁扣</t>
  </si>
  <si>
    <t>223100040011A</t>
  </si>
  <si>
    <t>宝嘉通</t>
  </si>
  <si>
    <t>223020090071A</t>
  </si>
  <si>
    <t>科宇盛达</t>
  </si>
  <si>
    <t>219221070011A</t>
  </si>
  <si>
    <t>221029010221A</t>
  </si>
  <si>
    <t>221079220021A</t>
  </si>
  <si>
    <t>主体组件</t>
  </si>
  <si>
    <t>221071210021A</t>
  </si>
  <si>
    <t>223020080271A</t>
  </si>
  <si>
    <t>223180090101A</t>
  </si>
  <si>
    <t>223180000151A</t>
  </si>
  <si>
    <t>汉胜智联</t>
  </si>
  <si>
    <t>凯宝</t>
  </si>
  <si>
    <t>101300400021A</t>
  </si>
  <si>
    <t>棕色编网线</t>
  </si>
  <si>
    <t>宝隆</t>
  </si>
  <si>
    <t>719695450011A</t>
  </si>
  <si>
    <t>说明书</t>
  </si>
  <si>
    <t>801308010011A</t>
  </si>
  <si>
    <t>高温胶带</t>
  </si>
  <si>
    <t>801A15010011A</t>
  </si>
  <si>
    <t>导电铜箔</t>
  </si>
  <si>
    <t>801305010011A</t>
  </si>
  <si>
    <t>美盈森</t>
  </si>
  <si>
    <t>704A350G0011A</t>
  </si>
  <si>
    <t>纸盒</t>
  </si>
  <si>
    <t>领创</t>
  </si>
  <si>
    <t>802505000031A</t>
  </si>
  <si>
    <t>胶水</t>
  </si>
  <si>
    <t>上海棱崎</t>
  </si>
  <si>
    <t>223020050031A</t>
  </si>
  <si>
    <t>绿色胶壳</t>
  </si>
  <si>
    <t>224640100071A</t>
  </si>
  <si>
    <t>219181020011A</t>
  </si>
  <si>
    <t>221079150061A</t>
  </si>
  <si>
    <t>224540200141A</t>
  </si>
  <si>
    <t>223150080021A</t>
  </si>
  <si>
    <t>黑色双体胶壳</t>
  </si>
  <si>
    <t>223020000981A</t>
  </si>
  <si>
    <t>220342200011A</t>
  </si>
  <si>
    <t>中扬通</t>
  </si>
  <si>
    <t>219222060011A</t>
  </si>
  <si>
    <t>信翰</t>
  </si>
  <si>
    <t>221079220031A</t>
  </si>
  <si>
    <t>224540200241A</t>
  </si>
  <si>
    <t>启泰</t>
  </si>
  <si>
    <t>306000000101A</t>
  </si>
  <si>
    <t>206161060061A</t>
  </si>
  <si>
    <t>TYPE-C</t>
  </si>
  <si>
    <t>206161060051A</t>
  </si>
  <si>
    <t>意丰</t>
  </si>
  <si>
    <t>401000000011H</t>
  </si>
  <si>
    <t>101210100081A</t>
  </si>
  <si>
    <t>RTK-044</t>
  </si>
  <si>
    <t>长沼商贸</t>
  </si>
  <si>
    <t>101250100051A</t>
  </si>
  <si>
    <t>同轴线</t>
  </si>
  <si>
    <t>中钜</t>
  </si>
  <si>
    <t>101212000011A</t>
  </si>
  <si>
    <t>USB线</t>
  </si>
  <si>
    <t>101260100121A</t>
  </si>
  <si>
    <t>RG174</t>
  </si>
  <si>
    <t>每批</t>
  </si>
  <si>
    <t>骏鼎达</t>
  </si>
  <si>
    <t>801S05020021A</t>
  </si>
  <si>
    <t>编织网</t>
  </si>
  <si>
    <t>801S05020011A</t>
  </si>
  <si>
    <t>正得电子</t>
  </si>
  <si>
    <t>310070200081A</t>
  </si>
  <si>
    <t>波纹管</t>
  </si>
  <si>
    <t>沃尔</t>
  </si>
  <si>
    <t>307145100011A</t>
  </si>
  <si>
    <t>307110100011A</t>
  </si>
  <si>
    <t>道诚</t>
  </si>
  <si>
    <t>801M45020061A</t>
  </si>
  <si>
    <t>海绵</t>
  </si>
  <si>
    <t>801M45020071A</t>
  </si>
  <si>
    <t>永烨</t>
  </si>
  <si>
    <t>801920010011A</t>
  </si>
  <si>
    <t>美纹胶纸</t>
  </si>
  <si>
    <t>221073030031A</t>
  </si>
  <si>
    <t>223030400061A</t>
  </si>
  <si>
    <t>223050000011A</t>
  </si>
  <si>
    <t>223080000051A</t>
  </si>
  <si>
    <t>后盖</t>
  </si>
  <si>
    <t>224041210021A</t>
  </si>
  <si>
    <t>224041220021A</t>
  </si>
  <si>
    <t>223030090061A</t>
  </si>
  <si>
    <t>母头胶壳</t>
  </si>
  <si>
    <t>220152030011A</t>
  </si>
  <si>
    <t>223020000921A</t>
  </si>
  <si>
    <t>223020060271A</t>
  </si>
  <si>
    <t>双胞胎蓝色胶壳</t>
  </si>
  <si>
    <t>烨永泰</t>
  </si>
  <si>
    <t>206001950031A</t>
  </si>
  <si>
    <t>USB短体</t>
  </si>
  <si>
    <t>215152130011A</t>
  </si>
  <si>
    <t>UL015# 16黑色</t>
  </si>
  <si>
    <t>越洋</t>
  </si>
  <si>
    <t>102180890011A</t>
  </si>
  <si>
    <t>扁平线</t>
  </si>
  <si>
    <t>程茂电子</t>
  </si>
  <si>
    <t>3061000C0011A</t>
  </si>
  <si>
    <t>自然色卡扣</t>
  </si>
  <si>
    <t>306080080021A</t>
  </si>
  <si>
    <t>深灰色束线带</t>
  </si>
  <si>
    <t>佳湘</t>
  </si>
  <si>
    <t>717854040011R</t>
  </si>
  <si>
    <t>标签</t>
  </si>
  <si>
    <t>鸿正</t>
  </si>
  <si>
    <t xml:space="preserve">710E0C500011R </t>
  </si>
  <si>
    <t>珍珠棉</t>
  </si>
  <si>
    <t>701F0C7D0011R</t>
  </si>
  <si>
    <t>307106100011A</t>
  </si>
  <si>
    <t>223020090061A</t>
  </si>
  <si>
    <t>221072100161A</t>
  </si>
  <si>
    <t>公端子</t>
  </si>
  <si>
    <t>220207030011A</t>
  </si>
  <si>
    <t>224042100061A</t>
  </si>
  <si>
    <t>HSL铜壳</t>
  </si>
  <si>
    <t>219151050011A</t>
  </si>
  <si>
    <t>219131050031A</t>
  </si>
  <si>
    <t>22404Y210021A</t>
  </si>
  <si>
    <t>224000100031A</t>
  </si>
  <si>
    <t>223020090011A</t>
  </si>
  <si>
    <t>223020000161A</t>
  </si>
  <si>
    <t>胶芯</t>
  </si>
  <si>
    <t>221072150171A</t>
  </si>
  <si>
    <t>223020060151A</t>
  </si>
  <si>
    <t>221072140041A</t>
  </si>
  <si>
    <t>101260400011A</t>
  </si>
  <si>
    <t>LVDS线</t>
  </si>
  <si>
    <t>101250100021A</t>
  </si>
  <si>
    <t>101200400021A</t>
  </si>
  <si>
    <t>亿格</t>
  </si>
  <si>
    <t>306080000301A</t>
  </si>
  <si>
    <t>223080000221A</t>
  </si>
  <si>
    <t>飞机扣</t>
  </si>
  <si>
    <t>307130100011A</t>
  </si>
  <si>
    <t>307135100011A</t>
  </si>
  <si>
    <t>703D7B900061R</t>
  </si>
  <si>
    <t>701D0C5D0011R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</si>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</sst>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176" formatCode="yyyy/m/d;@"/>
    <numFmt numFmtId="177" formatCode="0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0"/>
      <color indexed="12"/>
      <name val="Times New Roman"/>
      <charset val="134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62" fillId="21" borderId="28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4" fillId="17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6" fillId="25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9" fillId="8" borderId="24" applyNumberFormat="0" applyFont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8" fillId="0" borderId="23" applyNumberFormat="0" applyFill="0" applyAlignment="0" applyProtection="0">
      <alignment vertical="center"/>
    </xf>
    <xf numFmtId="0" fontId="55" fillId="0" borderId="23" applyNumberFormat="0" applyFill="0" applyAlignment="0" applyProtection="0">
      <alignment vertical="center"/>
    </xf>
    <xf numFmtId="0" fontId="56" fillId="31" borderId="0" applyNumberFormat="0" applyBorder="0" applyAlignment="0" applyProtection="0">
      <alignment vertical="center"/>
    </xf>
    <xf numFmtId="0" fontId="60" fillId="0" borderId="27" applyNumberFormat="0" applyFill="0" applyAlignment="0" applyProtection="0">
      <alignment vertical="center"/>
    </xf>
    <xf numFmtId="0" fontId="56" fillId="34" borderId="0" applyNumberFormat="0" applyBorder="0" applyAlignment="0" applyProtection="0">
      <alignment vertical="center"/>
    </xf>
    <xf numFmtId="0" fontId="59" fillId="16" borderId="26" applyNumberFormat="0" applyAlignment="0" applyProtection="0">
      <alignment vertical="center"/>
    </xf>
    <xf numFmtId="0" fontId="68" fillId="16" borderId="28" applyNumberFormat="0" applyAlignment="0" applyProtection="0">
      <alignment vertical="center"/>
    </xf>
    <xf numFmtId="0" fontId="63" fillId="24" borderId="29" applyNumberFormat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6" fillId="28" borderId="0" applyNumberFormat="0" applyBorder="0" applyAlignment="0" applyProtection="0">
      <alignment vertical="center"/>
    </xf>
    <xf numFmtId="0" fontId="53" fillId="0" borderId="25" applyNumberFormat="0" applyFill="0" applyAlignment="0" applyProtection="0">
      <alignment vertical="center"/>
    </xf>
    <xf numFmtId="0" fontId="67" fillId="0" borderId="30" applyNumberFormat="0" applyFill="0" applyAlignment="0" applyProtection="0">
      <alignment vertical="center"/>
    </xf>
    <xf numFmtId="0" fontId="58" fillId="15" borderId="0" applyNumberFormat="0" applyBorder="0" applyAlignment="0" applyProtection="0">
      <alignment vertical="center"/>
    </xf>
    <xf numFmtId="0" fontId="66" fillId="30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37" borderId="0" applyNumberFormat="0" applyBorder="0" applyAlignment="0" applyProtection="0">
      <alignment vertical="center"/>
    </xf>
    <xf numFmtId="0" fontId="54" fillId="19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6" fillId="32" borderId="0" applyNumberFormat="0" applyBorder="0" applyAlignment="0" applyProtection="0">
      <alignment vertical="center"/>
    </xf>
    <xf numFmtId="0" fontId="54" fillId="18" borderId="0" applyNumberFormat="0" applyBorder="0" applyAlignment="0" applyProtection="0">
      <alignment vertical="center"/>
    </xf>
    <xf numFmtId="0" fontId="56" fillId="29" borderId="0" applyNumberFormat="0" applyBorder="0" applyAlignment="0" applyProtection="0">
      <alignment vertical="center"/>
    </xf>
    <xf numFmtId="0" fontId="56" fillId="36" borderId="0" applyNumberFormat="0" applyBorder="0" applyAlignment="0" applyProtection="0">
      <alignment vertical="center"/>
    </xf>
    <xf numFmtId="0" fontId="54" fillId="22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61" fillId="0" borderId="0"/>
  </cellStyleXfs>
  <cellXfs count="287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7" fillId="5" borderId="1" xfId="49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4"/>
  <sheetViews>
    <sheetView tabSelected="1" view="pageBreakPreview" zoomScaleNormal="100" zoomScaleSheetLayoutView="100" workbookViewId="0">
      <pane ySplit="2" topLeftCell="A204" activePane="bottomLeft" state="frozen"/>
      <selection/>
      <selection pane="bottomLeft" activeCell="K222" sqref="K222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/>
      <c r="L3" s="120">
        <f t="shared" ref="L3:L12" si="0">EDATE(I3,J3)</f>
        <v>46115</v>
      </c>
      <c r="M3" s="121">
        <f ca="1" t="shared" ref="M3:M12" si="1">L3-TODAY()</f>
        <v>80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-46035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-46035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-46035</v>
      </c>
    </row>
    <row r="4" spans="1:52">
      <c r="A4" s="73">
        <v>2</v>
      </c>
      <c r="B4" s="73" t="s">
        <v>12</v>
      </c>
      <c r="C4" s="73" t="s">
        <v>13</v>
      </c>
      <c r="D4" s="74" t="s">
        <v>17</v>
      </c>
      <c r="E4" s="75" t="s">
        <v>18</v>
      </c>
      <c r="F4" s="76"/>
      <c r="G4" s="77"/>
      <c r="H4" s="78" t="s">
        <v>16</v>
      </c>
      <c r="I4" s="118">
        <v>46025</v>
      </c>
      <c r="J4" s="73">
        <v>3</v>
      </c>
      <c r="K4" s="119"/>
      <c r="L4" s="120">
        <f t="shared" si="0"/>
        <v>46115</v>
      </c>
      <c r="M4" s="121">
        <f ca="1" t="shared" si="1"/>
        <v>80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-46035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-46035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-46035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19</v>
      </c>
      <c r="E5" s="79" t="s">
        <v>20</v>
      </c>
      <c r="F5" s="80"/>
      <c r="G5" s="81"/>
      <c r="H5" s="78" t="s">
        <v>16</v>
      </c>
      <c r="I5" s="118">
        <v>46025</v>
      </c>
      <c r="J5" s="73">
        <v>3</v>
      </c>
      <c r="K5" s="119"/>
      <c r="L5" s="120">
        <f t="shared" si="0"/>
        <v>46115</v>
      </c>
      <c r="M5" s="121">
        <f ca="1" t="shared" si="1"/>
        <v>80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21</v>
      </c>
      <c r="E6" s="79" t="s">
        <v>22</v>
      </c>
      <c r="F6" s="80"/>
      <c r="G6" s="81"/>
      <c r="H6" s="82"/>
      <c r="I6" s="118">
        <v>46025</v>
      </c>
      <c r="J6" s="73">
        <v>3</v>
      </c>
      <c r="K6" s="119"/>
      <c r="L6" s="120">
        <f t="shared" si="0"/>
        <v>46115</v>
      </c>
      <c r="M6" s="121">
        <f ca="1" t="shared" si="1"/>
        <v>80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23</v>
      </c>
      <c r="D7" s="74" t="s">
        <v>24</v>
      </c>
      <c r="E7" s="79" t="s">
        <v>25</v>
      </c>
      <c r="F7" s="80"/>
      <c r="G7" s="81"/>
      <c r="H7" s="83" t="s">
        <v>16</v>
      </c>
      <c r="I7" s="118">
        <v>46025</v>
      </c>
      <c r="J7" s="73">
        <v>3</v>
      </c>
      <c r="K7" s="119"/>
      <c r="L7" s="120">
        <f t="shared" si="0"/>
        <v>46115</v>
      </c>
      <c r="M7" s="121">
        <f ca="1" t="shared" si="1"/>
        <v>80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26</v>
      </c>
      <c r="E8" s="79" t="s">
        <v>27</v>
      </c>
      <c r="F8" s="80"/>
      <c r="G8" s="81"/>
      <c r="H8" s="83" t="s">
        <v>16</v>
      </c>
      <c r="I8" s="118">
        <v>46025</v>
      </c>
      <c r="J8" s="73">
        <v>3</v>
      </c>
      <c r="K8" s="119"/>
      <c r="L8" s="120">
        <f t="shared" si="0"/>
        <v>46115</v>
      </c>
      <c r="M8" s="121">
        <f ca="1" t="shared" si="1"/>
        <v>80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23</v>
      </c>
      <c r="D9" s="74" t="s">
        <v>28</v>
      </c>
      <c r="E9" s="79" t="s">
        <v>29</v>
      </c>
      <c r="F9" s="80"/>
      <c r="G9" s="81"/>
      <c r="H9" s="83" t="s">
        <v>16</v>
      </c>
      <c r="I9" s="118">
        <v>46025</v>
      </c>
      <c r="J9" s="73">
        <v>3</v>
      </c>
      <c r="K9" s="122"/>
      <c r="L9" s="120">
        <f t="shared" si="0"/>
        <v>46115</v>
      </c>
      <c r="M9" s="121">
        <f ca="1" t="shared" si="1"/>
        <v>80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30</v>
      </c>
      <c r="C10" s="73" t="s">
        <v>23</v>
      </c>
      <c r="D10" s="84" t="s">
        <v>31</v>
      </c>
      <c r="E10" s="79" t="s">
        <v>20</v>
      </c>
      <c r="F10" s="80"/>
      <c r="G10" s="81"/>
      <c r="H10" s="83" t="s">
        <v>16</v>
      </c>
      <c r="I10" s="118">
        <v>46025</v>
      </c>
      <c r="J10" s="73">
        <v>3</v>
      </c>
      <c r="K10" s="122"/>
      <c r="L10" s="120">
        <f t="shared" si="0"/>
        <v>46115</v>
      </c>
      <c r="M10" s="121">
        <f ca="1" t="shared" si="1"/>
        <v>80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3"/>
      <c r="AY10" s="120"/>
      <c r="AZ10" s="121"/>
    </row>
    <row r="11" spans="1:52">
      <c r="A11" s="73">
        <v>9</v>
      </c>
      <c r="B11" s="73" t="s">
        <v>30</v>
      </c>
      <c r="C11" s="73" t="s">
        <v>23</v>
      </c>
      <c r="D11" s="85" t="s">
        <v>32</v>
      </c>
      <c r="E11" s="79" t="s">
        <v>20</v>
      </c>
      <c r="F11" s="80"/>
      <c r="G11" s="81"/>
      <c r="H11" s="83" t="s">
        <v>16</v>
      </c>
      <c r="I11" s="118">
        <v>46025</v>
      </c>
      <c r="J11" s="73">
        <v>3</v>
      </c>
      <c r="K11" s="122"/>
      <c r="L11" s="120">
        <f t="shared" si="0"/>
        <v>46115</v>
      </c>
      <c r="M11" s="121">
        <f ca="1" t="shared" si="1"/>
        <v>80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3"/>
      <c r="AY11" s="120"/>
      <c r="AZ11" s="121"/>
    </row>
    <row r="12" spans="1:52">
      <c r="A12" s="73">
        <v>10</v>
      </c>
      <c r="B12" s="73" t="s">
        <v>30</v>
      </c>
      <c r="C12" s="73" t="s">
        <v>23</v>
      </c>
      <c r="D12" s="84" t="s">
        <v>33</v>
      </c>
      <c r="E12" s="29" t="s">
        <v>34</v>
      </c>
      <c r="F12" s="86"/>
      <c r="G12" s="87"/>
      <c r="H12" s="83" t="s">
        <v>16</v>
      </c>
      <c r="I12" s="118">
        <v>46025</v>
      </c>
      <c r="J12" s="73">
        <v>3</v>
      </c>
      <c r="K12" s="122"/>
      <c r="L12" s="120">
        <f t="shared" si="0"/>
        <v>46115</v>
      </c>
      <c r="M12" s="121">
        <f ca="1" t="shared" si="1"/>
        <v>80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3"/>
      <c r="AY12" s="120"/>
      <c r="AZ12" s="121"/>
    </row>
    <row r="13" spans="1:52">
      <c r="A13" s="73">
        <v>11</v>
      </c>
      <c r="B13" s="73" t="s">
        <v>35</v>
      </c>
      <c r="C13" s="88" t="s">
        <v>13</v>
      </c>
      <c r="D13" s="84" t="s">
        <v>36</v>
      </c>
      <c r="E13" s="29" t="s">
        <v>37</v>
      </c>
      <c r="F13" s="86"/>
      <c r="G13" s="87"/>
      <c r="H13" s="83" t="s">
        <v>16</v>
      </c>
      <c r="I13" s="118">
        <v>46026</v>
      </c>
      <c r="J13" s="73">
        <v>3</v>
      </c>
      <c r="K13" s="122"/>
      <c r="L13" s="120">
        <f t="shared" ref="L13:L37" si="2">EDATE(I13,J13)</f>
        <v>46116</v>
      </c>
      <c r="M13" s="121">
        <f ca="1" t="shared" ref="M13:M37" si="3">L13-TODAY()</f>
        <v>81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3"/>
      <c r="AY13" s="120"/>
      <c r="AZ13" s="121"/>
    </row>
    <row r="14" spans="1:52">
      <c r="A14" s="73">
        <v>12</v>
      </c>
      <c r="B14" s="73" t="s">
        <v>38</v>
      </c>
      <c r="C14" s="88" t="s">
        <v>13</v>
      </c>
      <c r="D14" s="84" t="s">
        <v>39</v>
      </c>
      <c r="E14" s="29" t="s">
        <v>40</v>
      </c>
      <c r="F14" s="86"/>
      <c r="G14" s="87"/>
      <c r="H14" s="82"/>
      <c r="I14" s="118">
        <v>46026</v>
      </c>
      <c r="J14" s="73">
        <v>3</v>
      </c>
      <c r="K14" s="122"/>
      <c r="L14" s="120">
        <f t="shared" si="2"/>
        <v>46116</v>
      </c>
      <c r="M14" s="121">
        <f ca="1" t="shared" si="3"/>
        <v>81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3"/>
      <c r="AY14" s="120"/>
      <c r="AZ14" s="121"/>
    </row>
    <row r="15" ht="18" customHeight="1" spans="1:52">
      <c r="A15" s="73">
        <v>13</v>
      </c>
      <c r="B15" s="73" t="s">
        <v>38</v>
      </c>
      <c r="C15" s="88" t="s">
        <v>23</v>
      </c>
      <c r="D15" s="84" t="s">
        <v>41</v>
      </c>
      <c r="E15" s="29" t="s">
        <v>42</v>
      </c>
      <c r="F15" s="86"/>
      <c r="G15" s="87"/>
      <c r="H15" s="82"/>
      <c r="I15" s="118">
        <v>46026</v>
      </c>
      <c r="J15" s="73">
        <v>3</v>
      </c>
      <c r="K15" s="123"/>
      <c r="L15" s="120">
        <f t="shared" si="2"/>
        <v>46116</v>
      </c>
      <c r="M15" s="121">
        <f ca="1" t="shared" si="3"/>
        <v>81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3"/>
      <c r="AY15" s="120"/>
      <c r="AZ15" s="121"/>
    </row>
    <row r="16" ht="18" customHeight="1" spans="1:52">
      <c r="A16" s="73">
        <v>14</v>
      </c>
      <c r="B16" s="73" t="s">
        <v>38</v>
      </c>
      <c r="C16" s="88" t="s">
        <v>13</v>
      </c>
      <c r="D16" s="84" t="s">
        <v>43</v>
      </c>
      <c r="E16" s="29" t="s">
        <v>44</v>
      </c>
      <c r="F16" s="86"/>
      <c r="G16" s="87"/>
      <c r="H16" s="82"/>
      <c r="I16" s="118">
        <v>46026</v>
      </c>
      <c r="J16" s="73">
        <v>3</v>
      </c>
      <c r="K16" s="123"/>
      <c r="L16" s="120">
        <f t="shared" si="2"/>
        <v>46116</v>
      </c>
      <c r="M16" s="121">
        <f ca="1" t="shared" si="3"/>
        <v>81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3"/>
      <c r="AY16" s="120"/>
      <c r="AZ16" s="121"/>
    </row>
    <row r="17" ht="18" customHeight="1" spans="1:52">
      <c r="A17" s="73">
        <v>15</v>
      </c>
      <c r="B17" s="73" t="s">
        <v>45</v>
      </c>
      <c r="C17" s="88" t="s">
        <v>13</v>
      </c>
      <c r="D17" s="84" t="s">
        <v>46</v>
      </c>
      <c r="E17" s="29" t="s">
        <v>47</v>
      </c>
      <c r="F17" s="86"/>
      <c r="G17" s="87"/>
      <c r="H17" s="82"/>
      <c r="I17" s="118">
        <v>46026</v>
      </c>
      <c r="J17" s="73">
        <v>3</v>
      </c>
      <c r="K17" s="123"/>
      <c r="L17" s="120">
        <f t="shared" si="2"/>
        <v>46116</v>
      </c>
      <c r="M17" s="121">
        <f ca="1" t="shared" si="3"/>
        <v>81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3"/>
      <c r="AY17" s="120"/>
      <c r="AZ17" s="121"/>
    </row>
    <row r="18" ht="18" customHeight="1" spans="1:52">
      <c r="A18" s="73">
        <v>16</v>
      </c>
      <c r="B18" s="73" t="s">
        <v>30</v>
      </c>
      <c r="C18" s="88" t="s">
        <v>23</v>
      </c>
      <c r="D18" s="84" t="s">
        <v>48</v>
      </c>
      <c r="E18" s="29" t="s">
        <v>49</v>
      </c>
      <c r="F18" s="86"/>
      <c r="G18" s="87"/>
      <c r="H18" s="89" t="s">
        <v>16</v>
      </c>
      <c r="I18" s="118">
        <v>46026</v>
      </c>
      <c r="J18" s="73">
        <v>3</v>
      </c>
      <c r="K18" s="123"/>
      <c r="L18" s="120">
        <f t="shared" si="2"/>
        <v>46116</v>
      </c>
      <c r="M18" s="121">
        <f ca="1" t="shared" si="3"/>
        <v>81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3"/>
      <c r="AY18" s="120"/>
      <c r="AZ18" s="121"/>
    </row>
    <row r="19" ht="18" customHeight="1" spans="1:52">
      <c r="A19" s="73">
        <v>17</v>
      </c>
      <c r="B19" s="73" t="s">
        <v>30</v>
      </c>
      <c r="C19" s="88" t="s">
        <v>23</v>
      </c>
      <c r="D19" s="84" t="s">
        <v>50</v>
      </c>
      <c r="E19" s="29" t="s">
        <v>34</v>
      </c>
      <c r="F19" s="86"/>
      <c r="G19" s="87"/>
      <c r="H19" s="89" t="s">
        <v>16</v>
      </c>
      <c r="I19" s="118">
        <v>46026</v>
      </c>
      <c r="J19" s="73">
        <v>3</v>
      </c>
      <c r="K19" s="123"/>
      <c r="L19" s="120">
        <f t="shared" si="2"/>
        <v>46116</v>
      </c>
      <c r="M19" s="121">
        <f ca="1" t="shared" si="3"/>
        <v>81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3"/>
      <c r="AY19" s="120"/>
      <c r="AZ19" s="121"/>
    </row>
    <row r="20" ht="19" customHeight="1" spans="1:52">
      <c r="A20" s="73">
        <v>18</v>
      </c>
      <c r="B20" s="73" t="s">
        <v>30</v>
      </c>
      <c r="C20" s="88" t="s">
        <v>23</v>
      </c>
      <c r="D20" s="84" t="s">
        <v>51</v>
      </c>
      <c r="E20" s="29" t="s">
        <v>34</v>
      </c>
      <c r="F20" s="86"/>
      <c r="G20" s="87"/>
      <c r="H20" s="89" t="s">
        <v>16</v>
      </c>
      <c r="I20" s="118">
        <v>46026</v>
      </c>
      <c r="J20" s="73">
        <v>3</v>
      </c>
      <c r="K20" s="123"/>
      <c r="L20" s="120">
        <f t="shared" si="2"/>
        <v>46116</v>
      </c>
      <c r="M20" s="121">
        <f ca="1" t="shared" si="3"/>
        <v>81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3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3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3"/>
      <c r="AY20" s="120"/>
      <c r="AZ20" s="121"/>
    </row>
    <row r="21" spans="1:52">
      <c r="A21" s="73">
        <v>19</v>
      </c>
      <c r="B21" s="73" t="s">
        <v>30</v>
      </c>
      <c r="C21" s="88" t="s">
        <v>13</v>
      </c>
      <c r="D21" s="90" t="s">
        <v>52</v>
      </c>
      <c r="E21" s="91" t="s">
        <v>53</v>
      </c>
      <c r="F21" s="92"/>
      <c r="G21" s="93"/>
      <c r="H21" s="89" t="s">
        <v>16</v>
      </c>
      <c r="I21" s="118">
        <v>46026</v>
      </c>
      <c r="J21" s="73">
        <v>3</v>
      </c>
      <c r="K21" s="123"/>
      <c r="L21" s="120">
        <f t="shared" si="2"/>
        <v>46116</v>
      </c>
      <c r="M21" s="121">
        <f ca="1" t="shared" si="3"/>
        <v>81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3"/>
      <c r="AY21" s="120"/>
      <c r="AZ21" s="121"/>
    </row>
    <row r="22" ht="21" customHeight="1" spans="1:52">
      <c r="A22" s="73">
        <v>20</v>
      </c>
      <c r="B22" s="73" t="s">
        <v>30</v>
      </c>
      <c r="C22" s="88" t="s">
        <v>13</v>
      </c>
      <c r="D22" s="94" t="s">
        <v>54</v>
      </c>
      <c r="E22" s="80" t="s">
        <v>37</v>
      </c>
      <c r="F22" s="80"/>
      <c r="G22" s="81"/>
      <c r="H22" s="89" t="s">
        <v>16</v>
      </c>
      <c r="I22" s="118">
        <v>46026</v>
      </c>
      <c r="J22" s="73">
        <v>3</v>
      </c>
      <c r="K22" s="123"/>
      <c r="L22" s="120">
        <f t="shared" si="2"/>
        <v>46116</v>
      </c>
      <c r="M22" s="121">
        <f ca="1" t="shared" si="3"/>
        <v>81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30</v>
      </c>
      <c r="C23" s="88" t="s">
        <v>13</v>
      </c>
      <c r="D23" s="94" t="s">
        <v>55</v>
      </c>
      <c r="E23" s="80" t="s">
        <v>37</v>
      </c>
      <c r="F23" s="80"/>
      <c r="G23" s="81"/>
      <c r="H23" s="89" t="s">
        <v>16</v>
      </c>
      <c r="I23" s="118">
        <v>46026</v>
      </c>
      <c r="J23" s="73">
        <v>3</v>
      </c>
      <c r="K23" s="123"/>
      <c r="L23" s="120">
        <f t="shared" si="2"/>
        <v>46116</v>
      </c>
      <c r="M23" s="121">
        <f ca="1" t="shared" si="3"/>
        <v>81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30</v>
      </c>
      <c r="C24" s="88" t="s">
        <v>13</v>
      </c>
      <c r="D24" s="95" t="s">
        <v>56</v>
      </c>
      <c r="E24" s="80" t="s">
        <v>57</v>
      </c>
      <c r="F24" s="80"/>
      <c r="G24" s="81"/>
      <c r="H24" s="89" t="s">
        <v>16</v>
      </c>
      <c r="I24" s="118">
        <v>46026</v>
      </c>
      <c r="J24" s="73">
        <v>3</v>
      </c>
      <c r="K24" s="123"/>
      <c r="L24" s="120">
        <f t="shared" si="2"/>
        <v>46116</v>
      </c>
      <c r="M24" s="121">
        <f ca="1" t="shared" si="3"/>
        <v>81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30</v>
      </c>
      <c r="C25" s="88" t="s">
        <v>13</v>
      </c>
      <c r="D25" s="95" t="s">
        <v>58</v>
      </c>
      <c r="E25" s="80" t="s">
        <v>37</v>
      </c>
      <c r="F25" s="80"/>
      <c r="G25" s="81"/>
      <c r="H25" s="89" t="s">
        <v>16</v>
      </c>
      <c r="I25" s="118">
        <v>46026</v>
      </c>
      <c r="J25" s="73">
        <v>3</v>
      </c>
      <c r="K25" s="123"/>
      <c r="L25" s="120">
        <f t="shared" si="2"/>
        <v>46116</v>
      </c>
      <c r="M25" s="121">
        <f ca="1" t="shared" si="3"/>
        <v>81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59</v>
      </c>
      <c r="C26" s="73" t="s">
        <v>13</v>
      </c>
      <c r="D26" s="95" t="s">
        <v>60</v>
      </c>
      <c r="E26" s="80" t="s">
        <v>61</v>
      </c>
      <c r="F26" s="80"/>
      <c r="G26" s="81"/>
      <c r="H26" s="89" t="s">
        <v>16</v>
      </c>
      <c r="I26" s="118">
        <v>46026</v>
      </c>
      <c r="J26" s="73">
        <v>3</v>
      </c>
      <c r="K26" s="123"/>
      <c r="L26" s="120">
        <f t="shared" si="2"/>
        <v>46116</v>
      </c>
      <c r="M26" s="121">
        <f ca="1" t="shared" si="3"/>
        <v>81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59</v>
      </c>
      <c r="C27" s="73" t="s">
        <v>13</v>
      </c>
      <c r="D27" s="95" t="s">
        <v>62</v>
      </c>
      <c r="E27" s="80" t="s">
        <v>37</v>
      </c>
      <c r="F27" s="80"/>
      <c r="G27" s="81"/>
      <c r="H27" s="89" t="s">
        <v>16</v>
      </c>
      <c r="I27" s="118">
        <v>46026</v>
      </c>
      <c r="J27" s="73">
        <v>3</v>
      </c>
      <c r="K27" s="123"/>
      <c r="L27" s="120">
        <f t="shared" si="2"/>
        <v>46116</v>
      </c>
      <c r="M27" s="121">
        <f ca="1" t="shared" si="3"/>
        <v>81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63</v>
      </c>
      <c r="C28" s="73" t="s">
        <v>23</v>
      </c>
      <c r="D28" s="94" t="s">
        <v>64</v>
      </c>
      <c r="E28" s="80" t="s">
        <v>65</v>
      </c>
      <c r="F28" s="80"/>
      <c r="G28" s="81"/>
      <c r="H28" s="82"/>
      <c r="I28" s="118">
        <v>46026</v>
      </c>
      <c r="J28" s="73">
        <v>3</v>
      </c>
      <c r="K28" s="123"/>
      <c r="L28" s="120">
        <f t="shared" si="2"/>
        <v>46116</v>
      </c>
      <c r="M28" s="121">
        <f ca="1" t="shared" si="3"/>
        <v>81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66</v>
      </c>
      <c r="C29" s="73" t="s">
        <v>23</v>
      </c>
      <c r="D29" s="95" t="s">
        <v>67</v>
      </c>
      <c r="E29" s="80" t="s">
        <v>68</v>
      </c>
      <c r="F29" s="80"/>
      <c r="G29" s="81"/>
      <c r="H29" s="82"/>
      <c r="I29" s="118">
        <v>46026</v>
      </c>
      <c r="J29" s="73">
        <v>3</v>
      </c>
      <c r="K29" s="123"/>
      <c r="L29" s="120">
        <f t="shared" si="2"/>
        <v>46116</v>
      </c>
      <c r="M29" s="121">
        <f ca="1" t="shared" si="3"/>
        <v>81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66</v>
      </c>
      <c r="C30" s="73" t="s">
        <v>23</v>
      </c>
      <c r="D30" s="95" t="s">
        <v>69</v>
      </c>
      <c r="E30" s="80" t="s">
        <v>70</v>
      </c>
      <c r="F30" s="80"/>
      <c r="G30" s="81"/>
      <c r="H30" s="82"/>
      <c r="I30" s="118">
        <v>46026</v>
      </c>
      <c r="J30" s="73">
        <v>3</v>
      </c>
      <c r="K30" s="123"/>
      <c r="L30" s="120">
        <f t="shared" si="2"/>
        <v>46116</v>
      </c>
      <c r="M30" s="121">
        <f ca="1" t="shared" si="3"/>
        <v>81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71</v>
      </c>
      <c r="C31" s="73" t="s">
        <v>23</v>
      </c>
      <c r="D31" s="95" t="s">
        <v>72</v>
      </c>
      <c r="E31" s="80" t="s">
        <v>73</v>
      </c>
      <c r="F31" s="80"/>
      <c r="G31" s="81"/>
      <c r="H31" s="82"/>
      <c r="I31" s="118">
        <v>46026</v>
      </c>
      <c r="J31" s="73">
        <v>3</v>
      </c>
      <c r="K31" s="123"/>
      <c r="L31" s="120">
        <f t="shared" si="2"/>
        <v>46116</v>
      </c>
      <c r="M31" s="121">
        <f ca="1" t="shared" si="3"/>
        <v>81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74</v>
      </c>
      <c r="C32" s="73" t="s">
        <v>13</v>
      </c>
      <c r="D32" s="95" t="s">
        <v>75</v>
      </c>
      <c r="E32" s="80" t="s">
        <v>37</v>
      </c>
      <c r="F32" s="80"/>
      <c r="G32" s="81"/>
      <c r="H32" s="82"/>
      <c r="I32" s="118">
        <v>46026</v>
      </c>
      <c r="J32" s="73">
        <v>3</v>
      </c>
      <c r="K32" s="123"/>
      <c r="L32" s="120">
        <f t="shared" si="2"/>
        <v>46116</v>
      </c>
      <c r="M32" s="121">
        <f ca="1" t="shared" si="3"/>
        <v>81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76</v>
      </c>
      <c r="C33" s="73" t="s">
        <v>23</v>
      </c>
      <c r="D33" s="95" t="s">
        <v>77</v>
      </c>
      <c r="E33" s="80" t="s">
        <v>78</v>
      </c>
      <c r="F33" s="80"/>
      <c r="G33" s="81"/>
      <c r="H33" s="82"/>
      <c r="I33" s="118">
        <v>46026</v>
      </c>
      <c r="J33" s="73">
        <v>3</v>
      </c>
      <c r="K33" s="123"/>
      <c r="L33" s="120">
        <f t="shared" si="2"/>
        <v>46116</v>
      </c>
      <c r="M33" s="121">
        <f ca="1" t="shared" si="3"/>
        <v>81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79</v>
      </c>
      <c r="C34" s="73" t="s">
        <v>23</v>
      </c>
      <c r="D34" s="96" t="s">
        <v>80</v>
      </c>
      <c r="E34" s="80" t="s">
        <v>29</v>
      </c>
      <c r="F34" s="80"/>
      <c r="G34" s="81"/>
      <c r="H34" s="97" t="s">
        <v>16</v>
      </c>
      <c r="I34" s="118">
        <v>46026</v>
      </c>
      <c r="J34" s="73">
        <v>3</v>
      </c>
      <c r="K34" s="123"/>
      <c r="L34" s="120">
        <f t="shared" si="2"/>
        <v>46116</v>
      </c>
      <c r="M34" s="121">
        <f ca="1" t="shared" si="3"/>
        <v>81</v>
      </c>
      <c r="N34" s="73"/>
      <c r="O34" s="124"/>
      <c r="P34" s="124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4"/>
      <c r="AC34" s="124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79</v>
      </c>
      <c r="C35" s="73" t="s">
        <v>23</v>
      </c>
      <c r="D35" s="96" t="s">
        <v>81</v>
      </c>
      <c r="E35" s="80" t="s">
        <v>25</v>
      </c>
      <c r="F35" s="80"/>
      <c r="G35" s="81"/>
      <c r="H35" s="98" t="s">
        <v>16</v>
      </c>
      <c r="I35" s="118">
        <v>46026</v>
      </c>
      <c r="J35" s="73">
        <v>3</v>
      </c>
      <c r="K35" s="123"/>
      <c r="L35" s="120">
        <f t="shared" si="2"/>
        <v>46116</v>
      </c>
      <c r="M35" s="121">
        <f ca="1" t="shared" si="3"/>
        <v>81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79</v>
      </c>
      <c r="C36" s="73" t="s">
        <v>13</v>
      </c>
      <c r="D36" s="99" t="s">
        <v>82</v>
      </c>
      <c r="E36" s="100" t="s">
        <v>61</v>
      </c>
      <c r="F36" s="101"/>
      <c r="G36" s="102"/>
      <c r="H36" s="98" t="s">
        <v>16</v>
      </c>
      <c r="I36" s="118">
        <v>46026</v>
      </c>
      <c r="J36" s="73">
        <v>3</v>
      </c>
      <c r="K36" s="123"/>
      <c r="L36" s="120">
        <f t="shared" si="2"/>
        <v>46116</v>
      </c>
      <c r="M36" s="121">
        <f ca="1" t="shared" si="3"/>
        <v>81</v>
      </c>
      <c r="N36" s="79"/>
      <c r="O36" s="121"/>
      <c r="P36" s="125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5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79</v>
      </c>
      <c r="C37" s="103" t="s">
        <v>23</v>
      </c>
      <c r="D37" s="99" t="s">
        <v>83</v>
      </c>
      <c r="E37" s="100" t="s">
        <v>84</v>
      </c>
      <c r="F37" s="101"/>
      <c r="G37" s="102"/>
      <c r="H37" s="98" t="s">
        <v>16</v>
      </c>
      <c r="I37" s="118">
        <v>46026</v>
      </c>
      <c r="J37" s="73">
        <v>3</v>
      </c>
      <c r="K37" s="123"/>
      <c r="L37" s="120">
        <f t="shared" si="2"/>
        <v>46116</v>
      </c>
      <c r="M37" s="121">
        <f ca="1" t="shared" si="3"/>
        <v>81</v>
      </c>
      <c r="N37" s="73"/>
      <c r="O37" s="126"/>
      <c r="P37" s="127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5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85</v>
      </c>
      <c r="E38" s="100" t="s">
        <v>22</v>
      </c>
      <c r="F38" s="101"/>
      <c r="G38" s="102"/>
      <c r="H38" s="104"/>
      <c r="I38" s="118">
        <v>46027</v>
      </c>
      <c r="J38" s="73">
        <v>3</v>
      </c>
      <c r="K38" s="123"/>
      <c r="L38" s="120">
        <f t="shared" ref="L38:L61" si="4">EDATE(I38,J38)</f>
        <v>46117</v>
      </c>
      <c r="M38" s="121">
        <f ca="1" t="shared" ref="M38:M61" si="5">L38-TODAY()</f>
        <v>82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23</v>
      </c>
      <c r="D39" s="99" t="s">
        <v>86</v>
      </c>
      <c r="E39" s="100" t="s">
        <v>34</v>
      </c>
      <c r="F39" s="101"/>
      <c r="G39" s="102"/>
      <c r="H39" s="98" t="s">
        <v>16</v>
      </c>
      <c r="I39" s="118">
        <v>46027</v>
      </c>
      <c r="J39" s="73">
        <v>3</v>
      </c>
      <c r="K39" s="123"/>
      <c r="L39" s="120">
        <f t="shared" si="4"/>
        <v>46117</v>
      </c>
      <c r="M39" s="121">
        <f ca="1" t="shared" si="5"/>
        <v>82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23</v>
      </c>
      <c r="D40" s="99" t="s">
        <v>87</v>
      </c>
      <c r="E40" s="100" t="s">
        <v>34</v>
      </c>
      <c r="F40" s="101"/>
      <c r="G40" s="102"/>
      <c r="H40" s="98" t="s">
        <v>16</v>
      </c>
      <c r="I40" s="118">
        <v>46027</v>
      </c>
      <c r="J40" s="73">
        <v>3</v>
      </c>
      <c r="K40" s="123"/>
      <c r="L40" s="120">
        <f t="shared" si="4"/>
        <v>46117</v>
      </c>
      <c r="M40" s="121">
        <f ca="1" t="shared" si="5"/>
        <v>82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23</v>
      </c>
      <c r="D41" s="99" t="s">
        <v>88</v>
      </c>
      <c r="E41" s="100" t="s">
        <v>34</v>
      </c>
      <c r="F41" s="101"/>
      <c r="G41" s="102"/>
      <c r="H41" s="98" t="s">
        <v>16</v>
      </c>
      <c r="I41" s="118">
        <v>46027</v>
      </c>
      <c r="J41" s="73">
        <v>3</v>
      </c>
      <c r="K41" s="123"/>
      <c r="L41" s="120">
        <f t="shared" si="4"/>
        <v>46117</v>
      </c>
      <c r="M41" s="121">
        <f ca="1" t="shared" si="5"/>
        <v>82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23</v>
      </c>
      <c r="D42" s="105" t="s">
        <v>89</v>
      </c>
      <c r="E42" s="106" t="s">
        <v>20</v>
      </c>
      <c r="F42" s="107"/>
      <c r="G42" s="108"/>
      <c r="H42" s="98" t="s">
        <v>16</v>
      </c>
      <c r="I42" s="118">
        <v>46027</v>
      </c>
      <c r="J42" s="73">
        <v>3</v>
      </c>
      <c r="K42" s="123"/>
      <c r="L42" s="120">
        <f t="shared" si="4"/>
        <v>46117</v>
      </c>
      <c r="M42" s="121">
        <f ca="1" t="shared" si="5"/>
        <v>82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38</v>
      </c>
      <c r="C43" s="103" t="s">
        <v>23</v>
      </c>
      <c r="D43" s="105" t="s">
        <v>90</v>
      </c>
      <c r="E43" s="106" t="s">
        <v>91</v>
      </c>
      <c r="F43" s="107"/>
      <c r="G43" s="108"/>
      <c r="H43" s="109"/>
      <c r="I43" s="118">
        <v>46027</v>
      </c>
      <c r="J43" s="73">
        <v>3</v>
      </c>
      <c r="K43" s="123"/>
      <c r="L43" s="120">
        <f t="shared" si="4"/>
        <v>46117</v>
      </c>
      <c r="M43" s="121">
        <f ca="1" t="shared" si="5"/>
        <v>82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38</v>
      </c>
      <c r="C44" s="103" t="s">
        <v>23</v>
      </c>
      <c r="D44" s="105" t="s">
        <v>92</v>
      </c>
      <c r="E44" s="106" t="s">
        <v>93</v>
      </c>
      <c r="F44" s="107"/>
      <c r="G44" s="108"/>
      <c r="H44" s="109"/>
      <c r="I44" s="118">
        <v>46027</v>
      </c>
      <c r="J44" s="73">
        <v>3</v>
      </c>
      <c r="K44" s="123"/>
      <c r="L44" s="120">
        <f t="shared" si="4"/>
        <v>46117</v>
      </c>
      <c r="M44" s="121">
        <f ca="1" t="shared" si="5"/>
        <v>82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94</v>
      </c>
      <c r="C45" s="103" t="s">
        <v>23</v>
      </c>
      <c r="D45" s="105" t="s">
        <v>95</v>
      </c>
      <c r="E45" s="106" t="s">
        <v>96</v>
      </c>
      <c r="F45" s="107"/>
      <c r="G45" s="108"/>
      <c r="H45" s="109"/>
      <c r="I45" s="118">
        <v>46027</v>
      </c>
      <c r="J45" s="73">
        <v>3</v>
      </c>
      <c r="K45" s="123"/>
      <c r="L45" s="120">
        <f t="shared" si="4"/>
        <v>46117</v>
      </c>
      <c r="M45" s="121">
        <f ca="1" t="shared" si="5"/>
        <v>82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97</v>
      </c>
      <c r="C46" s="103" t="s">
        <v>13</v>
      </c>
      <c r="D46" s="94" t="s">
        <v>98</v>
      </c>
      <c r="E46" s="79" t="s">
        <v>22</v>
      </c>
      <c r="F46" s="80"/>
      <c r="G46" s="81"/>
      <c r="H46" s="109"/>
      <c r="I46" s="118">
        <v>46027</v>
      </c>
      <c r="J46" s="73">
        <v>3</v>
      </c>
      <c r="K46" s="123"/>
      <c r="L46" s="120">
        <f t="shared" si="4"/>
        <v>46117</v>
      </c>
      <c r="M46" s="121">
        <f ca="1" t="shared" si="5"/>
        <v>82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97</v>
      </c>
      <c r="C47" s="103" t="s">
        <v>13</v>
      </c>
      <c r="D47" s="74" t="s">
        <v>99</v>
      </c>
      <c r="E47" s="79" t="s">
        <v>37</v>
      </c>
      <c r="F47" s="80"/>
      <c r="G47" s="81"/>
      <c r="H47" s="109"/>
      <c r="I47" s="118">
        <v>46027</v>
      </c>
      <c r="J47" s="73">
        <v>3</v>
      </c>
      <c r="K47" s="123"/>
      <c r="L47" s="120">
        <f t="shared" si="4"/>
        <v>46117</v>
      </c>
      <c r="M47" s="121">
        <f ca="1" t="shared" si="5"/>
        <v>82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97</v>
      </c>
      <c r="C48" s="103" t="s">
        <v>13</v>
      </c>
      <c r="D48" s="74" t="s">
        <v>100</v>
      </c>
      <c r="E48" s="79" t="s">
        <v>22</v>
      </c>
      <c r="F48" s="80"/>
      <c r="G48" s="81"/>
      <c r="H48" s="109"/>
      <c r="I48" s="118">
        <v>46027</v>
      </c>
      <c r="J48" s="73">
        <v>3</v>
      </c>
      <c r="K48" s="123"/>
      <c r="L48" s="120">
        <f t="shared" si="4"/>
        <v>46117</v>
      </c>
      <c r="M48" s="121">
        <f ca="1" t="shared" si="5"/>
        <v>82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30</v>
      </c>
      <c r="C49" s="73" t="s">
        <v>23</v>
      </c>
      <c r="D49" s="74" t="s">
        <v>101</v>
      </c>
      <c r="E49" s="79" t="s">
        <v>84</v>
      </c>
      <c r="F49" s="80"/>
      <c r="G49" s="81"/>
      <c r="H49" s="98" t="s">
        <v>16</v>
      </c>
      <c r="I49" s="118">
        <v>46027</v>
      </c>
      <c r="J49" s="73">
        <v>3</v>
      </c>
      <c r="K49" s="123"/>
      <c r="L49" s="120">
        <f t="shared" si="4"/>
        <v>46117</v>
      </c>
      <c r="M49" s="121">
        <f ca="1" t="shared" si="5"/>
        <v>82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30</v>
      </c>
      <c r="C50" s="73" t="s">
        <v>23</v>
      </c>
      <c r="D50" s="74" t="s">
        <v>102</v>
      </c>
      <c r="E50" s="79" t="s">
        <v>84</v>
      </c>
      <c r="F50" s="80"/>
      <c r="G50" s="81"/>
      <c r="H50" s="104"/>
      <c r="I50" s="118">
        <v>46027</v>
      </c>
      <c r="J50" s="73">
        <v>3</v>
      </c>
      <c r="K50" s="123"/>
      <c r="L50" s="120">
        <f t="shared" si="4"/>
        <v>46117</v>
      </c>
      <c r="M50" s="121">
        <f ca="1" t="shared" si="5"/>
        <v>82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30</v>
      </c>
      <c r="C51" s="73" t="s">
        <v>13</v>
      </c>
      <c r="D51" s="74" t="s">
        <v>103</v>
      </c>
      <c r="E51" s="79" t="s">
        <v>57</v>
      </c>
      <c r="F51" s="80"/>
      <c r="G51" s="81"/>
      <c r="H51" s="98" t="s">
        <v>16</v>
      </c>
      <c r="I51" s="118">
        <v>46027</v>
      </c>
      <c r="J51" s="73">
        <v>3</v>
      </c>
      <c r="K51" s="123"/>
      <c r="L51" s="120">
        <f t="shared" si="4"/>
        <v>46117</v>
      </c>
      <c r="M51" s="121">
        <f ca="1" t="shared" si="5"/>
        <v>82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104</v>
      </c>
      <c r="C52" s="73" t="s">
        <v>23</v>
      </c>
      <c r="D52" s="74" t="s">
        <v>105</v>
      </c>
      <c r="E52" s="79" t="s">
        <v>106</v>
      </c>
      <c r="F52" s="80"/>
      <c r="G52" s="81"/>
      <c r="H52" s="104"/>
      <c r="I52" s="118">
        <v>46027</v>
      </c>
      <c r="J52" s="73">
        <v>3</v>
      </c>
      <c r="K52" s="123"/>
      <c r="L52" s="120">
        <f t="shared" si="4"/>
        <v>46117</v>
      </c>
      <c r="M52" s="121">
        <f ca="1" t="shared" si="5"/>
        <v>82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107</v>
      </c>
      <c r="C53" s="73" t="s">
        <v>108</v>
      </c>
      <c r="D53" s="74" t="s">
        <v>109</v>
      </c>
      <c r="E53" s="79" t="s">
        <v>110</v>
      </c>
      <c r="F53" s="80"/>
      <c r="G53" s="81"/>
      <c r="H53" s="104"/>
      <c r="I53" s="118">
        <v>46027</v>
      </c>
      <c r="J53" s="73">
        <v>3</v>
      </c>
      <c r="K53" s="123"/>
      <c r="L53" s="120">
        <f t="shared" si="4"/>
        <v>46117</v>
      </c>
      <c r="M53" s="121">
        <f ca="1" t="shared" si="5"/>
        <v>82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111</v>
      </c>
      <c r="C54" s="73" t="s">
        <v>108</v>
      </c>
      <c r="D54" s="74" t="s">
        <v>112</v>
      </c>
      <c r="E54" s="79" t="s">
        <v>113</v>
      </c>
      <c r="F54" s="80"/>
      <c r="G54" s="81"/>
      <c r="H54" s="104"/>
      <c r="I54" s="118">
        <v>46027</v>
      </c>
      <c r="J54" s="73">
        <v>3</v>
      </c>
      <c r="K54" s="123"/>
      <c r="L54" s="120">
        <f t="shared" si="4"/>
        <v>46117</v>
      </c>
      <c r="M54" s="121">
        <f ca="1" t="shared" si="5"/>
        <v>82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111</v>
      </c>
      <c r="C55" s="73" t="s">
        <v>108</v>
      </c>
      <c r="D55" s="74" t="s">
        <v>114</v>
      </c>
      <c r="E55" s="79" t="s">
        <v>115</v>
      </c>
      <c r="F55" s="80"/>
      <c r="G55" s="81"/>
      <c r="H55" s="104"/>
      <c r="I55" s="118">
        <v>46027</v>
      </c>
      <c r="J55" s="73">
        <v>3</v>
      </c>
      <c r="K55" s="123"/>
      <c r="L55" s="120">
        <f t="shared" si="4"/>
        <v>46117</v>
      </c>
      <c r="M55" s="121">
        <f ca="1" t="shared" si="5"/>
        <v>82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116</v>
      </c>
      <c r="C56" s="73" t="s">
        <v>108</v>
      </c>
      <c r="D56" s="74" t="s">
        <v>117</v>
      </c>
      <c r="E56" s="79" t="s">
        <v>115</v>
      </c>
      <c r="F56" s="80"/>
      <c r="G56" s="81"/>
      <c r="H56" s="104"/>
      <c r="I56" s="118">
        <v>46027</v>
      </c>
      <c r="J56" s="73">
        <v>3</v>
      </c>
      <c r="K56" s="122"/>
      <c r="L56" s="120">
        <f t="shared" si="4"/>
        <v>46117</v>
      </c>
      <c r="M56" s="121">
        <f ca="1" t="shared" si="5"/>
        <v>82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116</v>
      </c>
      <c r="C57" s="73" t="s">
        <v>108</v>
      </c>
      <c r="D57" s="74" t="s">
        <v>118</v>
      </c>
      <c r="E57" s="79" t="s">
        <v>119</v>
      </c>
      <c r="F57" s="80"/>
      <c r="G57" s="81"/>
      <c r="H57" s="104"/>
      <c r="I57" s="118">
        <v>46027</v>
      </c>
      <c r="J57" s="73">
        <v>3</v>
      </c>
      <c r="K57" s="122"/>
      <c r="L57" s="120">
        <f t="shared" si="4"/>
        <v>46117</v>
      </c>
      <c r="M57" s="121">
        <f ca="1" t="shared" si="5"/>
        <v>82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116</v>
      </c>
      <c r="C58" s="73" t="s">
        <v>108</v>
      </c>
      <c r="D58" s="74" t="s">
        <v>120</v>
      </c>
      <c r="E58" s="79" t="s">
        <v>121</v>
      </c>
      <c r="F58" s="80"/>
      <c r="G58" s="81"/>
      <c r="H58" s="104"/>
      <c r="I58" s="118">
        <v>46027</v>
      </c>
      <c r="J58" s="73">
        <v>3</v>
      </c>
      <c r="K58" s="122"/>
      <c r="L58" s="120">
        <f t="shared" si="4"/>
        <v>46117</v>
      </c>
      <c r="M58" s="121">
        <f ca="1" t="shared" si="5"/>
        <v>82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116</v>
      </c>
      <c r="C59" s="73" t="s">
        <v>108</v>
      </c>
      <c r="D59" s="74" t="s">
        <v>122</v>
      </c>
      <c r="E59" s="110" t="s">
        <v>123</v>
      </c>
      <c r="F59" s="111"/>
      <c r="G59" s="112"/>
      <c r="H59" s="104"/>
      <c r="I59" s="118">
        <v>46027</v>
      </c>
      <c r="J59" s="73">
        <v>3</v>
      </c>
      <c r="K59" s="122"/>
      <c r="L59" s="120">
        <f t="shared" si="4"/>
        <v>46117</v>
      </c>
      <c r="M59" s="121">
        <f ca="1" t="shared" si="5"/>
        <v>82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3"/>
      <c r="AY59" s="120"/>
      <c r="AZ59" s="121"/>
    </row>
    <row r="60" spans="1:52">
      <c r="A60" s="73">
        <v>58</v>
      </c>
      <c r="B60" s="73" t="s">
        <v>124</v>
      </c>
      <c r="C60" s="73" t="s">
        <v>108</v>
      </c>
      <c r="D60" s="74" t="s">
        <v>125</v>
      </c>
      <c r="E60" s="79" t="s">
        <v>126</v>
      </c>
      <c r="F60" s="80"/>
      <c r="G60" s="81"/>
      <c r="H60" s="104"/>
      <c r="I60" s="118">
        <v>46027</v>
      </c>
      <c r="J60" s="73">
        <v>3</v>
      </c>
      <c r="K60" s="122"/>
      <c r="L60" s="120">
        <f t="shared" si="4"/>
        <v>46117</v>
      </c>
      <c r="M60" s="121">
        <f ca="1" t="shared" si="5"/>
        <v>82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124</v>
      </c>
      <c r="C61" s="73" t="s">
        <v>108</v>
      </c>
      <c r="D61" s="74" t="s">
        <v>127</v>
      </c>
      <c r="E61" s="79" t="s">
        <v>128</v>
      </c>
      <c r="F61" s="80"/>
      <c r="G61" s="81"/>
      <c r="H61" s="104"/>
      <c r="I61" s="118">
        <v>46027</v>
      </c>
      <c r="J61" s="73">
        <v>3</v>
      </c>
      <c r="K61" s="122"/>
      <c r="L61" s="120">
        <f t="shared" si="4"/>
        <v>46117</v>
      </c>
      <c r="M61" s="121">
        <f ca="1" t="shared" si="5"/>
        <v>82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35</v>
      </c>
      <c r="C62" s="73" t="s">
        <v>23</v>
      </c>
      <c r="D62" s="90" t="s">
        <v>129</v>
      </c>
      <c r="E62" s="29" t="s">
        <v>29</v>
      </c>
      <c r="F62" s="86"/>
      <c r="G62" s="87"/>
      <c r="H62" s="89" t="s">
        <v>16</v>
      </c>
      <c r="I62" s="118">
        <v>46028</v>
      </c>
      <c r="J62" s="73">
        <v>3</v>
      </c>
      <c r="K62" s="122"/>
      <c r="L62" s="120">
        <f t="shared" ref="L62:L73" si="6">EDATE(I62,J62)</f>
        <v>46118</v>
      </c>
      <c r="M62" s="121">
        <f ca="1" t="shared" ref="M62:M73" si="7">L62-TODAY()</f>
        <v>83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3"/>
      <c r="AY62" s="120"/>
      <c r="AZ62" s="121"/>
    </row>
    <row r="63" spans="1:52">
      <c r="A63" s="73">
        <v>61</v>
      </c>
      <c r="B63" s="73" t="s">
        <v>35</v>
      </c>
      <c r="C63" s="113" t="s">
        <v>13</v>
      </c>
      <c r="D63" s="90" t="s">
        <v>130</v>
      </c>
      <c r="E63" s="75" t="s">
        <v>37</v>
      </c>
      <c r="F63" s="76"/>
      <c r="G63" s="77"/>
      <c r="H63" s="89" t="s">
        <v>16</v>
      </c>
      <c r="I63" s="118">
        <v>46028</v>
      </c>
      <c r="J63" s="73">
        <v>3</v>
      </c>
      <c r="K63" s="122"/>
      <c r="L63" s="120">
        <f t="shared" si="6"/>
        <v>46118</v>
      </c>
      <c r="M63" s="121">
        <f ca="1" t="shared" si="7"/>
        <v>83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3"/>
      <c r="AY63" s="120"/>
      <c r="AZ63" s="121"/>
    </row>
    <row r="64" spans="1:52">
      <c r="A64" s="73">
        <v>62</v>
      </c>
      <c r="B64" s="73" t="s">
        <v>131</v>
      </c>
      <c r="C64" s="113" t="s">
        <v>13</v>
      </c>
      <c r="D64" s="90" t="s">
        <v>132</v>
      </c>
      <c r="E64" s="79" t="s">
        <v>133</v>
      </c>
      <c r="F64" s="80"/>
      <c r="G64" s="81"/>
      <c r="H64" s="82"/>
      <c r="I64" s="118">
        <v>46028</v>
      </c>
      <c r="J64" s="73">
        <v>3</v>
      </c>
      <c r="K64" s="122"/>
      <c r="L64" s="120">
        <f t="shared" si="6"/>
        <v>46118</v>
      </c>
      <c r="M64" s="121">
        <f ca="1" t="shared" si="7"/>
        <v>83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3"/>
      <c r="AY64" s="120"/>
      <c r="AZ64" s="121"/>
    </row>
    <row r="65" spans="1:52">
      <c r="A65" s="73">
        <v>63</v>
      </c>
      <c r="B65" s="73" t="s">
        <v>59</v>
      </c>
      <c r="C65" s="113" t="s">
        <v>13</v>
      </c>
      <c r="D65" s="94" t="s">
        <v>134</v>
      </c>
      <c r="E65" s="179" t="s">
        <v>135</v>
      </c>
      <c r="F65" s="180"/>
      <c r="G65" s="181"/>
      <c r="H65" s="82"/>
      <c r="I65" s="118">
        <v>46028</v>
      </c>
      <c r="J65" s="73">
        <v>3</v>
      </c>
      <c r="K65" s="122"/>
      <c r="L65" s="120">
        <f t="shared" si="6"/>
        <v>46118</v>
      </c>
      <c r="M65" s="121">
        <f ca="1" t="shared" si="7"/>
        <v>83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3"/>
      <c r="AY65" s="120"/>
      <c r="AZ65" s="121"/>
    </row>
    <row r="66" spans="1:52">
      <c r="A66" s="73">
        <v>64</v>
      </c>
      <c r="B66" s="73" t="s">
        <v>30</v>
      </c>
      <c r="C66" s="113" t="s">
        <v>13</v>
      </c>
      <c r="D66" s="90" t="s">
        <v>136</v>
      </c>
      <c r="E66" s="179" t="s">
        <v>61</v>
      </c>
      <c r="F66" s="180"/>
      <c r="G66" s="181"/>
      <c r="H66" s="89" t="s">
        <v>16</v>
      </c>
      <c r="I66" s="118">
        <v>46028</v>
      </c>
      <c r="J66" s="73">
        <v>3</v>
      </c>
      <c r="K66" s="122"/>
      <c r="L66" s="120">
        <f t="shared" si="6"/>
        <v>46118</v>
      </c>
      <c r="M66" s="121">
        <f ca="1" t="shared" si="7"/>
        <v>83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3"/>
      <c r="AY66" s="120"/>
      <c r="AZ66" s="121"/>
    </row>
    <row r="67" spans="1:52">
      <c r="A67" s="73">
        <v>65</v>
      </c>
      <c r="B67" s="73" t="s">
        <v>30</v>
      </c>
      <c r="C67" s="113" t="s">
        <v>13</v>
      </c>
      <c r="D67" s="74" t="s">
        <v>137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/>
      <c r="L67" s="120">
        <f t="shared" si="6"/>
        <v>46118</v>
      </c>
      <c r="M67" s="121">
        <f ca="1" t="shared" si="7"/>
        <v>83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3"/>
      <c r="AY67" s="120"/>
      <c r="AZ67" s="121"/>
    </row>
    <row r="68" spans="1:52">
      <c r="A68" s="73">
        <v>66</v>
      </c>
      <c r="B68" s="73" t="s">
        <v>138</v>
      </c>
      <c r="C68" s="73" t="s">
        <v>23</v>
      </c>
      <c r="D68" s="74" t="s">
        <v>139</v>
      </c>
      <c r="E68" s="179" t="s">
        <v>140</v>
      </c>
      <c r="F68" s="180"/>
      <c r="G68" s="181"/>
      <c r="H68" s="82"/>
      <c r="I68" s="118">
        <v>46028</v>
      </c>
      <c r="J68" s="73">
        <v>3</v>
      </c>
      <c r="K68" s="122"/>
      <c r="L68" s="120">
        <f t="shared" si="6"/>
        <v>46118</v>
      </c>
      <c r="M68" s="121">
        <f ca="1" t="shared" si="7"/>
        <v>83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3"/>
      <c r="AY68" s="120"/>
      <c r="AZ68" s="121"/>
    </row>
    <row r="69" spans="1:52">
      <c r="A69" s="73">
        <v>67</v>
      </c>
      <c r="B69" s="73" t="s">
        <v>74</v>
      </c>
      <c r="C69" s="73" t="s">
        <v>13</v>
      </c>
      <c r="D69" s="74" t="s">
        <v>141</v>
      </c>
      <c r="E69" s="179" t="s">
        <v>37</v>
      </c>
      <c r="F69" s="180"/>
      <c r="G69" s="181"/>
      <c r="H69" s="82"/>
      <c r="I69" s="118">
        <v>46028</v>
      </c>
      <c r="J69" s="73">
        <v>3</v>
      </c>
      <c r="K69" s="122"/>
      <c r="L69" s="120">
        <f t="shared" si="6"/>
        <v>46118</v>
      </c>
      <c r="M69" s="121">
        <f ca="1" t="shared" si="7"/>
        <v>83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3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142</v>
      </c>
      <c r="E70" s="179" t="s">
        <v>143</v>
      </c>
      <c r="F70" s="180"/>
      <c r="G70" s="181"/>
      <c r="H70" s="89" t="s">
        <v>16</v>
      </c>
      <c r="I70" s="118">
        <v>46028</v>
      </c>
      <c r="J70" s="73">
        <v>3</v>
      </c>
      <c r="K70" s="122"/>
      <c r="L70" s="120">
        <f t="shared" si="6"/>
        <v>46118</v>
      </c>
      <c r="M70" s="121">
        <f ca="1" t="shared" si="7"/>
        <v>83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3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144</v>
      </c>
      <c r="E71" s="75" t="s">
        <v>22</v>
      </c>
      <c r="F71" s="76"/>
      <c r="G71" s="77"/>
      <c r="H71" s="89" t="s">
        <v>16</v>
      </c>
      <c r="I71" s="118">
        <v>46028</v>
      </c>
      <c r="J71" s="73">
        <v>3</v>
      </c>
      <c r="K71" s="122"/>
      <c r="L71" s="120">
        <f t="shared" si="6"/>
        <v>46118</v>
      </c>
      <c r="M71" s="121">
        <f ca="1" t="shared" si="7"/>
        <v>83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3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145</v>
      </c>
      <c r="E72" s="179" t="s">
        <v>29</v>
      </c>
      <c r="F72" s="180"/>
      <c r="G72" s="181"/>
      <c r="H72" s="89" t="s">
        <v>16</v>
      </c>
      <c r="I72" s="118">
        <v>46028</v>
      </c>
      <c r="J72" s="73">
        <v>3</v>
      </c>
      <c r="K72" s="122"/>
      <c r="L72" s="120">
        <f t="shared" si="6"/>
        <v>46118</v>
      </c>
      <c r="M72" s="121">
        <f ca="1" t="shared" si="7"/>
        <v>83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3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146</v>
      </c>
      <c r="E73" s="179" t="s">
        <v>20</v>
      </c>
      <c r="F73" s="180"/>
      <c r="G73" s="181"/>
      <c r="H73" s="89" t="s">
        <v>16</v>
      </c>
      <c r="I73" s="118">
        <v>46028</v>
      </c>
      <c r="J73" s="73">
        <v>3</v>
      </c>
      <c r="K73" s="122"/>
      <c r="L73" s="120">
        <f t="shared" si="6"/>
        <v>46118</v>
      </c>
      <c r="M73" s="121">
        <f ca="1" t="shared" si="7"/>
        <v>83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3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147</v>
      </c>
      <c r="E74" s="79" t="s">
        <v>27</v>
      </c>
      <c r="F74" s="80"/>
      <c r="G74" s="81"/>
      <c r="H74" s="89" t="s">
        <v>16</v>
      </c>
      <c r="I74" s="118">
        <v>46028</v>
      </c>
      <c r="J74" s="73">
        <v>3</v>
      </c>
      <c r="K74" s="122"/>
      <c r="L74" s="120">
        <f t="shared" ref="L74:L79" si="8">EDATE(I74,J74)</f>
        <v>46118</v>
      </c>
      <c r="M74" s="121">
        <f ca="1" t="shared" ref="M74:M79" si="9">L74-TODAY()</f>
        <v>83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3"/>
      <c r="AY74" s="120"/>
      <c r="AZ74" s="121"/>
    </row>
    <row r="75" spans="1:52">
      <c r="A75" s="73">
        <v>73</v>
      </c>
      <c r="B75" s="73" t="s">
        <v>116</v>
      </c>
      <c r="C75" s="73" t="s">
        <v>108</v>
      </c>
      <c r="D75" s="90" t="s">
        <v>148</v>
      </c>
      <c r="E75" s="79" t="s">
        <v>149</v>
      </c>
      <c r="F75" s="80"/>
      <c r="G75" s="81"/>
      <c r="H75" s="82"/>
      <c r="I75" s="118">
        <v>46028</v>
      </c>
      <c r="J75" s="73">
        <v>3</v>
      </c>
      <c r="K75" s="122"/>
      <c r="L75" s="120">
        <f t="shared" si="8"/>
        <v>46118</v>
      </c>
      <c r="M75" s="121">
        <f ca="1" t="shared" si="9"/>
        <v>83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3"/>
      <c r="AY75" s="120"/>
      <c r="AZ75" s="121"/>
    </row>
    <row r="76" spans="1:52">
      <c r="A76" s="73">
        <v>74</v>
      </c>
      <c r="B76" s="73" t="s">
        <v>150</v>
      </c>
      <c r="C76" s="73" t="s">
        <v>108</v>
      </c>
      <c r="D76" s="90" t="s">
        <v>151</v>
      </c>
      <c r="E76" s="79" t="s">
        <v>152</v>
      </c>
      <c r="F76" s="80"/>
      <c r="G76" s="81"/>
      <c r="H76" s="82"/>
      <c r="I76" s="118">
        <v>46028</v>
      </c>
      <c r="J76" s="73">
        <v>3</v>
      </c>
      <c r="K76" s="122"/>
      <c r="L76" s="120">
        <f t="shared" si="8"/>
        <v>46118</v>
      </c>
      <c r="M76" s="121">
        <f ca="1" t="shared" si="9"/>
        <v>83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3"/>
      <c r="AY76" s="120"/>
      <c r="AZ76" s="121"/>
    </row>
    <row r="77" spans="1:52">
      <c r="A77" s="73">
        <v>75</v>
      </c>
      <c r="B77" s="73" t="s">
        <v>153</v>
      </c>
      <c r="C77" s="73" t="s">
        <v>154</v>
      </c>
      <c r="D77" s="90" t="s">
        <v>155</v>
      </c>
      <c r="E77" s="79" t="s">
        <v>156</v>
      </c>
      <c r="F77" s="80"/>
      <c r="G77" s="81"/>
      <c r="H77" s="82"/>
      <c r="I77" s="118">
        <v>46028</v>
      </c>
      <c r="J77" s="73">
        <v>3</v>
      </c>
      <c r="K77" s="122"/>
      <c r="L77" s="120">
        <f t="shared" si="8"/>
        <v>46118</v>
      </c>
      <c r="M77" s="121">
        <f ca="1" t="shared" si="9"/>
        <v>83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3"/>
      <c r="AY77" s="120"/>
      <c r="AZ77" s="121"/>
    </row>
    <row r="78" spans="1:52">
      <c r="A78" s="73">
        <v>76</v>
      </c>
      <c r="B78" s="73" t="s">
        <v>153</v>
      </c>
      <c r="C78" s="73" t="s">
        <v>154</v>
      </c>
      <c r="D78" s="74" t="s">
        <v>157</v>
      </c>
      <c r="E78" s="79" t="s">
        <v>158</v>
      </c>
      <c r="F78" s="80"/>
      <c r="G78" s="81"/>
      <c r="H78" s="78" t="s">
        <v>16</v>
      </c>
      <c r="I78" s="118">
        <v>46028</v>
      </c>
      <c r="J78" s="73">
        <v>3</v>
      </c>
      <c r="K78" s="122"/>
      <c r="L78" s="120">
        <f t="shared" si="8"/>
        <v>46118</v>
      </c>
      <c r="M78" s="121">
        <f ca="1" t="shared" si="9"/>
        <v>83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3"/>
      <c r="AY78" s="120"/>
      <c r="AZ78" s="121"/>
    </row>
    <row r="79" spans="1:52">
      <c r="A79" s="73">
        <v>77</v>
      </c>
      <c r="B79" s="73" t="s">
        <v>153</v>
      </c>
      <c r="C79" s="73" t="s">
        <v>154</v>
      </c>
      <c r="D79" s="94" t="s">
        <v>159</v>
      </c>
      <c r="E79" s="79" t="s">
        <v>158</v>
      </c>
      <c r="F79" s="80"/>
      <c r="G79" s="81"/>
      <c r="H79" s="78" t="s">
        <v>16</v>
      </c>
      <c r="I79" s="118">
        <v>46028</v>
      </c>
      <c r="J79" s="73">
        <v>3</v>
      </c>
      <c r="K79" s="122"/>
      <c r="L79" s="120">
        <f t="shared" si="8"/>
        <v>46118</v>
      </c>
      <c r="M79" s="121">
        <f ca="1" t="shared" si="9"/>
        <v>83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3"/>
      <c r="AY79" s="120"/>
      <c r="AZ79" s="121"/>
    </row>
    <row r="80" spans="1:52">
      <c r="A80" s="73">
        <v>78</v>
      </c>
      <c r="B80" s="73" t="s">
        <v>97</v>
      </c>
      <c r="C80" s="113" t="s">
        <v>13</v>
      </c>
      <c r="D80" s="74" t="s">
        <v>160</v>
      </c>
      <c r="E80" s="79" t="s">
        <v>161</v>
      </c>
      <c r="F80" s="80"/>
      <c r="G80" s="81"/>
      <c r="H80" s="82"/>
      <c r="I80" s="118">
        <v>46028</v>
      </c>
      <c r="J80" s="73">
        <v>3</v>
      </c>
      <c r="K80" s="122"/>
      <c r="L80" s="120">
        <f t="shared" ref="L80:L111" si="10">EDATE(I80,J80)</f>
        <v>46118</v>
      </c>
      <c r="M80" s="121">
        <f ca="1" t="shared" ref="M80:M111" si="11">L80-TODAY()</f>
        <v>83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3"/>
      <c r="AY80" s="120"/>
      <c r="AZ80" s="121"/>
    </row>
    <row r="81" spans="1:52">
      <c r="A81" s="73">
        <v>79</v>
      </c>
      <c r="B81" s="73" t="s">
        <v>97</v>
      </c>
      <c r="C81" s="113" t="s">
        <v>13</v>
      </c>
      <c r="D81" s="94" t="s">
        <v>162</v>
      </c>
      <c r="E81" s="79" t="s">
        <v>163</v>
      </c>
      <c r="F81" s="80"/>
      <c r="G81" s="81"/>
      <c r="H81" s="89" t="s">
        <v>16</v>
      </c>
      <c r="I81" s="118">
        <v>46028</v>
      </c>
      <c r="J81" s="73">
        <v>3</v>
      </c>
      <c r="K81" s="122"/>
      <c r="L81" s="120">
        <f t="shared" si="10"/>
        <v>46118</v>
      </c>
      <c r="M81" s="121">
        <f ca="1" t="shared" si="11"/>
        <v>83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3"/>
      <c r="AY81" s="120"/>
      <c r="AZ81" s="121"/>
    </row>
    <row r="82" spans="1:52">
      <c r="A82" s="73">
        <v>80</v>
      </c>
      <c r="B82" s="73" t="s">
        <v>97</v>
      </c>
      <c r="C82" s="113" t="s">
        <v>13</v>
      </c>
      <c r="D82" s="182" t="s">
        <v>164</v>
      </c>
      <c r="E82" s="183" t="s">
        <v>57</v>
      </c>
      <c r="F82" s="134"/>
      <c r="G82" s="135"/>
      <c r="H82" s="184"/>
      <c r="I82" s="118">
        <v>46028</v>
      </c>
      <c r="J82" s="73">
        <v>3</v>
      </c>
      <c r="K82" s="122"/>
      <c r="L82" s="120">
        <f t="shared" si="10"/>
        <v>46118</v>
      </c>
      <c r="M82" s="121">
        <f ca="1" t="shared" si="11"/>
        <v>83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3"/>
      <c r="AY82" s="120"/>
      <c r="AZ82" s="121"/>
    </row>
    <row r="83" ht="22" customHeight="1" spans="1:52">
      <c r="A83" s="73">
        <v>81</v>
      </c>
      <c r="B83" s="73" t="s">
        <v>97</v>
      </c>
      <c r="C83" s="113" t="s">
        <v>13</v>
      </c>
      <c r="D83" s="74" t="s">
        <v>165</v>
      </c>
      <c r="E83" s="121" t="s">
        <v>61</v>
      </c>
      <c r="F83" s="121"/>
      <c r="G83" s="121"/>
      <c r="H83" s="184"/>
      <c r="I83" s="118">
        <v>46028</v>
      </c>
      <c r="J83" s="73">
        <v>3</v>
      </c>
      <c r="K83" s="122"/>
      <c r="L83" s="120">
        <f t="shared" si="10"/>
        <v>46118</v>
      </c>
      <c r="M83" s="121">
        <f ca="1" t="shared" si="11"/>
        <v>83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3"/>
      <c r="AY83" s="120"/>
      <c r="AZ83" s="121"/>
    </row>
    <row r="84" ht="21" customHeight="1" spans="1:52">
      <c r="A84" s="73">
        <v>82</v>
      </c>
      <c r="B84" s="73" t="s">
        <v>97</v>
      </c>
      <c r="C84" s="113" t="s">
        <v>13</v>
      </c>
      <c r="D84" s="185" t="s">
        <v>166</v>
      </c>
      <c r="E84" s="121" t="s">
        <v>57</v>
      </c>
      <c r="F84" s="121"/>
      <c r="G84" s="121"/>
      <c r="H84" s="184"/>
      <c r="I84" s="118">
        <v>46028</v>
      </c>
      <c r="J84" s="73">
        <v>3</v>
      </c>
      <c r="K84" s="122"/>
      <c r="L84" s="120">
        <f t="shared" si="10"/>
        <v>46118</v>
      </c>
      <c r="M84" s="121">
        <f ca="1" t="shared" si="11"/>
        <v>83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3"/>
      <c r="AY84" s="120"/>
      <c r="AZ84" s="121"/>
    </row>
    <row r="85" spans="1:52">
      <c r="A85" s="73">
        <v>83</v>
      </c>
      <c r="B85" s="73" t="s">
        <v>97</v>
      </c>
      <c r="C85" s="113" t="s">
        <v>13</v>
      </c>
      <c r="D85" s="185" t="s">
        <v>167</v>
      </c>
      <c r="E85" s="121" t="s">
        <v>57</v>
      </c>
      <c r="F85" s="121"/>
      <c r="G85" s="121"/>
      <c r="H85" s="184"/>
      <c r="I85" s="118">
        <v>46028</v>
      </c>
      <c r="J85" s="73">
        <v>3</v>
      </c>
      <c r="K85" s="122"/>
      <c r="L85" s="120">
        <f t="shared" si="10"/>
        <v>46118</v>
      </c>
      <c r="M85" s="121">
        <f ca="1" t="shared" si="11"/>
        <v>83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3"/>
      <c r="AY85" s="120"/>
      <c r="AZ85" s="121"/>
    </row>
    <row r="86" spans="1:52">
      <c r="A86" s="73">
        <v>84</v>
      </c>
      <c r="B86" s="73" t="s">
        <v>97</v>
      </c>
      <c r="C86" s="113" t="s">
        <v>23</v>
      </c>
      <c r="D86" s="185" t="s">
        <v>168</v>
      </c>
      <c r="E86" s="121" t="s">
        <v>65</v>
      </c>
      <c r="F86" s="121"/>
      <c r="G86" s="121"/>
      <c r="H86" s="184"/>
      <c r="I86" s="118">
        <v>46028</v>
      </c>
      <c r="J86" s="73">
        <v>3</v>
      </c>
      <c r="K86" s="122"/>
      <c r="L86" s="120">
        <f t="shared" si="10"/>
        <v>46118</v>
      </c>
      <c r="M86" s="121">
        <f ca="1" t="shared" si="11"/>
        <v>83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3"/>
      <c r="AY86" s="120"/>
      <c r="AZ86" s="121"/>
    </row>
    <row r="87" spans="1:52">
      <c r="A87" s="73">
        <v>85</v>
      </c>
      <c r="B87" s="73" t="s">
        <v>97</v>
      </c>
      <c r="C87" s="113" t="s">
        <v>13</v>
      </c>
      <c r="D87" s="185" t="s">
        <v>169</v>
      </c>
      <c r="E87" s="121" t="s">
        <v>170</v>
      </c>
      <c r="F87" s="121"/>
      <c r="G87" s="121"/>
      <c r="H87" s="184"/>
      <c r="I87" s="118">
        <v>46028</v>
      </c>
      <c r="J87" s="73">
        <v>3</v>
      </c>
      <c r="K87" s="122"/>
      <c r="L87" s="120">
        <f t="shared" si="10"/>
        <v>46118</v>
      </c>
      <c r="M87" s="121">
        <f ca="1" t="shared" si="11"/>
        <v>83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3"/>
      <c r="AY87" s="120"/>
      <c r="AZ87" s="121"/>
    </row>
    <row r="88" ht="21" customHeight="1" spans="1:52">
      <c r="A88" s="73">
        <v>86</v>
      </c>
      <c r="B88" s="73" t="s">
        <v>97</v>
      </c>
      <c r="C88" s="113" t="s">
        <v>13</v>
      </c>
      <c r="D88" s="74" t="s">
        <v>171</v>
      </c>
      <c r="E88" s="121" t="s">
        <v>163</v>
      </c>
      <c r="F88" s="121"/>
      <c r="G88" s="121"/>
      <c r="H88" s="184"/>
      <c r="I88" s="118">
        <v>46028</v>
      </c>
      <c r="J88" s="73">
        <v>3</v>
      </c>
      <c r="K88" s="122"/>
      <c r="L88" s="120">
        <f t="shared" si="10"/>
        <v>46118</v>
      </c>
      <c r="M88" s="121">
        <f ca="1" t="shared" si="11"/>
        <v>83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97</v>
      </c>
      <c r="C89" s="113" t="s">
        <v>23</v>
      </c>
      <c r="D89" s="74" t="s">
        <v>172</v>
      </c>
      <c r="E89" s="121" t="s">
        <v>25</v>
      </c>
      <c r="F89" s="121"/>
      <c r="G89" s="121"/>
      <c r="H89" s="109"/>
      <c r="I89" s="118">
        <v>46028</v>
      </c>
      <c r="J89" s="73">
        <v>3</v>
      </c>
      <c r="K89" s="122"/>
      <c r="L89" s="120">
        <f t="shared" si="10"/>
        <v>46118</v>
      </c>
      <c r="M89" s="121">
        <f ca="1" t="shared" si="11"/>
        <v>83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97</v>
      </c>
      <c r="C90" s="113" t="s">
        <v>13</v>
      </c>
      <c r="D90" s="186" t="s">
        <v>173</v>
      </c>
      <c r="E90" s="121" t="s">
        <v>174</v>
      </c>
      <c r="F90" s="121"/>
      <c r="G90" s="121"/>
      <c r="H90" s="187" t="s">
        <v>16</v>
      </c>
      <c r="I90" s="118">
        <v>46028</v>
      </c>
      <c r="J90" s="73">
        <v>3</v>
      </c>
      <c r="K90" s="122"/>
      <c r="L90" s="120">
        <f t="shared" si="10"/>
        <v>46118</v>
      </c>
      <c r="M90" s="121">
        <f ca="1" t="shared" si="11"/>
        <v>83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97</v>
      </c>
      <c r="C91" s="79" t="s">
        <v>23</v>
      </c>
      <c r="D91" s="74" t="s">
        <v>175</v>
      </c>
      <c r="E91" s="179" t="s">
        <v>34</v>
      </c>
      <c r="F91" s="180"/>
      <c r="G91" s="181"/>
      <c r="H91" s="104"/>
      <c r="I91" s="118">
        <v>46029</v>
      </c>
      <c r="J91" s="192">
        <v>3</v>
      </c>
      <c r="K91" s="122"/>
      <c r="L91" s="120">
        <f t="shared" si="10"/>
        <v>46119</v>
      </c>
      <c r="M91" s="121">
        <f ca="1" t="shared" si="11"/>
        <v>84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97</v>
      </c>
      <c r="C92" s="79" t="s">
        <v>23</v>
      </c>
      <c r="D92" s="74" t="s">
        <v>176</v>
      </c>
      <c r="E92" s="79" t="s">
        <v>20</v>
      </c>
      <c r="F92" s="80"/>
      <c r="G92" s="81"/>
      <c r="H92" s="104"/>
      <c r="I92" s="118">
        <v>46029</v>
      </c>
      <c r="J92" s="192">
        <v>3</v>
      </c>
      <c r="K92" s="122"/>
      <c r="L92" s="120">
        <f t="shared" si="10"/>
        <v>46119</v>
      </c>
      <c r="M92" s="121">
        <f ca="1" t="shared" si="11"/>
        <v>84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97</v>
      </c>
      <c r="C93" s="79" t="s">
        <v>13</v>
      </c>
      <c r="D93" s="94" t="s">
        <v>177</v>
      </c>
      <c r="E93" s="79" t="s">
        <v>178</v>
      </c>
      <c r="F93" s="80"/>
      <c r="G93" s="81"/>
      <c r="H93" s="104"/>
      <c r="I93" s="118">
        <v>46029</v>
      </c>
      <c r="J93" s="192">
        <v>3</v>
      </c>
      <c r="K93" s="122"/>
      <c r="L93" s="120">
        <f t="shared" si="10"/>
        <v>46119</v>
      </c>
      <c r="M93" s="121">
        <f ca="1" t="shared" si="11"/>
        <v>84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97</v>
      </c>
      <c r="C94" s="79" t="s">
        <v>13</v>
      </c>
      <c r="D94" s="74" t="s">
        <v>179</v>
      </c>
      <c r="E94" s="79" t="s">
        <v>180</v>
      </c>
      <c r="F94" s="80"/>
      <c r="G94" s="81"/>
      <c r="H94" s="104"/>
      <c r="I94" s="118">
        <v>46029</v>
      </c>
      <c r="J94" s="192">
        <v>3</v>
      </c>
      <c r="K94" s="122"/>
      <c r="L94" s="120">
        <f t="shared" si="10"/>
        <v>46119</v>
      </c>
      <c r="M94" s="121">
        <f ca="1" t="shared" si="11"/>
        <v>84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97</v>
      </c>
      <c r="C95" s="79" t="s">
        <v>23</v>
      </c>
      <c r="D95" s="188" t="s">
        <v>181</v>
      </c>
      <c r="E95" s="79" t="s">
        <v>84</v>
      </c>
      <c r="F95" s="80"/>
      <c r="G95" s="81"/>
      <c r="H95" s="104"/>
      <c r="I95" s="118">
        <v>46029</v>
      </c>
      <c r="J95" s="192">
        <v>3</v>
      </c>
      <c r="K95" s="122"/>
      <c r="L95" s="120">
        <f t="shared" si="10"/>
        <v>46119</v>
      </c>
      <c r="M95" s="121">
        <f ca="1" t="shared" si="11"/>
        <v>84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3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3"/>
      <c r="AY95" s="120"/>
      <c r="AZ95" s="121"/>
    </row>
    <row r="96" spans="1:52">
      <c r="A96" s="73">
        <v>94</v>
      </c>
      <c r="B96" s="73" t="s">
        <v>97</v>
      </c>
      <c r="C96" s="79" t="s">
        <v>23</v>
      </c>
      <c r="D96" s="90" t="s">
        <v>182</v>
      </c>
      <c r="E96" s="79" t="s">
        <v>183</v>
      </c>
      <c r="F96" s="80"/>
      <c r="G96" s="81"/>
      <c r="H96" s="104"/>
      <c r="I96" s="118">
        <v>46029</v>
      </c>
      <c r="J96" s="192">
        <v>3</v>
      </c>
      <c r="K96" s="122"/>
      <c r="L96" s="120">
        <f t="shared" si="10"/>
        <v>46119</v>
      </c>
      <c r="M96" s="121">
        <f ca="1" t="shared" si="11"/>
        <v>84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3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23</v>
      </c>
      <c r="D97" s="105" t="s">
        <v>184</v>
      </c>
      <c r="E97" s="176" t="s">
        <v>185</v>
      </c>
      <c r="F97" s="177"/>
      <c r="G97" s="178"/>
      <c r="H97" s="145" t="s">
        <v>16</v>
      </c>
      <c r="I97" s="118">
        <v>46029</v>
      </c>
      <c r="J97" s="192">
        <v>3</v>
      </c>
      <c r="K97" s="122"/>
      <c r="L97" s="120">
        <f t="shared" si="10"/>
        <v>46119</v>
      </c>
      <c r="M97" s="121">
        <f ca="1" t="shared" si="11"/>
        <v>84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3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186</v>
      </c>
      <c r="E98" s="176" t="s">
        <v>57</v>
      </c>
      <c r="F98" s="177"/>
      <c r="G98" s="178"/>
      <c r="H98" s="145" t="s">
        <v>16</v>
      </c>
      <c r="I98" s="118">
        <v>46029</v>
      </c>
      <c r="J98" s="192">
        <v>3</v>
      </c>
      <c r="K98" s="122"/>
      <c r="L98" s="120">
        <f t="shared" si="10"/>
        <v>46119</v>
      </c>
      <c r="M98" s="121">
        <f ca="1" t="shared" si="11"/>
        <v>84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3"/>
      <c r="AY98" s="120"/>
      <c r="AZ98" s="121"/>
    </row>
    <row r="99" s="58" customFormat="1" spans="1:52">
      <c r="A99" s="73">
        <v>97</v>
      </c>
      <c r="B99" s="73" t="s">
        <v>187</v>
      </c>
      <c r="C99" s="113" t="s">
        <v>23</v>
      </c>
      <c r="D99" s="105" t="s">
        <v>188</v>
      </c>
      <c r="E99" s="176" t="s">
        <v>189</v>
      </c>
      <c r="F99" s="177"/>
      <c r="G99" s="178"/>
      <c r="H99" s="109"/>
      <c r="I99" s="118">
        <v>46029</v>
      </c>
      <c r="J99" s="192">
        <v>3</v>
      </c>
      <c r="K99" s="122"/>
      <c r="L99" s="120">
        <f t="shared" si="10"/>
        <v>46119</v>
      </c>
      <c r="M99" s="121">
        <f ca="1" t="shared" si="11"/>
        <v>84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3"/>
      <c r="AY99" s="120"/>
      <c r="AZ99" s="121"/>
    </row>
    <row r="100" s="58" customFormat="1" spans="1:52">
      <c r="A100" s="73">
        <v>98</v>
      </c>
      <c r="B100" s="73" t="s">
        <v>190</v>
      </c>
      <c r="C100" s="113" t="s">
        <v>13</v>
      </c>
      <c r="D100" s="105" t="s">
        <v>191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/>
      <c r="L100" s="120">
        <f t="shared" si="10"/>
        <v>46119</v>
      </c>
      <c r="M100" s="121">
        <f ca="1" t="shared" si="11"/>
        <v>84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190</v>
      </c>
      <c r="C101" s="113" t="s">
        <v>13</v>
      </c>
      <c r="D101" s="105" t="s">
        <v>192</v>
      </c>
      <c r="E101" s="106" t="s">
        <v>27</v>
      </c>
      <c r="F101" s="107"/>
      <c r="G101" s="108"/>
      <c r="H101" s="145" t="s">
        <v>16</v>
      </c>
      <c r="I101" s="118">
        <v>46029</v>
      </c>
      <c r="J101" s="192">
        <v>3</v>
      </c>
      <c r="K101" s="122"/>
      <c r="L101" s="120">
        <f t="shared" si="10"/>
        <v>46119</v>
      </c>
      <c r="M101" s="121">
        <f ca="1" t="shared" si="11"/>
        <v>84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3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3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3"/>
      <c r="AY101" s="120"/>
      <c r="AZ101" s="121"/>
    </row>
    <row r="102" s="58" customFormat="1" spans="1:52">
      <c r="A102" s="73">
        <v>100</v>
      </c>
      <c r="B102" s="73" t="s">
        <v>190</v>
      </c>
      <c r="C102" s="113" t="s">
        <v>13</v>
      </c>
      <c r="D102" s="105" t="s">
        <v>193</v>
      </c>
      <c r="E102" s="106" t="s">
        <v>53</v>
      </c>
      <c r="F102" s="107"/>
      <c r="G102" s="108"/>
      <c r="H102" s="145" t="s">
        <v>16</v>
      </c>
      <c r="I102" s="118">
        <v>46029</v>
      </c>
      <c r="J102" s="192">
        <v>3</v>
      </c>
      <c r="K102" s="123"/>
      <c r="L102" s="120">
        <f t="shared" si="10"/>
        <v>46119</v>
      </c>
      <c r="M102" s="121">
        <f ca="1" t="shared" si="11"/>
        <v>84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3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3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3"/>
      <c r="AY102" s="120"/>
      <c r="AZ102" s="121"/>
    </row>
    <row r="103" s="58" customFormat="1" spans="1:52">
      <c r="A103" s="73">
        <v>101</v>
      </c>
      <c r="B103" s="152" t="s">
        <v>35</v>
      </c>
      <c r="C103" s="152" t="s">
        <v>23</v>
      </c>
      <c r="D103" s="105" t="s">
        <v>194</v>
      </c>
      <c r="E103" s="106" t="s">
        <v>195</v>
      </c>
      <c r="F103" s="107"/>
      <c r="G103" s="108"/>
      <c r="H103" s="145" t="s">
        <v>16</v>
      </c>
      <c r="I103" s="118">
        <v>46029</v>
      </c>
      <c r="J103" s="192">
        <v>3</v>
      </c>
      <c r="K103" s="123"/>
      <c r="L103" s="120">
        <f t="shared" si="10"/>
        <v>46119</v>
      </c>
      <c r="M103" s="121">
        <f ca="1" t="shared" si="11"/>
        <v>84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3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3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3"/>
      <c r="AY103" s="120"/>
      <c r="AZ103" s="121"/>
    </row>
    <row r="104" s="58" customFormat="1" spans="1:52">
      <c r="A104" s="73">
        <v>102</v>
      </c>
      <c r="B104" s="152" t="s">
        <v>35</v>
      </c>
      <c r="C104" s="152" t="s">
        <v>23</v>
      </c>
      <c r="D104" s="105" t="s">
        <v>196</v>
      </c>
      <c r="E104" s="106" t="s">
        <v>20</v>
      </c>
      <c r="F104" s="107"/>
      <c r="G104" s="108"/>
      <c r="H104" s="145" t="s">
        <v>16</v>
      </c>
      <c r="I104" s="118">
        <v>46029</v>
      </c>
      <c r="J104" s="192">
        <v>3</v>
      </c>
      <c r="K104" s="123"/>
      <c r="L104" s="120">
        <f t="shared" si="10"/>
        <v>46119</v>
      </c>
      <c r="M104" s="121">
        <f ca="1" t="shared" si="11"/>
        <v>84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3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3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3"/>
      <c r="AY104" s="120"/>
      <c r="AZ104" s="121"/>
    </row>
    <row r="105" spans="1:52">
      <c r="A105" s="73">
        <v>103</v>
      </c>
      <c r="B105" s="152" t="s">
        <v>35</v>
      </c>
      <c r="C105" s="152" t="s">
        <v>23</v>
      </c>
      <c r="D105" s="74" t="s">
        <v>197</v>
      </c>
      <c r="E105" s="106" t="s">
        <v>20</v>
      </c>
      <c r="F105" s="107"/>
      <c r="G105" s="108"/>
      <c r="H105" s="145" t="s">
        <v>16</v>
      </c>
      <c r="I105" s="118">
        <v>46029</v>
      </c>
      <c r="J105" s="192">
        <v>3</v>
      </c>
      <c r="K105" s="123"/>
      <c r="L105" s="120">
        <f t="shared" si="10"/>
        <v>46119</v>
      </c>
      <c r="M105" s="121">
        <f ca="1" t="shared" si="11"/>
        <v>84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3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3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3"/>
      <c r="AY105" s="120"/>
      <c r="AZ105" s="121"/>
    </row>
    <row r="106" spans="1:52">
      <c r="A106" s="73">
        <v>104</v>
      </c>
      <c r="B106" s="152" t="s">
        <v>35</v>
      </c>
      <c r="C106" s="152" t="s">
        <v>13</v>
      </c>
      <c r="D106" s="74" t="s">
        <v>198</v>
      </c>
      <c r="E106" s="106" t="s">
        <v>199</v>
      </c>
      <c r="F106" s="107"/>
      <c r="G106" s="108"/>
      <c r="H106" s="145" t="s">
        <v>16</v>
      </c>
      <c r="I106" s="118">
        <v>46029</v>
      </c>
      <c r="J106" s="192">
        <v>3</v>
      </c>
      <c r="K106" s="123"/>
      <c r="L106" s="120">
        <f t="shared" si="10"/>
        <v>46119</v>
      </c>
      <c r="M106" s="121">
        <f ca="1" t="shared" si="11"/>
        <v>84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3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3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3"/>
      <c r="AY106" s="120"/>
      <c r="AZ106" s="121"/>
    </row>
    <row r="107" s="58" customFormat="1" spans="1:52">
      <c r="A107" s="73">
        <v>105</v>
      </c>
      <c r="B107" s="152" t="s">
        <v>35</v>
      </c>
      <c r="C107" s="152" t="s">
        <v>13</v>
      </c>
      <c r="D107" s="105" t="s">
        <v>200</v>
      </c>
      <c r="E107" s="176" t="s">
        <v>201</v>
      </c>
      <c r="F107" s="177"/>
      <c r="G107" s="178"/>
      <c r="H107" s="145" t="s">
        <v>16</v>
      </c>
      <c r="I107" s="118">
        <v>46029</v>
      </c>
      <c r="J107" s="192">
        <v>3</v>
      </c>
      <c r="K107" s="123"/>
      <c r="L107" s="120">
        <f t="shared" si="10"/>
        <v>46119</v>
      </c>
      <c r="M107" s="121">
        <f ca="1" t="shared" si="11"/>
        <v>84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3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3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3"/>
      <c r="AY107" s="120"/>
      <c r="AZ107" s="121"/>
    </row>
    <row r="108" s="58" customFormat="1" spans="1:52">
      <c r="A108" s="73">
        <v>106</v>
      </c>
      <c r="B108" s="152" t="s">
        <v>35</v>
      </c>
      <c r="C108" s="152" t="s">
        <v>13</v>
      </c>
      <c r="D108" s="105" t="s">
        <v>202</v>
      </c>
      <c r="E108" s="176" t="s">
        <v>203</v>
      </c>
      <c r="F108" s="177"/>
      <c r="G108" s="178"/>
      <c r="H108" s="145" t="s">
        <v>16</v>
      </c>
      <c r="I108" s="118">
        <v>46029</v>
      </c>
      <c r="J108" s="192">
        <v>3</v>
      </c>
      <c r="K108" s="123"/>
      <c r="L108" s="120">
        <f t="shared" si="10"/>
        <v>46119</v>
      </c>
      <c r="M108" s="121">
        <f ca="1" t="shared" si="11"/>
        <v>84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3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3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3"/>
      <c r="AY108" s="120"/>
      <c r="AZ108" s="121"/>
    </row>
    <row r="109" s="58" customFormat="1" spans="1:52">
      <c r="A109" s="73">
        <v>107</v>
      </c>
      <c r="B109" s="152" t="s">
        <v>35</v>
      </c>
      <c r="C109" s="152" t="s">
        <v>13</v>
      </c>
      <c r="D109" s="105" t="s">
        <v>204</v>
      </c>
      <c r="E109" s="176" t="s">
        <v>205</v>
      </c>
      <c r="F109" s="177"/>
      <c r="G109" s="178"/>
      <c r="H109" s="145" t="s">
        <v>16</v>
      </c>
      <c r="I109" s="118">
        <v>46029</v>
      </c>
      <c r="J109" s="192">
        <v>3</v>
      </c>
      <c r="K109" s="123"/>
      <c r="L109" s="120">
        <f t="shared" si="10"/>
        <v>46119</v>
      </c>
      <c r="M109" s="121">
        <f ca="1" t="shared" si="11"/>
        <v>84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3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3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3"/>
      <c r="AY109" s="120"/>
      <c r="AZ109" s="121"/>
    </row>
    <row r="110" s="58" customFormat="1" ht="18" customHeight="1" spans="1:52">
      <c r="A110" s="73">
        <v>108</v>
      </c>
      <c r="B110" s="152" t="s">
        <v>206</v>
      </c>
      <c r="C110" s="152" t="s">
        <v>23</v>
      </c>
      <c r="D110" s="105" t="s">
        <v>207</v>
      </c>
      <c r="E110" s="176" t="s">
        <v>84</v>
      </c>
      <c r="F110" s="177"/>
      <c r="G110" s="178"/>
      <c r="H110" s="145" t="s">
        <v>16</v>
      </c>
      <c r="I110" s="118">
        <v>46029</v>
      </c>
      <c r="J110" s="192">
        <v>3</v>
      </c>
      <c r="K110" s="123"/>
      <c r="L110" s="120">
        <f t="shared" si="10"/>
        <v>46119</v>
      </c>
      <c r="M110" s="121">
        <f ca="1" t="shared" si="11"/>
        <v>84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206</v>
      </c>
      <c r="C111" s="152" t="s">
        <v>23</v>
      </c>
      <c r="D111" s="105" t="s">
        <v>208</v>
      </c>
      <c r="E111" s="106" t="s">
        <v>209</v>
      </c>
      <c r="F111" s="107"/>
      <c r="G111" s="108"/>
      <c r="H111" s="109"/>
      <c r="I111" s="118">
        <v>46029</v>
      </c>
      <c r="J111" s="192">
        <v>3</v>
      </c>
      <c r="K111" s="123"/>
      <c r="L111" s="120">
        <f t="shared" si="10"/>
        <v>46119</v>
      </c>
      <c r="M111" s="121">
        <f ca="1" t="shared" si="11"/>
        <v>84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3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3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3"/>
      <c r="AY111" s="120"/>
      <c r="AZ111" s="121"/>
    </row>
    <row r="112" s="58" customFormat="1" spans="1:52">
      <c r="A112" s="73">
        <v>110</v>
      </c>
      <c r="B112" s="152" t="s">
        <v>210</v>
      </c>
      <c r="C112" s="152" t="s">
        <v>108</v>
      </c>
      <c r="D112" s="105" t="s">
        <v>211</v>
      </c>
      <c r="E112" s="106" t="s">
        <v>212</v>
      </c>
      <c r="F112" s="107"/>
      <c r="G112" s="108"/>
      <c r="H112" s="109"/>
      <c r="I112" s="118">
        <v>46029</v>
      </c>
      <c r="J112" s="192">
        <v>3</v>
      </c>
      <c r="K112" s="123"/>
      <c r="L112" s="120">
        <f t="shared" ref="L112:L147" si="12">EDATE(I112,J112)</f>
        <v>46119</v>
      </c>
      <c r="M112" s="121">
        <f ca="1" t="shared" ref="M112:M147" si="13">L112-TODAY()</f>
        <v>84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3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3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3"/>
      <c r="AY112" s="120"/>
      <c r="AZ112" s="121"/>
    </row>
    <row r="113" s="58" customFormat="1" spans="1:52">
      <c r="A113" s="73">
        <v>111</v>
      </c>
      <c r="B113" s="152" t="s">
        <v>213</v>
      </c>
      <c r="C113" s="152" t="s">
        <v>13</v>
      </c>
      <c r="D113" s="105" t="s">
        <v>214</v>
      </c>
      <c r="E113" s="106" t="s">
        <v>215</v>
      </c>
      <c r="F113" s="107"/>
      <c r="G113" s="108"/>
      <c r="H113" s="109"/>
      <c r="I113" s="118">
        <v>46029</v>
      </c>
      <c r="J113" s="192">
        <v>3</v>
      </c>
      <c r="K113" s="123"/>
      <c r="L113" s="120">
        <f t="shared" si="12"/>
        <v>46119</v>
      </c>
      <c r="M113" s="121">
        <f ca="1" t="shared" si="13"/>
        <v>84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3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3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3"/>
      <c r="AY113" s="120"/>
      <c r="AZ113" s="121"/>
    </row>
    <row r="114" s="58" customFormat="1" spans="1:52">
      <c r="A114" s="73">
        <v>112</v>
      </c>
      <c r="B114" s="152" t="s">
        <v>216</v>
      </c>
      <c r="C114" s="152" t="s">
        <v>154</v>
      </c>
      <c r="D114" s="105" t="s">
        <v>217</v>
      </c>
      <c r="E114" s="106" t="s">
        <v>218</v>
      </c>
      <c r="F114" s="107"/>
      <c r="G114" s="108"/>
      <c r="H114" s="89" t="s">
        <v>16</v>
      </c>
      <c r="I114" s="118">
        <v>46029</v>
      </c>
      <c r="J114" s="192">
        <v>3</v>
      </c>
      <c r="K114" s="123"/>
      <c r="L114" s="120">
        <f t="shared" si="12"/>
        <v>46119</v>
      </c>
      <c r="M114" s="121">
        <f ca="1" t="shared" si="13"/>
        <v>84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3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3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3"/>
      <c r="AY114" s="120"/>
      <c r="AZ114" s="121"/>
    </row>
    <row r="115" s="58" customFormat="1" spans="1:52">
      <c r="A115" s="73">
        <v>113</v>
      </c>
      <c r="B115" s="152" t="s">
        <v>219</v>
      </c>
      <c r="C115" s="152" t="s">
        <v>154</v>
      </c>
      <c r="D115" s="105" t="s">
        <v>220</v>
      </c>
      <c r="E115" s="106" t="s">
        <v>221</v>
      </c>
      <c r="F115" s="107"/>
      <c r="G115" s="108"/>
      <c r="H115" s="89" t="s">
        <v>16</v>
      </c>
      <c r="I115" s="118">
        <v>46029</v>
      </c>
      <c r="J115" s="192">
        <v>3</v>
      </c>
      <c r="K115" s="123"/>
      <c r="L115" s="120">
        <f t="shared" si="12"/>
        <v>46119</v>
      </c>
      <c r="M115" s="121">
        <f ca="1" t="shared" si="13"/>
        <v>84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3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3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3"/>
      <c r="AY115" s="120"/>
      <c r="AZ115" s="121"/>
    </row>
    <row r="116" s="58" customFormat="1" spans="1:52">
      <c r="A116" s="73">
        <v>114</v>
      </c>
      <c r="B116" s="152" t="s">
        <v>219</v>
      </c>
      <c r="C116" s="152" t="s">
        <v>154</v>
      </c>
      <c r="D116" s="170" t="s">
        <v>222</v>
      </c>
      <c r="E116" s="106" t="s">
        <v>221</v>
      </c>
      <c r="F116" s="107"/>
      <c r="G116" s="108"/>
      <c r="H116" s="89" t="s">
        <v>16</v>
      </c>
      <c r="I116" s="118">
        <v>46029</v>
      </c>
      <c r="J116" s="192">
        <v>3</v>
      </c>
      <c r="K116" s="123"/>
      <c r="L116" s="120">
        <f t="shared" si="12"/>
        <v>46119</v>
      </c>
      <c r="M116" s="121">
        <f ca="1" t="shared" si="13"/>
        <v>84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3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3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3"/>
      <c r="AY116" s="120"/>
      <c r="AZ116" s="121"/>
    </row>
    <row r="117" s="58" customFormat="1" spans="1:52">
      <c r="A117" s="73">
        <v>115</v>
      </c>
      <c r="B117" s="152" t="s">
        <v>223</v>
      </c>
      <c r="C117" s="152" t="s">
        <v>154</v>
      </c>
      <c r="D117" s="189" t="s">
        <v>224</v>
      </c>
      <c r="E117" s="106" t="s">
        <v>225</v>
      </c>
      <c r="F117" s="107"/>
      <c r="G117" s="108"/>
      <c r="H117" s="82"/>
      <c r="I117" s="118">
        <v>46029</v>
      </c>
      <c r="J117" s="192">
        <v>3</v>
      </c>
      <c r="K117" s="123"/>
      <c r="L117" s="120">
        <f t="shared" si="12"/>
        <v>46119</v>
      </c>
      <c r="M117" s="121">
        <f ca="1" t="shared" si="13"/>
        <v>84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3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3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3"/>
      <c r="AY117" s="120"/>
      <c r="AZ117" s="121"/>
    </row>
    <row r="118" s="58" customFormat="1" spans="1:52">
      <c r="A118" s="73">
        <v>116</v>
      </c>
      <c r="B118" s="152" t="s">
        <v>226</v>
      </c>
      <c r="C118" s="152" t="s">
        <v>154</v>
      </c>
      <c r="D118" s="165" t="s">
        <v>227</v>
      </c>
      <c r="E118" s="106" t="s">
        <v>228</v>
      </c>
      <c r="F118" s="107"/>
      <c r="G118" s="108"/>
      <c r="H118" s="89" t="s">
        <v>16</v>
      </c>
      <c r="I118" s="118">
        <v>46029</v>
      </c>
      <c r="J118" s="192">
        <v>3</v>
      </c>
      <c r="K118" s="123"/>
      <c r="L118" s="120">
        <f t="shared" si="12"/>
        <v>46119</v>
      </c>
      <c r="M118" s="121">
        <f ca="1" t="shared" si="13"/>
        <v>84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3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3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3"/>
      <c r="AY118" s="120"/>
      <c r="AZ118" s="121"/>
    </row>
    <row r="119" s="58" customFormat="1" spans="1:52">
      <c r="A119" s="73">
        <v>117</v>
      </c>
      <c r="B119" s="152" t="s">
        <v>226</v>
      </c>
      <c r="C119" s="152" t="s">
        <v>154</v>
      </c>
      <c r="D119" s="165" t="s">
        <v>229</v>
      </c>
      <c r="E119" s="106" t="s">
        <v>230</v>
      </c>
      <c r="F119" s="107"/>
      <c r="G119" s="108"/>
      <c r="H119" s="89" t="s">
        <v>16</v>
      </c>
      <c r="I119" s="118">
        <v>46029</v>
      </c>
      <c r="J119" s="192">
        <v>3</v>
      </c>
      <c r="K119" s="123"/>
      <c r="L119" s="120">
        <f t="shared" si="12"/>
        <v>46119</v>
      </c>
      <c r="M119" s="121">
        <f ca="1" t="shared" si="13"/>
        <v>84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3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3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3"/>
      <c r="AY119" s="120"/>
      <c r="AZ119" s="121"/>
    </row>
    <row r="120" s="58" customFormat="1" spans="1:52">
      <c r="A120" s="73">
        <v>118</v>
      </c>
      <c r="B120" s="152" t="s">
        <v>231</v>
      </c>
      <c r="C120" s="152" t="s">
        <v>23</v>
      </c>
      <c r="D120" s="189" t="s">
        <v>232</v>
      </c>
      <c r="E120" s="106" t="s">
        <v>20</v>
      </c>
      <c r="F120" s="107"/>
      <c r="G120" s="108"/>
      <c r="H120" s="89" t="s">
        <v>16</v>
      </c>
      <c r="I120" s="118">
        <v>46030</v>
      </c>
      <c r="J120" s="193">
        <v>3</v>
      </c>
      <c r="K120" s="123"/>
      <c r="L120" s="120">
        <f t="shared" si="12"/>
        <v>46120</v>
      </c>
      <c r="M120" s="121">
        <f ca="1" t="shared" si="13"/>
        <v>85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3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3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3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23</v>
      </c>
      <c r="D121" s="189" t="s">
        <v>233</v>
      </c>
      <c r="E121" s="106" t="s">
        <v>84</v>
      </c>
      <c r="F121" s="107"/>
      <c r="G121" s="108"/>
      <c r="H121" s="82"/>
      <c r="I121" s="118">
        <v>46030</v>
      </c>
      <c r="J121" s="193">
        <v>3</v>
      </c>
      <c r="K121" s="123"/>
      <c r="L121" s="120">
        <f t="shared" si="12"/>
        <v>46120</v>
      </c>
      <c r="M121" s="121">
        <f ca="1" t="shared" si="13"/>
        <v>85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3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3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3"/>
      <c r="AY121" s="120"/>
      <c r="AZ121" s="121"/>
    </row>
    <row r="122" s="58" customFormat="1" spans="1:52">
      <c r="A122" s="73">
        <v>120</v>
      </c>
      <c r="B122" s="152" t="s">
        <v>97</v>
      </c>
      <c r="C122" s="152" t="s">
        <v>13</v>
      </c>
      <c r="D122" s="189" t="s">
        <v>234</v>
      </c>
      <c r="E122" s="155" t="s">
        <v>57</v>
      </c>
      <c r="F122" s="156"/>
      <c r="G122" s="157"/>
      <c r="H122" s="82"/>
      <c r="I122" s="118">
        <v>46030</v>
      </c>
      <c r="J122" s="193">
        <v>3</v>
      </c>
      <c r="K122" s="123"/>
      <c r="L122" s="120">
        <f t="shared" si="12"/>
        <v>46120</v>
      </c>
      <c r="M122" s="121">
        <f ca="1" t="shared" si="13"/>
        <v>85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3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3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3"/>
      <c r="AY122" s="120"/>
      <c r="AZ122" s="121"/>
    </row>
    <row r="123" s="58" customFormat="1" spans="1:52">
      <c r="A123" s="73">
        <v>121</v>
      </c>
      <c r="B123" s="152" t="s">
        <v>97</v>
      </c>
      <c r="C123" s="152" t="s">
        <v>13</v>
      </c>
      <c r="D123" s="189" t="s">
        <v>235</v>
      </c>
      <c r="E123" s="155" t="s">
        <v>61</v>
      </c>
      <c r="F123" s="156"/>
      <c r="G123" s="157"/>
      <c r="H123" s="82"/>
      <c r="I123" s="118">
        <v>46030</v>
      </c>
      <c r="J123" s="193">
        <v>3</v>
      </c>
      <c r="K123" s="123"/>
      <c r="L123" s="120">
        <f t="shared" si="12"/>
        <v>46120</v>
      </c>
      <c r="M123" s="121">
        <f ca="1" t="shared" si="13"/>
        <v>85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3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3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3"/>
      <c r="AY123" s="120"/>
      <c r="AZ123" s="121"/>
    </row>
    <row r="124" s="58" customFormat="1" spans="1:52">
      <c r="A124" s="73">
        <v>122</v>
      </c>
      <c r="B124" s="152" t="s">
        <v>97</v>
      </c>
      <c r="C124" s="152" t="s">
        <v>13</v>
      </c>
      <c r="D124" s="189" t="s">
        <v>236</v>
      </c>
      <c r="E124" s="155" t="s">
        <v>37</v>
      </c>
      <c r="F124" s="156"/>
      <c r="G124" s="157"/>
      <c r="H124" s="82"/>
      <c r="I124" s="118">
        <v>46030</v>
      </c>
      <c r="J124" s="193">
        <v>3</v>
      </c>
      <c r="K124" s="123"/>
      <c r="L124" s="120">
        <f t="shared" si="12"/>
        <v>46120</v>
      </c>
      <c r="M124" s="121">
        <f ca="1" t="shared" si="13"/>
        <v>85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3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3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3"/>
      <c r="AY124" s="120"/>
      <c r="AZ124" s="121"/>
    </row>
    <row r="125" s="58" customFormat="1" spans="1:52">
      <c r="A125" s="73">
        <v>123</v>
      </c>
      <c r="B125" s="152" t="s">
        <v>97</v>
      </c>
      <c r="C125" s="152" t="s">
        <v>23</v>
      </c>
      <c r="D125" s="189" t="s">
        <v>237</v>
      </c>
      <c r="E125" s="155" t="s">
        <v>238</v>
      </c>
      <c r="F125" s="156"/>
      <c r="G125" s="157"/>
      <c r="H125" s="82"/>
      <c r="I125" s="118">
        <v>46030</v>
      </c>
      <c r="J125" s="193">
        <v>3</v>
      </c>
      <c r="K125" s="123"/>
      <c r="L125" s="120">
        <f t="shared" si="12"/>
        <v>46120</v>
      </c>
      <c r="M125" s="121">
        <f ca="1" t="shared" si="13"/>
        <v>85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3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3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3"/>
      <c r="AY125" s="120"/>
      <c r="AZ125" s="121"/>
    </row>
    <row r="126" spans="1:52">
      <c r="A126" s="73">
        <v>124</v>
      </c>
      <c r="B126" s="152" t="s">
        <v>97</v>
      </c>
      <c r="C126" s="152" t="s">
        <v>23</v>
      </c>
      <c r="D126" s="190" t="s">
        <v>239</v>
      </c>
      <c r="E126" s="155" t="s">
        <v>240</v>
      </c>
      <c r="F126" s="156"/>
      <c r="G126" s="157"/>
      <c r="H126" s="82"/>
      <c r="I126" s="118">
        <v>46030</v>
      </c>
      <c r="J126" s="193">
        <v>3</v>
      </c>
      <c r="K126" s="123"/>
      <c r="L126" s="120">
        <f t="shared" si="12"/>
        <v>46120</v>
      </c>
      <c r="M126" s="121">
        <f ca="1" t="shared" si="13"/>
        <v>85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3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3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3"/>
      <c r="AY126" s="120"/>
      <c r="AZ126" s="121"/>
    </row>
    <row r="127" spans="1:52">
      <c r="A127" s="73">
        <v>125</v>
      </c>
      <c r="B127" s="152" t="s">
        <v>97</v>
      </c>
      <c r="C127" s="152" t="s">
        <v>23</v>
      </c>
      <c r="D127" s="191" t="s">
        <v>241</v>
      </c>
      <c r="E127" s="79" t="s">
        <v>242</v>
      </c>
      <c r="F127" s="80"/>
      <c r="G127" s="81"/>
      <c r="H127" s="82"/>
      <c r="I127" s="118">
        <v>46030</v>
      </c>
      <c r="J127" s="193">
        <v>3</v>
      </c>
      <c r="K127" s="123"/>
      <c r="L127" s="120">
        <f t="shared" si="12"/>
        <v>46120</v>
      </c>
      <c r="M127" s="121">
        <f ca="1" t="shared" si="13"/>
        <v>85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3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3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3"/>
      <c r="AY127" s="120"/>
      <c r="AZ127" s="121"/>
    </row>
    <row r="128" spans="1:52">
      <c r="A128" s="73">
        <v>126</v>
      </c>
      <c r="B128" s="152" t="s">
        <v>97</v>
      </c>
      <c r="C128" s="152" t="s">
        <v>23</v>
      </c>
      <c r="D128" s="191" t="s">
        <v>243</v>
      </c>
      <c r="E128" s="79" t="s">
        <v>25</v>
      </c>
      <c r="F128" s="80"/>
      <c r="G128" s="81"/>
      <c r="H128" s="82"/>
      <c r="I128" s="118">
        <v>46030</v>
      </c>
      <c r="J128" s="193">
        <v>3</v>
      </c>
      <c r="K128" s="123"/>
      <c r="L128" s="120">
        <f t="shared" si="12"/>
        <v>46120</v>
      </c>
      <c r="M128" s="121">
        <f ca="1" t="shared" si="13"/>
        <v>85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3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3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3"/>
      <c r="AY128" s="120"/>
      <c r="AZ128" s="121"/>
    </row>
    <row r="129" spans="1:52">
      <c r="A129" s="73">
        <v>127</v>
      </c>
      <c r="B129" s="152" t="s">
        <v>97</v>
      </c>
      <c r="C129" s="194" t="s">
        <v>13</v>
      </c>
      <c r="D129" s="191" t="s">
        <v>244</v>
      </c>
      <c r="E129" s="79" t="s">
        <v>245</v>
      </c>
      <c r="F129" s="80"/>
      <c r="G129" s="81"/>
      <c r="H129" s="89" t="s">
        <v>16</v>
      </c>
      <c r="I129" s="118">
        <v>46030</v>
      </c>
      <c r="J129" s="193">
        <v>3</v>
      </c>
      <c r="K129" s="123"/>
      <c r="L129" s="120">
        <f t="shared" si="12"/>
        <v>46120</v>
      </c>
      <c r="M129" s="121">
        <f ca="1" t="shared" si="13"/>
        <v>85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3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3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3"/>
      <c r="AY129" s="120"/>
      <c r="AZ129" s="121"/>
    </row>
    <row r="130" spans="1:52">
      <c r="A130" s="73">
        <v>128</v>
      </c>
      <c r="B130" s="152" t="s">
        <v>97</v>
      </c>
      <c r="C130" s="194" t="s">
        <v>13</v>
      </c>
      <c r="D130" s="191" t="s">
        <v>246</v>
      </c>
      <c r="E130" s="79" t="s">
        <v>44</v>
      </c>
      <c r="F130" s="80"/>
      <c r="G130" s="81"/>
      <c r="H130" s="89" t="s">
        <v>16</v>
      </c>
      <c r="I130" s="118">
        <v>46030</v>
      </c>
      <c r="J130" s="193">
        <v>3</v>
      </c>
      <c r="K130" s="123"/>
      <c r="L130" s="120">
        <f t="shared" si="12"/>
        <v>46120</v>
      </c>
      <c r="M130" s="121">
        <f ca="1" t="shared" si="13"/>
        <v>85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3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3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3"/>
      <c r="AY130" s="120"/>
      <c r="AZ130" s="121"/>
    </row>
    <row r="131" spans="1:52">
      <c r="A131" s="73">
        <v>129</v>
      </c>
      <c r="B131" s="152" t="s">
        <v>247</v>
      </c>
      <c r="C131" s="201" t="s">
        <v>13</v>
      </c>
      <c r="D131" s="191" t="s">
        <v>248</v>
      </c>
      <c r="E131" s="79" t="s">
        <v>37</v>
      </c>
      <c r="F131" s="80"/>
      <c r="G131" s="81"/>
      <c r="H131" s="89" t="s">
        <v>16</v>
      </c>
      <c r="I131" s="118">
        <v>46030</v>
      </c>
      <c r="J131" s="193">
        <v>3</v>
      </c>
      <c r="K131" s="123"/>
      <c r="L131" s="120">
        <f t="shared" si="12"/>
        <v>46120</v>
      </c>
      <c r="M131" s="121">
        <f ca="1" t="shared" si="13"/>
        <v>85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3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3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3"/>
      <c r="AY131" s="120"/>
      <c r="AZ131" s="121"/>
    </row>
    <row r="132" spans="1:52">
      <c r="A132" s="73">
        <v>130</v>
      </c>
      <c r="B132" s="152" t="s">
        <v>249</v>
      </c>
      <c r="C132" s="201" t="s">
        <v>13</v>
      </c>
      <c r="D132" s="191" t="s">
        <v>250</v>
      </c>
      <c r="E132" s="79" t="s">
        <v>40</v>
      </c>
      <c r="F132" s="80"/>
      <c r="G132" s="81"/>
      <c r="H132" s="82"/>
      <c r="I132" s="118">
        <v>46030</v>
      </c>
      <c r="J132" s="193">
        <v>3</v>
      </c>
      <c r="K132" s="123"/>
      <c r="L132" s="120">
        <f t="shared" si="12"/>
        <v>46120</v>
      </c>
      <c r="M132" s="121">
        <f ca="1" t="shared" si="13"/>
        <v>85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3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3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3"/>
      <c r="AY132" s="120"/>
      <c r="AZ132" s="121"/>
    </row>
    <row r="133" spans="1:52">
      <c r="A133" s="73">
        <v>131</v>
      </c>
      <c r="B133" s="152" t="s">
        <v>59</v>
      </c>
      <c r="C133" s="201" t="s">
        <v>23</v>
      </c>
      <c r="D133" s="210" t="s">
        <v>251</v>
      </c>
      <c r="E133" s="79" t="s">
        <v>84</v>
      </c>
      <c r="F133" s="80"/>
      <c r="G133" s="81"/>
      <c r="H133" s="82"/>
      <c r="I133" s="118">
        <v>46030</v>
      </c>
      <c r="J133" s="193">
        <v>3</v>
      </c>
      <c r="K133" s="123"/>
      <c r="L133" s="120">
        <f t="shared" si="12"/>
        <v>46120</v>
      </c>
      <c r="M133" s="121">
        <f ca="1" t="shared" si="13"/>
        <v>85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3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3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3"/>
      <c r="AY133" s="120"/>
      <c r="AZ133" s="121"/>
    </row>
    <row r="134" spans="1:52">
      <c r="A134" s="73">
        <v>132</v>
      </c>
      <c r="B134" s="152" t="s">
        <v>59</v>
      </c>
      <c r="C134" s="201" t="s">
        <v>23</v>
      </c>
      <c r="D134" s="210" t="s">
        <v>252</v>
      </c>
      <c r="E134" s="79" t="s">
        <v>253</v>
      </c>
      <c r="F134" s="80"/>
      <c r="G134" s="81"/>
      <c r="H134" s="89" t="s">
        <v>16</v>
      </c>
      <c r="I134" s="118">
        <v>46030</v>
      </c>
      <c r="J134" s="193">
        <v>3</v>
      </c>
      <c r="K134" s="123"/>
      <c r="L134" s="120">
        <f t="shared" si="12"/>
        <v>46120</v>
      </c>
      <c r="M134" s="121">
        <f ca="1" t="shared" si="13"/>
        <v>85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3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3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3"/>
      <c r="AY134" s="120"/>
      <c r="AZ134" s="121"/>
    </row>
    <row r="135" spans="1:52">
      <c r="A135" s="73">
        <v>133</v>
      </c>
      <c r="B135" s="152" t="s">
        <v>59</v>
      </c>
      <c r="C135" s="201" t="s">
        <v>23</v>
      </c>
      <c r="D135" s="210" t="s">
        <v>254</v>
      </c>
      <c r="E135" s="79" t="s">
        <v>253</v>
      </c>
      <c r="F135" s="80"/>
      <c r="G135" s="81"/>
      <c r="H135" s="82"/>
      <c r="I135" s="118">
        <v>46030</v>
      </c>
      <c r="J135" s="193">
        <v>3</v>
      </c>
      <c r="K135" s="123"/>
      <c r="L135" s="120">
        <f t="shared" si="12"/>
        <v>46120</v>
      </c>
      <c r="M135" s="121">
        <f ca="1" t="shared" si="13"/>
        <v>85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59</v>
      </c>
      <c r="C136" s="211" t="s">
        <v>13</v>
      </c>
      <c r="D136" s="210" t="s">
        <v>255</v>
      </c>
      <c r="E136" s="183" t="s">
        <v>57</v>
      </c>
      <c r="F136" s="134"/>
      <c r="G136" s="135"/>
      <c r="H136" s="212" t="s">
        <v>16</v>
      </c>
      <c r="I136" s="118">
        <v>46030</v>
      </c>
      <c r="J136" s="193">
        <v>3</v>
      </c>
      <c r="K136" s="123"/>
      <c r="L136" s="120">
        <f t="shared" si="12"/>
        <v>46120</v>
      </c>
      <c r="M136" s="121">
        <f ca="1" t="shared" si="13"/>
        <v>85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3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3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3"/>
      <c r="AY136" s="120"/>
      <c r="AZ136" s="121"/>
    </row>
    <row r="137" spans="1:52">
      <c r="A137" s="73">
        <v>135</v>
      </c>
      <c r="B137" s="152" t="s">
        <v>59</v>
      </c>
      <c r="C137" s="211" t="s">
        <v>13</v>
      </c>
      <c r="D137" s="210" t="s">
        <v>256</v>
      </c>
      <c r="E137" s="183" t="s">
        <v>37</v>
      </c>
      <c r="F137" s="134"/>
      <c r="G137" s="135"/>
      <c r="H137" s="212" t="s">
        <v>16</v>
      </c>
      <c r="I137" s="118">
        <v>46030</v>
      </c>
      <c r="J137" s="193">
        <v>3</v>
      </c>
      <c r="K137" s="123"/>
      <c r="L137" s="120">
        <f t="shared" si="12"/>
        <v>46120</v>
      </c>
      <c r="M137" s="121">
        <f ca="1" t="shared" si="13"/>
        <v>85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3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3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3"/>
      <c r="AY137" s="120"/>
      <c r="AZ137" s="121"/>
    </row>
    <row r="138" spans="1:52">
      <c r="A138" s="73">
        <v>136</v>
      </c>
      <c r="B138" s="152" t="s">
        <v>59</v>
      </c>
      <c r="C138" s="211" t="s">
        <v>13</v>
      </c>
      <c r="D138" s="210" t="s">
        <v>257</v>
      </c>
      <c r="E138" s="183" t="s">
        <v>57</v>
      </c>
      <c r="F138" s="134"/>
      <c r="G138" s="135"/>
      <c r="H138" s="212" t="s">
        <v>16</v>
      </c>
      <c r="I138" s="118">
        <v>46030</v>
      </c>
      <c r="J138" s="193">
        <v>3</v>
      </c>
      <c r="K138" s="123"/>
      <c r="L138" s="120">
        <f t="shared" si="12"/>
        <v>46120</v>
      </c>
      <c r="M138" s="121">
        <f ca="1" t="shared" si="13"/>
        <v>85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3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3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3"/>
      <c r="AY138" s="120"/>
      <c r="AZ138" s="121"/>
    </row>
    <row r="139" spans="1:52">
      <c r="A139" s="73">
        <v>137</v>
      </c>
      <c r="B139" s="73" t="s">
        <v>258</v>
      </c>
      <c r="C139" s="211" t="s">
        <v>108</v>
      </c>
      <c r="D139" s="210" t="s">
        <v>109</v>
      </c>
      <c r="E139" s="183" t="s">
        <v>110</v>
      </c>
      <c r="F139" s="134"/>
      <c r="G139" s="135"/>
      <c r="H139" s="213"/>
      <c r="I139" s="118">
        <v>46030</v>
      </c>
      <c r="J139" s="193">
        <v>3</v>
      </c>
      <c r="K139" s="123"/>
      <c r="L139" s="120">
        <f t="shared" si="12"/>
        <v>46120</v>
      </c>
      <c r="M139" s="121">
        <f ca="1" t="shared" si="13"/>
        <v>85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259</v>
      </c>
      <c r="C140" s="211" t="s">
        <v>108</v>
      </c>
      <c r="D140" s="210" t="s">
        <v>260</v>
      </c>
      <c r="E140" s="183" t="s">
        <v>261</v>
      </c>
      <c r="F140" s="134"/>
      <c r="G140" s="135"/>
      <c r="H140" s="213"/>
      <c r="I140" s="118">
        <v>46030</v>
      </c>
      <c r="J140" s="193">
        <v>3</v>
      </c>
      <c r="K140" s="123"/>
      <c r="L140" s="120">
        <f t="shared" si="12"/>
        <v>46120</v>
      </c>
      <c r="M140" s="121">
        <f ca="1" t="shared" si="13"/>
        <v>85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5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5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262</v>
      </c>
      <c r="C141" s="211" t="s">
        <v>154</v>
      </c>
      <c r="D141" s="214" t="s">
        <v>263</v>
      </c>
      <c r="E141" s="183" t="s">
        <v>264</v>
      </c>
      <c r="F141" s="134"/>
      <c r="G141" s="135"/>
      <c r="H141" s="212" t="s">
        <v>16</v>
      </c>
      <c r="I141" s="118">
        <v>46030</v>
      </c>
      <c r="J141" s="193">
        <v>3</v>
      </c>
      <c r="K141" s="123"/>
      <c r="L141" s="120">
        <f t="shared" si="12"/>
        <v>46120</v>
      </c>
      <c r="M141" s="121">
        <f ca="1" t="shared" si="13"/>
        <v>85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223</v>
      </c>
      <c r="C142" s="211" t="s">
        <v>154</v>
      </c>
      <c r="D142" s="74" t="s">
        <v>265</v>
      </c>
      <c r="E142" s="183" t="s">
        <v>266</v>
      </c>
      <c r="F142" s="134"/>
      <c r="G142" s="135"/>
      <c r="H142" s="212" t="s">
        <v>16</v>
      </c>
      <c r="I142" s="118">
        <v>46030</v>
      </c>
      <c r="J142" s="193">
        <v>3</v>
      </c>
      <c r="K142" s="123"/>
      <c r="L142" s="120">
        <f t="shared" si="12"/>
        <v>46120</v>
      </c>
      <c r="M142" s="121">
        <f ca="1" t="shared" si="13"/>
        <v>85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223</v>
      </c>
      <c r="C143" s="211" t="s">
        <v>154</v>
      </c>
      <c r="D143" s="74" t="s">
        <v>267</v>
      </c>
      <c r="E143" s="179" t="s">
        <v>268</v>
      </c>
      <c r="F143" s="180"/>
      <c r="G143" s="181"/>
      <c r="H143" s="212" t="s">
        <v>16</v>
      </c>
      <c r="I143" s="118">
        <v>46030</v>
      </c>
      <c r="J143" s="193">
        <v>3</v>
      </c>
      <c r="K143" s="128"/>
      <c r="L143" s="120">
        <f t="shared" si="12"/>
        <v>46120</v>
      </c>
      <c r="M143" s="121">
        <f ca="1" t="shared" si="13"/>
        <v>85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5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5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223</v>
      </c>
      <c r="C144" s="211" t="s">
        <v>154</v>
      </c>
      <c r="D144" s="74" t="s">
        <v>269</v>
      </c>
      <c r="E144" s="183" t="s">
        <v>266</v>
      </c>
      <c r="F144" s="134"/>
      <c r="G144" s="135"/>
      <c r="H144" s="212" t="s">
        <v>16</v>
      </c>
      <c r="I144" s="118">
        <v>46030</v>
      </c>
      <c r="J144" s="193">
        <v>3</v>
      </c>
      <c r="K144" s="128"/>
      <c r="L144" s="120">
        <f t="shared" si="12"/>
        <v>46120</v>
      </c>
      <c r="M144" s="121">
        <f ca="1" t="shared" si="13"/>
        <v>85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5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5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270</v>
      </c>
      <c r="C145" s="211" t="s">
        <v>154</v>
      </c>
      <c r="D145" s="74" t="s">
        <v>271</v>
      </c>
      <c r="E145" s="179" t="s">
        <v>272</v>
      </c>
      <c r="F145" s="180"/>
      <c r="G145" s="181"/>
      <c r="H145" s="212" t="s">
        <v>16</v>
      </c>
      <c r="I145" s="118">
        <v>46030</v>
      </c>
      <c r="J145" s="193">
        <v>3</v>
      </c>
      <c r="K145" s="128"/>
      <c r="L145" s="120">
        <f t="shared" si="12"/>
        <v>46120</v>
      </c>
      <c r="M145" s="121">
        <f ca="1" t="shared" si="13"/>
        <v>85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5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5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273</v>
      </c>
      <c r="C146" s="211" t="s">
        <v>154</v>
      </c>
      <c r="D146" s="74" t="s">
        <v>274</v>
      </c>
      <c r="E146" s="215" t="s">
        <v>275</v>
      </c>
      <c r="F146" s="216"/>
      <c r="G146" s="217"/>
      <c r="H146" s="212" t="s">
        <v>16</v>
      </c>
      <c r="I146" s="118">
        <v>46030</v>
      </c>
      <c r="J146" s="193">
        <v>3</v>
      </c>
      <c r="K146" s="128"/>
      <c r="L146" s="120">
        <f t="shared" si="12"/>
        <v>46120</v>
      </c>
      <c r="M146" s="121">
        <f ca="1" t="shared" si="13"/>
        <v>85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3"/>
      <c r="AY146" s="120"/>
      <c r="AZ146" s="121"/>
    </row>
    <row r="147" spans="1:52">
      <c r="A147" s="73">
        <v>145</v>
      </c>
      <c r="B147" s="73" t="s">
        <v>276</v>
      </c>
      <c r="C147" s="73" t="s">
        <v>13</v>
      </c>
      <c r="D147" s="74" t="s">
        <v>277</v>
      </c>
      <c r="E147" s="121" t="s">
        <v>278</v>
      </c>
      <c r="F147" s="121"/>
      <c r="G147" s="121"/>
      <c r="H147" s="104"/>
      <c r="I147" s="118">
        <v>46031</v>
      </c>
      <c r="J147" s="192">
        <v>3</v>
      </c>
      <c r="K147" s="128"/>
      <c r="L147" s="120">
        <f t="shared" si="12"/>
        <v>46121</v>
      </c>
      <c r="M147" s="121">
        <f ca="1" t="shared" si="13"/>
        <v>86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3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23</v>
      </c>
      <c r="D148" s="74" t="s">
        <v>279</v>
      </c>
      <c r="E148" s="218" t="s">
        <v>20</v>
      </c>
      <c r="F148" s="219"/>
      <c r="G148" s="220"/>
      <c r="H148" s="221" t="s">
        <v>16</v>
      </c>
      <c r="I148" s="118">
        <v>46031</v>
      </c>
      <c r="J148" s="192">
        <v>3</v>
      </c>
      <c r="K148" s="103"/>
      <c r="L148" s="120">
        <f t="shared" ref="L148:L174" si="14">EDATE(I148,J148)</f>
        <v>46121</v>
      </c>
      <c r="M148" s="121">
        <f ca="1" t="shared" ref="M148:M174" si="15">L148-TODAY()</f>
        <v>86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3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280</v>
      </c>
      <c r="E149" s="79" t="s">
        <v>57</v>
      </c>
      <c r="F149" s="80"/>
      <c r="G149" s="81"/>
      <c r="H149" s="222"/>
      <c r="I149" s="118">
        <v>46031</v>
      </c>
      <c r="J149" s="192">
        <v>3</v>
      </c>
      <c r="K149" s="123"/>
      <c r="L149" s="120">
        <f t="shared" si="14"/>
        <v>46121</v>
      </c>
      <c r="M149" s="121">
        <f ca="1" t="shared" si="15"/>
        <v>86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3"/>
      <c r="AY149" s="120"/>
      <c r="AZ149" s="121"/>
    </row>
    <row r="150" spans="1:52">
      <c r="A150" s="73">
        <v>148</v>
      </c>
      <c r="B150" s="73" t="s">
        <v>12</v>
      </c>
      <c r="C150" s="73" t="s">
        <v>23</v>
      </c>
      <c r="D150" s="74" t="s">
        <v>281</v>
      </c>
      <c r="E150" s="79" t="s">
        <v>84</v>
      </c>
      <c r="F150" s="80"/>
      <c r="G150" s="81"/>
      <c r="H150" s="78" t="s">
        <v>16</v>
      </c>
      <c r="I150" s="118">
        <v>46031</v>
      </c>
      <c r="J150" s="192">
        <v>3</v>
      </c>
      <c r="K150" s="123"/>
      <c r="L150" s="120">
        <f t="shared" si="14"/>
        <v>46121</v>
      </c>
      <c r="M150" s="121">
        <f ca="1" t="shared" si="15"/>
        <v>86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3"/>
      <c r="AY150" s="120"/>
      <c r="AZ150" s="121"/>
    </row>
    <row r="151" spans="1:52">
      <c r="A151" s="73">
        <v>149</v>
      </c>
      <c r="B151" s="73" t="s">
        <v>35</v>
      </c>
      <c r="C151" s="73" t="s">
        <v>23</v>
      </c>
      <c r="D151" s="74" t="s">
        <v>282</v>
      </c>
      <c r="E151" s="79" t="s">
        <v>25</v>
      </c>
      <c r="F151" s="80"/>
      <c r="G151" s="81"/>
      <c r="H151" s="78" t="s">
        <v>16</v>
      </c>
      <c r="I151" s="118">
        <v>46031</v>
      </c>
      <c r="J151" s="192">
        <v>3</v>
      </c>
      <c r="K151" s="123"/>
      <c r="L151" s="120">
        <f t="shared" si="14"/>
        <v>46121</v>
      </c>
      <c r="M151" s="121">
        <f ca="1" t="shared" si="15"/>
        <v>86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3"/>
      <c r="AY151" s="120"/>
      <c r="AZ151" s="121"/>
    </row>
    <row r="152" spans="1:52">
      <c r="A152" s="73">
        <v>150</v>
      </c>
      <c r="B152" s="73" t="s">
        <v>97</v>
      </c>
      <c r="C152" s="73" t="s">
        <v>13</v>
      </c>
      <c r="D152" s="74" t="s">
        <v>283</v>
      </c>
      <c r="E152" s="79" t="s">
        <v>284</v>
      </c>
      <c r="F152" s="80"/>
      <c r="G152" s="81"/>
      <c r="H152" s="82"/>
      <c r="I152" s="118">
        <v>46031</v>
      </c>
      <c r="J152" s="192">
        <v>3</v>
      </c>
      <c r="K152" s="123"/>
      <c r="L152" s="120">
        <f t="shared" si="14"/>
        <v>46121</v>
      </c>
      <c r="M152" s="121">
        <f ca="1" t="shared" si="15"/>
        <v>86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3"/>
      <c r="AY152" s="120"/>
      <c r="AZ152" s="121"/>
    </row>
    <row r="153" spans="1:52">
      <c r="A153" s="73">
        <v>151</v>
      </c>
      <c r="B153" s="73" t="s">
        <v>97</v>
      </c>
      <c r="C153" s="73" t="s">
        <v>13</v>
      </c>
      <c r="D153" s="74" t="s">
        <v>285</v>
      </c>
      <c r="E153" s="183" t="s">
        <v>57</v>
      </c>
      <c r="F153" s="134"/>
      <c r="G153" s="135"/>
      <c r="H153" s="78" t="s">
        <v>16</v>
      </c>
      <c r="I153" s="118">
        <v>46031</v>
      </c>
      <c r="J153" s="192">
        <v>3</v>
      </c>
      <c r="K153" s="123"/>
      <c r="L153" s="120">
        <f t="shared" si="14"/>
        <v>46121</v>
      </c>
      <c r="M153" s="121">
        <f ca="1" t="shared" si="15"/>
        <v>86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3"/>
      <c r="AY153" s="120"/>
      <c r="AZ153" s="121"/>
    </row>
    <row r="154" spans="1:52">
      <c r="A154" s="73">
        <v>152</v>
      </c>
      <c r="B154" s="73" t="s">
        <v>97</v>
      </c>
      <c r="C154" s="73" t="s">
        <v>23</v>
      </c>
      <c r="D154" s="74" t="s">
        <v>286</v>
      </c>
      <c r="E154" s="121" t="s">
        <v>84</v>
      </c>
      <c r="F154" s="121"/>
      <c r="G154" s="121"/>
      <c r="H154" s="82"/>
      <c r="I154" s="118">
        <v>46031</v>
      </c>
      <c r="J154" s="192">
        <v>3</v>
      </c>
      <c r="K154" s="123"/>
      <c r="L154" s="120">
        <f t="shared" si="14"/>
        <v>46121</v>
      </c>
      <c r="M154" s="121">
        <f ca="1" t="shared" si="15"/>
        <v>86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3"/>
      <c r="AY154" s="120"/>
      <c r="AZ154" s="121"/>
    </row>
    <row r="155" spans="1:52">
      <c r="A155" s="73">
        <v>153</v>
      </c>
      <c r="B155" s="73" t="s">
        <v>287</v>
      </c>
      <c r="C155" s="73" t="s">
        <v>13</v>
      </c>
      <c r="D155" s="74" t="s">
        <v>288</v>
      </c>
      <c r="E155" s="121" t="s">
        <v>37</v>
      </c>
      <c r="F155" s="121"/>
      <c r="G155" s="121"/>
      <c r="H155" s="130" t="s">
        <v>16</v>
      </c>
      <c r="I155" s="118">
        <v>46031</v>
      </c>
      <c r="J155" s="192">
        <v>3</v>
      </c>
      <c r="K155" s="123"/>
      <c r="L155" s="120">
        <f t="shared" si="14"/>
        <v>46121</v>
      </c>
      <c r="M155" s="121">
        <f ca="1" t="shared" si="15"/>
        <v>86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3"/>
      <c r="AY155" s="120"/>
      <c r="AZ155" s="121"/>
    </row>
    <row r="156" spans="1:52">
      <c r="A156" s="73">
        <v>154</v>
      </c>
      <c r="B156" s="73" t="s">
        <v>289</v>
      </c>
      <c r="C156" s="73" t="s">
        <v>23</v>
      </c>
      <c r="D156" s="74" t="s">
        <v>290</v>
      </c>
      <c r="E156" s="121" t="s">
        <v>29</v>
      </c>
      <c r="F156" s="121"/>
      <c r="G156" s="121"/>
      <c r="H156" s="130" t="s">
        <v>16</v>
      </c>
      <c r="I156" s="118">
        <v>46031</v>
      </c>
      <c r="J156" s="192">
        <v>3</v>
      </c>
      <c r="K156" s="123"/>
      <c r="L156" s="120">
        <f t="shared" si="14"/>
        <v>46121</v>
      </c>
      <c r="M156" s="121">
        <f ca="1" t="shared" si="15"/>
        <v>86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3"/>
      <c r="AY156" s="120"/>
      <c r="AZ156" s="121"/>
    </row>
    <row r="157" spans="1:52">
      <c r="A157" s="73">
        <v>155</v>
      </c>
      <c r="B157" s="73" t="s">
        <v>206</v>
      </c>
      <c r="C157" s="73" t="s">
        <v>23</v>
      </c>
      <c r="D157" s="74" t="s">
        <v>291</v>
      </c>
      <c r="E157" s="121" t="s">
        <v>25</v>
      </c>
      <c r="F157" s="121"/>
      <c r="G157" s="121"/>
      <c r="H157" s="130" t="s">
        <v>16</v>
      </c>
      <c r="I157" s="118">
        <v>46031</v>
      </c>
      <c r="J157" s="192">
        <v>3</v>
      </c>
      <c r="K157" s="123"/>
      <c r="L157" s="120">
        <f t="shared" si="14"/>
        <v>46121</v>
      </c>
      <c r="M157" s="121">
        <f ca="1" t="shared" si="15"/>
        <v>86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3"/>
      <c r="AY157" s="120"/>
      <c r="AZ157" s="121"/>
    </row>
    <row r="158" spans="1:52">
      <c r="A158" s="73">
        <v>156</v>
      </c>
      <c r="B158" s="73" t="s">
        <v>292</v>
      </c>
      <c r="C158" s="73" t="s">
        <v>13</v>
      </c>
      <c r="D158" s="74" t="s">
        <v>293</v>
      </c>
      <c r="E158" s="121" t="s">
        <v>20</v>
      </c>
      <c r="F158" s="121"/>
      <c r="G158" s="121"/>
      <c r="H158" s="130" t="s">
        <v>16</v>
      </c>
      <c r="I158" s="118">
        <v>46031</v>
      </c>
      <c r="J158" s="192">
        <v>3</v>
      </c>
      <c r="K158" s="123"/>
      <c r="L158" s="120">
        <f t="shared" si="14"/>
        <v>46121</v>
      </c>
      <c r="M158" s="121">
        <f ca="1" t="shared" si="15"/>
        <v>86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3"/>
      <c r="AY158" s="120"/>
      <c r="AZ158" s="121"/>
    </row>
    <row r="159" spans="1:52">
      <c r="A159" s="73">
        <v>157</v>
      </c>
      <c r="B159" s="73" t="s">
        <v>292</v>
      </c>
      <c r="C159" s="73" t="s">
        <v>23</v>
      </c>
      <c r="D159" s="74" t="s">
        <v>294</v>
      </c>
      <c r="E159" s="218" t="s">
        <v>295</v>
      </c>
      <c r="F159" s="219"/>
      <c r="G159" s="220"/>
      <c r="H159" s="82"/>
      <c r="I159" s="118">
        <v>46031</v>
      </c>
      <c r="J159" s="192">
        <v>3</v>
      </c>
      <c r="K159" s="123"/>
      <c r="L159" s="120">
        <f t="shared" si="14"/>
        <v>46121</v>
      </c>
      <c r="M159" s="121">
        <f ca="1" t="shared" si="15"/>
        <v>86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3"/>
      <c r="AY159" s="120"/>
      <c r="AZ159" s="121"/>
    </row>
    <row r="160" spans="1:52">
      <c r="A160" s="73">
        <v>158</v>
      </c>
      <c r="B160" s="73" t="s">
        <v>292</v>
      </c>
      <c r="C160" s="73" t="s">
        <v>23</v>
      </c>
      <c r="D160" s="74" t="s">
        <v>296</v>
      </c>
      <c r="E160" s="218" t="s">
        <v>295</v>
      </c>
      <c r="F160" s="219"/>
      <c r="G160" s="220"/>
      <c r="H160" s="82"/>
      <c r="I160" s="118">
        <v>46031</v>
      </c>
      <c r="J160" s="192">
        <v>3</v>
      </c>
      <c r="K160" s="123"/>
      <c r="L160" s="120">
        <f t="shared" si="14"/>
        <v>46121</v>
      </c>
      <c r="M160" s="121">
        <f ca="1" t="shared" si="15"/>
        <v>86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3"/>
      <c r="AY160" s="120"/>
      <c r="AZ160" s="121"/>
    </row>
    <row r="161" spans="1:52">
      <c r="A161" s="73">
        <v>159</v>
      </c>
      <c r="B161" s="73" t="s">
        <v>297</v>
      </c>
      <c r="C161" s="73" t="s">
        <v>23</v>
      </c>
      <c r="D161" s="74" t="s">
        <v>298</v>
      </c>
      <c r="E161" s="79" t="s">
        <v>65</v>
      </c>
      <c r="F161" s="80"/>
      <c r="G161" s="81"/>
      <c r="H161" s="78" t="s">
        <v>16</v>
      </c>
      <c r="I161" s="118">
        <v>46031</v>
      </c>
      <c r="J161" s="192">
        <v>3</v>
      </c>
      <c r="K161" s="123"/>
      <c r="L161" s="120">
        <f t="shared" si="14"/>
        <v>46121</v>
      </c>
      <c r="M161" s="121">
        <f ca="1" t="shared" si="15"/>
        <v>86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3"/>
      <c r="AY161" s="120"/>
      <c r="AZ161" s="121"/>
    </row>
    <row r="162" spans="1:52">
      <c r="A162" s="73">
        <v>160</v>
      </c>
      <c r="B162" s="73" t="s">
        <v>258</v>
      </c>
      <c r="C162" s="73" t="s">
        <v>108</v>
      </c>
      <c r="D162" s="74" t="s">
        <v>299</v>
      </c>
      <c r="E162" s="79" t="s">
        <v>300</v>
      </c>
      <c r="F162" s="80"/>
      <c r="G162" s="81"/>
      <c r="H162" s="82"/>
      <c r="I162" s="118">
        <v>46031</v>
      </c>
      <c r="J162" s="192">
        <v>3</v>
      </c>
      <c r="K162" s="123"/>
      <c r="L162" s="120">
        <f t="shared" si="14"/>
        <v>46121</v>
      </c>
      <c r="M162" s="121">
        <f ca="1" t="shared" si="15"/>
        <v>86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3"/>
      <c r="AY162" s="120"/>
      <c r="AZ162" s="121"/>
    </row>
    <row r="163" spans="1:52">
      <c r="A163" s="73">
        <v>161</v>
      </c>
      <c r="B163" s="73" t="s">
        <v>301</v>
      </c>
      <c r="C163" s="73" t="s">
        <v>108</v>
      </c>
      <c r="D163" s="74" t="s">
        <v>302</v>
      </c>
      <c r="E163" s="179" t="s">
        <v>303</v>
      </c>
      <c r="F163" s="180"/>
      <c r="G163" s="181"/>
      <c r="H163" s="82"/>
      <c r="I163" s="118">
        <v>46031</v>
      </c>
      <c r="J163" s="192">
        <v>3</v>
      </c>
      <c r="K163" s="123"/>
      <c r="L163" s="120">
        <f t="shared" si="14"/>
        <v>46121</v>
      </c>
      <c r="M163" s="121">
        <f ca="1" t="shared" si="15"/>
        <v>86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3"/>
      <c r="AY163" s="120"/>
      <c r="AZ163" s="121"/>
    </row>
    <row r="164" spans="1:52">
      <c r="A164" s="73">
        <v>162</v>
      </c>
      <c r="B164" s="73" t="s">
        <v>304</v>
      </c>
      <c r="C164" s="73" t="s">
        <v>108</v>
      </c>
      <c r="D164" s="74" t="s">
        <v>305</v>
      </c>
      <c r="E164" s="179" t="s">
        <v>306</v>
      </c>
      <c r="F164" s="180"/>
      <c r="G164" s="181"/>
      <c r="H164" s="82"/>
      <c r="I164" s="118">
        <v>46031</v>
      </c>
      <c r="J164" s="192">
        <v>3</v>
      </c>
      <c r="K164" s="123"/>
      <c r="L164" s="120">
        <f t="shared" si="14"/>
        <v>46121</v>
      </c>
      <c r="M164" s="121">
        <f ca="1" t="shared" si="15"/>
        <v>86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3"/>
      <c r="AY164" s="120"/>
      <c r="AZ164" s="121"/>
    </row>
    <row r="165" s="58" customFormat="1" spans="1:52">
      <c r="A165" s="73">
        <v>163</v>
      </c>
      <c r="B165" s="73" t="s">
        <v>107</v>
      </c>
      <c r="C165" s="73" t="s">
        <v>108</v>
      </c>
      <c r="D165" s="105" t="s">
        <v>307</v>
      </c>
      <c r="E165" s="179" t="s">
        <v>308</v>
      </c>
      <c r="F165" s="180"/>
      <c r="G165" s="181"/>
      <c r="H165" s="82"/>
      <c r="I165" s="118">
        <v>46031</v>
      </c>
      <c r="J165" s="192">
        <v>3</v>
      </c>
      <c r="K165" s="123"/>
      <c r="L165" s="120">
        <f t="shared" si="14"/>
        <v>46121</v>
      </c>
      <c r="M165" s="121">
        <f ca="1" t="shared" si="15"/>
        <v>86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3"/>
      <c r="AY165" s="120"/>
      <c r="AZ165" s="121"/>
    </row>
    <row r="166" s="58" customFormat="1" spans="1:52">
      <c r="A166" s="73">
        <v>164</v>
      </c>
      <c r="B166" s="73" t="s">
        <v>107</v>
      </c>
      <c r="C166" s="73" t="s">
        <v>108</v>
      </c>
      <c r="D166" s="105" t="s">
        <v>109</v>
      </c>
      <c r="E166" s="176" t="s">
        <v>110</v>
      </c>
      <c r="F166" s="177"/>
      <c r="G166" s="178"/>
      <c r="H166" s="82"/>
      <c r="I166" s="223" t="s">
        <v>309</v>
      </c>
      <c r="J166" s="192"/>
      <c r="K166" s="123"/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3"/>
      <c r="AY166" s="120"/>
      <c r="AZ166" s="121"/>
    </row>
    <row r="167" s="58" customFormat="1" spans="1:52">
      <c r="A167" s="73">
        <v>165</v>
      </c>
      <c r="B167" s="152" t="s">
        <v>310</v>
      </c>
      <c r="C167" s="73" t="s">
        <v>154</v>
      </c>
      <c r="D167" s="105" t="s">
        <v>311</v>
      </c>
      <c r="E167" s="176" t="s">
        <v>312</v>
      </c>
      <c r="F167" s="177"/>
      <c r="G167" s="178"/>
      <c r="H167" s="82"/>
      <c r="I167" s="118">
        <v>46031</v>
      </c>
      <c r="J167" s="192">
        <v>3</v>
      </c>
      <c r="K167" s="123"/>
      <c r="L167" s="120">
        <f t="shared" si="14"/>
        <v>46121</v>
      </c>
      <c r="M167" s="121">
        <f ca="1" t="shared" si="15"/>
        <v>86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3"/>
      <c r="AY167" s="120"/>
      <c r="AZ167" s="121"/>
    </row>
    <row r="168" s="58" customFormat="1" spans="1:52">
      <c r="A168" s="73">
        <v>166</v>
      </c>
      <c r="B168" s="152" t="s">
        <v>310</v>
      </c>
      <c r="C168" s="73" t="s">
        <v>154</v>
      </c>
      <c r="D168" s="105" t="s">
        <v>313</v>
      </c>
      <c r="E168" s="176" t="s">
        <v>312</v>
      </c>
      <c r="F168" s="177"/>
      <c r="G168" s="178"/>
      <c r="H168" s="82"/>
      <c r="I168" s="118">
        <v>46031</v>
      </c>
      <c r="J168" s="192">
        <v>3</v>
      </c>
      <c r="K168" s="123"/>
      <c r="L168" s="120">
        <f t="shared" si="14"/>
        <v>46121</v>
      </c>
      <c r="M168" s="121">
        <f ca="1" t="shared" si="15"/>
        <v>86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3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3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3"/>
      <c r="AY168" s="120"/>
      <c r="AZ168" s="121"/>
    </row>
    <row r="169" s="58" customFormat="1" spans="1:52">
      <c r="A169" s="73">
        <v>167</v>
      </c>
      <c r="B169" s="152" t="s">
        <v>314</v>
      </c>
      <c r="C169" s="73" t="s">
        <v>154</v>
      </c>
      <c r="D169" s="105" t="s">
        <v>315</v>
      </c>
      <c r="E169" s="176" t="s">
        <v>316</v>
      </c>
      <c r="F169" s="177"/>
      <c r="G169" s="178"/>
      <c r="H169" s="82"/>
      <c r="I169" s="118">
        <v>46031</v>
      </c>
      <c r="J169" s="192">
        <v>3</v>
      </c>
      <c r="K169" s="123"/>
      <c r="L169" s="120">
        <f t="shared" si="14"/>
        <v>46121</v>
      </c>
      <c r="M169" s="121">
        <f ca="1" t="shared" si="15"/>
        <v>86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3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3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3"/>
      <c r="AY169" s="120"/>
      <c r="AZ169" s="121"/>
    </row>
    <row r="170" s="58" customFormat="1" spans="1:52">
      <c r="A170" s="73">
        <v>168</v>
      </c>
      <c r="B170" s="152" t="s">
        <v>317</v>
      </c>
      <c r="C170" s="73" t="s">
        <v>154</v>
      </c>
      <c r="D170" s="105" t="s">
        <v>318</v>
      </c>
      <c r="E170" s="176" t="s">
        <v>221</v>
      </c>
      <c r="F170" s="177"/>
      <c r="G170" s="178"/>
      <c r="H170" s="130" t="s">
        <v>16</v>
      </c>
      <c r="I170" s="118">
        <v>46031</v>
      </c>
      <c r="J170" s="192">
        <v>3</v>
      </c>
      <c r="K170" s="123"/>
      <c r="L170" s="120">
        <f t="shared" si="14"/>
        <v>46121</v>
      </c>
      <c r="M170" s="121">
        <f ca="1" t="shared" si="15"/>
        <v>86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3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3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3"/>
      <c r="AY170" s="120"/>
      <c r="AZ170" s="121"/>
    </row>
    <row r="171" s="58" customFormat="1" spans="1:52">
      <c r="A171" s="73">
        <v>169</v>
      </c>
      <c r="B171" s="152" t="s">
        <v>317</v>
      </c>
      <c r="C171" s="73" t="s">
        <v>154</v>
      </c>
      <c r="D171" s="105" t="s">
        <v>319</v>
      </c>
      <c r="E171" s="176" t="s">
        <v>221</v>
      </c>
      <c r="F171" s="177"/>
      <c r="G171" s="178"/>
      <c r="H171" s="130" t="s">
        <v>16</v>
      </c>
      <c r="I171" s="118">
        <v>46031</v>
      </c>
      <c r="J171" s="192">
        <v>3</v>
      </c>
      <c r="K171" s="123"/>
      <c r="L171" s="120">
        <f t="shared" si="14"/>
        <v>46121</v>
      </c>
      <c r="M171" s="121">
        <f ca="1" t="shared" si="15"/>
        <v>86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3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3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3"/>
      <c r="AY171" s="120"/>
      <c r="AZ171" s="121"/>
    </row>
    <row r="172" s="58" customFormat="1" spans="1:52">
      <c r="A172" s="73">
        <v>170</v>
      </c>
      <c r="B172" s="152" t="s">
        <v>320</v>
      </c>
      <c r="C172" s="73" t="s">
        <v>154</v>
      </c>
      <c r="D172" s="105" t="s">
        <v>321</v>
      </c>
      <c r="E172" s="176" t="s">
        <v>322</v>
      </c>
      <c r="F172" s="177"/>
      <c r="G172" s="178"/>
      <c r="H172" s="82"/>
      <c r="I172" s="118">
        <v>46031</v>
      </c>
      <c r="J172" s="192">
        <v>3</v>
      </c>
      <c r="K172" s="123"/>
      <c r="L172" s="120">
        <f t="shared" si="14"/>
        <v>46121</v>
      </c>
      <c r="M172" s="121">
        <f ca="1" t="shared" si="15"/>
        <v>86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320</v>
      </c>
      <c r="C173" s="73" t="s">
        <v>154</v>
      </c>
      <c r="D173" s="105" t="s">
        <v>323</v>
      </c>
      <c r="E173" s="176" t="s">
        <v>322</v>
      </c>
      <c r="F173" s="177"/>
      <c r="G173" s="178"/>
      <c r="H173" s="82"/>
      <c r="I173" s="118">
        <v>46031</v>
      </c>
      <c r="J173" s="192">
        <v>3</v>
      </c>
      <c r="K173" s="123"/>
      <c r="L173" s="120">
        <f t="shared" si="14"/>
        <v>46121</v>
      </c>
      <c r="M173" s="121">
        <f ca="1" t="shared" si="15"/>
        <v>86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3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3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3"/>
      <c r="AY173" s="120"/>
      <c r="AZ173" s="121"/>
    </row>
    <row r="174" s="58" customFormat="1" spans="1:52">
      <c r="A174" s="73">
        <v>172</v>
      </c>
      <c r="B174" s="152" t="s">
        <v>324</v>
      </c>
      <c r="C174" s="73" t="s">
        <v>154</v>
      </c>
      <c r="D174" s="105" t="s">
        <v>325</v>
      </c>
      <c r="E174" s="176" t="s">
        <v>326</v>
      </c>
      <c r="F174" s="177"/>
      <c r="G174" s="178"/>
      <c r="H174" s="89" t="s">
        <v>16</v>
      </c>
      <c r="I174" s="118">
        <v>46031</v>
      </c>
      <c r="J174" s="192">
        <v>3</v>
      </c>
      <c r="K174" s="123"/>
      <c r="L174" s="120">
        <f t="shared" si="14"/>
        <v>46121</v>
      </c>
      <c r="M174" s="121">
        <f ca="1" t="shared" si="15"/>
        <v>86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3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3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3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23</v>
      </c>
      <c r="D175" s="105" t="s">
        <v>327</v>
      </c>
      <c r="E175" s="176" t="s">
        <v>34</v>
      </c>
      <c r="F175" s="177"/>
      <c r="G175" s="178"/>
      <c r="H175" s="89" t="s">
        <v>16</v>
      </c>
      <c r="I175" s="118">
        <v>46032</v>
      </c>
      <c r="J175" s="192">
        <v>3</v>
      </c>
      <c r="K175" s="123"/>
      <c r="L175" s="120">
        <f t="shared" ref="L175:L199" si="16">EDATE(I175,J175)</f>
        <v>46122</v>
      </c>
      <c r="M175" s="121">
        <f ca="1" t="shared" ref="M175:M199" si="17">L175-TODAY()</f>
        <v>87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3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3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3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328</v>
      </c>
      <c r="E176" s="176" t="s">
        <v>57</v>
      </c>
      <c r="F176" s="177"/>
      <c r="G176" s="178"/>
      <c r="H176" s="89" t="s">
        <v>16</v>
      </c>
      <c r="I176" s="118">
        <v>46032</v>
      </c>
      <c r="J176" s="192">
        <v>3</v>
      </c>
      <c r="K176" s="123"/>
      <c r="L176" s="120">
        <f t="shared" si="16"/>
        <v>46122</v>
      </c>
      <c r="M176" s="121">
        <f ca="1" t="shared" si="17"/>
        <v>87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3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3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3"/>
      <c r="AY176" s="120"/>
      <c r="AZ176" s="121"/>
    </row>
    <row r="177" s="58" customFormat="1" spans="1:52">
      <c r="A177" s="73">
        <v>175</v>
      </c>
      <c r="B177" s="152" t="s">
        <v>97</v>
      </c>
      <c r="C177" s="152" t="s">
        <v>23</v>
      </c>
      <c r="D177" s="105" t="s">
        <v>92</v>
      </c>
      <c r="E177" s="176" t="s">
        <v>93</v>
      </c>
      <c r="F177" s="177"/>
      <c r="G177" s="178"/>
      <c r="H177" s="82"/>
      <c r="I177" s="118">
        <v>46032</v>
      </c>
      <c r="J177" s="192">
        <v>3</v>
      </c>
      <c r="K177" s="123"/>
      <c r="L177" s="120">
        <f t="shared" si="16"/>
        <v>46122</v>
      </c>
      <c r="M177" s="121">
        <f ca="1" t="shared" si="17"/>
        <v>87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3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3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3"/>
      <c r="AY177" s="120"/>
      <c r="AZ177" s="121"/>
    </row>
    <row r="178" s="58" customFormat="1" spans="1:52">
      <c r="A178" s="73">
        <v>176</v>
      </c>
      <c r="B178" s="152" t="s">
        <v>97</v>
      </c>
      <c r="C178" s="152" t="s">
        <v>13</v>
      </c>
      <c r="D178" s="105" t="s">
        <v>329</v>
      </c>
      <c r="E178" s="176" t="s">
        <v>57</v>
      </c>
      <c r="F178" s="177"/>
      <c r="G178" s="178"/>
      <c r="H178" s="82"/>
      <c r="I178" s="118">
        <v>46032</v>
      </c>
      <c r="J178" s="192">
        <v>3</v>
      </c>
      <c r="K178" s="123"/>
      <c r="L178" s="120">
        <f t="shared" si="16"/>
        <v>46122</v>
      </c>
      <c r="M178" s="121">
        <f ca="1" t="shared" si="17"/>
        <v>87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3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3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3"/>
      <c r="AY178" s="120"/>
      <c r="AZ178" s="121"/>
    </row>
    <row r="179" s="58" customFormat="1" spans="1:52">
      <c r="A179" s="73">
        <v>177</v>
      </c>
      <c r="B179" s="152" t="s">
        <v>97</v>
      </c>
      <c r="C179" s="152" t="s">
        <v>13</v>
      </c>
      <c r="D179" s="105" t="s">
        <v>330</v>
      </c>
      <c r="E179" s="176" t="s">
        <v>331</v>
      </c>
      <c r="F179" s="177"/>
      <c r="G179" s="178"/>
      <c r="H179" s="82"/>
      <c r="I179" s="118">
        <v>46032</v>
      </c>
      <c r="J179" s="192">
        <v>3</v>
      </c>
      <c r="K179" s="123"/>
      <c r="L179" s="120">
        <f t="shared" si="16"/>
        <v>46122</v>
      </c>
      <c r="M179" s="121">
        <f ca="1" t="shared" si="17"/>
        <v>87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3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3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3"/>
      <c r="AY179" s="120"/>
      <c r="AZ179" s="121"/>
    </row>
    <row r="180" spans="1:52">
      <c r="A180" s="73">
        <v>178</v>
      </c>
      <c r="B180" s="152" t="s">
        <v>97</v>
      </c>
      <c r="C180" s="152" t="s">
        <v>23</v>
      </c>
      <c r="D180" s="74" t="s">
        <v>41</v>
      </c>
      <c r="E180" s="179" t="s">
        <v>42</v>
      </c>
      <c r="F180" s="180"/>
      <c r="G180" s="181"/>
      <c r="H180" s="82"/>
      <c r="I180" s="118">
        <v>46032</v>
      </c>
      <c r="J180" s="192">
        <v>3</v>
      </c>
      <c r="K180" s="123"/>
      <c r="L180" s="120">
        <f t="shared" si="16"/>
        <v>46122</v>
      </c>
      <c r="M180" s="121">
        <f ca="1" t="shared" si="17"/>
        <v>87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3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3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3"/>
      <c r="AY180" s="120"/>
      <c r="AZ180" s="121"/>
    </row>
    <row r="181" spans="1:52">
      <c r="A181" s="73">
        <v>179</v>
      </c>
      <c r="B181" s="152" t="s">
        <v>97</v>
      </c>
      <c r="C181" s="73" t="s">
        <v>13</v>
      </c>
      <c r="D181" s="74" t="s">
        <v>43</v>
      </c>
      <c r="E181" s="176" t="s">
        <v>44</v>
      </c>
      <c r="F181" s="177"/>
      <c r="G181" s="178"/>
      <c r="H181" s="82"/>
      <c r="I181" s="118">
        <v>46032</v>
      </c>
      <c r="J181" s="192">
        <v>3</v>
      </c>
      <c r="K181" s="123"/>
      <c r="L181" s="120">
        <f t="shared" si="16"/>
        <v>46122</v>
      </c>
      <c r="M181" s="121">
        <f ca="1" t="shared" si="17"/>
        <v>87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3"/>
      <c r="AY181" s="120"/>
      <c r="AZ181" s="121"/>
    </row>
    <row r="182" spans="1:52">
      <c r="A182" s="73">
        <v>180</v>
      </c>
      <c r="B182" s="152" t="s">
        <v>97</v>
      </c>
      <c r="C182" s="73" t="s">
        <v>23</v>
      </c>
      <c r="D182" s="74" t="s">
        <v>332</v>
      </c>
      <c r="E182" s="179" t="s">
        <v>240</v>
      </c>
      <c r="F182" s="180"/>
      <c r="G182" s="181"/>
      <c r="H182" s="82"/>
      <c r="I182" s="118">
        <v>46032</v>
      </c>
      <c r="J182" s="192">
        <v>3</v>
      </c>
      <c r="K182" s="123"/>
      <c r="L182" s="120">
        <f t="shared" si="16"/>
        <v>46122</v>
      </c>
      <c r="M182" s="121">
        <f ca="1" t="shared" si="17"/>
        <v>87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3"/>
      <c r="AY182" s="120"/>
      <c r="AZ182" s="121"/>
    </row>
    <row r="183" spans="1:52">
      <c r="A183" s="73">
        <v>181</v>
      </c>
      <c r="B183" s="152" t="s">
        <v>97</v>
      </c>
      <c r="C183" s="73" t="s">
        <v>23</v>
      </c>
      <c r="D183" s="74" t="s">
        <v>333</v>
      </c>
      <c r="E183" s="179" t="s">
        <v>238</v>
      </c>
      <c r="F183" s="180"/>
      <c r="G183" s="181"/>
      <c r="H183" s="82"/>
      <c r="I183" s="118">
        <v>46032</v>
      </c>
      <c r="J183" s="192">
        <v>3</v>
      </c>
      <c r="K183" s="123"/>
      <c r="L183" s="120">
        <f t="shared" si="16"/>
        <v>46122</v>
      </c>
      <c r="M183" s="121">
        <f ca="1" t="shared" si="17"/>
        <v>87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3"/>
      <c r="AY183" s="120"/>
      <c r="AZ183" s="121"/>
    </row>
    <row r="184" spans="1:52">
      <c r="A184" s="73">
        <v>182</v>
      </c>
      <c r="B184" s="152" t="s">
        <v>97</v>
      </c>
      <c r="C184" s="73" t="s">
        <v>13</v>
      </c>
      <c r="D184" s="74" t="s">
        <v>39</v>
      </c>
      <c r="E184" s="179" t="s">
        <v>40</v>
      </c>
      <c r="F184" s="180"/>
      <c r="G184" s="181"/>
      <c r="H184" s="82"/>
      <c r="I184" s="118">
        <v>46032</v>
      </c>
      <c r="J184" s="192">
        <v>3</v>
      </c>
      <c r="K184" s="123"/>
      <c r="L184" s="120">
        <f t="shared" si="16"/>
        <v>46122</v>
      </c>
      <c r="M184" s="121">
        <f ca="1" t="shared" si="17"/>
        <v>87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3"/>
      <c r="AY184" s="120"/>
      <c r="AZ184" s="121"/>
    </row>
    <row r="185" spans="1:52">
      <c r="A185" s="73">
        <v>183</v>
      </c>
      <c r="B185" s="152" t="s">
        <v>97</v>
      </c>
      <c r="C185" s="73" t="s">
        <v>13</v>
      </c>
      <c r="D185" s="74" t="s">
        <v>334</v>
      </c>
      <c r="E185" s="179" t="s">
        <v>335</v>
      </c>
      <c r="F185" s="180"/>
      <c r="G185" s="181"/>
      <c r="H185" s="89" t="s">
        <v>16</v>
      </c>
      <c r="I185" s="118">
        <v>46032</v>
      </c>
      <c r="J185" s="192">
        <v>3</v>
      </c>
      <c r="K185" s="123"/>
      <c r="L185" s="120">
        <f t="shared" si="16"/>
        <v>46122</v>
      </c>
      <c r="M185" s="121">
        <f ca="1" t="shared" si="17"/>
        <v>87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3"/>
      <c r="AY185" s="120"/>
      <c r="AZ185" s="121"/>
    </row>
    <row r="186" spans="1:52">
      <c r="A186" s="73">
        <v>184</v>
      </c>
      <c r="B186" s="152" t="s">
        <v>187</v>
      </c>
      <c r="C186" s="73" t="s">
        <v>13</v>
      </c>
      <c r="D186" s="74" t="s">
        <v>336</v>
      </c>
      <c r="E186" s="179" t="s">
        <v>84</v>
      </c>
      <c r="F186" s="180"/>
      <c r="G186" s="181"/>
      <c r="H186" s="82"/>
      <c r="I186" s="118">
        <v>46032</v>
      </c>
      <c r="J186" s="192">
        <v>3</v>
      </c>
      <c r="K186" s="123"/>
      <c r="L186" s="120">
        <f t="shared" si="16"/>
        <v>46122</v>
      </c>
      <c r="M186" s="121">
        <f ca="1" t="shared" si="17"/>
        <v>87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3"/>
      <c r="AY186" s="120"/>
      <c r="AZ186" s="121"/>
    </row>
    <row r="187" spans="1:52">
      <c r="A187" s="73">
        <v>185</v>
      </c>
      <c r="B187" s="73" t="s">
        <v>289</v>
      </c>
      <c r="C187" s="73" t="s">
        <v>13</v>
      </c>
      <c r="D187" s="74" t="s">
        <v>337</v>
      </c>
      <c r="E187" s="179" t="s">
        <v>57</v>
      </c>
      <c r="F187" s="180"/>
      <c r="G187" s="181"/>
      <c r="H187" s="83" t="s">
        <v>16</v>
      </c>
      <c r="I187" s="118">
        <v>46032</v>
      </c>
      <c r="J187" s="192">
        <v>3</v>
      </c>
      <c r="K187" s="123"/>
      <c r="L187" s="120">
        <f t="shared" si="16"/>
        <v>46122</v>
      </c>
      <c r="M187" s="121">
        <f ca="1" t="shared" si="17"/>
        <v>87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3"/>
      <c r="AY187" s="120"/>
      <c r="AZ187" s="121"/>
    </row>
    <row r="188" spans="1:52">
      <c r="A188" s="73">
        <v>186</v>
      </c>
      <c r="B188" s="73" t="s">
        <v>289</v>
      </c>
      <c r="C188" s="73" t="s">
        <v>13</v>
      </c>
      <c r="D188" s="74" t="s">
        <v>338</v>
      </c>
      <c r="E188" s="179" t="s">
        <v>339</v>
      </c>
      <c r="F188" s="180"/>
      <c r="G188" s="181"/>
      <c r="H188" s="83" t="s">
        <v>16</v>
      </c>
      <c r="I188" s="118">
        <v>46032</v>
      </c>
      <c r="J188" s="192">
        <v>3</v>
      </c>
      <c r="K188" s="123"/>
      <c r="L188" s="120">
        <f t="shared" si="16"/>
        <v>46122</v>
      </c>
      <c r="M188" s="121">
        <f ca="1" t="shared" si="17"/>
        <v>87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3"/>
      <c r="AY188" s="120"/>
      <c r="AZ188" s="121"/>
    </row>
    <row r="189" spans="1:52">
      <c r="A189" s="73">
        <v>187</v>
      </c>
      <c r="B189" s="73" t="s">
        <v>340</v>
      </c>
      <c r="C189" s="73" t="s">
        <v>23</v>
      </c>
      <c r="D189" s="74" t="s">
        <v>341</v>
      </c>
      <c r="E189" s="179" t="s">
        <v>342</v>
      </c>
      <c r="F189" s="180"/>
      <c r="G189" s="181"/>
      <c r="H189" s="82"/>
      <c r="I189" s="118">
        <v>46032</v>
      </c>
      <c r="J189" s="192">
        <v>3</v>
      </c>
      <c r="K189" s="123"/>
      <c r="L189" s="120">
        <f t="shared" si="16"/>
        <v>46122</v>
      </c>
      <c r="M189" s="121">
        <f ca="1" t="shared" si="17"/>
        <v>87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3"/>
      <c r="AY189" s="120"/>
      <c r="AZ189" s="121"/>
    </row>
    <row r="190" s="58" customFormat="1" spans="1:52">
      <c r="A190" s="73">
        <v>188</v>
      </c>
      <c r="B190" s="152" t="s">
        <v>187</v>
      </c>
      <c r="C190" s="73" t="s">
        <v>23</v>
      </c>
      <c r="D190" s="74" t="s">
        <v>343</v>
      </c>
      <c r="E190" s="179" t="s">
        <v>189</v>
      </c>
      <c r="F190" s="180"/>
      <c r="G190" s="181"/>
      <c r="H190" s="82"/>
      <c r="I190" s="118">
        <v>46032</v>
      </c>
      <c r="J190" s="192">
        <v>3</v>
      </c>
      <c r="K190" s="123"/>
      <c r="L190" s="120">
        <f t="shared" si="16"/>
        <v>46122</v>
      </c>
      <c r="M190" s="121">
        <f ca="1" t="shared" si="17"/>
        <v>87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3"/>
      <c r="AY190" s="120"/>
      <c r="AZ190" s="121"/>
    </row>
    <row r="191" s="58" customFormat="1" spans="1:52">
      <c r="A191" s="73">
        <v>189</v>
      </c>
      <c r="B191" s="73" t="s">
        <v>258</v>
      </c>
      <c r="C191" s="73" t="s">
        <v>108</v>
      </c>
      <c r="D191" s="74" t="s">
        <v>109</v>
      </c>
      <c r="E191" s="179" t="s">
        <v>110</v>
      </c>
      <c r="F191" s="180"/>
      <c r="G191" s="181"/>
      <c r="H191" s="82"/>
      <c r="I191" s="223" t="s">
        <v>309</v>
      </c>
      <c r="J191" s="192"/>
      <c r="K191" s="123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3"/>
      <c r="AY191" s="120"/>
      <c r="AZ191" s="121"/>
    </row>
    <row r="192" s="58" customFormat="1" spans="1:52">
      <c r="A192" s="73">
        <v>190</v>
      </c>
      <c r="B192" s="73" t="s">
        <v>116</v>
      </c>
      <c r="C192" s="73" t="s">
        <v>108</v>
      </c>
      <c r="D192" s="74" t="s">
        <v>120</v>
      </c>
      <c r="E192" s="179" t="s">
        <v>344</v>
      </c>
      <c r="F192" s="180"/>
      <c r="G192" s="181"/>
      <c r="H192" s="82"/>
      <c r="I192" s="223" t="s">
        <v>309</v>
      </c>
      <c r="J192" s="192"/>
      <c r="K192" s="123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3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3"/>
      <c r="AY192" s="120"/>
      <c r="AZ192" s="121"/>
    </row>
    <row r="193" s="58" customFormat="1" spans="1:52">
      <c r="A193" s="73">
        <v>191</v>
      </c>
      <c r="B193" s="73" t="s">
        <v>345</v>
      </c>
      <c r="C193" s="73" t="s">
        <v>108</v>
      </c>
      <c r="D193" s="74" t="s">
        <v>346</v>
      </c>
      <c r="E193" s="179" t="s">
        <v>347</v>
      </c>
      <c r="F193" s="180"/>
      <c r="G193" s="181"/>
      <c r="H193" s="82"/>
      <c r="I193" s="223">
        <v>46032</v>
      </c>
      <c r="J193" s="192">
        <v>3</v>
      </c>
      <c r="K193" s="123"/>
      <c r="L193" s="120">
        <f t="shared" si="16"/>
        <v>46122</v>
      </c>
      <c r="M193" s="121">
        <f ca="1" t="shared" si="17"/>
        <v>87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3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3"/>
      <c r="AY193" s="120"/>
      <c r="AZ193" s="121"/>
    </row>
    <row r="194" s="58" customFormat="1" spans="1:52">
      <c r="A194" s="73">
        <v>192</v>
      </c>
      <c r="B194" s="73" t="s">
        <v>348</v>
      </c>
      <c r="C194" s="73" t="s">
        <v>154</v>
      </c>
      <c r="D194" s="74" t="s">
        <v>349</v>
      </c>
      <c r="E194" s="179" t="s">
        <v>350</v>
      </c>
      <c r="F194" s="180"/>
      <c r="G194" s="181"/>
      <c r="H194" s="89" t="s">
        <v>16</v>
      </c>
      <c r="I194" s="223">
        <v>46032</v>
      </c>
      <c r="J194" s="192">
        <v>3</v>
      </c>
      <c r="K194" s="123"/>
      <c r="L194" s="120">
        <f t="shared" si="16"/>
        <v>46122</v>
      </c>
      <c r="M194" s="121">
        <f ca="1" t="shared" si="17"/>
        <v>87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3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3"/>
      <c r="AY194" s="120"/>
      <c r="AZ194" s="121"/>
    </row>
    <row r="195" s="58" customFormat="1" spans="1:52">
      <c r="A195" s="73">
        <v>193</v>
      </c>
      <c r="B195" s="73" t="s">
        <v>348</v>
      </c>
      <c r="C195" s="73" t="s">
        <v>154</v>
      </c>
      <c r="D195" s="74" t="s">
        <v>351</v>
      </c>
      <c r="E195" s="179" t="s">
        <v>352</v>
      </c>
      <c r="F195" s="180"/>
      <c r="G195" s="181"/>
      <c r="H195" s="82"/>
      <c r="I195" s="223">
        <v>46032</v>
      </c>
      <c r="J195" s="192">
        <v>3</v>
      </c>
      <c r="K195" s="123"/>
      <c r="L195" s="120">
        <f t="shared" si="16"/>
        <v>46122</v>
      </c>
      <c r="M195" s="121">
        <f ca="1" t="shared" si="17"/>
        <v>87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3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3"/>
      <c r="AY195" s="120"/>
      <c r="AZ195" s="121"/>
    </row>
    <row r="196" s="58" customFormat="1" spans="1:52">
      <c r="A196" s="73">
        <v>194</v>
      </c>
      <c r="B196" s="73" t="s">
        <v>353</v>
      </c>
      <c r="C196" s="73" t="s">
        <v>154</v>
      </c>
      <c r="D196" s="74" t="s">
        <v>354</v>
      </c>
      <c r="E196" s="179" t="s">
        <v>355</v>
      </c>
      <c r="F196" s="180"/>
      <c r="G196" s="181"/>
      <c r="H196" s="89" t="s">
        <v>16</v>
      </c>
      <c r="I196" s="223">
        <v>46032</v>
      </c>
      <c r="J196" s="192">
        <v>3</v>
      </c>
      <c r="K196" s="123"/>
      <c r="L196" s="120">
        <f t="shared" si="16"/>
        <v>46122</v>
      </c>
      <c r="M196" s="121">
        <f ca="1" t="shared" si="17"/>
        <v>87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3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3"/>
      <c r="AY196" s="120"/>
      <c r="AZ196" s="121"/>
    </row>
    <row r="197" spans="1:52">
      <c r="A197" s="73">
        <v>195</v>
      </c>
      <c r="B197" s="73" t="s">
        <v>356</v>
      </c>
      <c r="C197" s="73" t="s">
        <v>154</v>
      </c>
      <c r="D197" s="74" t="s">
        <v>357</v>
      </c>
      <c r="E197" s="179" t="s">
        <v>358</v>
      </c>
      <c r="F197" s="180"/>
      <c r="G197" s="181"/>
      <c r="H197" s="89" t="s">
        <v>16</v>
      </c>
      <c r="I197" s="223">
        <v>46032</v>
      </c>
      <c r="J197" s="192">
        <v>3</v>
      </c>
      <c r="K197" s="123"/>
      <c r="L197" s="120">
        <f t="shared" si="16"/>
        <v>46122</v>
      </c>
      <c r="M197" s="121">
        <f ca="1" t="shared" si="17"/>
        <v>87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3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3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3"/>
      <c r="AY197" s="120"/>
      <c r="AZ197" s="121"/>
    </row>
    <row r="198" spans="1:52">
      <c r="A198" s="73">
        <v>196</v>
      </c>
      <c r="B198" s="73" t="s">
        <v>356</v>
      </c>
      <c r="C198" s="73" t="s">
        <v>154</v>
      </c>
      <c r="D198" s="74" t="s">
        <v>359</v>
      </c>
      <c r="E198" s="179" t="s">
        <v>230</v>
      </c>
      <c r="F198" s="180"/>
      <c r="G198" s="181"/>
      <c r="H198" s="89" t="s">
        <v>16</v>
      </c>
      <c r="I198" s="223">
        <v>46032</v>
      </c>
      <c r="J198" s="192">
        <v>3</v>
      </c>
      <c r="K198" s="123"/>
      <c r="L198" s="120">
        <f t="shared" si="16"/>
        <v>46122</v>
      </c>
      <c r="M198" s="121">
        <f ca="1" t="shared" si="17"/>
        <v>87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3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3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3"/>
      <c r="AY198" s="120"/>
      <c r="AZ198" s="121"/>
    </row>
    <row r="199" spans="1:52">
      <c r="A199" s="73">
        <v>197</v>
      </c>
      <c r="B199" s="73" t="s">
        <v>317</v>
      </c>
      <c r="C199" s="73" t="s">
        <v>154</v>
      </c>
      <c r="D199" s="74" t="s">
        <v>360</v>
      </c>
      <c r="E199" s="179" t="s">
        <v>221</v>
      </c>
      <c r="F199" s="180"/>
      <c r="G199" s="181"/>
      <c r="H199" s="89" t="s">
        <v>16</v>
      </c>
      <c r="I199" s="223">
        <v>46032</v>
      </c>
      <c r="J199" s="192">
        <v>3</v>
      </c>
      <c r="K199" s="123"/>
      <c r="L199" s="120">
        <f t="shared" si="16"/>
        <v>46122</v>
      </c>
      <c r="M199" s="121">
        <f ca="1" t="shared" si="17"/>
        <v>87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3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3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3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361</v>
      </c>
      <c r="E200" s="179" t="s">
        <v>37</v>
      </c>
      <c r="F200" s="180"/>
      <c r="G200" s="181"/>
      <c r="H200" s="89" t="s">
        <v>16</v>
      </c>
      <c r="I200" s="223">
        <v>46033</v>
      </c>
      <c r="J200" s="192">
        <v>3</v>
      </c>
      <c r="K200" s="123"/>
      <c r="L200" s="120">
        <f t="shared" ref="L200:L207" si="18">EDATE(I200,J200)</f>
        <v>46123</v>
      </c>
      <c r="M200" s="121">
        <f ca="1" t="shared" ref="M200:M207" si="19">L200-TODAY()</f>
        <v>88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3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3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3"/>
      <c r="AY200" s="120"/>
      <c r="AZ200" s="121"/>
    </row>
    <row r="201" spans="1:52">
      <c r="A201" s="73">
        <v>199</v>
      </c>
      <c r="B201" s="73" t="s">
        <v>12</v>
      </c>
      <c r="C201" s="73" t="s">
        <v>23</v>
      </c>
      <c r="D201" s="74" t="s">
        <v>362</v>
      </c>
      <c r="E201" s="179" t="s">
        <v>363</v>
      </c>
      <c r="F201" s="180"/>
      <c r="G201" s="181"/>
      <c r="H201" s="89" t="s">
        <v>16</v>
      </c>
      <c r="I201" s="223">
        <v>46033</v>
      </c>
      <c r="J201" s="192">
        <v>3</v>
      </c>
      <c r="K201" s="123"/>
      <c r="L201" s="120">
        <f t="shared" si="18"/>
        <v>46123</v>
      </c>
      <c r="M201" s="121">
        <f ca="1" t="shared" si="19"/>
        <v>88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3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3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3"/>
      <c r="AY201" s="120"/>
      <c r="AZ201" s="121"/>
    </row>
    <row r="202" spans="1:52">
      <c r="A202" s="73">
        <v>200</v>
      </c>
      <c r="B202" s="73" t="s">
        <v>12</v>
      </c>
      <c r="C202" s="73" t="s">
        <v>23</v>
      </c>
      <c r="D202" s="74" t="s">
        <v>364</v>
      </c>
      <c r="E202" s="179" t="s">
        <v>84</v>
      </c>
      <c r="F202" s="180"/>
      <c r="G202" s="181"/>
      <c r="H202" s="89" t="s">
        <v>16</v>
      </c>
      <c r="I202" s="223">
        <v>46033</v>
      </c>
      <c r="J202" s="192">
        <v>3</v>
      </c>
      <c r="K202" s="123"/>
      <c r="L202" s="120">
        <f t="shared" si="18"/>
        <v>46123</v>
      </c>
      <c r="M202" s="121">
        <f ca="1" t="shared" si="19"/>
        <v>88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3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3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3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23</v>
      </c>
      <c r="D203" s="74" t="s">
        <v>365</v>
      </c>
      <c r="E203" s="179" t="s">
        <v>366</v>
      </c>
      <c r="F203" s="180"/>
      <c r="G203" s="181"/>
      <c r="H203" s="89" t="s">
        <v>16</v>
      </c>
      <c r="I203" s="223">
        <v>46033</v>
      </c>
      <c r="J203" s="192">
        <v>3</v>
      </c>
      <c r="K203" s="123"/>
      <c r="L203" s="120">
        <f t="shared" si="18"/>
        <v>46123</v>
      </c>
      <c r="M203" s="121">
        <f ca="1" t="shared" si="19"/>
        <v>88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3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3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3"/>
      <c r="AY203" s="120"/>
      <c r="AZ203" s="121"/>
    </row>
    <row r="204" ht="22" customHeight="1" spans="1:52">
      <c r="A204" s="73">
        <v>202</v>
      </c>
      <c r="B204" s="73" t="s">
        <v>187</v>
      </c>
      <c r="C204" s="73" t="s">
        <v>13</v>
      </c>
      <c r="D204" s="74" t="s">
        <v>367</v>
      </c>
      <c r="E204" s="179" t="s">
        <v>27</v>
      </c>
      <c r="F204" s="180"/>
      <c r="G204" s="181"/>
      <c r="H204" s="82"/>
      <c r="I204" s="223">
        <v>46033</v>
      </c>
      <c r="J204" s="192">
        <v>3</v>
      </c>
      <c r="K204" s="123"/>
      <c r="L204" s="120">
        <f t="shared" si="18"/>
        <v>46123</v>
      </c>
      <c r="M204" s="121">
        <f ca="1" t="shared" si="19"/>
        <v>88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3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3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3"/>
      <c r="AY204" s="120"/>
      <c r="AZ204" s="121"/>
    </row>
    <row r="205" ht="26" customHeight="1" spans="1:52">
      <c r="A205" s="73">
        <v>203</v>
      </c>
      <c r="B205" s="73" t="s">
        <v>187</v>
      </c>
      <c r="C205" s="73" t="s">
        <v>13</v>
      </c>
      <c r="D205" s="74" t="s">
        <v>368</v>
      </c>
      <c r="E205" s="179" t="s">
        <v>27</v>
      </c>
      <c r="F205" s="180"/>
      <c r="G205" s="181"/>
      <c r="H205" s="82"/>
      <c r="I205" s="223">
        <v>46033</v>
      </c>
      <c r="J205" s="192">
        <v>3</v>
      </c>
      <c r="K205" s="123"/>
      <c r="L205" s="120">
        <f t="shared" si="18"/>
        <v>46123</v>
      </c>
      <c r="M205" s="121">
        <f ca="1" t="shared" si="19"/>
        <v>88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3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3"/>
      <c r="AY205" s="120"/>
      <c r="AZ205" s="121"/>
    </row>
    <row r="206" ht="22" customHeight="1" spans="1:52">
      <c r="A206" s="73">
        <v>204</v>
      </c>
      <c r="B206" s="73" t="s">
        <v>289</v>
      </c>
      <c r="C206" s="73" t="s">
        <v>23</v>
      </c>
      <c r="D206" s="74" t="s">
        <v>369</v>
      </c>
      <c r="E206" s="179" t="s">
        <v>209</v>
      </c>
      <c r="F206" s="180"/>
      <c r="G206" s="181"/>
      <c r="H206" s="83" t="s">
        <v>16</v>
      </c>
      <c r="I206" s="223">
        <v>46033</v>
      </c>
      <c r="J206" s="192">
        <v>3</v>
      </c>
      <c r="K206" s="123"/>
      <c r="L206" s="120">
        <f t="shared" si="18"/>
        <v>46123</v>
      </c>
      <c r="M206" s="121">
        <f ca="1" t="shared" si="19"/>
        <v>88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3"/>
      <c r="AY206" s="120"/>
      <c r="AZ206" s="121"/>
    </row>
    <row r="207" ht="21" customHeight="1" spans="1:52">
      <c r="A207" s="73">
        <v>205</v>
      </c>
      <c r="B207" s="73" t="s">
        <v>289</v>
      </c>
      <c r="C207" s="73" t="s">
        <v>23</v>
      </c>
      <c r="D207" s="74" t="s">
        <v>370</v>
      </c>
      <c r="E207" s="179" t="s">
        <v>34</v>
      </c>
      <c r="F207" s="180"/>
      <c r="G207" s="181"/>
      <c r="H207" s="83" t="s">
        <v>16</v>
      </c>
      <c r="I207" s="223">
        <v>46033</v>
      </c>
      <c r="J207" s="192">
        <v>3</v>
      </c>
      <c r="K207" s="123"/>
      <c r="L207" s="120">
        <f t="shared" si="18"/>
        <v>46123</v>
      </c>
      <c r="M207" s="121">
        <f ca="1" t="shared" si="19"/>
        <v>88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3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371</v>
      </c>
      <c r="E208" s="179" t="s">
        <v>18</v>
      </c>
      <c r="F208" s="180"/>
      <c r="G208" s="181"/>
      <c r="H208" s="83" t="s">
        <v>16</v>
      </c>
      <c r="I208" s="223">
        <v>46034</v>
      </c>
      <c r="J208" s="192">
        <v>3</v>
      </c>
      <c r="K208" s="123"/>
      <c r="L208" s="120">
        <f t="shared" ref="L208:L223" si="20">EDATE(I208,J208)</f>
        <v>46124</v>
      </c>
      <c r="M208" s="121">
        <f ca="1" t="shared" ref="M208:M223" si="21">L208-TODAY()</f>
        <v>89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3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372</v>
      </c>
      <c r="E209" s="179" t="s">
        <v>373</v>
      </c>
      <c r="F209" s="180"/>
      <c r="G209" s="181"/>
      <c r="H209" s="83" t="s">
        <v>16</v>
      </c>
      <c r="I209" s="223">
        <v>46034</v>
      </c>
      <c r="J209" s="192">
        <v>3</v>
      </c>
      <c r="K209" s="123"/>
      <c r="L209" s="120">
        <f t="shared" si="20"/>
        <v>46124</v>
      </c>
      <c r="M209" s="121">
        <f ca="1" t="shared" si="21"/>
        <v>89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23</v>
      </c>
      <c r="D210" s="74" t="s">
        <v>374</v>
      </c>
      <c r="E210" s="179" t="s">
        <v>84</v>
      </c>
      <c r="F210" s="180"/>
      <c r="G210" s="181"/>
      <c r="H210" s="83" t="s">
        <v>16</v>
      </c>
      <c r="I210" s="223">
        <v>46034</v>
      </c>
      <c r="J210" s="192">
        <v>3</v>
      </c>
      <c r="K210" s="123"/>
      <c r="L210" s="120">
        <f t="shared" si="20"/>
        <v>46124</v>
      </c>
      <c r="M210" s="121">
        <f ca="1" t="shared" si="21"/>
        <v>89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375</v>
      </c>
      <c r="E211" s="179" t="s">
        <v>339</v>
      </c>
      <c r="F211" s="180"/>
      <c r="G211" s="181"/>
      <c r="H211" s="83" t="s">
        <v>16</v>
      </c>
      <c r="I211" s="223">
        <v>46034</v>
      </c>
      <c r="J211" s="192">
        <v>3</v>
      </c>
      <c r="K211" s="123"/>
      <c r="L211" s="120">
        <f t="shared" si="20"/>
        <v>46124</v>
      </c>
      <c r="M211" s="121">
        <f ca="1" t="shared" si="21"/>
        <v>89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97</v>
      </c>
      <c r="C212" s="73" t="s">
        <v>23</v>
      </c>
      <c r="D212" s="74" t="s">
        <v>376</v>
      </c>
      <c r="E212" s="179" t="s">
        <v>84</v>
      </c>
      <c r="F212" s="180"/>
      <c r="G212" s="181"/>
      <c r="H212" s="204"/>
      <c r="I212" s="223">
        <v>46034</v>
      </c>
      <c r="J212" s="192">
        <v>3</v>
      </c>
      <c r="K212" s="123"/>
      <c r="L212" s="120">
        <f t="shared" si="20"/>
        <v>46124</v>
      </c>
      <c r="M212" s="121">
        <f ca="1" t="shared" si="21"/>
        <v>89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111</v>
      </c>
      <c r="C213" s="73" t="s">
        <v>108</v>
      </c>
      <c r="D213" s="74" t="s">
        <v>377</v>
      </c>
      <c r="E213" s="179" t="s">
        <v>378</v>
      </c>
      <c r="F213" s="180"/>
      <c r="G213" s="181"/>
      <c r="H213" s="204"/>
      <c r="I213" s="223">
        <v>46034</v>
      </c>
      <c r="J213" s="192">
        <v>3</v>
      </c>
      <c r="K213" s="123"/>
      <c r="L213" s="120">
        <f t="shared" si="20"/>
        <v>46124</v>
      </c>
      <c r="M213" s="121">
        <f ca="1" t="shared" si="21"/>
        <v>89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111</v>
      </c>
      <c r="C214" s="73" t="s">
        <v>108</v>
      </c>
      <c r="D214" s="74" t="s">
        <v>151</v>
      </c>
      <c r="E214" s="179" t="s">
        <v>152</v>
      </c>
      <c r="F214" s="180"/>
      <c r="G214" s="181"/>
      <c r="H214" s="204"/>
      <c r="I214" s="223">
        <v>46034</v>
      </c>
      <c r="J214" s="192">
        <v>3</v>
      </c>
      <c r="K214" s="123"/>
      <c r="L214" s="120">
        <f t="shared" si="20"/>
        <v>46124</v>
      </c>
      <c r="M214" s="121">
        <f ca="1" t="shared" si="21"/>
        <v>89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107</v>
      </c>
      <c r="C215" s="73" t="s">
        <v>108</v>
      </c>
      <c r="D215" s="94" t="s">
        <v>379</v>
      </c>
      <c r="E215" s="179" t="s">
        <v>308</v>
      </c>
      <c r="F215" s="180"/>
      <c r="G215" s="181"/>
      <c r="H215" s="204"/>
      <c r="I215" s="223">
        <v>46034</v>
      </c>
      <c r="J215" s="192">
        <v>3</v>
      </c>
      <c r="K215" s="123"/>
      <c r="L215" s="120">
        <f t="shared" si="20"/>
        <v>46124</v>
      </c>
      <c r="M215" s="121">
        <f ca="1" t="shared" si="21"/>
        <v>89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107</v>
      </c>
      <c r="C216" s="73" t="s">
        <v>108</v>
      </c>
      <c r="D216" s="74" t="s">
        <v>109</v>
      </c>
      <c r="E216" s="179" t="s">
        <v>110</v>
      </c>
      <c r="F216" s="180"/>
      <c r="G216" s="181"/>
      <c r="H216" s="204"/>
      <c r="I216" s="223" t="s">
        <v>309</v>
      </c>
      <c r="J216" s="192"/>
      <c r="K216" s="123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111</v>
      </c>
      <c r="C217" s="73" t="s">
        <v>108</v>
      </c>
      <c r="D217" s="74" t="s">
        <v>380</v>
      </c>
      <c r="E217" s="79" t="s">
        <v>306</v>
      </c>
      <c r="F217" s="80"/>
      <c r="G217" s="81"/>
      <c r="H217" s="204"/>
      <c r="I217" s="223">
        <v>46034</v>
      </c>
      <c r="J217" s="192">
        <v>3</v>
      </c>
      <c r="K217" s="123"/>
      <c r="L217" s="120">
        <f t="shared" si="20"/>
        <v>46124</v>
      </c>
      <c r="M217" s="121">
        <f ca="1" t="shared" si="21"/>
        <v>89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381</v>
      </c>
      <c r="C218" s="73" t="s">
        <v>13</v>
      </c>
      <c r="D218" s="74" t="s">
        <v>382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3"/>
      <c r="L218" s="120">
        <f t="shared" si="20"/>
        <v>46124</v>
      </c>
      <c r="M218" s="121">
        <f ca="1" t="shared" si="21"/>
        <v>89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381</v>
      </c>
      <c r="C219" s="73" t="s">
        <v>13</v>
      </c>
      <c r="D219" s="74" t="s">
        <v>383</v>
      </c>
      <c r="E219" s="79" t="s">
        <v>384</v>
      </c>
      <c r="F219" s="80"/>
      <c r="G219" s="81"/>
      <c r="H219" s="82"/>
      <c r="I219" s="223">
        <v>46034</v>
      </c>
      <c r="J219" s="192">
        <v>3</v>
      </c>
      <c r="K219" s="122"/>
      <c r="L219" s="120">
        <f t="shared" si="20"/>
        <v>46124</v>
      </c>
      <c r="M219" s="121">
        <f ca="1" t="shared" si="21"/>
        <v>89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317</v>
      </c>
      <c r="C220" s="73" t="s">
        <v>154</v>
      </c>
      <c r="D220" s="74" t="s">
        <v>385</v>
      </c>
      <c r="E220" s="79" t="s">
        <v>221</v>
      </c>
      <c r="F220" s="80"/>
      <c r="G220" s="81"/>
      <c r="H220" s="78" t="s">
        <v>16</v>
      </c>
      <c r="I220" s="223">
        <v>46034</v>
      </c>
      <c r="J220" s="192">
        <v>3</v>
      </c>
      <c r="K220" s="122"/>
      <c r="L220" s="120">
        <f t="shared" si="20"/>
        <v>46124</v>
      </c>
      <c r="M220" s="121">
        <f ca="1" t="shared" si="21"/>
        <v>89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317</v>
      </c>
      <c r="C221" s="73" t="s">
        <v>154</v>
      </c>
      <c r="D221" s="74" t="s">
        <v>386</v>
      </c>
      <c r="E221" s="79" t="s">
        <v>221</v>
      </c>
      <c r="F221" s="80"/>
      <c r="G221" s="81"/>
      <c r="H221" s="78" t="s">
        <v>16</v>
      </c>
      <c r="I221" s="223">
        <v>46034</v>
      </c>
      <c r="J221" s="192">
        <v>3</v>
      </c>
      <c r="K221" s="122"/>
      <c r="L221" s="120">
        <f t="shared" si="20"/>
        <v>46124</v>
      </c>
      <c r="M221" s="121">
        <f ca="1" t="shared" si="21"/>
        <v>89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153</v>
      </c>
      <c r="C222" s="73" t="s">
        <v>154</v>
      </c>
      <c r="D222" s="74" t="s">
        <v>387</v>
      </c>
      <c r="E222" s="79" t="s">
        <v>156</v>
      </c>
      <c r="F222" s="80"/>
      <c r="G222" s="81"/>
      <c r="H222" s="82"/>
      <c r="I222" s="223">
        <v>46034</v>
      </c>
      <c r="J222" s="192">
        <v>3</v>
      </c>
      <c r="K222" s="122"/>
      <c r="L222" s="120">
        <f t="shared" si="20"/>
        <v>46124</v>
      </c>
      <c r="M222" s="121">
        <f ca="1" t="shared" si="21"/>
        <v>89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153</v>
      </c>
      <c r="C223" s="73" t="s">
        <v>154</v>
      </c>
      <c r="D223" s="74" t="s">
        <v>388</v>
      </c>
      <c r="E223" s="79" t="s">
        <v>230</v>
      </c>
      <c r="F223" s="80"/>
      <c r="G223" s="81"/>
      <c r="H223" s="78" t="s">
        <v>16</v>
      </c>
      <c r="I223" s="223">
        <v>46034</v>
      </c>
      <c r="J223" s="192">
        <v>3</v>
      </c>
      <c r="K223" s="122"/>
      <c r="L223" s="120">
        <f t="shared" si="20"/>
        <v>46124</v>
      </c>
      <c r="M223" s="121">
        <f ca="1" t="shared" si="21"/>
        <v>89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/>
      <c r="B224" s="73"/>
      <c r="C224" s="73"/>
      <c r="D224" s="74"/>
      <c r="E224" s="79"/>
      <c r="F224" s="80"/>
      <c r="G224" s="81"/>
      <c r="H224" s="130"/>
      <c r="I224" s="223"/>
      <c r="J224" s="192"/>
      <c r="K224" s="122"/>
      <c r="L224" s="241"/>
      <c r="M224" s="121"/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/>
      <c r="B225" s="73"/>
      <c r="C225" s="73"/>
      <c r="D225" s="74"/>
      <c r="E225" s="79"/>
      <c r="F225" s="80"/>
      <c r="G225" s="81"/>
      <c r="H225" s="89"/>
      <c r="I225" s="223"/>
      <c r="J225" s="192"/>
      <c r="K225" s="122"/>
      <c r="L225" s="241"/>
      <c r="M225" s="121"/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/>
      <c r="B226" s="73"/>
      <c r="C226" s="73"/>
      <c r="D226" s="74"/>
      <c r="E226" s="79"/>
      <c r="F226" s="80"/>
      <c r="G226" s="81"/>
      <c r="H226" s="89"/>
      <c r="I226" s="223"/>
      <c r="J226" s="192"/>
      <c r="K226" s="122"/>
      <c r="L226" s="241"/>
      <c r="M226" s="121"/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/>
      <c r="B227" s="73"/>
      <c r="C227" s="73"/>
      <c r="D227" s="74"/>
      <c r="E227" s="79"/>
      <c r="F227" s="80"/>
      <c r="G227" s="81"/>
      <c r="H227" s="89"/>
      <c r="I227" s="223"/>
      <c r="J227" s="192"/>
      <c r="K227" s="122"/>
      <c r="L227" s="241"/>
      <c r="M227" s="121"/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/>
      <c r="B228" s="73"/>
      <c r="C228" s="73"/>
      <c r="D228" s="74"/>
      <c r="E228" s="79"/>
      <c r="F228" s="80"/>
      <c r="G228" s="81"/>
      <c r="H228" s="89"/>
      <c r="I228" s="223"/>
      <c r="J228" s="192"/>
      <c r="K228" s="122"/>
      <c r="L228" s="241"/>
      <c r="M228" s="121"/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74" customHeight="1" spans="1:52">
      <c r="A229" s="73"/>
      <c r="B229" s="73"/>
      <c r="C229" s="73"/>
      <c r="D229" s="74"/>
      <c r="E229" s="79"/>
      <c r="F229" s="80"/>
      <c r="G229" s="81"/>
      <c r="H229" s="130"/>
      <c r="I229" s="223"/>
      <c r="J229" s="192"/>
      <c r="K229" s="122"/>
      <c r="L229" s="241"/>
      <c r="M229" s="121"/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/>
      <c r="B230" s="73"/>
      <c r="C230" s="73"/>
      <c r="D230" s="74"/>
      <c r="E230" s="79"/>
      <c r="F230" s="80"/>
      <c r="G230" s="81"/>
      <c r="H230" s="89"/>
      <c r="I230" s="223"/>
      <c r="J230" s="192"/>
      <c r="K230" s="122"/>
      <c r="L230" s="241"/>
      <c r="M230" s="121"/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/>
      <c r="B231" s="73"/>
      <c r="C231" s="73"/>
      <c r="D231" s="74"/>
      <c r="E231" s="79"/>
      <c r="F231" s="80"/>
      <c r="G231" s="81"/>
      <c r="H231" s="89"/>
      <c r="I231" s="223"/>
      <c r="J231" s="192"/>
      <c r="K231" s="122"/>
      <c r="L231" s="241"/>
      <c r="M231" s="121"/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/>
      <c r="B232" s="73"/>
      <c r="C232" s="73"/>
      <c r="D232" s="74"/>
      <c r="E232" s="79"/>
      <c r="F232" s="80"/>
      <c r="G232" s="81"/>
      <c r="H232" s="89"/>
      <c r="I232" s="223"/>
      <c r="J232" s="192"/>
      <c r="K232" s="122"/>
      <c r="L232" s="241"/>
      <c r="M232" s="121"/>
      <c r="N232" s="73"/>
      <c r="O232" s="73"/>
      <c r="P232" s="73"/>
      <c r="Q232" s="74"/>
      <c r="R232" s="242"/>
      <c r="S232" s="80"/>
      <c r="T232" s="243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2"/>
      <c r="AF232" s="80"/>
      <c r="AG232" s="243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/>
      <c r="B233" s="73"/>
      <c r="C233" s="73"/>
      <c r="D233" s="74"/>
      <c r="E233" s="79"/>
      <c r="F233" s="80"/>
      <c r="G233" s="81"/>
      <c r="H233" s="89"/>
      <c r="I233" s="223"/>
      <c r="J233" s="192"/>
      <c r="K233" s="122"/>
      <c r="L233" s="241"/>
      <c r="M233" s="121"/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/>
      <c r="B234" s="73"/>
      <c r="C234" s="73"/>
      <c r="D234" s="74"/>
      <c r="E234" s="79"/>
      <c r="F234" s="80"/>
      <c r="G234" s="81"/>
      <c r="H234" s="83"/>
      <c r="I234" s="223"/>
      <c r="J234" s="192"/>
      <c r="K234" s="122"/>
      <c r="L234" s="241"/>
      <c r="M234" s="121"/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/>
      <c r="B235" s="73"/>
      <c r="C235" s="73"/>
      <c r="D235" s="74"/>
      <c r="E235" s="79"/>
      <c r="F235" s="80"/>
      <c r="G235" s="81"/>
      <c r="H235" s="130"/>
      <c r="I235" s="223"/>
      <c r="J235" s="192"/>
      <c r="K235" s="122"/>
      <c r="L235" s="241"/>
      <c r="M235" s="121"/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/>
      <c r="B236" s="73"/>
      <c r="C236" s="73"/>
      <c r="D236" s="74"/>
      <c r="E236" s="79"/>
      <c r="F236" s="80"/>
      <c r="G236" s="81"/>
      <c r="H236" s="130"/>
      <c r="I236" s="223"/>
      <c r="J236" s="192"/>
      <c r="K236" s="122"/>
      <c r="L236" s="241"/>
      <c r="M236" s="121"/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/>
      <c r="B237" s="73"/>
      <c r="C237" s="73"/>
      <c r="D237" s="74"/>
      <c r="E237" s="79"/>
      <c r="F237" s="80"/>
      <c r="G237" s="81"/>
      <c r="H237" s="130"/>
      <c r="I237" s="223"/>
      <c r="J237" s="192"/>
      <c r="K237" s="122"/>
      <c r="L237" s="241"/>
      <c r="M237" s="121"/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/>
      <c r="B238" s="73"/>
      <c r="C238" s="73"/>
      <c r="D238" s="74"/>
      <c r="E238" s="79"/>
      <c r="F238" s="80"/>
      <c r="G238" s="81"/>
      <c r="H238" s="130"/>
      <c r="I238" s="223"/>
      <c r="J238" s="192"/>
      <c r="K238" s="122"/>
      <c r="L238" s="241"/>
      <c r="M238" s="121"/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/>
      <c r="B239" s="73"/>
      <c r="C239" s="73"/>
      <c r="D239" s="74"/>
      <c r="E239" s="79"/>
      <c r="F239" s="80"/>
      <c r="G239" s="81"/>
      <c r="H239" s="130"/>
      <c r="I239" s="223"/>
      <c r="J239" s="192"/>
      <c r="K239" s="122"/>
      <c r="L239" s="241"/>
      <c r="M239" s="121"/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/>
      <c r="B240" s="73"/>
      <c r="C240" s="73"/>
      <c r="D240" s="74"/>
      <c r="E240" s="79"/>
      <c r="F240" s="80"/>
      <c r="G240" s="81"/>
      <c r="H240" s="83"/>
      <c r="I240" s="223"/>
      <c r="J240" s="192"/>
      <c r="K240" s="122"/>
      <c r="L240" s="241"/>
      <c r="M240" s="121"/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/>
      <c r="B241" s="73"/>
      <c r="C241" s="73"/>
      <c r="D241" s="74"/>
      <c r="E241" s="79"/>
      <c r="F241" s="80"/>
      <c r="G241" s="81"/>
      <c r="H241" s="83"/>
      <c r="I241" s="223"/>
      <c r="J241" s="192"/>
      <c r="K241" s="122"/>
      <c r="L241" s="241"/>
      <c r="M241" s="121"/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/>
      <c r="B242" s="73"/>
      <c r="C242" s="73"/>
      <c r="D242" s="74"/>
      <c r="E242" s="79"/>
      <c r="F242" s="80"/>
      <c r="G242" s="81"/>
      <c r="H242" s="130"/>
      <c r="I242" s="223"/>
      <c r="J242" s="73"/>
      <c r="K242" s="122"/>
      <c r="L242" s="241"/>
      <c r="M242" s="121"/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/>
      <c r="B243" s="73"/>
      <c r="C243" s="73"/>
      <c r="D243" s="94"/>
      <c r="E243" s="79"/>
      <c r="F243" s="80"/>
      <c r="G243" s="81"/>
      <c r="H243" s="130"/>
      <c r="I243" s="223"/>
      <c r="J243" s="73"/>
      <c r="K243" s="122"/>
      <c r="L243" s="241"/>
      <c r="M243" s="121"/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/>
      <c r="B244" s="73"/>
      <c r="C244" s="73"/>
      <c r="D244" s="74"/>
      <c r="E244" s="79"/>
      <c r="F244" s="80"/>
      <c r="G244" s="81"/>
      <c r="H244" s="130"/>
      <c r="I244" s="223"/>
      <c r="J244" s="73"/>
      <c r="K244" s="122"/>
      <c r="L244" s="241"/>
      <c r="M244" s="121"/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/>
      <c r="B245" s="73"/>
      <c r="C245" s="73"/>
      <c r="D245" s="74"/>
      <c r="E245" s="79"/>
      <c r="F245" s="80"/>
      <c r="G245" s="81"/>
      <c r="H245" s="130"/>
      <c r="I245" s="223"/>
      <c r="J245" s="73"/>
      <c r="K245" s="122"/>
      <c r="L245" s="241"/>
      <c r="M245" s="121"/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/>
      <c r="B246" s="73"/>
      <c r="C246" s="73"/>
      <c r="D246" s="74"/>
      <c r="E246" s="79"/>
      <c r="F246" s="80"/>
      <c r="G246" s="81"/>
      <c r="H246" s="130"/>
      <c r="I246" s="223"/>
      <c r="J246" s="73"/>
      <c r="K246" s="122"/>
      <c r="L246" s="241"/>
      <c r="M246" s="121"/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/>
      <c r="B247" s="73"/>
      <c r="C247" s="73"/>
      <c r="D247" s="74"/>
      <c r="E247" s="79"/>
      <c r="F247" s="80"/>
      <c r="G247" s="81"/>
      <c r="H247" s="130"/>
      <c r="I247" s="223"/>
      <c r="J247" s="73"/>
      <c r="K247" s="122"/>
      <c r="L247" s="241"/>
      <c r="M247" s="121"/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/>
      <c r="B248" s="73"/>
      <c r="C248" s="73"/>
      <c r="D248" s="74"/>
      <c r="E248" s="79"/>
      <c r="F248" s="80"/>
      <c r="G248" s="81"/>
      <c r="H248" s="130"/>
      <c r="I248" s="223"/>
      <c r="J248" s="73"/>
      <c r="K248" s="122"/>
      <c r="L248" s="241"/>
      <c r="M248" s="121"/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60" customHeight="1" spans="1:52">
      <c r="A249" s="73"/>
      <c r="B249" s="73"/>
      <c r="C249" s="73"/>
      <c r="D249" s="74"/>
      <c r="E249" s="79"/>
      <c r="F249" s="80"/>
      <c r="G249" s="81"/>
      <c r="H249" s="130"/>
      <c r="I249" s="223"/>
      <c r="J249" s="73"/>
      <c r="K249" s="122"/>
      <c r="L249" s="241"/>
      <c r="M249" s="121"/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/>
      <c r="B250" s="73"/>
      <c r="C250" s="73"/>
      <c r="D250" s="74"/>
      <c r="E250" s="79"/>
      <c r="F250" s="80"/>
      <c r="G250" s="81"/>
      <c r="H250" s="130"/>
      <c r="I250" s="223"/>
      <c r="J250" s="73"/>
      <c r="K250" s="122"/>
      <c r="L250" s="241"/>
      <c r="M250" s="121"/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/>
      <c r="B251" s="73"/>
      <c r="C251" s="73"/>
      <c r="D251" s="74"/>
      <c r="E251" s="79"/>
      <c r="F251" s="80"/>
      <c r="G251" s="81"/>
      <c r="H251" s="78"/>
      <c r="I251" s="223"/>
      <c r="J251" s="73"/>
      <c r="K251" s="122"/>
      <c r="L251" s="241"/>
      <c r="M251" s="121"/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/>
      <c r="B252" s="73"/>
      <c r="C252" s="73"/>
      <c r="D252" s="74"/>
      <c r="E252" s="79"/>
      <c r="F252" s="80"/>
      <c r="G252" s="81"/>
      <c r="H252" s="78"/>
      <c r="I252" s="223"/>
      <c r="J252" s="73"/>
      <c r="K252" s="122"/>
      <c r="L252" s="241"/>
      <c r="M252" s="121"/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/>
      <c r="B253" s="73"/>
      <c r="C253" s="73"/>
      <c r="D253" s="74"/>
      <c r="E253" s="79"/>
      <c r="F253" s="80"/>
      <c r="G253" s="81"/>
      <c r="H253" s="78"/>
      <c r="I253" s="223"/>
      <c r="J253" s="73"/>
      <c r="K253" s="122"/>
      <c r="L253" s="241"/>
      <c r="M253" s="121"/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/>
      <c r="B254" s="73"/>
      <c r="C254" s="73"/>
      <c r="D254" s="74"/>
      <c r="E254" s="79"/>
      <c r="F254" s="80"/>
      <c r="G254" s="81"/>
      <c r="H254" s="89"/>
      <c r="I254" s="223"/>
      <c r="J254" s="73"/>
      <c r="K254" s="122"/>
      <c r="L254" s="241"/>
      <c r="M254" s="121"/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/>
      <c r="B255" s="73"/>
      <c r="C255" s="73"/>
      <c r="D255" s="74"/>
      <c r="E255" s="79"/>
      <c r="F255" s="80"/>
      <c r="G255" s="81"/>
      <c r="H255" s="78"/>
      <c r="I255" s="223"/>
      <c r="J255" s="73"/>
      <c r="K255" s="122"/>
      <c r="L255" s="241"/>
      <c r="M255" s="121"/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spans="1:52">
      <c r="A256" s="73"/>
      <c r="B256" s="73"/>
      <c r="C256" s="73"/>
      <c r="D256" s="74"/>
      <c r="E256" s="79"/>
      <c r="F256" s="80"/>
      <c r="G256" s="81"/>
      <c r="H256" s="130"/>
      <c r="I256" s="223"/>
      <c r="J256" s="73"/>
      <c r="K256" s="122"/>
      <c r="L256" s="241"/>
      <c r="M256" s="121"/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1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34" customHeight="1" spans="1:52">
      <c r="A257" s="73"/>
      <c r="B257" s="73"/>
      <c r="C257" s="73"/>
      <c r="D257" s="74"/>
      <c r="E257" s="79"/>
      <c r="F257" s="80"/>
      <c r="G257" s="81"/>
      <c r="H257" s="130"/>
      <c r="I257" s="223"/>
      <c r="J257" s="73"/>
      <c r="K257" s="122"/>
      <c r="L257" s="241"/>
      <c r="M257" s="121"/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1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/>
      <c r="B258" s="73"/>
      <c r="C258" s="73"/>
      <c r="D258" s="74"/>
      <c r="E258" s="79"/>
      <c r="F258" s="80"/>
      <c r="G258" s="81"/>
      <c r="H258" s="89"/>
      <c r="I258" s="223"/>
      <c r="J258" s="73"/>
      <c r="K258" s="122"/>
      <c r="L258" s="241"/>
      <c r="M258" s="121"/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/>
      <c r="B259" s="73"/>
      <c r="C259" s="73"/>
      <c r="D259" s="74"/>
      <c r="E259" s="79"/>
      <c r="F259" s="80"/>
      <c r="G259" s="81"/>
      <c r="H259" s="78"/>
      <c r="I259" s="223"/>
      <c r="J259" s="73"/>
      <c r="K259" s="122"/>
      <c r="L259" s="241"/>
      <c r="M259" s="121"/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/>
      <c r="B260" s="73"/>
      <c r="C260" s="73"/>
      <c r="D260" s="74"/>
      <c r="E260" s="79"/>
      <c r="F260" s="80"/>
      <c r="G260" s="81"/>
      <c r="H260" s="89"/>
      <c r="I260" s="223"/>
      <c r="J260" s="73"/>
      <c r="K260" s="122"/>
      <c r="L260" s="241"/>
      <c r="M260" s="121"/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/>
      <c r="B261" s="73"/>
      <c r="C261" s="73"/>
      <c r="D261" s="74"/>
      <c r="E261" s="79"/>
      <c r="F261" s="80"/>
      <c r="G261" s="81"/>
      <c r="H261" s="89"/>
      <c r="I261" s="223"/>
      <c r="J261" s="73"/>
      <c r="K261" s="122"/>
      <c r="L261" s="241"/>
      <c r="M261" s="121"/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/>
      <c r="B262" s="73"/>
      <c r="C262" s="73"/>
      <c r="D262" s="74"/>
      <c r="E262" s="79"/>
      <c r="F262" s="80"/>
      <c r="G262" s="81"/>
      <c r="H262" s="89"/>
      <c r="I262" s="223"/>
      <c r="J262" s="73"/>
      <c r="K262" s="122"/>
      <c r="L262" s="241"/>
      <c r="M262" s="121"/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/>
      <c r="B263" s="73"/>
      <c r="C263" s="73"/>
      <c r="D263" s="74"/>
      <c r="E263" s="79"/>
      <c r="F263" s="80"/>
      <c r="G263" s="81"/>
      <c r="H263" s="78"/>
      <c r="I263" s="223"/>
      <c r="J263" s="73"/>
      <c r="K263" s="122"/>
      <c r="L263" s="241"/>
      <c r="M263" s="121"/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/>
      <c r="B264" s="73"/>
      <c r="C264" s="73"/>
      <c r="D264" s="74"/>
      <c r="E264" s="79"/>
      <c r="F264" s="80"/>
      <c r="G264" s="81"/>
      <c r="H264" s="89"/>
      <c r="I264" s="223"/>
      <c r="J264" s="73"/>
      <c r="K264" s="122"/>
      <c r="L264" s="241"/>
      <c r="M264" s="121"/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/>
      <c r="B265" s="73"/>
      <c r="C265" s="73"/>
      <c r="D265" s="74"/>
      <c r="E265" s="79"/>
      <c r="F265" s="80"/>
      <c r="G265" s="81"/>
      <c r="H265" s="89"/>
      <c r="I265" s="223"/>
      <c r="J265" s="73"/>
      <c r="K265" s="122"/>
      <c r="L265" s="241"/>
      <c r="M265" s="121"/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/>
      <c r="B266" s="73"/>
      <c r="C266" s="73"/>
      <c r="D266" s="74"/>
      <c r="E266" s="79"/>
      <c r="F266" s="80"/>
      <c r="G266" s="81"/>
      <c r="H266" s="89"/>
      <c r="I266" s="223"/>
      <c r="J266" s="73"/>
      <c r="K266" s="122"/>
      <c r="L266" s="241"/>
      <c r="M266" s="121"/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/>
      <c r="B267" s="73"/>
      <c r="C267" s="73"/>
      <c r="D267" s="74"/>
      <c r="E267" s="79"/>
      <c r="F267" s="80"/>
      <c r="G267" s="81"/>
      <c r="H267" s="78"/>
      <c r="I267" s="223"/>
      <c r="J267" s="73"/>
      <c r="K267" s="122"/>
      <c r="L267" s="241"/>
      <c r="M267" s="121"/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/>
      <c r="B268" s="73"/>
      <c r="C268" s="73"/>
      <c r="D268" s="74"/>
      <c r="E268" s="79"/>
      <c r="F268" s="80"/>
      <c r="G268" s="81"/>
      <c r="H268" s="78"/>
      <c r="I268" s="223"/>
      <c r="J268" s="73"/>
      <c r="K268" s="122"/>
      <c r="L268" s="241"/>
      <c r="M268" s="121"/>
      <c r="N268" s="73"/>
      <c r="O268" s="73"/>
      <c r="P268" s="73"/>
      <c r="Q268" s="74"/>
      <c r="R268" s="79"/>
      <c r="S268" s="80"/>
      <c r="T268" s="81"/>
      <c r="U268" s="78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/>
      <c r="B269" s="73"/>
      <c r="C269" s="73"/>
      <c r="D269" s="74"/>
      <c r="E269" s="79"/>
      <c r="F269" s="80"/>
      <c r="G269" s="81"/>
      <c r="H269" s="78"/>
      <c r="I269" s="223"/>
      <c r="J269" s="73"/>
      <c r="K269" s="122"/>
      <c r="L269" s="241"/>
      <c r="M269" s="79"/>
      <c r="N269" s="73"/>
      <c r="O269" s="73"/>
      <c r="P269" s="73"/>
      <c r="Q269" s="74"/>
      <c r="R269" s="79"/>
      <c r="S269" s="80"/>
      <c r="T269" s="81"/>
      <c r="U269" s="89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78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/>
      <c r="B270" s="73"/>
      <c r="C270" s="73"/>
      <c r="D270" s="74"/>
      <c r="E270" s="79"/>
      <c r="F270" s="80"/>
      <c r="G270" s="81"/>
      <c r="H270" s="78"/>
      <c r="I270" s="223"/>
      <c r="J270" s="73"/>
      <c r="K270" s="122"/>
      <c r="L270" s="241"/>
      <c r="M270" s="121"/>
      <c r="N270" s="73"/>
      <c r="O270" s="73"/>
      <c r="P270" s="73"/>
      <c r="Q270" s="74"/>
      <c r="R270" s="79"/>
      <c r="S270" s="80"/>
      <c r="T270" s="81"/>
      <c r="U270" s="78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89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/>
      <c r="B271" s="73"/>
      <c r="C271" s="73"/>
      <c r="D271" s="74"/>
      <c r="E271" s="79"/>
      <c r="F271" s="80"/>
      <c r="G271" s="81"/>
      <c r="H271" s="78"/>
      <c r="I271" s="223"/>
      <c r="J271" s="73"/>
      <c r="K271" s="122"/>
      <c r="L271" s="241"/>
      <c r="M271" s="121"/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/>
      <c r="B272" s="73"/>
      <c r="C272" s="73"/>
      <c r="D272" s="74"/>
      <c r="E272" s="79"/>
      <c r="F272" s="80"/>
      <c r="G272" s="81"/>
      <c r="H272" s="89"/>
      <c r="I272" s="223"/>
      <c r="J272" s="73"/>
      <c r="K272" s="122"/>
      <c r="L272" s="241"/>
      <c r="M272" s="121"/>
      <c r="N272" s="73"/>
      <c r="O272" s="73"/>
      <c r="P272" s="73"/>
      <c r="Q272" s="74"/>
      <c r="R272" s="79"/>
      <c r="S272" s="80"/>
      <c r="T272" s="81"/>
      <c r="U272" s="130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130"/>
      <c r="AI272" s="118"/>
      <c r="AJ272" s="73"/>
      <c r="AK272" s="119"/>
      <c r="AL272" s="120"/>
      <c r="AM272" s="121"/>
      <c r="AN272" s="152"/>
      <c r="AO272" s="73"/>
      <c r="AP272" s="73"/>
      <c r="AQ272" s="74"/>
      <c r="AR272" s="79"/>
      <c r="AS272" s="80"/>
      <c r="AT272" s="81"/>
      <c r="AU272" s="130"/>
      <c r="AV272" s="158"/>
      <c r="AW272" s="152"/>
      <c r="AX272" s="122"/>
      <c r="AY272" s="120"/>
      <c r="AZ272" s="121"/>
    </row>
    <row r="273" spans="1:52">
      <c r="A273" s="73"/>
      <c r="B273" s="73"/>
      <c r="C273" s="73"/>
      <c r="D273" s="74"/>
      <c r="E273" s="79"/>
      <c r="F273" s="80"/>
      <c r="G273" s="81"/>
      <c r="H273" s="89"/>
      <c r="I273" s="223"/>
      <c r="J273" s="73"/>
      <c r="K273" s="122"/>
      <c r="L273" s="241"/>
      <c r="M273" s="121"/>
      <c r="N273" s="73"/>
      <c r="O273" s="73"/>
      <c r="P273" s="73"/>
      <c r="Q273" s="74"/>
      <c r="R273" s="79"/>
      <c r="S273" s="80"/>
      <c r="T273" s="81"/>
      <c r="U273" s="89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89"/>
      <c r="AI273" s="118"/>
      <c r="AJ273" s="73"/>
      <c r="AK273" s="119"/>
      <c r="AL273" s="120"/>
      <c r="AM273" s="121"/>
      <c r="AN273" s="152"/>
      <c r="AO273" s="152"/>
      <c r="AP273" s="152"/>
      <c r="AQ273" s="105"/>
      <c r="AR273" s="106"/>
      <c r="AS273" s="107"/>
      <c r="AT273" s="108"/>
      <c r="AU273" s="89"/>
      <c r="AV273" s="158"/>
      <c r="AW273" s="152"/>
      <c r="AX273" s="122"/>
      <c r="AY273" s="120"/>
      <c r="AZ273" s="121"/>
    </row>
    <row r="274" spans="1:52">
      <c r="A274" s="73"/>
      <c r="B274" s="73"/>
      <c r="C274" s="73"/>
      <c r="D274" s="74"/>
      <c r="E274" s="79"/>
      <c r="F274" s="80"/>
      <c r="G274" s="81"/>
      <c r="H274" s="78"/>
      <c r="I274" s="223"/>
      <c r="J274" s="73"/>
      <c r="K274" s="122"/>
      <c r="L274" s="241"/>
      <c r="M274" s="121"/>
      <c r="N274" s="73"/>
      <c r="O274" s="73"/>
      <c r="P274" s="73"/>
      <c r="Q274" s="74"/>
      <c r="R274" s="79"/>
      <c r="S274" s="80"/>
      <c r="T274" s="81"/>
      <c r="U274" s="78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78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/>
      <c r="B275" s="73"/>
      <c r="C275" s="73"/>
      <c r="D275" s="74"/>
      <c r="E275" s="79"/>
      <c r="F275" s="80"/>
      <c r="G275" s="81"/>
      <c r="H275" s="78"/>
      <c r="I275" s="223"/>
      <c r="J275" s="73"/>
      <c r="K275" s="122"/>
      <c r="L275" s="241"/>
      <c r="M275" s="121"/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/>
      <c r="B276" s="73"/>
      <c r="C276" s="73"/>
      <c r="D276" s="74"/>
      <c r="E276" s="79"/>
      <c r="F276" s="80"/>
      <c r="G276" s="81"/>
      <c r="H276" s="78"/>
      <c r="I276" s="223"/>
      <c r="J276" s="73"/>
      <c r="K276" s="122"/>
      <c r="L276" s="241"/>
      <c r="M276" s="79"/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/>
      <c r="B277" s="73"/>
      <c r="C277" s="73"/>
      <c r="D277" s="74"/>
      <c r="E277" s="79"/>
      <c r="F277" s="80"/>
      <c r="G277" s="81"/>
      <c r="H277" s="78"/>
      <c r="I277" s="223"/>
      <c r="J277" s="73"/>
      <c r="K277" s="122"/>
      <c r="L277" s="241"/>
      <c r="M277" s="121"/>
      <c r="N277" s="73"/>
      <c r="O277" s="73"/>
      <c r="P277" s="73"/>
      <c r="Q277" s="74"/>
      <c r="R277" s="79"/>
      <c r="S277" s="80"/>
      <c r="T277" s="81"/>
      <c r="U277" s="89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89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/>
      <c r="B278" s="73"/>
      <c r="C278" s="73"/>
      <c r="D278" s="74"/>
      <c r="E278" s="79"/>
      <c r="F278" s="80"/>
      <c r="G278" s="81"/>
      <c r="H278" s="78"/>
      <c r="I278" s="223"/>
      <c r="J278" s="73"/>
      <c r="K278" s="122"/>
      <c r="L278" s="241"/>
      <c r="M278" s="121"/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/>
      <c r="B279" s="73"/>
      <c r="C279" s="73"/>
      <c r="D279" s="74"/>
      <c r="E279" s="79"/>
      <c r="F279" s="80"/>
      <c r="G279" s="81"/>
      <c r="H279" s="89"/>
      <c r="I279" s="223"/>
      <c r="J279" s="73"/>
      <c r="K279" s="122"/>
      <c r="L279" s="241"/>
      <c r="M279" s="121"/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253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80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/>
      <c r="B280" s="73"/>
      <c r="C280" s="73"/>
      <c r="D280" s="74"/>
      <c r="E280" s="79"/>
      <c r="F280" s="80"/>
      <c r="G280" s="81"/>
      <c r="H280" s="78"/>
      <c r="I280" s="223"/>
      <c r="J280" s="73"/>
      <c r="K280" s="122"/>
      <c r="L280" s="241"/>
      <c r="M280" s="121"/>
      <c r="N280" s="73"/>
      <c r="O280" s="73"/>
      <c r="P280" s="73"/>
      <c r="Q280" s="74"/>
      <c r="R280" s="79"/>
      <c r="S280" s="80"/>
      <c r="T280" s="81"/>
      <c r="U280" s="78"/>
      <c r="V280" s="118"/>
      <c r="W280" s="73"/>
      <c r="X280" s="119"/>
      <c r="Y280" s="120"/>
      <c r="Z280" s="121"/>
      <c r="AA280" s="73"/>
      <c r="AB280" s="73"/>
      <c r="AC280" s="73"/>
      <c r="AD280" s="74"/>
      <c r="AE280" s="79"/>
      <c r="AF280" s="80"/>
      <c r="AG280" s="81"/>
      <c r="AH280" s="78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106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/>
      <c r="B281" s="73"/>
      <c r="C281" s="73"/>
      <c r="D281" s="74"/>
      <c r="E281" s="79"/>
      <c r="F281" s="80"/>
      <c r="G281" s="81"/>
      <c r="H281" s="89"/>
      <c r="I281" s="223"/>
      <c r="J281" s="73"/>
      <c r="K281" s="122"/>
      <c r="L281" s="241"/>
      <c r="M281" s="121"/>
      <c r="N281" s="73"/>
      <c r="O281" s="73"/>
      <c r="P281" s="73"/>
      <c r="Q281" s="74"/>
      <c r="R281" s="79"/>
      <c r="S281" s="80"/>
      <c r="T281" s="81"/>
      <c r="U281" s="89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89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/>
      <c r="B282" s="73"/>
      <c r="C282" s="73"/>
      <c r="D282" s="74"/>
      <c r="E282" s="79"/>
      <c r="F282" s="80"/>
      <c r="G282" s="81"/>
      <c r="H282" s="78"/>
      <c r="I282" s="223"/>
      <c r="J282" s="73"/>
      <c r="K282" s="122"/>
      <c r="L282" s="241"/>
      <c r="M282" s="121"/>
      <c r="N282" s="73"/>
      <c r="O282" s="73"/>
      <c r="P282" s="73"/>
      <c r="Q282" s="74"/>
      <c r="R282" s="79"/>
      <c r="S282" s="80"/>
      <c r="T282" s="81"/>
      <c r="U282" s="78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78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/>
      <c r="B283" s="73"/>
      <c r="C283" s="73"/>
      <c r="D283" s="74"/>
      <c r="E283" s="79"/>
      <c r="F283" s="80"/>
      <c r="G283" s="81"/>
      <c r="H283" s="89"/>
      <c r="I283" s="223"/>
      <c r="J283" s="73"/>
      <c r="K283" s="122"/>
      <c r="L283" s="241"/>
      <c r="M283" s="121"/>
      <c r="N283" s="73"/>
      <c r="O283" s="73"/>
      <c r="P283" s="73"/>
      <c r="Q283" s="74"/>
      <c r="R283" s="79"/>
      <c r="S283" s="80"/>
      <c r="T283" s="81"/>
      <c r="U283" s="89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89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/>
      <c r="B284" s="73"/>
      <c r="C284" s="73"/>
      <c r="D284" s="74"/>
      <c r="E284" s="79"/>
      <c r="F284" s="80"/>
      <c r="G284" s="81"/>
      <c r="H284" s="89"/>
      <c r="I284" s="223"/>
      <c r="J284" s="73"/>
      <c r="K284" s="122"/>
      <c r="L284" s="241"/>
      <c r="M284" s="121"/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ht="24" customHeight="1" spans="1:52">
      <c r="A285" s="73"/>
      <c r="B285" s="73"/>
      <c r="C285" s="73"/>
      <c r="D285" s="74"/>
      <c r="E285" s="79"/>
      <c r="F285" s="80"/>
      <c r="G285" s="81"/>
      <c r="H285" s="89"/>
      <c r="I285" s="223"/>
      <c r="J285" s="73"/>
      <c r="K285" s="122"/>
      <c r="L285" s="241"/>
      <c r="M285" s="121"/>
      <c r="N285" s="73"/>
      <c r="O285" s="73"/>
      <c r="P285" s="73"/>
      <c r="Q285" s="74"/>
      <c r="R285" s="79"/>
      <c r="S285" s="80"/>
      <c r="T285" s="81"/>
      <c r="U285" s="130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130"/>
      <c r="AI285" s="118"/>
      <c r="AJ285" s="73"/>
      <c r="AK285" s="119"/>
      <c r="AL285" s="120"/>
      <c r="AM285" s="121"/>
      <c r="AN285" s="152"/>
      <c r="AO285" s="73"/>
      <c r="AP285" s="73"/>
      <c r="AQ285" s="74"/>
      <c r="AR285" s="79"/>
      <c r="AS285" s="80"/>
      <c r="AT285" s="108"/>
      <c r="AU285" s="204"/>
      <c r="AV285" s="158"/>
      <c r="AW285" s="152"/>
      <c r="AX285" s="122"/>
      <c r="AY285" s="120"/>
      <c r="AZ285" s="121"/>
    </row>
    <row r="286" ht="21" customHeight="1" spans="1:52">
      <c r="A286" s="73"/>
      <c r="B286" s="73"/>
      <c r="C286" s="73"/>
      <c r="D286" s="74"/>
      <c r="E286" s="79"/>
      <c r="F286" s="80"/>
      <c r="G286" s="81"/>
      <c r="H286" s="89"/>
      <c r="I286" s="223"/>
      <c r="J286" s="73"/>
      <c r="K286" s="122"/>
      <c r="L286" s="241"/>
      <c r="M286" s="121"/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229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81"/>
      <c r="AU286" s="229"/>
      <c r="AV286" s="229"/>
      <c r="AW286" s="152"/>
      <c r="AX286" s="122"/>
      <c r="AY286" s="120"/>
      <c r="AZ286" s="121"/>
    </row>
    <row r="287" ht="21" customHeight="1" spans="1:52">
      <c r="A287" s="73"/>
      <c r="B287" s="73"/>
      <c r="C287" s="73"/>
      <c r="D287" s="74"/>
      <c r="E287" s="79"/>
      <c r="F287" s="80"/>
      <c r="G287" s="81"/>
      <c r="H287" s="89"/>
      <c r="I287" s="223"/>
      <c r="J287" s="73"/>
      <c r="K287" s="122"/>
      <c r="L287" s="241"/>
      <c r="M287" s="121"/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118"/>
      <c r="AJ287" s="73"/>
      <c r="AK287" s="119"/>
      <c r="AL287" s="120"/>
      <c r="AM287" s="121"/>
      <c r="AN287" s="152"/>
      <c r="AO287" s="152"/>
      <c r="AP287" s="152"/>
      <c r="AQ287" s="105"/>
      <c r="AR287" s="106"/>
      <c r="AS287" s="107"/>
      <c r="AT287" s="108"/>
      <c r="AU287" s="130"/>
      <c r="AV287" s="158"/>
      <c r="AW287" s="152"/>
      <c r="AX287" s="122"/>
      <c r="AY287" s="120"/>
      <c r="AZ287" s="121"/>
    </row>
    <row r="288" ht="23" customHeight="1" spans="1:52">
      <c r="A288" s="73"/>
      <c r="B288" s="73"/>
      <c r="C288" s="73"/>
      <c r="D288" s="74"/>
      <c r="E288" s="79"/>
      <c r="F288" s="80"/>
      <c r="G288" s="81"/>
      <c r="H288" s="78"/>
      <c r="I288" s="223"/>
      <c r="J288" s="73"/>
      <c r="K288" s="122"/>
      <c r="L288" s="241"/>
      <c r="M288" s="121"/>
      <c r="N288" s="73"/>
      <c r="O288" s="73"/>
      <c r="P288" s="73"/>
      <c r="Q288" s="74"/>
      <c r="R288" s="79"/>
      <c r="S288" s="80"/>
      <c r="T288" s="81"/>
      <c r="U288" s="78"/>
      <c r="V288" s="249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89"/>
      <c r="AI288" s="118"/>
      <c r="AJ288" s="73"/>
      <c r="AK288" s="119"/>
      <c r="AL288" s="120"/>
      <c r="AM288" s="121"/>
      <c r="AN288" s="152"/>
      <c r="AO288" s="73"/>
      <c r="AP288" s="73"/>
      <c r="AQ288" s="74"/>
      <c r="AR288" s="79"/>
      <c r="AS288" s="80"/>
      <c r="AT288" s="81"/>
      <c r="AU288" s="130"/>
      <c r="AV288" s="158"/>
      <c r="AW288" s="152"/>
      <c r="AX288" s="122"/>
      <c r="AY288" s="120"/>
      <c r="AZ288" s="121"/>
    </row>
    <row r="289" ht="19" customHeight="1" spans="1:52">
      <c r="A289" s="73"/>
      <c r="B289" s="73"/>
      <c r="C289" s="73"/>
      <c r="D289" s="74"/>
      <c r="E289" s="79"/>
      <c r="F289" s="80"/>
      <c r="G289" s="81"/>
      <c r="H289" s="130"/>
      <c r="I289" s="223"/>
      <c r="J289" s="73"/>
      <c r="K289" s="122"/>
      <c r="L289" s="241"/>
      <c r="M289" s="121"/>
      <c r="N289" s="73"/>
      <c r="O289" s="73"/>
      <c r="P289" s="73"/>
      <c r="Q289" s="74"/>
      <c r="R289" s="79"/>
      <c r="S289" s="80"/>
      <c r="T289" s="81"/>
      <c r="U289" s="130"/>
      <c r="V289" s="118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130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33" customHeight="1" spans="1:52">
      <c r="A290" s="73"/>
      <c r="B290" s="73"/>
      <c r="C290" s="73"/>
      <c r="D290" s="74"/>
      <c r="E290" s="79"/>
      <c r="F290" s="80"/>
      <c r="G290" s="81"/>
      <c r="H290" s="130"/>
      <c r="I290" s="223"/>
      <c r="J290" s="73"/>
      <c r="K290" s="122"/>
      <c r="L290" s="241"/>
      <c r="M290" s="121"/>
      <c r="N290" s="73"/>
      <c r="O290" s="73"/>
      <c r="P290" s="73"/>
      <c r="Q290" s="74"/>
      <c r="R290" s="79"/>
      <c r="S290" s="80"/>
      <c r="T290" s="81"/>
      <c r="U290" s="89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89"/>
      <c r="AI290" s="118"/>
      <c r="AJ290" s="73"/>
      <c r="AK290" s="119"/>
      <c r="AL290" s="120"/>
      <c r="AM290" s="121"/>
      <c r="AN290" s="152"/>
      <c r="AO290" s="152"/>
      <c r="AP290" s="152"/>
      <c r="AQ290" s="105"/>
      <c r="AR290" s="106"/>
      <c r="AS290" s="107"/>
      <c r="AT290" s="108"/>
      <c r="AU290" s="89"/>
      <c r="AV290" s="158"/>
      <c r="AW290" s="152"/>
      <c r="AX290" s="122"/>
      <c r="AY290" s="120"/>
      <c r="AZ290" s="121"/>
    </row>
    <row r="291" spans="1:52">
      <c r="A291" s="73"/>
      <c r="B291" s="73"/>
      <c r="C291" s="73"/>
      <c r="D291" s="74"/>
      <c r="E291" s="79"/>
      <c r="F291" s="80"/>
      <c r="G291" s="81"/>
      <c r="H291" s="130"/>
      <c r="I291" s="223"/>
      <c r="J291" s="73"/>
      <c r="K291" s="122"/>
      <c r="L291" s="241"/>
      <c r="M291" s="121"/>
      <c r="N291" s="73"/>
      <c r="O291" s="73"/>
      <c r="P291" s="73"/>
      <c r="Q291" s="74"/>
      <c r="R291" s="79"/>
      <c r="S291" s="80"/>
      <c r="T291" s="81"/>
      <c r="U291" s="250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130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/>
      <c r="B292" s="73"/>
      <c r="C292" s="73"/>
      <c r="D292" s="74"/>
      <c r="E292" s="79"/>
      <c r="F292" s="80"/>
      <c r="G292" s="81"/>
      <c r="H292" s="130"/>
      <c r="I292" s="223"/>
      <c r="J292" s="73"/>
      <c r="K292" s="122"/>
      <c r="L292" s="241"/>
      <c r="M292" s="121"/>
      <c r="N292" s="73"/>
      <c r="O292" s="73"/>
      <c r="P292" s="73"/>
      <c r="Q292" s="74"/>
      <c r="R292" s="79"/>
      <c r="S292" s="80"/>
      <c r="T292" s="81"/>
      <c r="U292" s="13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130"/>
      <c r="AV292" s="158"/>
      <c r="AW292" s="152"/>
      <c r="AX292" s="122"/>
      <c r="AY292" s="120"/>
      <c r="AZ292" s="121"/>
    </row>
    <row r="293" spans="1:52">
      <c r="A293" s="73"/>
      <c r="B293" s="73"/>
      <c r="C293" s="73"/>
      <c r="D293" s="74"/>
      <c r="E293" s="79"/>
      <c r="F293" s="80"/>
      <c r="G293" s="81"/>
      <c r="H293" s="130"/>
      <c r="I293" s="223"/>
      <c r="J293" s="73"/>
      <c r="K293" s="122"/>
      <c r="L293" s="241"/>
      <c r="M293" s="121"/>
      <c r="N293" s="73"/>
      <c r="O293" s="73"/>
      <c r="P293" s="73"/>
      <c r="Q293" s="74"/>
      <c r="R293" s="79"/>
      <c r="S293" s="80"/>
      <c r="T293" s="81"/>
      <c r="U293" s="89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82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89"/>
      <c r="AV293" s="158"/>
      <c r="AW293" s="152"/>
      <c r="AX293" s="122"/>
      <c r="AY293" s="120"/>
      <c r="AZ293" s="121"/>
    </row>
    <row r="294" spans="1:52">
      <c r="A294" s="73"/>
      <c r="B294" s="73"/>
      <c r="C294" s="73"/>
      <c r="D294" s="74"/>
      <c r="E294" s="79"/>
      <c r="F294" s="80"/>
      <c r="G294" s="81"/>
      <c r="H294" s="130"/>
      <c r="I294" s="223"/>
      <c r="J294" s="73"/>
      <c r="K294" s="122"/>
      <c r="L294" s="241"/>
      <c r="M294" s="121"/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9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/>
      <c r="B295" s="73"/>
      <c r="C295" s="73"/>
      <c r="D295" s="74"/>
      <c r="E295" s="79"/>
      <c r="F295" s="80"/>
      <c r="G295" s="81"/>
      <c r="H295" s="130"/>
      <c r="I295" s="223"/>
      <c r="J295" s="73"/>
      <c r="K295" s="122"/>
      <c r="L295" s="241"/>
      <c r="M295" s="121"/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73"/>
      <c r="AP295" s="73"/>
      <c r="AQ295" s="74"/>
      <c r="AR295" s="79"/>
      <c r="AS295" s="80"/>
      <c r="AT295" s="81"/>
      <c r="AU295" s="89"/>
      <c r="AV295" s="158"/>
      <c r="AW295" s="152"/>
      <c r="AX295" s="122"/>
      <c r="AY295" s="120"/>
      <c r="AZ295" s="121"/>
    </row>
    <row r="296" spans="1:52">
      <c r="A296" s="73"/>
      <c r="B296" s="73"/>
      <c r="C296" s="73"/>
      <c r="D296" s="74"/>
      <c r="E296" s="79"/>
      <c r="F296" s="80"/>
      <c r="G296" s="81"/>
      <c r="H296" s="130"/>
      <c r="I296" s="223"/>
      <c r="J296" s="73"/>
      <c r="K296" s="122"/>
      <c r="L296" s="241"/>
      <c r="M296" s="121"/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152"/>
      <c r="AP296" s="152"/>
      <c r="AQ296" s="105"/>
      <c r="AR296" s="106"/>
      <c r="AS296" s="107"/>
      <c r="AT296" s="108"/>
      <c r="AU296" s="89"/>
      <c r="AV296" s="158"/>
      <c r="AW296" s="152"/>
      <c r="AX296" s="122"/>
      <c r="AY296" s="120"/>
      <c r="AZ296" s="121"/>
    </row>
    <row r="297" spans="1:52">
      <c r="A297" s="73"/>
      <c r="B297" s="73"/>
      <c r="C297" s="73"/>
      <c r="D297" s="74"/>
      <c r="E297" s="79"/>
      <c r="F297" s="80"/>
      <c r="G297" s="81"/>
      <c r="H297" s="130"/>
      <c r="I297" s="223"/>
      <c r="J297" s="73"/>
      <c r="K297" s="122"/>
      <c r="L297" s="241"/>
      <c r="M297" s="121"/>
      <c r="N297" s="73"/>
      <c r="O297" s="73"/>
      <c r="P297" s="73"/>
      <c r="Q297" s="74"/>
      <c r="R297" s="79"/>
      <c r="S297" s="80"/>
      <c r="T297" s="81"/>
      <c r="U297" s="130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130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130"/>
      <c r="AV297" s="158"/>
      <c r="AW297" s="152"/>
      <c r="AX297" s="122"/>
      <c r="AY297" s="120"/>
      <c r="AZ297" s="121"/>
    </row>
    <row r="298" spans="1:52">
      <c r="A298" s="73"/>
      <c r="B298" s="73"/>
      <c r="C298" s="73"/>
      <c r="D298" s="74"/>
      <c r="E298" s="79"/>
      <c r="F298" s="80"/>
      <c r="G298" s="81"/>
      <c r="H298" s="78"/>
      <c r="I298" s="223"/>
      <c r="J298" s="73"/>
      <c r="K298" s="122"/>
      <c r="L298" s="241"/>
      <c r="M298" s="121"/>
      <c r="N298" s="73"/>
      <c r="O298" s="73"/>
      <c r="P298" s="73"/>
      <c r="Q298" s="74"/>
      <c r="R298" s="79"/>
      <c r="S298" s="80"/>
      <c r="T298" s="81"/>
      <c r="U298" s="78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78"/>
      <c r="AI298" s="118"/>
      <c r="AJ298" s="73"/>
      <c r="AK298" s="119"/>
      <c r="AL298" s="120"/>
      <c r="AM298" s="121"/>
      <c r="AN298" s="152"/>
      <c r="AO298" s="73"/>
      <c r="AP298" s="73"/>
      <c r="AQ298" s="74"/>
      <c r="AR298" s="79"/>
      <c r="AS298" s="80"/>
      <c r="AT298" s="81"/>
      <c r="AU298" s="78"/>
      <c r="AV298" s="158"/>
      <c r="AW298" s="152"/>
      <c r="AX298" s="122"/>
      <c r="AY298" s="120"/>
      <c r="AZ298" s="121"/>
    </row>
    <row r="299" spans="1:52">
      <c r="A299" s="73"/>
      <c r="B299" s="73"/>
      <c r="C299" s="73"/>
      <c r="D299" s="74"/>
      <c r="E299" s="79"/>
      <c r="F299" s="80"/>
      <c r="G299" s="81"/>
      <c r="H299" s="78"/>
      <c r="I299" s="223"/>
      <c r="J299" s="73"/>
      <c r="K299" s="122"/>
      <c r="L299" s="241"/>
      <c r="M299" s="121"/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89"/>
      <c r="AI299" s="118"/>
      <c r="AJ299" s="73"/>
      <c r="AK299" s="119"/>
      <c r="AL299" s="120"/>
      <c r="AM299" s="121"/>
      <c r="AN299" s="152"/>
      <c r="AO299" s="152"/>
      <c r="AP299" s="152"/>
      <c r="AQ299" s="105"/>
      <c r="AR299" s="106"/>
      <c r="AS299" s="107"/>
      <c r="AT299" s="108"/>
      <c r="AU299" s="89"/>
      <c r="AV299" s="158"/>
      <c r="AW299" s="152"/>
      <c r="AX299" s="122"/>
      <c r="AY299" s="120"/>
      <c r="AZ299" s="121"/>
    </row>
    <row r="300" spans="1:52">
      <c r="A300" s="73"/>
      <c r="B300" s="73"/>
      <c r="C300" s="73"/>
      <c r="D300" s="74"/>
      <c r="E300" s="79"/>
      <c r="F300" s="80"/>
      <c r="G300" s="81"/>
      <c r="H300" s="78"/>
      <c r="I300" s="223"/>
      <c r="J300" s="73"/>
      <c r="K300" s="122"/>
      <c r="L300" s="241"/>
      <c r="M300" s="121"/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/>
      <c r="B301" s="73"/>
      <c r="C301" s="73"/>
      <c r="D301" s="74"/>
      <c r="E301" s="79"/>
      <c r="F301" s="80"/>
      <c r="G301" s="81"/>
      <c r="H301" s="89"/>
      <c r="I301" s="223"/>
      <c r="J301" s="73"/>
      <c r="K301" s="122"/>
      <c r="L301" s="241"/>
      <c r="M301" s="121"/>
      <c r="N301" s="73"/>
      <c r="O301" s="73"/>
      <c r="P301" s="73"/>
      <c r="Q301" s="74"/>
      <c r="R301" s="79"/>
      <c r="S301" s="80"/>
      <c r="T301" s="81"/>
      <c r="U301" s="89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130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/>
      <c r="B302" s="73"/>
      <c r="C302" s="73"/>
      <c r="D302" s="74"/>
      <c r="E302" s="79"/>
      <c r="F302" s="80"/>
      <c r="G302" s="81"/>
      <c r="H302" s="83"/>
      <c r="I302" s="223"/>
      <c r="J302" s="73"/>
      <c r="K302" s="122"/>
      <c r="L302" s="241"/>
      <c r="M302" s="121"/>
      <c r="N302" s="73"/>
      <c r="O302" s="73"/>
      <c r="P302" s="73"/>
      <c r="Q302" s="74"/>
      <c r="R302" s="79"/>
      <c r="S302" s="80"/>
      <c r="T302" s="81"/>
      <c r="U302" s="251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251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130"/>
      <c r="AV302" s="158"/>
      <c r="AW302" s="152"/>
      <c r="AX302" s="122"/>
      <c r="AY302" s="120"/>
      <c r="AZ302" s="121"/>
    </row>
    <row r="303" spans="1:52">
      <c r="A303" s="73"/>
      <c r="B303" s="73"/>
      <c r="C303" s="73"/>
      <c r="D303" s="74"/>
      <c r="E303" s="79"/>
      <c r="F303" s="80"/>
      <c r="G303" s="81"/>
      <c r="H303" s="130"/>
      <c r="I303" s="223"/>
      <c r="J303" s="73"/>
      <c r="K303" s="122"/>
      <c r="L303" s="241"/>
      <c r="M303" s="121"/>
      <c r="N303" s="73"/>
      <c r="O303" s="73"/>
      <c r="P303" s="73"/>
      <c r="Q303" s="74"/>
      <c r="R303" s="79"/>
      <c r="S303" s="80"/>
      <c r="T303" s="80"/>
      <c r="U303" s="145"/>
      <c r="V303" s="252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130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/>
      <c r="B304" s="73"/>
      <c r="C304" s="73"/>
      <c r="D304" s="74"/>
      <c r="E304" s="79"/>
      <c r="F304" s="80"/>
      <c r="G304" s="81"/>
      <c r="H304" s="130"/>
      <c r="I304" s="223"/>
      <c r="J304" s="73"/>
      <c r="K304" s="122"/>
      <c r="L304" s="241"/>
      <c r="M304" s="121"/>
      <c r="N304" s="73"/>
      <c r="O304" s="73"/>
      <c r="P304" s="73"/>
      <c r="Q304" s="74"/>
      <c r="R304" s="79"/>
      <c r="S304" s="80"/>
      <c r="T304" s="81"/>
      <c r="U304" s="228"/>
      <c r="V304" s="118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89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89"/>
      <c r="AV304" s="158"/>
      <c r="AW304" s="152"/>
      <c r="AX304" s="122"/>
      <c r="AY304" s="120"/>
      <c r="AZ304" s="121"/>
    </row>
    <row r="305" spans="1:52">
      <c r="A305" s="73"/>
      <c r="B305" s="73"/>
      <c r="C305" s="73"/>
      <c r="D305" s="74"/>
      <c r="E305" s="79"/>
      <c r="F305" s="80"/>
      <c r="G305" s="81"/>
      <c r="H305" s="89"/>
      <c r="I305" s="223"/>
      <c r="J305" s="73"/>
      <c r="K305" s="122"/>
      <c r="L305" s="241"/>
      <c r="M305" s="121"/>
      <c r="N305" s="73"/>
      <c r="O305" s="73"/>
      <c r="P305" s="73"/>
      <c r="Q305" s="74"/>
      <c r="R305" s="79"/>
      <c r="S305" s="80"/>
      <c r="T305" s="81"/>
      <c r="U305" s="89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/>
      <c r="B306" s="73"/>
      <c r="C306" s="73"/>
      <c r="D306" s="74"/>
      <c r="E306" s="79"/>
      <c r="F306" s="80"/>
      <c r="G306" s="81"/>
      <c r="H306" s="130"/>
      <c r="I306" s="223"/>
      <c r="J306" s="73"/>
      <c r="K306" s="122"/>
      <c r="L306" s="241"/>
      <c r="M306" s="121"/>
      <c r="N306" s="73"/>
      <c r="O306" s="73"/>
      <c r="P306" s="73"/>
      <c r="Q306" s="74"/>
      <c r="R306" s="79"/>
      <c r="S306" s="80"/>
      <c r="T306" s="81"/>
      <c r="U306" s="130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130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130"/>
      <c r="AV306" s="158"/>
      <c r="AW306" s="152"/>
      <c r="AX306" s="122"/>
      <c r="AY306" s="120"/>
      <c r="AZ306" s="121"/>
    </row>
    <row r="307" spans="1:52">
      <c r="A307" s="73"/>
      <c r="B307" s="73"/>
      <c r="C307" s="73"/>
      <c r="D307" s="74"/>
      <c r="E307" s="79"/>
      <c r="F307" s="80"/>
      <c r="G307" s="81"/>
      <c r="H307" s="130"/>
      <c r="I307" s="223"/>
      <c r="J307" s="73"/>
      <c r="K307" s="122"/>
      <c r="L307" s="241"/>
      <c r="M307" s="121"/>
      <c r="N307" s="73"/>
      <c r="O307" s="73"/>
      <c r="P307" s="73"/>
      <c r="Q307" s="74"/>
      <c r="R307" s="79"/>
      <c r="S307" s="80"/>
      <c r="T307" s="81"/>
      <c r="U307" s="89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89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89"/>
      <c r="AV307" s="158"/>
      <c r="AW307" s="152"/>
      <c r="AX307" s="122"/>
      <c r="AY307" s="120"/>
      <c r="AZ307" s="121"/>
    </row>
    <row r="308" spans="1:52">
      <c r="A308" s="73"/>
      <c r="B308" s="73"/>
      <c r="C308" s="73"/>
      <c r="D308" s="74"/>
      <c r="E308" s="79"/>
      <c r="F308" s="80"/>
      <c r="G308" s="81"/>
      <c r="H308" s="130"/>
      <c r="I308" s="223"/>
      <c r="J308" s="73"/>
      <c r="K308" s="122"/>
      <c r="L308" s="241"/>
      <c r="M308" s="121"/>
      <c r="N308" s="73"/>
      <c r="O308" s="73"/>
      <c r="P308" s="73"/>
      <c r="Q308" s="74"/>
      <c r="R308" s="79"/>
      <c r="S308" s="80"/>
      <c r="T308" s="81"/>
      <c r="U308" s="130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/>
      <c r="B309" s="73"/>
      <c r="C309" s="73"/>
      <c r="D309" s="74"/>
      <c r="E309" s="79"/>
      <c r="F309" s="80"/>
      <c r="G309" s="81"/>
      <c r="H309" s="130"/>
      <c r="I309" s="223"/>
      <c r="J309" s="73"/>
      <c r="K309" s="122"/>
      <c r="L309" s="241"/>
      <c r="M309" s="121"/>
      <c r="N309" s="73"/>
      <c r="O309" s="73"/>
      <c r="P309" s="73"/>
      <c r="Q309" s="74"/>
      <c r="R309" s="79"/>
      <c r="S309" s="80"/>
      <c r="T309" s="81"/>
      <c r="U309" s="89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/>
      <c r="B310" s="73"/>
      <c r="C310" s="73"/>
      <c r="D310" s="74"/>
      <c r="E310" s="79"/>
      <c r="F310" s="80"/>
      <c r="G310" s="81"/>
      <c r="H310" s="130"/>
      <c r="I310" s="223"/>
      <c r="J310" s="73"/>
      <c r="K310" s="122"/>
      <c r="L310" s="241"/>
      <c r="M310" s="121"/>
      <c r="N310" s="73"/>
      <c r="O310" s="73"/>
      <c r="P310" s="73"/>
      <c r="Q310" s="74"/>
      <c r="R310" s="79"/>
      <c r="S310" s="80"/>
      <c r="T310" s="81"/>
      <c r="U310" s="130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73"/>
      <c r="AP310" s="73"/>
      <c r="AQ310" s="74"/>
      <c r="AR310" s="79"/>
      <c r="AS310" s="80"/>
      <c r="AT310" s="81"/>
      <c r="AU310" s="89"/>
      <c r="AV310" s="158"/>
      <c r="AW310" s="152"/>
      <c r="AX310" s="122"/>
      <c r="AY310" s="120"/>
      <c r="AZ310" s="121"/>
    </row>
    <row r="311" spans="1:52">
      <c r="A311" s="73"/>
      <c r="B311" s="73"/>
      <c r="C311" s="73"/>
      <c r="D311" s="74"/>
      <c r="E311" s="79"/>
      <c r="F311" s="80"/>
      <c r="G311" s="81"/>
      <c r="H311" s="130"/>
      <c r="I311" s="223"/>
      <c r="J311" s="73"/>
      <c r="K311" s="122"/>
      <c r="L311" s="241"/>
      <c r="M311" s="121"/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204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204"/>
      <c r="AV311" s="158"/>
      <c r="AW311" s="152"/>
      <c r="AX311" s="122"/>
      <c r="AY311" s="120"/>
      <c r="AZ311" s="121"/>
    </row>
    <row r="312" spans="1:52">
      <c r="A312" s="73"/>
      <c r="B312" s="73"/>
      <c r="C312" s="73"/>
      <c r="D312" s="74"/>
      <c r="E312" s="79"/>
      <c r="F312" s="80"/>
      <c r="G312" s="81"/>
      <c r="H312" s="130"/>
      <c r="I312" s="223"/>
      <c r="J312" s="73"/>
      <c r="K312" s="122"/>
      <c r="L312" s="241"/>
      <c r="M312" s="121"/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89"/>
      <c r="AI312" s="118"/>
      <c r="AJ312" s="73"/>
      <c r="AK312" s="119"/>
      <c r="AL312" s="120"/>
      <c r="AM312" s="121"/>
      <c r="AN312" s="152"/>
      <c r="AO312" s="152"/>
      <c r="AP312" s="152"/>
      <c r="AQ312" s="105"/>
      <c r="AR312" s="106"/>
      <c r="AS312" s="107"/>
      <c r="AT312" s="108"/>
      <c r="AU312" s="89"/>
      <c r="AV312" s="158"/>
      <c r="AW312" s="152"/>
      <c r="AX312" s="122"/>
      <c r="AY312" s="120"/>
      <c r="AZ312" s="121"/>
    </row>
    <row r="313" spans="1:52">
      <c r="A313" s="73"/>
      <c r="B313" s="73"/>
      <c r="C313" s="73"/>
      <c r="D313" s="74"/>
      <c r="E313" s="79"/>
      <c r="F313" s="80"/>
      <c r="G313" s="81"/>
      <c r="H313" s="130"/>
      <c r="I313" s="223"/>
      <c r="J313" s="73"/>
      <c r="K313" s="122"/>
      <c r="L313" s="241"/>
      <c r="M313" s="121"/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130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/>
      <c r="B314" s="73"/>
      <c r="C314" s="73"/>
      <c r="D314" s="74"/>
      <c r="E314" s="79"/>
      <c r="F314" s="80"/>
      <c r="G314" s="81"/>
      <c r="H314" s="130"/>
      <c r="I314" s="223"/>
      <c r="J314" s="73"/>
      <c r="K314" s="122"/>
      <c r="L314" s="241"/>
      <c r="M314" s="121"/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73"/>
      <c r="AP314" s="73"/>
      <c r="AQ314" s="74"/>
      <c r="AR314" s="79"/>
      <c r="AS314" s="80"/>
      <c r="AT314" s="81"/>
      <c r="AU314" s="130"/>
      <c r="AV314" s="158"/>
      <c r="AW314" s="152"/>
      <c r="AX314" s="122"/>
      <c r="AY314" s="120"/>
      <c r="AZ314" s="121"/>
    </row>
    <row r="315" spans="1:52">
      <c r="A315" s="73"/>
      <c r="B315" s="73"/>
      <c r="C315" s="73"/>
      <c r="D315" s="74"/>
      <c r="E315" s="79"/>
      <c r="F315" s="80"/>
      <c r="G315" s="81"/>
      <c r="H315" s="130"/>
      <c r="I315" s="223"/>
      <c r="J315" s="73"/>
      <c r="K315" s="122"/>
      <c r="L315" s="241"/>
      <c r="M315" s="121"/>
      <c r="N315" s="73"/>
      <c r="O315" s="73"/>
      <c r="P315" s="73"/>
      <c r="Q315" s="74"/>
      <c r="R315" s="79"/>
      <c r="S315" s="80"/>
      <c r="T315" s="81"/>
      <c r="U315" s="89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89"/>
      <c r="AI315" s="118"/>
      <c r="AJ315" s="73"/>
      <c r="AK315" s="119"/>
      <c r="AL315" s="120"/>
      <c r="AM315" s="121"/>
      <c r="AN315" s="152"/>
      <c r="AO315" s="152"/>
      <c r="AP315" s="152"/>
      <c r="AQ315" s="105"/>
      <c r="AR315" s="106"/>
      <c r="AS315" s="107"/>
      <c r="AT315" s="108"/>
      <c r="AU315" s="89"/>
      <c r="AV315" s="158"/>
      <c r="AW315" s="152"/>
      <c r="AX315" s="122"/>
      <c r="AY315" s="120"/>
      <c r="AZ315" s="121"/>
    </row>
    <row r="316" spans="1:52">
      <c r="A316" s="73"/>
      <c r="B316" s="73"/>
      <c r="C316" s="73"/>
      <c r="D316" s="74"/>
      <c r="E316" s="79"/>
      <c r="F316" s="80"/>
      <c r="G316" s="81"/>
      <c r="H316" s="130"/>
      <c r="I316" s="223"/>
      <c r="J316" s="73"/>
      <c r="K316" s="122"/>
      <c r="L316" s="241"/>
      <c r="M316" s="121"/>
      <c r="N316" s="73"/>
      <c r="O316" s="73"/>
      <c r="P316" s="73"/>
      <c r="Q316" s="74"/>
      <c r="R316" s="79"/>
      <c r="S316" s="80"/>
      <c r="T316" s="81"/>
      <c r="U316" s="130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130"/>
      <c r="AI316" s="118"/>
      <c r="AJ316" s="73"/>
      <c r="AK316" s="119"/>
      <c r="AL316" s="120"/>
      <c r="AM316" s="121"/>
      <c r="AN316" s="152"/>
      <c r="AO316" s="73"/>
      <c r="AP316" s="73"/>
      <c r="AQ316" s="74"/>
      <c r="AR316" s="79"/>
      <c r="AS316" s="80"/>
      <c r="AT316" s="81"/>
      <c r="AU316" s="89"/>
      <c r="AV316" s="158"/>
      <c r="AW316" s="152"/>
      <c r="AX316" s="122"/>
      <c r="AY316" s="120"/>
      <c r="AZ316" s="121"/>
    </row>
    <row r="317" spans="1:52">
      <c r="A317" s="73"/>
      <c r="B317" s="73"/>
      <c r="C317" s="73"/>
      <c r="D317" s="74"/>
      <c r="E317" s="79"/>
      <c r="F317" s="80"/>
      <c r="G317" s="81"/>
      <c r="H317" s="130"/>
      <c r="I317" s="223"/>
      <c r="J317" s="73"/>
      <c r="K317" s="122"/>
      <c r="L317" s="241"/>
      <c r="M317" s="121"/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89"/>
      <c r="AI317" s="118"/>
      <c r="AJ317" s="73"/>
      <c r="AK317" s="119"/>
      <c r="AL317" s="120"/>
      <c r="AM317" s="121"/>
      <c r="AN317" s="152"/>
      <c r="AO317" s="152"/>
      <c r="AP317" s="152"/>
      <c r="AQ317" s="105"/>
      <c r="AR317" s="106"/>
      <c r="AS317" s="107"/>
      <c r="AT317" s="108"/>
      <c r="AU317" s="89"/>
      <c r="AV317" s="158"/>
      <c r="AW317" s="152"/>
      <c r="AX317" s="122"/>
      <c r="AY317" s="120"/>
      <c r="AZ317" s="121"/>
    </row>
    <row r="318" spans="1:52">
      <c r="A318" s="73"/>
      <c r="B318" s="73"/>
      <c r="C318" s="73"/>
      <c r="D318" s="74"/>
      <c r="E318" s="79"/>
      <c r="F318" s="80"/>
      <c r="G318" s="81"/>
      <c r="H318" s="130"/>
      <c r="I318" s="223"/>
      <c r="J318" s="73"/>
      <c r="K318" s="122"/>
      <c r="L318" s="241"/>
      <c r="M318" s="121"/>
      <c r="N318" s="73"/>
      <c r="O318" s="73"/>
      <c r="P318" s="73"/>
      <c r="Q318" s="74"/>
      <c r="R318" s="79"/>
      <c r="S318" s="80"/>
      <c r="T318" s="81"/>
      <c r="U318" s="89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/>
      <c r="B319" s="73"/>
      <c r="C319" s="73"/>
      <c r="D319" s="74"/>
      <c r="E319" s="79"/>
      <c r="F319" s="80"/>
      <c r="G319" s="81"/>
      <c r="H319" s="130"/>
      <c r="I319" s="223"/>
      <c r="J319" s="73"/>
      <c r="K319" s="122"/>
      <c r="L319" s="241"/>
      <c r="M319" s="121"/>
      <c r="N319" s="73"/>
      <c r="O319" s="73"/>
      <c r="P319" s="73"/>
      <c r="Q319" s="74"/>
      <c r="R319" s="79"/>
      <c r="S319" s="80"/>
      <c r="T319" s="81"/>
      <c r="U319" s="130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130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/>
      <c r="B320" s="73"/>
      <c r="C320" s="73"/>
      <c r="D320" s="74"/>
      <c r="E320" s="79"/>
      <c r="F320" s="80"/>
      <c r="G320" s="81"/>
      <c r="H320" s="89"/>
      <c r="I320" s="223"/>
      <c r="J320" s="73"/>
      <c r="K320" s="122"/>
      <c r="L320" s="241"/>
      <c r="M320" s="121"/>
      <c r="N320" s="73"/>
      <c r="O320" s="73"/>
      <c r="P320" s="73"/>
      <c r="Q320" s="74"/>
      <c r="R320" s="79"/>
      <c r="S320" s="80"/>
      <c r="T320" s="81"/>
      <c r="U320" s="89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89"/>
      <c r="AI320" s="118"/>
      <c r="AJ320" s="73"/>
      <c r="AK320" s="119"/>
      <c r="AL320" s="120"/>
      <c r="AM320" s="121"/>
      <c r="AN320" s="152"/>
      <c r="AO320" s="73"/>
      <c r="AP320" s="73"/>
      <c r="AQ320" s="74"/>
      <c r="AR320" s="79"/>
      <c r="AS320" s="80"/>
      <c r="AT320" s="81"/>
      <c r="AU320" s="89"/>
      <c r="AV320" s="158"/>
      <c r="AW320" s="152"/>
      <c r="AX320" s="122"/>
      <c r="AY320" s="120"/>
      <c r="AZ320" s="121"/>
    </row>
    <row r="321" spans="1:52">
      <c r="A321" s="73"/>
      <c r="B321" s="73"/>
      <c r="C321" s="73"/>
      <c r="D321" s="74"/>
      <c r="E321" s="79"/>
      <c r="F321" s="80"/>
      <c r="G321" s="81"/>
      <c r="H321" s="130"/>
      <c r="I321" s="223"/>
      <c r="J321" s="73"/>
      <c r="K321" s="122"/>
      <c r="L321" s="241"/>
      <c r="M321" s="121"/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152"/>
      <c r="AP321" s="152"/>
      <c r="AQ321" s="105"/>
      <c r="AR321" s="106"/>
      <c r="AS321" s="107"/>
      <c r="AT321" s="108"/>
      <c r="AU321" s="89"/>
      <c r="AV321" s="158"/>
      <c r="AW321" s="152"/>
      <c r="AX321" s="122"/>
      <c r="AY321" s="120"/>
      <c r="AZ321" s="121"/>
    </row>
    <row r="322" spans="1:52">
      <c r="A322" s="73"/>
      <c r="B322" s="73"/>
      <c r="C322" s="73"/>
      <c r="D322" s="74"/>
      <c r="E322" s="79"/>
      <c r="F322" s="80"/>
      <c r="G322" s="81"/>
      <c r="H322" s="130"/>
      <c r="I322" s="223"/>
      <c r="J322" s="73"/>
      <c r="K322" s="122"/>
      <c r="L322" s="241"/>
      <c r="M322" s="121"/>
      <c r="N322" s="73"/>
      <c r="O322" s="73"/>
      <c r="P322" s="73"/>
      <c r="Q322" s="74"/>
      <c r="R322" s="79"/>
      <c r="S322" s="80"/>
      <c r="T322" s="81"/>
      <c r="U322" s="130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130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130"/>
      <c r="AV322" s="158"/>
      <c r="AW322" s="152"/>
      <c r="AX322" s="122"/>
      <c r="AY322" s="120"/>
      <c r="AZ322" s="121"/>
    </row>
    <row r="323" spans="1:52">
      <c r="A323" s="73"/>
      <c r="B323" s="73"/>
      <c r="C323" s="73"/>
      <c r="D323" s="74"/>
      <c r="E323" s="79"/>
      <c r="F323" s="80"/>
      <c r="G323" s="81"/>
      <c r="H323" s="89"/>
      <c r="I323" s="223"/>
      <c r="J323" s="73"/>
      <c r="K323" s="122"/>
      <c r="L323" s="241"/>
      <c r="M323" s="121"/>
      <c r="N323" s="73"/>
      <c r="O323" s="73"/>
      <c r="P323" s="73"/>
      <c r="Q323" s="74"/>
      <c r="R323" s="79"/>
      <c r="S323" s="80"/>
      <c r="T323" s="81"/>
      <c r="U323" s="89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89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89"/>
      <c r="AV323" s="158"/>
      <c r="AW323" s="152"/>
      <c r="AX323" s="122"/>
      <c r="AY323" s="120"/>
      <c r="AZ323" s="121"/>
    </row>
    <row r="324" spans="1:52">
      <c r="A324" s="73"/>
      <c r="B324" s="73"/>
      <c r="C324" s="73"/>
      <c r="D324" s="74"/>
      <c r="E324" s="79"/>
      <c r="F324" s="80"/>
      <c r="G324" s="81"/>
      <c r="H324" s="89"/>
      <c r="I324" s="223"/>
      <c r="J324" s="73"/>
      <c r="K324" s="122"/>
      <c r="L324" s="241"/>
      <c r="M324" s="121"/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78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/>
      <c r="B325" s="73"/>
      <c r="C325" s="73"/>
      <c r="D325" s="74"/>
      <c r="E325" s="79"/>
      <c r="F325" s="80"/>
      <c r="G325" s="81"/>
      <c r="H325" s="89"/>
      <c r="I325" s="223"/>
      <c r="J325" s="73"/>
      <c r="K325" s="122"/>
      <c r="L325" s="241"/>
      <c r="M325" s="121"/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89"/>
      <c r="AI325" s="118"/>
      <c r="AJ325" s="73"/>
      <c r="AK325" s="119"/>
      <c r="AL325" s="120"/>
      <c r="AM325" s="121"/>
      <c r="AN325" s="152"/>
      <c r="AO325" s="73"/>
      <c r="AP325" s="73"/>
      <c r="AQ325" s="74"/>
      <c r="AR325" s="79"/>
      <c r="AS325" s="80"/>
      <c r="AT325" s="81"/>
      <c r="AU325" s="89"/>
      <c r="AV325" s="158"/>
      <c r="AW325" s="152"/>
      <c r="AX325" s="122"/>
      <c r="AY325" s="120"/>
      <c r="AZ325" s="121"/>
    </row>
    <row r="326" spans="1:52">
      <c r="A326" s="73"/>
      <c r="B326" s="73"/>
      <c r="C326" s="73"/>
      <c r="D326" s="74"/>
      <c r="E326" s="79"/>
      <c r="F326" s="80"/>
      <c r="G326" s="81"/>
      <c r="H326" s="130"/>
      <c r="I326" s="223"/>
      <c r="J326" s="73"/>
      <c r="K326" s="122"/>
      <c r="L326" s="241"/>
      <c r="M326" s="121"/>
      <c r="N326" s="73"/>
      <c r="O326" s="73"/>
      <c r="P326" s="73"/>
      <c r="Q326" s="74"/>
      <c r="R326" s="79"/>
      <c r="S326" s="80"/>
      <c r="T326" s="81"/>
      <c r="U326" s="130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/>
      <c r="B327" s="73"/>
      <c r="C327" s="73"/>
      <c r="D327" s="74"/>
      <c r="E327" s="79"/>
      <c r="F327" s="80"/>
      <c r="G327" s="81"/>
      <c r="H327" s="130"/>
      <c r="I327" s="223"/>
      <c r="J327" s="73"/>
      <c r="K327" s="122"/>
      <c r="L327" s="241"/>
      <c r="M327" s="121"/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152"/>
      <c r="AP327" s="152"/>
      <c r="AQ327" s="105"/>
      <c r="AR327" s="106"/>
      <c r="AS327" s="107"/>
      <c r="AT327" s="108"/>
      <c r="AU327" s="89"/>
      <c r="AV327" s="158"/>
      <c r="AW327" s="152"/>
      <c r="AX327" s="122"/>
      <c r="AY327" s="120"/>
      <c r="AZ327" s="121"/>
    </row>
    <row r="328" ht="85" customHeight="1" spans="1:52">
      <c r="A328" s="73"/>
      <c r="B328" s="73"/>
      <c r="C328" s="73"/>
      <c r="D328" s="74"/>
      <c r="E328" s="79"/>
      <c r="F328" s="80"/>
      <c r="G328" s="81"/>
      <c r="H328" s="130"/>
      <c r="I328" s="223"/>
      <c r="J328" s="73"/>
      <c r="K328" s="122"/>
      <c r="L328" s="241"/>
      <c r="M328" s="121"/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130"/>
      <c r="AI328" s="118"/>
      <c r="AJ328" s="73"/>
      <c r="AK328" s="119"/>
      <c r="AL328" s="120"/>
      <c r="AM328" s="121"/>
      <c r="AN328" s="152"/>
      <c r="AO328" s="73"/>
      <c r="AP328" s="73"/>
      <c r="AQ328" s="74"/>
      <c r="AR328" s="79"/>
      <c r="AS328" s="80"/>
      <c r="AT328" s="81"/>
      <c r="AU328" s="130"/>
      <c r="AV328" s="158"/>
      <c r="AW328" s="152"/>
      <c r="AX328" s="122"/>
      <c r="AY328" s="120"/>
      <c r="AZ328" s="121"/>
    </row>
    <row r="329" spans="1:52">
      <c r="A329" s="73"/>
      <c r="B329" s="73"/>
      <c r="C329" s="73"/>
      <c r="D329" s="74"/>
      <c r="E329" s="79"/>
      <c r="F329" s="80"/>
      <c r="G329" s="81"/>
      <c r="H329" s="130"/>
      <c r="I329" s="223"/>
      <c r="J329" s="73"/>
      <c r="K329" s="122"/>
      <c r="L329" s="241"/>
      <c r="M329" s="121"/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/>
      <c r="B330" s="73"/>
      <c r="C330" s="73"/>
      <c r="D330" s="74"/>
      <c r="E330" s="79"/>
      <c r="F330" s="80"/>
      <c r="G330" s="81"/>
      <c r="H330" s="130"/>
      <c r="I330" s="223"/>
      <c r="J330" s="73"/>
      <c r="K330" s="122"/>
      <c r="L330" s="241"/>
      <c r="M330" s="121"/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152"/>
      <c r="AP330" s="152"/>
      <c r="AQ330" s="105"/>
      <c r="AR330" s="106"/>
      <c r="AS330" s="107"/>
      <c r="AT330" s="108"/>
      <c r="AU330" s="89"/>
      <c r="AV330" s="158"/>
      <c r="AW330" s="152"/>
      <c r="AX330" s="122"/>
      <c r="AY330" s="120"/>
      <c r="AZ330" s="121"/>
    </row>
    <row r="331" spans="1:52">
      <c r="A331" s="73"/>
      <c r="B331" s="73"/>
      <c r="C331" s="73"/>
      <c r="D331" s="74"/>
      <c r="E331" s="79"/>
      <c r="F331" s="80"/>
      <c r="G331" s="81"/>
      <c r="H331" s="89"/>
      <c r="I331" s="223"/>
      <c r="J331" s="73"/>
      <c r="K331" s="122"/>
      <c r="L331" s="241"/>
      <c r="M331" s="121"/>
      <c r="N331" s="73"/>
      <c r="O331" s="73"/>
      <c r="P331" s="73"/>
      <c r="Q331" s="74"/>
      <c r="R331" s="79"/>
      <c r="S331" s="80"/>
      <c r="T331" s="81"/>
      <c r="U331" s="256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256"/>
      <c r="AI331" s="118"/>
      <c r="AJ331" s="73"/>
      <c r="AK331" s="119"/>
      <c r="AL331" s="120"/>
      <c r="AM331" s="121"/>
      <c r="AN331" s="152"/>
      <c r="AO331" s="73"/>
      <c r="AP331" s="73"/>
      <c r="AQ331" s="74"/>
      <c r="AR331" s="79"/>
      <c r="AS331" s="80"/>
      <c r="AT331" s="81"/>
      <c r="AU331" s="257"/>
      <c r="AV331" s="158"/>
      <c r="AW331" s="152"/>
      <c r="AX331" s="122"/>
      <c r="AY331" s="120"/>
      <c r="AZ331" s="121"/>
    </row>
    <row r="332" spans="1:52">
      <c r="A332" s="73"/>
      <c r="B332" s="73"/>
      <c r="C332" s="73"/>
      <c r="D332" s="74"/>
      <c r="E332" s="79"/>
      <c r="F332" s="80"/>
      <c r="G332" s="81"/>
      <c r="H332" s="89"/>
      <c r="I332" s="223"/>
      <c r="J332" s="73"/>
      <c r="K332" s="122"/>
      <c r="L332" s="241"/>
      <c r="M332" s="121"/>
      <c r="N332" s="73"/>
      <c r="O332" s="73"/>
      <c r="P332" s="73"/>
      <c r="Q332" s="74"/>
      <c r="R332" s="79"/>
      <c r="S332" s="80"/>
      <c r="T332" s="81"/>
      <c r="U332" s="89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89"/>
      <c r="AI332" s="118"/>
      <c r="AJ332" s="73"/>
      <c r="AK332" s="119"/>
      <c r="AL332" s="120"/>
      <c r="AM332" s="121"/>
      <c r="AN332" s="152"/>
      <c r="AO332" s="152"/>
      <c r="AP332" s="152"/>
      <c r="AQ332" s="105"/>
      <c r="AR332" s="106"/>
      <c r="AS332" s="107"/>
      <c r="AT332" s="108"/>
      <c r="AU332" s="89"/>
      <c r="AV332" s="158"/>
      <c r="AW332" s="152"/>
      <c r="AX332" s="122"/>
      <c r="AY332" s="120"/>
      <c r="AZ332" s="121"/>
    </row>
    <row r="333" spans="1:52">
      <c r="A333" s="73"/>
      <c r="B333" s="73"/>
      <c r="C333" s="73"/>
      <c r="D333" s="74"/>
      <c r="E333" s="79"/>
      <c r="F333" s="80"/>
      <c r="G333" s="81"/>
      <c r="H333" s="89"/>
      <c r="I333" s="223"/>
      <c r="J333" s="73"/>
      <c r="K333" s="122"/>
      <c r="L333" s="241"/>
      <c r="M333" s="121"/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/>
      <c r="B334" s="73"/>
      <c r="C334" s="73"/>
      <c r="D334" s="74"/>
      <c r="E334" s="79"/>
      <c r="F334" s="80"/>
      <c r="G334" s="81"/>
      <c r="H334" s="89"/>
      <c r="I334" s="223"/>
      <c r="J334" s="73"/>
      <c r="K334" s="122"/>
      <c r="L334" s="241"/>
      <c r="M334" s="121"/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/>
      <c r="B335" s="73"/>
      <c r="C335" s="73"/>
      <c r="D335" s="74"/>
      <c r="E335" s="79"/>
      <c r="F335" s="80"/>
      <c r="G335" s="81"/>
      <c r="H335" s="78"/>
      <c r="I335" s="223"/>
      <c r="J335" s="73"/>
      <c r="K335" s="122"/>
      <c r="L335" s="255"/>
      <c r="M335" s="121"/>
      <c r="N335" s="73"/>
      <c r="O335" s="73"/>
      <c r="P335" s="73"/>
      <c r="Q335" s="74"/>
      <c r="R335" s="79"/>
      <c r="S335" s="80"/>
      <c r="T335" s="81"/>
      <c r="U335" s="78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78"/>
      <c r="AI335" s="118"/>
      <c r="AJ335" s="73"/>
      <c r="AK335" s="119"/>
      <c r="AL335" s="120"/>
      <c r="AM335" s="121"/>
      <c r="AN335" s="152"/>
      <c r="AO335" s="73"/>
      <c r="AP335" s="73"/>
      <c r="AQ335" s="74"/>
      <c r="AR335" s="79"/>
      <c r="AS335" s="80"/>
      <c r="AT335" s="81"/>
      <c r="AU335" s="78"/>
      <c r="AV335" s="158"/>
      <c r="AW335" s="152"/>
      <c r="AX335" s="122"/>
      <c r="AY335" s="120"/>
      <c r="AZ335" s="121"/>
    </row>
    <row r="336" spans="1:52">
      <c r="A336" s="73"/>
      <c r="B336" s="73"/>
      <c r="C336" s="73"/>
      <c r="D336" s="74"/>
      <c r="E336" s="79"/>
      <c r="F336" s="80"/>
      <c r="G336" s="81"/>
      <c r="H336" s="78"/>
      <c r="I336" s="223"/>
      <c r="J336" s="73"/>
      <c r="K336" s="122"/>
      <c r="L336" s="255"/>
      <c r="M336" s="121"/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/>
      <c r="B337" s="73"/>
      <c r="C337" s="73"/>
      <c r="D337" s="74"/>
      <c r="E337" s="79"/>
      <c r="F337" s="80"/>
      <c r="G337" s="81"/>
      <c r="H337" s="78"/>
      <c r="I337" s="223"/>
      <c r="J337" s="73"/>
      <c r="K337" s="122"/>
      <c r="L337" s="255"/>
      <c r="M337" s="121"/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/>
      <c r="B338" s="73"/>
      <c r="C338" s="73"/>
      <c r="D338" s="74"/>
      <c r="E338" s="79"/>
      <c r="F338" s="80"/>
      <c r="G338" s="81"/>
      <c r="H338" s="78"/>
      <c r="I338" s="223"/>
      <c r="J338" s="73"/>
      <c r="K338" s="122"/>
      <c r="L338" s="255"/>
      <c r="M338" s="121"/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/>
      <c r="B339" s="73"/>
      <c r="C339" s="73"/>
      <c r="D339" s="74"/>
      <c r="E339" s="79"/>
      <c r="F339" s="80"/>
      <c r="G339" s="81"/>
      <c r="H339" s="78"/>
      <c r="I339" s="223"/>
      <c r="J339" s="73"/>
      <c r="K339" s="122"/>
      <c r="L339" s="255"/>
      <c r="M339" s="121"/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/>
      <c r="B340" s="73"/>
      <c r="C340" s="73"/>
      <c r="D340" s="74"/>
      <c r="E340" s="79"/>
      <c r="F340" s="80"/>
      <c r="G340" s="81"/>
      <c r="H340" s="83"/>
      <c r="I340" s="223"/>
      <c r="J340" s="73"/>
      <c r="K340" s="122"/>
      <c r="L340" s="255"/>
      <c r="M340" s="121"/>
      <c r="N340" s="73"/>
      <c r="O340" s="73"/>
      <c r="P340" s="73"/>
      <c r="Q340" s="74"/>
      <c r="R340" s="79"/>
      <c r="S340" s="80"/>
      <c r="T340" s="81"/>
      <c r="U340" s="130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130"/>
      <c r="AI340" s="118"/>
      <c r="AJ340" s="73"/>
      <c r="AK340" s="119"/>
      <c r="AL340" s="120"/>
      <c r="AM340" s="121"/>
      <c r="AN340" s="152"/>
      <c r="AO340" s="152"/>
      <c r="AP340" s="152"/>
      <c r="AQ340" s="105"/>
      <c r="AR340" s="106"/>
      <c r="AS340" s="107"/>
      <c r="AT340" s="108"/>
      <c r="AU340" s="130"/>
      <c r="AV340" s="158"/>
      <c r="AW340" s="152"/>
      <c r="AX340" s="122"/>
      <c r="AY340" s="120"/>
      <c r="AZ340" s="121"/>
    </row>
    <row r="341" ht="22.5" spans="1:52">
      <c r="A341" s="73"/>
      <c r="B341" s="73"/>
      <c r="C341" s="73"/>
      <c r="D341" s="254"/>
      <c r="E341" s="79"/>
      <c r="F341" s="80"/>
      <c r="G341" s="81"/>
      <c r="H341" s="83"/>
      <c r="I341" s="223"/>
      <c r="J341" s="73"/>
      <c r="K341" s="122"/>
      <c r="L341" s="255"/>
      <c r="M341" s="121"/>
      <c r="N341" s="73"/>
      <c r="O341" s="73"/>
      <c r="P341" s="73"/>
      <c r="Q341" s="9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9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73"/>
      <c r="AP341" s="73"/>
      <c r="AQ341" s="94"/>
      <c r="AR341" s="79"/>
      <c r="AS341" s="80"/>
      <c r="AT341" s="81"/>
      <c r="AU341" s="130"/>
      <c r="AV341" s="158"/>
      <c r="AW341" s="152"/>
      <c r="AX341" s="122"/>
      <c r="AY341" s="120"/>
      <c r="AZ341" s="121"/>
    </row>
    <row r="342" spans="1:52">
      <c r="A342" s="73"/>
      <c r="B342" s="73"/>
      <c r="C342" s="73"/>
      <c r="D342" s="74"/>
      <c r="E342" s="79"/>
      <c r="F342" s="80"/>
      <c r="G342" s="81"/>
      <c r="H342" s="83"/>
      <c r="I342" s="223"/>
      <c r="J342" s="73"/>
      <c r="K342" s="122"/>
      <c r="L342" s="255"/>
      <c r="M342" s="121"/>
      <c r="N342" s="73"/>
      <c r="O342" s="73"/>
      <c r="P342" s="73"/>
      <c r="Q342" s="74"/>
      <c r="R342" s="79"/>
      <c r="S342" s="80"/>
      <c r="T342" s="81"/>
      <c r="U342" s="89"/>
      <c r="V342" s="118"/>
      <c r="W342" s="73"/>
      <c r="X342" s="119"/>
      <c r="Y342" s="120"/>
      <c r="Z342" s="121"/>
      <c r="AA342" s="73"/>
      <c r="AB342" s="73"/>
      <c r="AC342" s="73"/>
      <c r="AD342" s="74"/>
      <c r="AE342" s="79"/>
      <c r="AF342" s="80"/>
      <c r="AG342" s="81"/>
      <c r="AH342" s="89"/>
      <c r="AI342" s="118"/>
      <c r="AJ342" s="73"/>
      <c r="AK342" s="119"/>
      <c r="AL342" s="120"/>
      <c r="AM342" s="121"/>
      <c r="AN342" s="152"/>
      <c r="AO342" s="152"/>
      <c r="AP342" s="152"/>
      <c r="AQ342" s="105"/>
      <c r="AR342" s="106"/>
      <c r="AS342" s="107"/>
      <c r="AT342" s="108"/>
      <c r="AU342" s="89"/>
      <c r="AV342" s="158"/>
      <c r="AW342" s="152"/>
      <c r="AX342" s="122"/>
      <c r="AY342" s="120"/>
      <c r="AZ342" s="121"/>
    </row>
    <row r="343" spans="1:52">
      <c r="A343" s="73"/>
      <c r="B343" s="73"/>
      <c r="C343" s="73"/>
      <c r="D343" s="74"/>
      <c r="E343" s="79"/>
      <c r="F343" s="80"/>
      <c r="G343" s="81"/>
      <c r="H343" s="78"/>
      <c r="I343" s="223"/>
      <c r="J343" s="73"/>
      <c r="K343" s="122"/>
      <c r="L343" s="255"/>
      <c r="M343" s="121"/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/>
      <c r="B344" s="73"/>
      <c r="C344" s="73"/>
      <c r="D344" s="74"/>
      <c r="E344" s="79"/>
      <c r="F344" s="80"/>
      <c r="G344" s="81"/>
      <c r="H344" s="89"/>
      <c r="I344" s="223"/>
      <c r="J344" s="73"/>
      <c r="K344" s="122"/>
      <c r="L344" s="255"/>
      <c r="M344" s="121"/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/>
      <c r="B345" s="73"/>
      <c r="C345" s="73"/>
      <c r="D345" s="74"/>
      <c r="E345" s="79"/>
      <c r="F345" s="80"/>
      <c r="G345" s="81"/>
      <c r="H345" s="78"/>
      <c r="I345" s="223"/>
      <c r="J345" s="73"/>
      <c r="K345" s="122"/>
      <c r="L345" s="255"/>
      <c r="M345" s="121"/>
      <c r="N345" s="73"/>
      <c r="O345" s="73"/>
      <c r="P345" s="73"/>
      <c r="Q345" s="74"/>
      <c r="R345" s="79"/>
      <c r="S345" s="80"/>
      <c r="T345" s="81"/>
      <c r="U345" s="78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78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/>
      <c r="B346" s="73"/>
      <c r="C346" s="73"/>
      <c r="D346" s="74"/>
      <c r="E346" s="79"/>
      <c r="F346" s="80"/>
      <c r="G346" s="81"/>
      <c r="H346" s="78"/>
      <c r="I346" s="223"/>
      <c r="J346" s="73"/>
      <c r="K346" s="122"/>
      <c r="L346" s="255"/>
      <c r="M346" s="121"/>
      <c r="N346" s="73"/>
      <c r="O346" s="73"/>
      <c r="P346" s="73"/>
      <c r="Q346" s="74"/>
      <c r="R346" s="79"/>
      <c r="S346" s="80"/>
      <c r="T346" s="81"/>
      <c r="U346" s="89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89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/>
      <c r="B347" s="73"/>
      <c r="C347" s="73"/>
      <c r="D347" s="74"/>
      <c r="E347" s="79"/>
      <c r="F347" s="80"/>
      <c r="G347" s="81"/>
      <c r="H347" s="78"/>
      <c r="I347" s="223"/>
      <c r="J347" s="73"/>
      <c r="K347" s="122"/>
      <c r="L347" s="255"/>
      <c r="M347" s="121"/>
      <c r="N347" s="73"/>
      <c r="O347" s="73"/>
      <c r="P347" s="73"/>
      <c r="Q347" s="74"/>
      <c r="R347" s="79"/>
      <c r="S347" s="80"/>
      <c r="T347" s="81"/>
      <c r="U347" s="78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78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/>
      <c r="B348" s="73"/>
      <c r="C348" s="73"/>
      <c r="D348" s="74"/>
      <c r="E348" s="79"/>
      <c r="F348" s="80"/>
      <c r="G348" s="81"/>
      <c r="H348" s="78"/>
      <c r="I348" s="223"/>
      <c r="J348" s="73"/>
      <c r="K348" s="122"/>
      <c r="L348" s="255"/>
      <c r="M348" s="121"/>
      <c r="N348" s="73"/>
      <c r="O348" s="73"/>
      <c r="P348" s="73"/>
      <c r="Q348" s="74"/>
      <c r="R348" s="79"/>
      <c r="S348" s="80"/>
      <c r="T348" s="81"/>
      <c r="U348" s="89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89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/>
      <c r="B349" s="73"/>
      <c r="C349" s="73"/>
      <c r="D349" s="74"/>
      <c r="E349" s="79"/>
      <c r="F349" s="80"/>
      <c r="G349" s="81"/>
      <c r="H349" s="78"/>
      <c r="I349" s="223"/>
      <c r="J349" s="73"/>
      <c r="K349" s="122"/>
      <c r="L349" s="255"/>
      <c r="M349" s="121"/>
      <c r="N349" s="73"/>
      <c r="O349" s="73"/>
      <c r="P349" s="73"/>
      <c r="Q349" s="74"/>
      <c r="R349" s="79"/>
      <c r="S349" s="80"/>
      <c r="T349" s="81"/>
      <c r="U349" s="78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73"/>
      <c r="AP349" s="73"/>
      <c r="AQ349" s="74"/>
      <c r="AR349" s="79"/>
      <c r="AS349" s="80"/>
      <c r="AT349" s="81"/>
      <c r="AU349" s="89"/>
      <c r="AV349" s="158"/>
      <c r="AW349" s="152"/>
      <c r="AX349" s="122"/>
      <c r="AY349" s="120"/>
      <c r="AZ349" s="121"/>
    </row>
    <row r="350" spans="1:52">
      <c r="A350" s="73"/>
      <c r="B350" s="73"/>
      <c r="C350" s="73"/>
      <c r="D350" s="74"/>
      <c r="E350" s="79"/>
      <c r="F350" s="80"/>
      <c r="G350" s="81"/>
      <c r="H350" s="78"/>
      <c r="I350" s="223"/>
      <c r="J350" s="73"/>
      <c r="K350" s="122"/>
      <c r="L350" s="255"/>
      <c r="M350" s="121"/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152"/>
      <c r="AP350" s="152"/>
      <c r="AQ350" s="105"/>
      <c r="AR350" s="106"/>
      <c r="AS350" s="107"/>
      <c r="AT350" s="108"/>
      <c r="AU350" s="89"/>
      <c r="AV350" s="158"/>
      <c r="AW350" s="152"/>
      <c r="AX350" s="122"/>
      <c r="AY350" s="120"/>
      <c r="AZ350" s="121"/>
    </row>
    <row r="351" spans="1:52">
      <c r="A351" s="73"/>
      <c r="B351" s="73"/>
      <c r="C351" s="73"/>
      <c r="D351" s="74"/>
      <c r="E351" s="79"/>
      <c r="F351" s="80"/>
      <c r="G351" s="81"/>
      <c r="H351" s="89"/>
      <c r="I351" s="223"/>
      <c r="J351" s="73"/>
      <c r="K351" s="122"/>
      <c r="L351" s="255"/>
      <c r="M351" s="121"/>
      <c r="N351" s="73"/>
      <c r="O351" s="73"/>
      <c r="P351" s="73"/>
      <c r="Q351" s="74"/>
      <c r="R351" s="79"/>
      <c r="S351" s="80"/>
      <c r="T351" s="81"/>
      <c r="U351" s="89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73"/>
      <c r="AP351" s="73"/>
      <c r="AQ351" s="74"/>
      <c r="AR351" s="79"/>
      <c r="AS351" s="80"/>
      <c r="AT351" s="81"/>
      <c r="AU351" s="89"/>
      <c r="AV351" s="158"/>
      <c r="AW351" s="152"/>
      <c r="AX351" s="122"/>
      <c r="AY351" s="120"/>
      <c r="AZ351" s="121"/>
    </row>
    <row r="352" spans="1:52">
      <c r="A352" s="73"/>
      <c r="B352" s="73"/>
      <c r="C352" s="73"/>
      <c r="D352" s="74"/>
      <c r="E352" s="79"/>
      <c r="F352" s="80"/>
      <c r="G352" s="81"/>
      <c r="H352" s="130"/>
      <c r="I352" s="223"/>
      <c r="J352" s="73"/>
      <c r="K352" s="122"/>
      <c r="L352" s="255"/>
      <c r="M352" s="121"/>
      <c r="N352" s="73"/>
      <c r="O352" s="73"/>
      <c r="P352" s="73"/>
      <c r="Q352" s="74"/>
      <c r="R352" s="79"/>
      <c r="S352" s="80"/>
      <c r="T352" s="81"/>
      <c r="U352" s="130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130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/>
      <c r="B353" s="73"/>
      <c r="C353" s="73"/>
      <c r="D353" s="74"/>
      <c r="E353" s="79"/>
      <c r="F353" s="80"/>
      <c r="G353" s="81"/>
      <c r="H353" s="89"/>
      <c r="I353" s="223"/>
      <c r="J353" s="73"/>
      <c r="K353" s="122"/>
      <c r="L353" s="255"/>
      <c r="M353" s="121"/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152"/>
      <c r="AP353" s="152"/>
      <c r="AQ353" s="105"/>
      <c r="AR353" s="106"/>
      <c r="AS353" s="107"/>
      <c r="AT353" s="108"/>
      <c r="AU353" s="130"/>
      <c r="AV353" s="158"/>
      <c r="AW353" s="152"/>
      <c r="AX353" s="122"/>
      <c r="AY353" s="120"/>
      <c r="AZ353" s="121"/>
    </row>
    <row r="354" spans="1:52">
      <c r="A354" s="73"/>
      <c r="B354" s="73"/>
      <c r="C354" s="73"/>
      <c r="D354" s="74"/>
      <c r="E354" s="79"/>
      <c r="F354" s="80"/>
      <c r="G354" s="81"/>
      <c r="H354" s="89"/>
      <c r="I354" s="223"/>
      <c r="J354" s="73"/>
      <c r="K354" s="122"/>
      <c r="L354" s="255"/>
      <c r="M354" s="121"/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73"/>
      <c r="AP354" s="73"/>
      <c r="AQ354" s="74"/>
      <c r="AR354" s="79"/>
      <c r="AS354" s="80"/>
      <c r="AT354" s="81"/>
      <c r="AU354" s="130"/>
      <c r="AV354" s="158"/>
      <c r="AW354" s="152"/>
      <c r="AX354" s="122"/>
      <c r="AY354" s="120"/>
      <c r="AZ354" s="121"/>
    </row>
    <row r="355" spans="1:52">
      <c r="A355" s="73"/>
      <c r="B355" s="73"/>
      <c r="C355" s="73"/>
      <c r="D355" s="74"/>
      <c r="E355" s="79"/>
      <c r="F355" s="80"/>
      <c r="G355" s="81"/>
      <c r="H355" s="78"/>
      <c r="I355" s="223"/>
      <c r="J355" s="73"/>
      <c r="K355" s="122"/>
      <c r="L355" s="255"/>
      <c r="M355" s="121"/>
      <c r="N355" s="73"/>
      <c r="O355" s="73"/>
      <c r="P355" s="73"/>
      <c r="Q355" s="74"/>
      <c r="R355" s="79"/>
      <c r="S355" s="80"/>
      <c r="T355" s="81"/>
      <c r="U355" s="78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/>
      <c r="B356" s="73"/>
      <c r="C356" s="73"/>
      <c r="D356" s="74"/>
      <c r="E356" s="79"/>
      <c r="F356" s="80"/>
      <c r="G356" s="81"/>
      <c r="H356" s="130"/>
      <c r="I356" s="223"/>
      <c r="J356" s="73"/>
      <c r="K356" s="122"/>
      <c r="L356" s="255"/>
      <c r="M356" s="121"/>
      <c r="N356" s="73"/>
      <c r="O356" s="73"/>
      <c r="P356" s="73"/>
      <c r="Q356" s="74"/>
      <c r="R356" s="79"/>
      <c r="S356" s="80"/>
      <c r="T356" s="81"/>
      <c r="U356" s="130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/>
      <c r="B357" s="73"/>
      <c r="C357" s="73"/>
      <c r="D357" s="74"/>
      <c r="E357" s="79"/>
      <c r="F357" s="80"/>
      <c r="G357" s="81"/>
      <c r="H357" s="78"/>
      <c r="I357" s="223"/>
      <c r="J357" s="73"/>
      <c r="K357" s="122"/>
      <c r="L357" s="255"/>
      <c r="M357" s="121"/>
      <c r="N357" s="73"/>
      <c r="O357" s="73"/>
      <c r="P357" s="73"/>
      <c r="Q357" s="74"/>
      <c r="R357" s="79"/>
      <c r="S357" s="80"/>
      <c r="T357" s="81"/>
      <c r="U357" s="89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152"/>
      <c r="AP357" s="152"/>
      <c r="AQ357" s="105"/>
      <c r="AR357" s="106"/>
      <c r="AS357" s="107"/>
      <c r="AT357" s="108"/>
      <c r="AU357" s="130"/>
      <c r="AV357" s="158"/>
      <c r="AW357" s="152"/>
      <c r="AX357" s="122"/>
      <c r="AY357" s="120"/>
      <c r="AZ357" s="121"/>
    </row>
    <row r="358" spans="1:52">
      <c r="A358" s="73"/>
      <c r="B358" s="73"/>
      <c r="C358" s="73"/>
      <c r="D358" s="74"/>
      <c r="E358" s="79"/>
      <c r="F358" s="80"/>
      <c r="G358" s="81"/>
      <c r="H358" s="78"/>
      <c r="I358" s="223"/>
      <c r="J358" s="73"/>
      <c r="K358" s="122"/>
      <c r="L358" s="255"/>
      <c r="M358" s="121"/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89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89"/>
      <c r="AV358" s="158"/>
      <c r="AW358" s="152"/>
      <c r="AX358" s="122"/>
      <c r="AY358" s="120"/>
      <c r="AZ358" s="121"/>
    </row>
    <row r="359" spans="1:52">
      <c r="A359" s="73"/>
      <c r="B359" s="73"/>
      <c r="C359" s="73"/>
      <c r="D359" s="74"/>
      <c r="E359" s="79"/>
      <c r="F359" s="80"/>
      <c r="G359" s="81"/>
      <c r="H359" s="78"/>
      <c r="I359" s="223"/>
      <c r="J359" s="73"/>
      <c r="K359" s="122"/>
      <c r="L359" s="255"/>
      <c r="M359" s="121"/>
      <c r="N359" s="73"/>
      <c r="O359" s="73"/>
      <c r="P359" s="73"/>
      <c r="Q359" s="74"/>
      <c r="R359" s="79"/>
      <c r="S359" s="80"/>
      <c r="T359" s="81"/>
      <c r="U359" s="78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/>
      <c r="B360" s="73"/>
      <c r="C360" s="73"/>
      <c r="D360" s="74"/>
      <c r="E360" s="79"/>
      <c r="F360" s="80"/>
      <c r="G360" s="81"/>
      <c r="H360" s="78"/>
      <c r="I360" s="223"/>
      <c r="J360" s="73"/>
      <c r="K360" s="122"/>
      <c r="L360" s="255"/>
      <c r="M360" s="121"/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/>
      <c r="B361" s="73"/>
      <c r="C361" s="73"/>
      <c r="D361" s="74"/>
      <c r="E361" s="79"/>
      <c r="F361" s="80"/>
      <c r="G361" s="81"/>
      <c r="H361" s="78"/>
      <c r="I361" s="223"/>
      <c r="J361" s="73"/>
      <c r="K361" s="122"/>
      <c r="L361" s="255"/>
      <c r="M361" s="121"/>
      <c r="N361" s="73"/>
      <c r="O361" s="73"/>
      <c r="P361" s="73"/>
      <c r="Q361" s="74"/>
      <c r="R361" s="79"/>
      <c r="S361" s="80"/>
      <c r="T361" s="81"/>
      <c r="U361" s="130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130"/>
      <c r="AI361" s="118"/>
      <c r="AJ361" s="73"/>
      <c r="AK361" s="119"/>
      <c r="AL361" s="120"/>
      <c r="AM361" s="121"/>
      <c r="AN361" s="152"/>
      <c r="AO361" s="73"/>
      <c r="AP361" s="73"/>
      <c r="AQ361" s="74"/>
      <c r="AR361" s="79"/>
      <c r="AS361" s="80"/>
      <c r="AT361" s="81"/>
      <c r="AU361" s="130"/>
      <c r="AV361" s="158"/>
      <c r="AW361" s="152"/>
      <c r="AX361" s="122"/>
      <c r="AY361" s="120"/>
      <c r="AZ361" s="121"/>
    </row>
    <row r="362" spans="1:52">
      <c r="A362" s="73"/>
      <c r="B362" s="73"/>
      <c r="C362" s="73"/>
      <c r="D362" s="74"/>
      <c r="E362" s="79"/>
      <c r="F362" s="80"/>
      <c r="G362" s="81"/>
      <c r="H362" s="78"/>
      <c r="I362" s="223"/>
      <c r="J362" s="73"/>
      <c r="K362" s="122"/>
      <c r="L362" s="255"/>
      <c r="M362" s="121"/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/>
      <c r="B363" s="73"/>
      <c r="C363" s="73"/>
      <c r="D363" s="74"/>
      <c r="E363" s="79"/>
      <c r="F363" s="80"/>
      <c r="G363" s="81"/>
      <c r="H363" s="78"/>
      <c r="I363" s="223"/>
      <c r="J363" s="73"/>
      <c r="K363" s="122"/>
      <c r="L363" s="255"/>
      <c r="M363" s="121"/>
      <c r="N363" s="73"/>
      <c r="O363" s="73"/>
      <c r="P363" s="73"/>
      <c r="Q363" s="74"/>
      <c r="R363" s="79"/>
      <c r="S363" s="80"/>
      <c r="T363" s="81"/>
      <c r="U363" s="89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89"/>
      <c r="AI363" s="118"/>
      <c r="AJ363" s="73"/>
      <c r="AK363" s="119"/>
      <c r="AL363" s="120"/>
      <c r="AM363" s="121"/>
      <c r="AN363" s="152"/>
      <c r="AO363" s="152"/>
      <c r="AP363" s="152"/>
      <c r="AQ363" s="105"/>
      <c r="AR363" s="106"/>
      <c r="AS363" s="107"/>
      <c r="AT363" s="108"/>
      <c r="AU363" s="89"/>
      <c r="AV363" s="158"/>
      <c r="AW363" s="152"/>
      <c r="AX363" s="122"/>
      <c r="AY363" s="120"/>
      <c r="AZ363" s="121"/>
    </row>
    <row r="364" spans="1:52">
      <c r="A364" s="73"/>
      <c r="B364" s="73"/>
      <c r="C364" s="73"/>
      <c r="D364" s="74"/>
      <c r="E364" s="79"/>
      <c r="F364" s="80"/>
      <c r="G364" s="81"/>
      <c r="H364" s="89"/>
      <c r="I364" s="223"/>
      <c r="J364" s="73"/>
      <c r="K364" s="122"/>
      <c r="L364" s="255"/>
      <c r="M364" s="121"/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/>
      <c r="B365" s="73"/>
      <c r="C365" s="73"/>
      <c r="D365" s="74"/>
      <c r="E365" s="79"/>
      <c r="F365" s="80"/>
      <c r="G365" s="81"/>
      <c r="H365" s="78"/>
      <c r="I365" s="223"/>
      <c r="J365" s="73"/>
      <c r="K365" s="122"/>
      <c r="L365" s="255"/>
      <c r="M365" s="121"/>
      <c r="N365" s="73"/>
      <c r="O365" s="73"/>
      <c r="P365" s="73"/>
      <c r="Q365" s="74"/>
      <c r="R365" s="79"/>
      <c r="S365" s="80"/>
      <c r="T365" s="81"/>
      <c r="U365" s="78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78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/>
      <c r="B366" s="73"/>
      <c r="C366" s="73"/>
      <c r="D366" s="74"/>
      <c r="E366" s="79"/>
      <c r="F366" s="80"/>
      <c r="G366" s="81"/>
      <c r="H366" s="78"/>
      <c r="I366" s="223"/>
      <c r="J366" s="73"/>
      <c r="K366" s="122"/>
      <c r="L366" s="255"/>
      <c r="M366" s="121"/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/>
      <c r="B367" s="73"/>
      <c r="C367" s="73"/>
      <c r="D367" s="74"/>
      <c r="E367" s="79"/>
      <c r="F367" s="80"/>
      <c r="G367" s="81"/>
      <c r="H367" s="78"/>
      <c r="I367" s="223"/>
      <c r="J367" s="73"/>
      <c r="K367" s="122"/>
      <c r="L367" s="255"/>
      <c r="M367" s="121"/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/>
      <c r="B368" s="73"/>
      <c r="C368" s="73"/>
      <c r="D368" s="74"/>
      <c r="E368" s="79"/>
      <c r="F368" s="80"/>
      <c r="G368" s="81"/>
      <c r="H368" s="130"/>
      <c r="I368" s="223"/>
      <c r="J368" s="73"/>
      <c r="K368" s="122"/>
      <c r="L368" s="255"/>
      <c r="M368" s="121"/>
      <c r="N368" s="73"/>
      <c r="O368" s="73"/>
      <c r="P368" s="73"/>
      <c r="Q368" s="74"/>
      <c r="R368" s="79"/>
      <c r="S368" s="80"/>
      <c r="T368" s="81"/>
      <c r="U368" s="89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89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/>
      <c r="B369" s="73"/>
      <c r="C369" s="73"/>
      <c r="D369" s="74"/>
      <c r="E369" s="79"/>
      <c r="F369" s="80"/>
      <c r="G369" s="81"/>
      <c r="H369" s="89"/>
      <c r="I369" s="223"/>
      <c r="J369" s="73"/>
      <c r="K369" s="122"/>
      <c r="L369" s="255"/>
      <c r="M369" s="121"/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/>
      <c r="B370" s="73"/>
      <c r="C370" s="73"/>
      <c r="D370" s="74"/>
      <c r="E370" s="79"/>
      <c r="F370" s="80"/>
      <c r="G370" s="81"/>
      <c r="H370" s="89"/>
      <c r="I370" s="223"/>
      <c r="J370" s="73"/>
      <c r="K370" s="122"/>
      <c r="L370" s="255"/>
      <c r="M370" s="121"/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73"/>
      <c r="AP370" s="73"/>
      <c r="AQ370" s="74"/>
      <c r="AR370" s="79"/>
      <c r="AS370" s="80"/>
      <c r="AT370" s="81"/>
      <c r="AU370" s="89"/>
      <c r="AV370" s="158"/>
      <c r="AW370" s="152"/>
      <c r="AX370" s="122"/>
      <c r="AY370" s="120"/>
      <c r="AZ370" s="121"/>
    </row>
    <row r="371" spans="1:52">
      <c r="A371" s="73"/>
      <c r="B371" s="73"/>
      <c r="C371" s="73"/>
      <c r="D371" s="74"/>
      <c r="E371" s="79"/>
      <c r="F371" s="80"/>
      <c r="G371" s="81"/>
      <c r="H371" s="78"/>
      <c r="I371" s="223"/>
      <c r="J371" s="73"/>
      <c r="K371" s="122"/>
      <c r="L371" s="255"/>
      <c r="M371" s="121"/>
      <c r="N371" s="73"/>
      <c r="O371" s="73"/>
      <c r="P371" s="73"/>
      <c r="Q371" s="74"/>
      <c r="R371" s="79"/>
      <c r="S371" s="80"/>
      <c r="T371" s="81"/>
      <c r="U371" s="78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152"/>
      <c r="AP371" s="152"/>
      <c r="AQ371" s="105"/>
      <c r="AR371" s="106"/>
      <c r="AS371" s="107"/>
      <c r="AT371" s="108"/>
      <c r="AU371" s="89"/>
      <c r="AV371" s="158"/>
      <c r="AW371" s="152"/>
      <c r="AX371" s="122"/>
      <c r="AY371" s="120"/>
      <c r="AZ371" s="121"/>
    </row>
    <row r="372" spans="1:52">
      <c r="A372" s="73"/>
      <c r="B372" s="73"/>
      <c r="C372" s="73"/>
      <c r="D372" s="74"/>
      <c r="E372" s="79"/>
      <c r="F372" s="80"/>
      <c r="G372" s="81"/>
      <c r="H372" s="130"/>
      <c r="I372" s="223"/>
      <c r="J372" s="73"/>
      <c r="K372" s="122"/>
      <c r="L372" s="255"/>
      <c r="M372" s="121"/>
      <c r="N372" s="73"/>
      <c r="O372" s="73"/>
      <c r="P372" s="73"/>
      <c r="Q372" s="74"/>
      <c r="R372" s="79"/>
      <c r="S372" s="80"/>
      <c r="T372" s="81"/>
      <c r="U372" s="130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/>
      <c r="B373" s="73"/>
      <c r="C373" s="73"/>
      <c r="D373" s="74"/>
      <c r="E373" s="79"/>
      <c r="F373" s="80"/>
      <c r="G373" s="81"/>
      <c r="H373" s="130"/>
      <c r="I373" s="223"/>
      <c r="J373" s="73"/>
      <c r="K373" s="122"/>
      <c r="L373" s="255"/>
      <c r="M373" s="121"/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73"/>
      <c r="AP373" s="73"/>
      <c r="AQ373" s="74"/>
      <c r="AR373" s="79"/>
      <c r="AS373" s="80"/>
      <c r="AT373" s="81"/>
      <c r="AU373" s="89"/>
      <c r="AV373" s="158"/>
      <c r="AW373" s="152"/>
      <c r="AX373" s="122"/>
      <c r="AY373" s="120"/>
      <c r="AZ373" s="121"/>
    </row>
    <row r="374" spans="1:52">
      <c r="A374" s="73"/>
      <c r="B374" s="73"/>
      <c r="C374" s="73"/>
      <c r="D374" s="74"/>
      <c r="E374" s="79"/>
      <c r="F374" s="80"/>
      <c r="G374" s="81"/>
      <c r="H374" s="130"/>
      <c r="I374" s="223"/>
      <c r="J374" s="73"/>
      <c r="K374" s="122"/>
      <c r="L374" s="255"/>
      <c r="M374" s="121"/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152"/>
      <c r="AP374" s="152"/>
      <c r="AQ374" s="105"/>
      <c r="AR374" s="106"/>
      <c r="AS374" s="107"/>
      <c r="AT374" s="108"/>
      <c r="AU374" s="89"/>
      <c r="AV374" s="158"/>
      <c r="AW374" s="152"/>
      <c r="AX374" s="122"/>
      <c r="AY374" s="120"/>
      <c r="AZ374" s="121"/>
    </row>
    <row r="375" spans="1:52">
      <c r="A375" s="73"/>
      <c r="B375" s="73"/>
      <c r="C375" s="73"/>
      <c r="D375" s="74"/>
      <c r="E375" s="79"/>
      <c r="F375" s="80"/>
      <c r="G375" s="81"/>
      <c r="H375" s="78"/>
      <c r="I375" s="223"/>
      <c r="J375" s="73"/>
      <c r="K375" s="122"/>
      <c r="L375" s="255"/>
      <c r="M375" s="121"/>
      <c r="N375" s="73"/>
      <c r="O375" s="73"/>
      <c r="P375" s="73"/>
      <c r="Q375" s="74"/>
      <c r="R375" s="79"/>
      <c r="S375" s="80"/>
      <c r="T375" s="81"/>
      <c r="U375" s="78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78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/>
      <c r="B376" s="73"/>
      <c r="C376" s="73"/>
      <c r="D376" s="74"/>
      <c r="E376" s="79"/>
      <c r="F376" s="80"/>
      <c r="G376" s="81"/>
      <c r="H376" s="78"/>
      <c r="I376" s="223"/>
      <c r="J376" s="73"/>
      <c r="K376" s="122"/>
      <c r="L376" s="255"/>
      <c r="M376" s="121"/>
      <c r="N376" s="73"/>
      <c r="O376" s="73"/>
      <c r="P376" s="73"/>
      <c r="Q376" s="74"/>
      <c r="R376" s="79"/>
      <c r="S376" s="80"/>
      <c r="T376" s="81"/>
      <c r="U376" s="89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89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/>
      <c r="B377" s="73"/>
      <c r="C377" s="73"/>
      <c r="D377" s="74"/>
      <c r="E377" s="79"/>
      <c r="F377" s="80"/>
      <c r="G377" s="81"/>
      <c r="H377" s="78"/>
      <c r="I377" s="223"/>
      <c r="J377" s="73"/>
      <c r="K377" s="122"/>
      <c r="L377" s="255"/>
      <c r="M377" s="121"/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/>
      <c r="B378" s="73"/>
      <c r="C378" s="73"/>
      <c r="D378" s="74"/>
      <c r="E378" s="79"/>
      <c r="F378" s="80"/>
      <c r="G378" s="81"/>
      <c r="H378" s="78"/>
      <c r="I378" s="223"/>
      <c r="J378" s="73"/>
      <c r="K378" s="122"/>
      <c r="L378" s="255"/>
      <c r="M378" s="121"/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/>
      <c r="B379" s="73"/>
      <c r="C379" s="73"/>
      <c r="D379" s="74"/>
      <c r="E379" s="79"/>
      <c r="F379" s="80"/>
      <c r="G379" s="81"/>
      <c r="H379" s="78"/>
      <c r="I379" s="223"/>
      <c r="J379" s="73"/>
      <c r="K379" s="122"/>
      <c r="L379" s="255"/>
      <c r="M379" s="121"/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73"/>
      <c r="AP379" s="73"/>
      <c r="AQ379" s="74"/>
      <c r="AR379" s="79"/>
      <c r="AS379" s="80"/>
      <c r="AT379" s="81"/>
      <c r="AU379" s="89"/>
      <c r="AV379" s="158"/>
      <c r="AW379" s="152"/>
      <c r="AX379" s="122"/>
      <c r="AY379" s="120"/>
      <c r="AZ379" s="121"/>
    </row>
    <row r="380" spans="1:52">
      <c r="A380" s="73"/>
      <c r="B380" s="73"/>
      <c r="C380" s="73"/>
      <c r="D380" s="74"/>
      <c r="E380" s="79"/>
      <c r="F380" s="80"/>
      <c r="G380" s="81"/>
      <c r="H380" s="89"/>
      <c r="I380" s="223"/>
      <c r="J380" s="73"/>
      <c r="K380" s="122"/>
      <c r="L380" s="255"/>
      <c r="M380" s="121"/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152"/>
      <c r="AP380" s="152"/>
      <c r="AQ380" s="105"/>
      <c r="AR380" s="106"/>
      <c r="AS380" s="107"/>
      <c r="AT380" s="108"/>
      <c r="AU380" s="89"/>
      <c r="AV380" s="158"/>
      <c r="AW380" s="152"/>
      <c r="AX380" s="122"/>
      <c r="AY380" s="120"/>
      <c r="AZ380" s="121"/>
    </row>
    <row r="381" spans="1:52">
      <c r="A381" s="73"/>
      <c r="B381" s="73"/>
      <c r="C381" s="73"/>
      <c r="D381" s="74"/>
      <c r="E381" s="79"/>
      <c r="F381" s="80"/>
      <c r="G381" s="81"/>
      <c r="H381" s="89"/>
      <c r="I381" s="223"/>
      <c r="J381" s="73"/>
      <c r="K381" s="122"/>
      <c r="L381" s="255"/>
      <c r="M381" s="121"/>
      <c r="N381" s="73"/>
      <c r="O381" s="73"/>
      <c r="P381" s="73"/>
      <c r="Q381" s="74"/>
      <c r="R381" s="79"/>
      <c r="S381" s="80"/>
      <c r="T381" s="81"/>
      <c r="U381" s="82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/>
      <c r="B382" s="73"/>
      <c r="C382" s="73"/>
      <c r="D382" s="74"/>
      <c r="E382" s="79"/>
      <c r="F382" s="80"/>
      <c r="G382" s="81"/>
      <c r="H382" s="89"/>
      <c r="I382" s="223"/>
      <c r="J382" s="73"/>
      <c r="K382" s="122"/>
      <c r="L382" s="255"/>
      <c r="M382" s="121"/>
      <c r="N382" s="73"/>
      <c r="O382" s="73"/>
      <c r="P382" s="73"/>
      <c r="Q382" s="74"/>
      <c r="R382" s="79"/>
      <c r="S382" s="80"/>
      <c r="T382" s="81"/>
      <c r="U382" s="89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/>
      <c r="B383" s="73"/>
      <c r="C383" s="73"/>
      <c r="D383" s="74"/>
      <c r="E383" s="79"/>
      <c r="F383" s="80"/>
      <c r="G383" s="81"/>
      <c r="H383" s="89"/>
      <c r="I383" s="223"/>
      <c r="J383" s="73"/>
      <c r="K383" s="122"/>
      <c r="L383" s="255"/>
      <c r="M383" s="121"/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/>
      <c r="B384" s="73"/>
      <c r="C384" s="73"/>
      <c r="D384" s="74"/>
      <c r="E384" s="79"/>
      <c r="F384" s="80"/>
      <c r="G384" s="81"/>
      <c r="H384" s="89"/>
      <c r="I384" s="223"/>
      <c r="J384" s="73"/>
      <c r="K384" s="122"/>
      <c r="L384" s="255"/>
      <c r="M384" s="121"/>
      <c r="N384" s="73"/>
      <c r="O384" s="73"/>
      <c r="P384" s="73"/>
      <c r="Q384" s="74"/>
      <c r="R384" s="79"/>
      <c r="S384" s="80"/>
      <c r="T384" s="81"/>
      <c r="U384" s="130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8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/>
      <c r="B385" s="73"/>
      <c r="C385" s="73"/>
      <c r="D385" s="74"/>
      <c r="E385" s="79"/>
      <c r="F385" s="80"/>
      <c r="G385" s="81"/>
      <c r="H385" s="89"/>
      <c r="I385" s="223"/>
      <c r="J385" s="73"/>
      <c r="K385" s="122"/>
      <c r="L385" s="255"/>
      <c r="M385" s="121"/>
      <c r="N385" s="73"/>
      <c r="O385" s="73"/>
      <c r="P385" s="73"/>
      <c r="Q385" s="74"/>
      <c r="R385" s="79"/>
      <c r="S385" s="80"/>
      <c r="T385" s="81"/>
      <c r="U385" s="89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11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/>
      <c r="B386" s="73"/>
      <c r="C386" s="73"/>
      <c r="D386" s="74"/>
      <c r="E386" s="79"/>
      <c r="F386" s="80"/>
      <c r="G386" s="81"/>
      <c r="H386" s="83"/>
      <c r="I386" s="223"/>
      <c r="J386" s="73"/>
      <c r="K386" s="122"/>
      <c r="L386" s="255"/>
      <c r="M386" s="121"/>
      <c r="N386" s="73"/>
      <c r="O386" s="73"/>
      <c r="P386" s="73"/>
      <c r="Q386" s="74"/>
      <c r="R386" s="79"/>
      <c r="S386" s="80"/>
      <c r="T386" s="81"/>
      <c r="U386" s="83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/>
      <c r="B387" s="73"/>
      <c r="C387" s="73"/>
      <c r="D387" s="74"/>
      <c r="E387" s="79"/>
      <c r="F387" s="80"/>
      <c r="G387" s="81"/>
      <c r="H387" s="83"/>
      <c r="I387" s="223"/>
      <c r="J387" s="73"/>
      <c r="K387" s="122"/>
      <c r="L387" s="255"/>
      <c r="M387" s="121"/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3"/>
      <c r="AI387" s="118"/>
      <c r="AJ387" s="73"/>
      <c r="AK387" s="119"/>
      <c r="AL387" s="120"/>
      <c r="AM387" s="121"/>
      <c r="AN387" s="152"/>
      <c r="AO387" s="73"/>
      <c r="AP387" s="73"/>
      <c r="AQ387" s="74"/>
      <c r="AR387" s="79"/>
      <c r="AS387" s="80"/>
      <c r="AT387" s="81"/>
      <c r="AU387" s="83"/>
      <c r="AV387" s="158"/>
      <c r="AW387" s="152"/>
      <c r="AX387" s="122"/>
      <c r="AY387" s="120"/>
      <c r="AZ387" s="121"/>
    </row>
    <row r="388" spans="1:52">
      <c r="A388" s="73"/>
      <c r="B388" s="73"/>
      <c r="C388" s="73"/>
      <c r="D388" s="74"/>
      <c r="E388" s="79"/>
      <c r="F388" s="80"/>
      <c r="G388" s="81"/>
      <c r="H388" s="83"/>
      <c r="I388" s="223"/>
      <c r="J388" s="73"/>
      <c r="K388" s="122"/>
      <c r="L388" s="255"/>
      <c r="M388" s="121"/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152"/>
      <c r="AP388" s="152"/>
      <c r="AQ388" s="105"/>
      <c r="AR388" s="106"/>
      <c r="AS388" s="107"/>
      <c r="AT388" s="108"/>
      <c r="AU388" s="89"/>
      <c r="AV388" s="158"/>
      <c r="AW388" s="152"/>
      <c r="AX388" s="122"/>
      <c r="AY388" s="120"/>
      <c r="AZ388" s="121"/>
    </row>
    <row r="389" spans="1:52">
      <c r="A389" s="73"/>
      <c r="B389" s="73"/>
      <c r="C389" s="73"/>
      <c r="D389" s="74"/>
      <c r="E389" s="79"/>
      <c r="F389" s="80"/>
      <c r="G389" s="81"/>
      <c r="H389" s="83"/>
      <c r="I389" s="223"/>
      <c r="J389" s="73"/>
      <c r="K389" s="122"/>
      <c r="L389" s="255"/>
      <c r="M389" s="121"/>
      <c r="N389" s="73"/>
      <c r="O389" s="73"/>
      <c r="P389" s="73"/>
      <c r="Q389" s="74"/>
      <c r="R389" s="79"/>
      <c r="S389" s="80"/>
      <c r="T389" s="81"/>
      <c r="U389" s="89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9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/>
      <c r="B390" s="73"/>
      <c r="C390" s="73"/>
      <c r="D390" s="74"/>
      <c r="E390" s="79"/>
      <c r="F390" s="80"/>
      <c r="G390" s="81"/>
      <c r="H390" s="83"/>
      <c r="I390" s="223"/>
      <c r="J390" s="73"/>
      <c r="K390" s="122"/>
      <c r="L390" s="255"/>
      <c r="M390" s="121"/>
      <c r="N390" s="73"/>
      <c r="O390" s="73"/>
      <c r="P390" s="73"/>
      <c r="Q390" s="74"/>
      <c r="R390" s="79"/>
      <c r="S390" s="80"/>
      <c r="T390" s="81"/>
      <c r="U390" s="83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/>
      <c r="B391" s="73"/>
      <c r="C391" s="73"/>
      <c r="D391" s="74"/>
      <c r="E391" s="79"/>
      <c r="F391" s="80"/>
      <c r="G391" s="81"/>
      <c r="H391" s="83"/>
      <c r="I391" s="223"/>
      <c r="J391" s="73"/>
      <c r="K391" s="122"/>
      <c r="L391" s="255"/>
      <c r="M391" s="121"/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73"/>
      <c r="AP391" s="73"/>
      <c r="AQ391" s="74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/>
      <c r="B392" s="73"/>
      <c r="C392" s="73"/>
      <c r="D392" s="74"/>
      <c r="E392" s="79"/>
      <c r="F392" s="80"/>
      <c r="G392" s="81"/>
      <c r="H392" s="83"/>
      <c r="I392" s="223"/>
      <c r="J392" s="73"/>
      <c r="K392" s="122"/>
      <c r="L392" s="255"/>
      <c r="M392" s="121"/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152"/>
      <c r="AP392" s="152"/>
      <c r="AQ392" s="105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/>
      <c r="B393" s="73"/>
      <c r="C393" s="73"/>
      <c r="D393" s="74"/>
      <c r="E393" s="79"/>
      <c r="F393" s="80"/>
      <c r="G393" s="81"/>
      <c r="H393" s="83"/>
      <c r="I393" s="223"/>
      <c r="J393" s="73"/>
      <c r="K393" s="122"/>
      <c r="L393" s="255"/>
      <c r="M393" s="121"/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130"/>
      <c r="AI393" s="118"/>
      <c r="AJ393" s="73"/>
      <c r="AK393" s="119"/>
      <c r="AL393" s="120"/>
      <c r="AM393" s="121"/>
      <c r="AN393" s="152"/>
      <c r="AO393" s="73"/>
      <c r="AP393" s="73"/>
      <c r="AQ393" s="74"/>
      <c r="AR393" s="79"/>
      <c r="AS393" s="80"/>
      <c r="AT393" s="81"/>
      <c r="AU393" s="130"/>
      <c r="AV393" s="158"/>
      <c r="AW393" s="152"/>
      <c r="AX393" s="122"/>
      <c r="AY393" s="120"/>
      <c r="AZ393" s="121"/>
    </row>
    <row r="394" spans="1:52">
      <c r="A394" s="73"/>
      <c r="B394" s="73"/>
      <c r="C394" s="73"/>
      <c r="D394" s="74"/>
      <c r="E394" s="79"/>
      <c r="F394" s="80"/>
      <c r="G394" s="81"/>
      <c r="H394" s="89"/>
      <c r="I394" s="223"/>
      <c r="J394" s="73"/>
      <c r="K394" s="122"/>
      <c r="L394" s="255"/>
      <c r="M394" s="121"/>
      <c r="N394" s="73"/>
      <c r="O394" s="73"/>
      <c r="P394" s="73"/>
      <c r="Q394" s="74"/>
      <c r="R394" s="79"/>
      <c r="S394" s="80"/>
      <c r="T394" s="81"/>
      <c r="U394" s="89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89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89"/>
      <c r="AV394" s="158"/>
      <c r="AW394" s="152"/>
      <c r="AX394" s="122"/>
      <c r="AY394" s="120"/>
      <c r="AZ394" s="121"/>
    </row>
    <row r="395" spans="1:52">
      <c r="A395" s="73"/>
      <c r="B395" s="73"/>
      <c r="C395" s="73"/>
      <c r="D395" s="74"/>
      <c r="E395" s="79"/>
      <c r="F395" s="80"/>
      <c r="G395" s="81"/>
      <c r="H395" s="89"/>
      <c r="I395" s="223"/>
      <c r="J395" s="73"/>
      <c r="K395" s="122"/>
      <c r="L395" s="255"/>
      <c r="M395" s="121"/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/>
      <c r="B396" s="73"/>
      <c r="C396" s="73"/>
      <c r="D396" s="74"/>
      <c r="E396" s="79"/>
      <c r="F396" s="80"/>
      <c r="G396" s="81"/>
      <c r="H396" s="89"/>
      <c r="I396" s="223"/>
      <c r="J396" s="73"/>
      <c r="K396" s="122"/>
      <c r="L396" s="255"/>
      <c r="M396" s="121"/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ht="24.75" spans="1:52">
      <c r="A397" s="73"/>
      <c r="B397" s="73"/>
      <c r="C397" s="73"/>
      <c r="D397" s="258"/>
      <c r="E397" s="79"/>
      <c r="F397" s="80"/>
      <c r="G397" s="81"/>
      <c r="H397" s="89"/>
      <c r="I397" s="223"/>
      <c r="J397" s="73"/>
      <c r="K397" s="122"/>
      <c r="L397" s="255"/>
      <c r="M397" s="121"/>
      <c r="N397" s="73"/>
      <c r="O397" s="73"/>
      <c r="P397" s="73"/>
      <c r="Q397" s="260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258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258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spans="1:52">
      <c r="A398" s="73"/>
      <c r="B398" s="73"/>
      <c r="C398" s="73"/>
      <c r="D398" s="74"/>
      <c r="E398" s="79"/>
      <c r="F398" s="80"/>
      <c r="G398" s="81"/>
      <c r="H398" s="89"/>
      <c r="I398" s="223"/>
      <c r="J398" s="73"/>
      <c r="K398" s="122"/>
      <c r="L398" s="255"/>
      <c r="M398" s="121"/>
      <c r="N398" s="73"/>
      <c r="O398" s="73"/>
      <c r="P398" s="73"/>
      <c r="Q398" s="74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74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74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77" customHeight="1" spans="1:52">
      <c r="A399" s="73"/>
      <c r="B399" s="73"/>
      <c r="C399" s="73"/>
      <c r="D399" s="74"/>
      <c r="E399" s="79"/>
      <c r="F399" s="80"/>
      <c r="G399" s="81"/>
      <c r="H399" s="130"/>
      <c r="I399" s="223"/>
      <c r="J399" s="73"/>
      <c r="K399" s="122"/>
      <c r="L399" s="255"/>
      <c r="M399" s="121"/>
      <c r="N399" s="73"/>
      <c r="O399" s="73"/>
      <c r="P399" s="73"/>
      <c r="Q399" s="74"/>
      <c r="R399" s="79"/>
      <c r="S399" s="80"/>
      <c r="T399" s="81"/>
      <c r="U399" s="130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130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18"/>
      <c r="AW399" s="152"/>
      <c r="AX399" s="122"/>
      <c r="AY399" s="120"/>
      <c r="AZ399" s="121"/>
    </row>
    <row r="400" spans="1:52">
      <c r="A400" s="73"/>
      <c r="B400" s="73"/>
      <c r="C400" s="73"/>
      <c r="D400" s="74"/>
      <c r="E400" s="79"/>
      <c r="F400" s="80"/>
      <c r="G400" s="81"/>
      <c r="H400" s="130"/>
      <c r="I400" s="223"/>
      <c r="J400" s="73"/>
      <c r="K400" s="122"/>
      <c r="L400" s="255"/>
      <c r="M400" s="121"/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82"/>
      <c r="AI400" s="118"/>
      <c r="AJ400" s="73"/>
      <c r="AK400" s="119"/>
      <c r="AL400" s="120"/>
      <c r="AM400" s="121"/>
      <c r="AN400" s="152"/>
      <c r="AO400" s="152"/>
      <c r="AP400" s="152"/>
      <c r="AQ400" s="105"/>
      <c r="AR400" s="106"/>
      <c r="AS400" s="107"/>
      <c r="AT400" s="108"/>
      <c r="AU400" s="89"/>
      <c r="AV400" s="158"/>
      <c r="AW400" s="152"/>
      <c r="AX400" s="122"/>
      <c r="AY400" s="120"/>
      <c r="AZ400" s="121"/>
    </row>
    <row r="401" spans="1:52">
      <c r="A401" s="73"/>
      <c r="B401" s="73"/>
      <c r="C401" s="73"/>
      <c r="D401" s="74"/>
      <c r="E401" s="79"/>
      <c r="F401" s="80"/>
      <c r="G401" s="81"/>
      <c r="H401" s="130"/>
      <c r="I401" s="223"/>
      <c r="J401" s="73"/>
      <c r="K401" s="122"/>
      <c r="L401" s="255"/>
      <c r="M401" s="121"/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204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/>
      <c r="B402" s="73"/>
      <c r="C402" s="73"/>
      <c r="D402" s="74"/>
      <c r="E402" s="79"/>
      <c r="F402" s="80"/>
      <c r="G402" s="81"/>
      <c r="H402" s="78"/>
      <c r="I402" s="223"/>
      <c r="J402" s="73"/>
      <c r="K402" s="122"/>
      <c r="L402" s="255"/>
      <c r="M402" s="121"/>
      <c r="N402" s="73"/>
      <c r="O402" s="73"/>
      <c r="P402" s="73"/>
      <c r="Q402" s="74"/>
      <c r="R402" s="79"/>
      <c r="S402" s="80"/>
      <c r="T402" s="81"/>
      <c r="U402" s="89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89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/>
      <c r="B403" s="73"/>
      <c r="C403" s="73"/>
      <c r="D403" s="74"/>
      <c r="E403" s="79"/>
      <c r="F403" s="80"/>
      <c r="G403" s="81"/>
      <c r="H403" s="89"/>
      <c r="I403" s="223"/>
      <c r="J403" s="73"/>
      <c r="K403" s="122"/>
      <c r="L403" s="255"/>
      <c r="M403" s="121"/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/>
      <c r="B404" s="73"/>
      <c r="C404" s="73"/>
      <c r="D404" s="74"/>
      <c r="E404" s="79"/>
      <c r="F404" s="80"/>
      <c r="G404" s="81"/>
      <c r="H404" s="78"/>
      <c r="I404" s="223"/>
      <c r="J404" s="73"/>
      <c r="K404" s="122"/>
      <c r="L404" s="255"/>
      <c r="M404" s="121"/>
      <c r="N404" s="73"/>
      <c r="O404" s="73"/>
      <c r="P404" s="73"/>
      <c r="Q404" s="74"/>
      <c r="R404" s="79"/>
      <c r="S404" s="80"/>
      <c r="T404" s="81"/>
      <c r="U404" s="78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78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/>
      <c r="B405" s="73"/>
      <c r="C405" s="73"/>
      <c r="D405" s="74"/>
      <c r="E405" s="79"/>
      <c r="F405" s="80"/>
      <c r="G405" s="81"/>
      <c r="H405" s="78"/>
      <c r="I405" s="223"/>
      <c r="J405" s="73"/>
      <c r="K405" s="122"/>
      <c r="L405" s="255"/>
      <c r="M405" s="121"/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/>
      <c r="B406" s="73"/>
      <c r="C406" s="73"/>
      <c r="D406" s="74"/>
      <c r="E406" s="79"/>
      <c r="F406" s="80"/>
      <c r="G406" s="81"/>
      <c r="H406" s="78"/>
      <c r="I406" s="223"/>
      <c r="J406" s="73"/>
      <c r="K406" s="122"/>
      <c r="L406" s="255"/>
      <c r="M406" s="121"/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73"/>
      <c r="AP406" s="73"/>
      <c r="AQ406" s="74"/>
      <c r="AR406" s="79"/>
      <c r="AS406" s="80"/>
      <c r="AT406" s="81"/>
      <c r="AU406" s="89"/>
      <c r="AV406" s="158"/>
      <c r="AW406" s="152"/>
      <c r="AX406" s="122"/>
      <c r="AY406" s="120"/>
      <c r="AZ406" s="121"/>
    </row>
    <row r="407" spans="1:52">
      <c r="A407" s="73"/>
      <c r="B407" s="73"/>
      <c r="C407" s="73"/>
      <c r="D407" s="74"/>
      <c r="E407" s="79"/>
      <c r="F407" s="80"/>
      <c r="G407" s="81"/>
      <c r="H407" s="78"/>
      <c r="I407" s="223"/>
      <c r="J407" s="73"/>
      <c r="K407" s="122"/>
      <c r="L407" s="255"/>
      <c r="M407" s="121"/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89"/>
      <c r="AI407" s="118"/>
      <c r="AJ407" s="73"/>
      <c r="AK407" s="119"/>
      <c r="AL407" s="120"/>
      <c r="AM407" s="121"/>
      <c r="AN407" s="152"/>
      <c r="AO407" s="152"/>
      <c r="AP407" s="152"/>
      <c r="AQ407" s="105"/>
      <c r="AR407" s="106"/>
      <c r="AS407" s="107"/>
      <c r="AT407" s="108"/>
      <c r="AU407" s="89"/>
      <c r="AV407" s="158"/>
      <c r="AW407" s="152"/>
      <c r="AX407" s="122"/>
      <c r="AY407" s="120"/>
      <c r="AZ407" s="121"/>
    </row>
    <row r="408" spans="1:52">
      <c r="A408" s="73"/>
      <c r="B408" s="73"/>
      <c r="C408" s="73"/>
      <c r="D408" s="74"/>
      <c r="E408" s="79"/>
      <c r="F408" s="80"/>
      <c r="G408" s="81"/>
      <c r="H408" s="78"/>
      <c r="I408" s="223"/>
      <c r="J408" s="73"/>
      <c r="K408" s="122"/>
      <c r="L408" s="255"/>
      <c r="M408" s="121"/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/>
      <c r="B409" s="73"/>
      <c r="C409" s="73"/>
      <c r="D409" s="74"/>
      <c r="E409" s="79"/>
      <c r="F409" s="80"/>
      <c r="G409" s="81"/>
      <c r="H409" s="78"/>
      <c r="I409" s="223"/>
      <c r="J409" s="73"/>
      <c r="K409" s="122"/>
      <c r="L409" s="255"/>
      <c r="M409" s="121"/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261"/>
      <c r="AG409" s="81"/>
      <c r="AH409" s="89"/>
      <c r="AI409" s="118"/>
      <c r="AJ409" s="73"/>
      <c r="AK409" s="119"/>
      <c r="AL409" s="120"/>
      <c r="AM409" s="121"/>
      <c r="AN409" s="152"/>
      <c r="AO409" s="73"/>
      <c r="AP409" s="73"/>
      <c r="AQ409" s="74"/>
      <c r="AR409" s="79"/>
      <c r="AS409" s="261"/>
      <c r="AT409" s="108"/>
      <c r="AU409" s="130"/>
      <c r="AV409" s="158"/>
      <c r="AW409" s="152"/>
      <c r="AX409" s="122"/>
      <c r="AY409" s="120"/>
      <c r="AZ409" s="121"/>
    </row>
    <row r="410" ht="22.5" spans="1:52">
      <c r="A410" s="73"/>
      <c r="B410" s="73"/>
      <c r="C410" s="73"/>
      <c r="D410" s="254"/>
      <c r="E410" s="79"/>
      <c r="F410" s="80"/>
      <c r="G410" s="81"/>
      <c r="H410" s="78"/>
      <c r="I410" s="223"/>
      <c r="J410" s="73"/>
      <c r="K410" s="122"/>
      <c r="L410" s="259"/>
      <c r="M410" s="121"/>
      <c r="N410" s="73"/>
      <c r="O410" s="73"/>
      <c r="P410" s="73"/>
      <c r="Q410" s="25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254"/>
      <c r="AE410" s="79"/>
      <c r="AF410" s="80"/>
      <c r="AG410" s="81"/>
      <c r="AH410" s="78"/>
      <c r="AI410" s="118"/>
      <c r="AJ410" s="73"/>
      <c r="AK410" s="119"/>
      <c r="AL410" s="120"/>
      <c r="AM410" s="121"/>
      <c r="AN410" s="152"/>
      <c r="AO410" s="152"/>
      <c r="AP410" s="152"/>
      <c r="AQ410" s="262"/>
      <c r="AR410" s="106"/>
      <c r="AS410" s="107"/>
      <c r="AT410" s="108"/>
      <c r="AU410" s="89"/>
      <c r="AV410" s="158"/>
      <c r="AW410" s="152"/>
      <c r="AX410" s="122"/>
      <c r="AY410" s="120"/>
      <c r="AZ410" s="121"/>
    </row>
    <row r="411" spans="1:52">
      <c r="A411" s="73"/>
      <c r="B411" s="73"/>
      <c r="C411" s="73"/>
      <c r="D411" s="74"/>
      <c r="E411" s="79"/>
      <c r="F411" s="80"/>
      <c r="G411" s="81"/>
      <c r="H411" s="78"/>
      <c r="I411" s="223"/>
      <c r="J411" s="73"/>
      <c r="K411" s="122"/>
      <c r="L411" s="259"/>
      <c r="M411" s="121"/>
      <c r="N411" s="73"/>
      <c r="O411" s="73"/>
      <c r="P411" s="73"/>
      <c r="Q411" s="7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7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105"/>
      <c r="AR411" s="106"/>
      <c r="AS411" s="107"/>
      <c r="AT411" s="108"/>
      <c r="AU411" s="263"/>
      <c r="AV411" s="158"/>
      <c r="AW411" s="152"/>
      <c r="AX411" s="122"/>
      <c r="AY411" s="120"/>
      <c r="AZ411" s="121"/>
    </row>
    <row r="412" ht="22.5" spans="1:52">
      <c r="A412" s="73"/>
      <c r="B412" s="73"/>
      <c r="C412" s="73"/>
      <c r="D412" s="254"/>
      <c r="E412" s="79"/>
      <c r="F412" s="80"/>
      <c r="G412" s="81"/>
      <c r="H412" s="78"/>
      <c r="I412" s="223"/>
      <c r="J412" s="73"/>
      <c r="K412" s="122"/>
      <c r="L412" s="259"/>
      <c r="M412" s="121"/>
      <c r="N412" s="73"/>
      <c r="O412" s="73"/>
      <c r="P412" s="73"/>
      <c r="Q412" s="25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254"/>
      <c r="AE412" s="79"/>
      <c r="AF412" s="80"/>
      <c r="AG412" s="81"/>
      <c r="AH412" s="89"/>
      <c r="AI412" s="118"/>
      <c r="AJ412" s="73"/>
      <c r="AK412" s="119"/>
      <c r="AL412" s="120"/>
      <c r="AM412" s="121"/>
      <c r="AN412" s="152"/>
      <c r="AO412" s="73"/>
      <c r="AP412" s="73"/>
      <c r="AQ412" s="254"/>
      <c r="AR412" s="79"/>
      <c r="AS412" s="80"/>
      <c r="AT412" s="81"/>
      <c r="AU412" s="82"/>
      <c r="AV412" s="158"/>
      <c r="AW412" s="152"/>
      <c r="AX412" s="122"/>
      <c r="AY412" s="120"/>
      <c r="AZ412" s="121"/>
    </row>
    <row r="413" spans="1:52">
      <c r="A413" s="73"/>
      <c r="B413" s="73"/>
      <c r="C413" s="73"/>
      <c r="D413" s="74"/>
      <c r="E413" s="79"/>
      <c r="F413" s="80"/>
      <c r="G413" s="81"/>
      <c r="H413" s="78"/>
      <c r="I413" s="223"/>
      <c r="J413" s="73"/>
      <c r="K413" s="122"/>
      <c r="L413" s="259"/>
      <c r="M413" s="121"/>
      <c r="N413" s="73"/>
      <c r="O413" s="73"/>
      <c r="P413" s="73"/>
      <c r="Q413" s="7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74"/>
      <c r="AE413" s="79"/>
      <c r="AF413" s="80"/>
      <c r="AG413" s="81"/>
      <c r="AH413" s="78"/>
      <c r="AI413" s="118"/>
      <c r="AJ413" s="73"/>
      <c r="AK413" s="119"/>
      <c r="AL413" s="120"/>
      <c r="AM413" s="121"/>
      <c r="AN413" s="152"/>
      <c r="AO413" s="73"/>
      <c r="AP413" s="73"/>
      <c r="AQ413" s="74"/>
      <c r="AR413" s="79"/>
      <c r="AS413" s="80"/>
      <c r="AT413" s="81"/>
      <c r="AU413" s="89"/>
      <c r="AV413" s="158"/>
      <c r="AW413" s="152"/>
      <c r="AX413" s="122"/>
      <c r="AY413" s="120"/>
      <c r="AZ413" s="121"/>
    </row>
    <row r="414" ht="24" customHeight="1" spans="1:52">
      <c r="A414" s="73"/>
      <c r="B414" s="73"/>
      <c r="C414" s="73"/>
      <c r="D414" s="74"/>
      <c r="E414" s="79"/>
      <c r="F414" s="80"/>
      <c r="G414" s="81"/>
      <c r="H414" s="78"/>
      <c r="I414" s="223"/>
      <c r="J414" s="73"/>
      <c r="K414" s="122"/>
      <c r="L414" s="259"/>
      <c r="M414" s="121"/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130"/>
      <c r="AI414" s="118"/>
      <c r="AJ414" s="73"/>
      <c r="AK414" s="119"/>
      <c r="AL414" s="120"/>
      <c r="AM414" s="121"/>
      <c r="AN414" s="152"/>
      <c r="AO414" s="152"/>
      <c r="AP414" s="152"/>
      <c r="AQ414" s="105"/>
      <c r="AR414" s="106"/>
      <c r="AS414" s="107"/>
      <c r="AT414" s="108"/>
      <c r="AU414" s="89"/>
      <c r="AV414" s="158"/>
      <c r="AW414" s="152"/>
      <c r="AX414" s="122"/>
      <c r="AY414" s="120"/>
      <c r="AZ414" s="121"/>
    </row>
    <row r="415" spans="1:52">
      <c r="A415" s="73"/>
      <c r="B415" s="73"/>
      <c r="C415" s="73"/>
      <c r="D415" s="74"/>
      <c r="E415" s="79"/>
      <c r="F415" s="80"/>
      <c r="G415" s="81"/>
      <c r="H415" s="78"/>
      <c r="I415" s="223"/>
      <c r="J415" s="73"/>
      <c r="K415" s="122"/>
      <c r="L415" s="259"/>
      <c r="M415" s="121"/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130"/>
      <c r="AV415" s="158"/>
      <c r="AW415" s="152"/>
      <c r="AX415" s="122"/>
      <c r="AY415" s="120"/>
      <c r="AZ415" s="121"/>
    </row>
    <row r="416" ht="19" customHeight="1" spans="1:52">
      <c r="A416" s="73"/>
      <c r="B416" s="73"/>
      <c r="C416" s="73"/>
      <c r="D416" s="74"/>
      <c r="E416" s="79"/>
      <c r="F416" s="80"/>
      <c r="G416" s="81"/>
      <c r="H416" s="78"/>
      <c r="I416" s="223"/>
      <c r="J416" s="73"/>
      <c r="K416" s="122"/>
      <c r="L416" s="259"/>
      <c r="M416" s="121"/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73"/>
      <c r="AP416" s="73"/>
      <c r="AQ416" s="74"/>
      <c r="AR416" s="79"/>
      <c r="AS416" s="80"/>
      <c r="AT416" s="81"/>
      <c r="AU416" s="130"/>
      <c r="AV416" s="158"/>
      <c r="AW416" s="152"/>
      <c r="AX416" s="122"/>
      <c r="AY416" s="120"/>
      <c r="AZ416" s="121"/>
    </row>
    <row r="417" spans="1:52">
      <c r="A417" s="73"/>
      <c r="B417" s="73"/>
      <c r="C417" s="73"/>
      <c r="D417" s="74"/>
      <c r="E417" s="79"/>
      <c r="F417" s="80"/>
      <c r="G417" s="81"/>
      <c r="H417" s="78"/>
      <c r="I417" s="223"/>
      <c r="J417" s="73"/>
      <c r="K417" s="122"/>
      <c r="L417" s="259"/>
      <c r="M417" s="121"/>
      <c r="N417" s="73"/>
      <c r="O417" s="73"/>
      <c r="P417" s="73"/>
      <c r="Q417" s="74"/>
      <c r="R417" s="79"/>
      <c r="S417" s="80"/>
      <c r="T417" s="81"/>
      <c r="U417" s="89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89"/>
      <c r="AI417" s="118"/>
      <c r="AJ417" s="73"/>
      <c r="AK417" s="119"/>
      <c r="AL417" s="120"/>
      <c r="AM417" s="121"/>
      <c r="AN417" s="152"/>
      <c r="AO417" s="152"/>
      <c r="AP417" s="152"/>
      <c r="AQ417" s="105"/>
      <c r="AR417" s="106"/>
      <c r="AS417" s="107"/>
      <c r="AT417" s="108"/>
      <c r="AU417" s="89"/>
      <c r="AV417" s="158"/>
      <c r="AW417" s="152"/>
      <c r="AX417" s="122"/>
      <c r="AY417" s="120"/>
      <c r="AZ417" s="121"/>
    </row>
    <row r="418" spans="1:52">
      <c r="A418" s="73"/>
      <c r="B418" s="73"/>
      <c r="C418" s="73"/>
      <c r="D418" s="74"/>
      <c r="E418" s="79"/>
      <c r="F418" s="80"/>
      <c r="G418" s="81"/>
      <c r="H418" s="89"/>
      <c r="I418" s="223"/>
      <c r="J418" s="73"/>
      <c r="K418" s="122"/>
      <c r="L418" s="259"/>
      <c r="M418" s="121"/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73"/>
      <c r="AP418" s="73"/>
      <c r="AQ418" s="74"/>
      <c r="AR418" s="79"/>
      <c r="AS418" s="80"/>
      <c r="AT418" s="81"/>
      <c r="AU418" s="82"/>
      <c r="AV418" s="158"/>
      <c r="AW418" s="152"/>
      <c r="AX418" s="122"/>
      <c r="AY418" s="120"/>
      <c r="AZ418" s="121"/>
    </row>
    <row r="419" spans="1:52">
      <c r="A419" s="73"/>
      <c r="B419" s="73"/>
      <c r="C419" s="73"/>
      <c r="D419" s="74"/>
      <c r="E419" s="79"/>
      <c r="F419" s="80"/>
      <c r="G419" s="81"/>
      <c r="H419" s="78"/>
      <c r="I419" s="223"/>
      <c r="J419" s="73"/>
      <c r="K419" s="122"/>
      <c r="L419" s="259"/>
      <c r="M419" s="121"/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152"/>
      <c r="AP419" s="152"/>
      <c r="AQ419" s="105"/>
      <c r="AR419" s="106"/>
      <c r="AS419" s="107"/>
      <c r="AT419" s="108"/>
      <c r="AU419" s="89"/>
      <c r="AV419" s="158"/>
      <c r="AW419" s="152"/>
      <c r="AX419" s="122"/>
      <c r="AY419" s="120"/>
      <c r="AZ419" s="121"/>
    </row>
    <row r="420" spans="1:52">
      <c r="A420" s="73"/>
      <c r="B420" s="73"/>
      <c r="C420" s="73"/>
      <c r="D420" s="74"/>
      <c r="E420" s="79"/>
      <c r="F420" s="80"/>
      <c r="G420" s="81"/>
      <c r="H420" s="130"/>
      <c r="I420" s="223"/>
      <c r="J420" s="73"/>
      <c r="K420" s="122"/>
      <c r="L420" s="259"/>
      <c r="M420" s="121"/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73"/>
      <c r="AP420" s="73"/>
      <c r="AQ420" s="74"/>
      <c r="AR420" s="79"/>
      <c r="AS420" s="80"/>
      <c r="AT420" s="81"/>
      <c r="AU420" s="89"/>
      <c r="AV420" s="158"/>
      <c r="AW420" s="152"/>
      <c r="AX420" s="122"/>
      <c r="AY420" s="120"/>
      <c r="AZ420" s="121"/>
    </row>
    <row r="421" spans="1:52">
      <c r="A421" s="73"/>
      <c r="B421" s="73"/>
      <c r="C421" s="73"/>
      <c r="D421" s="74"/>
      <c r="E421" s="79"/>
      <c r="F421" s="80"/>
      <c r="G421" s="81"/>
      <c r="H421" s="130"/>
      <c r="I421" s="223"/>
      <c r="J421" s="73"/>
      <c r="K421" s="122"/>
      <c r="L421" s="259"/>
      <c r="M421" s="121"/>
      <c r="N421" s="73"/>
      <c r="O421" s="73"/>
      <c r="P421" s="73"/>
      <c r="Q421" s="74"/>
      <c r="R421" s="79"/>
      <c r="S421" s="80"/>
      <c r="T421" s="81"/>
      <c r="U421" s="130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152"/>
      <c r="AP421" s="152"/>
      <c r="AQ421" s="105"/>
      <c r="AR421" s="106"/>
      <c r="AS421" s="107"/>
      <c r="AT421" s="108"/>
      <c r="AU421" s="89"/>
      <c r="AV421" s="158"/>
      <c r="AW421" s="152"/>
      <c r="AX421" s="122"/>
      <c r="AY421" s="120"/>
      <c r="AZ421" s="121"/>
    </row>
    <row r="422" spans="1:52">
      <c r="A422" s="73"/>
      <c r="B422" s="73"/>
      <c r="C422" s="73"/>
      <c r="D422" s="74"/>
      <c r="E422" s="79"/>
      <c r="F422" s="80"/>
      <c r="G422" s="81"/>
      <c r="H422" s="89"/>
      <c r="I422" s="223"/>
      <c r="J422" s="73"/>
      <c r="K422" s="122"/>
      <c r="L422" s="259"/>
      <c r="M422" s="121"/>
      <c r="N422" s="73"/>
      <c r="O422" s="73"/>
      <c r="P422" s="73"/>
      <c r="Q422" s="74"/>
      <c r="R422" s="79"/>
      <c r="S422" s="80"/>
      <c r="T422" s="81"/>
      <c r="U422" s="89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2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/>
      <c r="B423" s="73"/>
      <c r="C423" s="73"/>
      <c r="D423" s="74"/>
      <c r="E423" s="79"/>
      <c r="F423" s="80"/>
      <c r="G423" s="81"/>
      <c r="H423" s="89"/>
      <c r="I423" s="223"/>
      <c r="J423" s="73"/>
      <c r="K423" s="122"/>
      <c r="L423" s="259"/>
      <c r="M423" s="121"/>
      <c r="N423" s="73"/>
      <c r="O423" s="73"/>
      <c r="P423" s="73"/>
      <c r="Q423" s="74"/>
      <c r="R423" s="79"/>
      <c r="S423" s="80"/>
      <c r="T423" s="81"/>
      <c r="U423" s="130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9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/>
      <c r="B424" s="73"/>
      <c r="C424" s="73"/>
      <c r="D424" s="74"/>
      <c r="E424" s="79"/>
      <c r="F424" s="80"/>
      <c r="G424" s="81"/>
      <c r="H424" s="89"/>
      <c r="I424" s="223"/>
      <c r="J424" s="73"/>
      <c r="K424" s="122"/>
      <c r="L424" s="259"/>
      <c r="M424" s="121"/>
      <c r="N424" s="73"/>
      <c r="O424" s="73"/>
      <c r="P424" s="73"/>
      <c r="Q424" s="74"/>
      <c r="R424" s="79"/>
      <c r="S424" s="80"/>
      <c r="T424" s="81"/>
      <c r="U424" s="89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/>
      <c r="B425" s="73"/>
      <c r="C425" s="73"/>
      <c r="D425" s="74"/>
      <c r="E425" s="79"/>
      <c r="F425" s="80"/>
      <c r="G425" s="81"/>
      <c r="H425" s="78"/>
      <c r="I425" s="223"/>
      <c r="J425" s="73"/>
      <c r="K425" s="122"/>
      <c r="L425" s="259"/>
      <c r="M425" s="121"/>
      <c r="N425" s="73"/>
      <c r="O425" s="73"/>
      <c r="P425" s="73"/>
      <c r="Q425" s="74"/>
      <c r="R425" s="79"/>
      <c r="S425" s="80"/>
      <c r="T425" s="81"/>
      <c r="U425" s="78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78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/>
      <c r="B426" s="73"/>
      <c r="C426" s="73"/>
      <c r="D426" s="74"/>
      <c r="E426" s="79"/>
      <c r="F426" s="80"/>
      <c r="G426" s="81"/>
      <c r="H426" s="89"/>
      <c r="I426" s="223"/>
      <c r="J426" s="73"/>
      <c r="K426" s="122"/>
      <c r="L426" s="259"/>
      <c r="M426" s="121"/>
      <c r="N426" s="73"/>
      <c r="O426" s="73"/>
      <c r="P426" s="73"/>
      <c r="Q426" s="74"/>
      <c r="R426" s="79"/>
      <c r="S426" s="80"/>
      <c r="T426" s="81"/>
      <c r="U426" s="89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89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/>
      <c r="B427" s="73"/>
      <c r="C427" s="73"/>
      <c r="D427" s="74"/>
      <c r="E427" s="79"/>
      <c r="F427" s="80"/>
      <c r="G427" s="81"/>
      <c r="H427" s="89"/>
      <c r="I427" s="223"/>
      <c r="J427" s="73"/>
      <c r="K427" s="122"/>
      <c r="L427" s="259"/>
      <c r="M427" s="121"/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73"/>
      <c r="AP427" s="73"/>
      <c r="AQ427" s="74"/>
      <c r="AR427" s="79"/>
      <c r="AS427" s="80"/>
      <c r="AT427" s="81"/>
      <c r="AU427" s="89"/>
      <c r="AV427" s="158"/>
      <c r="AW427" s="152"/>
      <c r="AX427" s="122"/>
      <c r="AY427" s="120"/>
      <c r="AZ427" s="121"/>
    </row>
    <row r="428" spans="1:52">
      <c r="A428" s="73"/>
      <c r="B428" s="73"/>
      <c r="C428" s="73"/>
      <c r="D428" s="74"/>
      <c r="E428" s="79"/>
      <c r="F428" s="80"/>
      <c r="G428" s="81"/>
      <c r="H428" s="130"/>
      <c r="I428" s="223"/>
      <c r="J428" s="73"/>
      <c r="K428" s="122"/>
      <c r="L428" s="259"/>
      <c r="M428" s="121"/>
      <c r="N428" s="73"/>
      <c r="O428" s="73"/>
      <c r="P428" s="73"/>
      <c r="Q428" s="74"/>
      <c r="R428" s="79"/>
      <c r="S428" s="80"/>
      <c r="T428" s="81"/>
      <c r="U428" s="130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2"/>
      <c r="AI428" s="118"/>
      <c r="AJ428" s="73"/>
      <c r="AK428" s="119"/>
      <c r="AL428" s="120"/>
      <c r="AM428" s="121"/>
      <c r="AN428" s="152"/>
      <c r="AO428" s="152"/>
      <c r="AP428" s="152"/>
      <c r="AQ428" s="105"/>
      <c r="AR428" s="106"/>
      <c r="AS428" s="107"/>
      <c r="AT428" s="108"/>
      <c r="AU428" s="89"/>
      <c r="AV428" s="158"/>
      <c r="AW428" s="152"/>
      <c r="AX428" s="122"/>
      <c r="AY428" s="120"/>
      <c r="AZ428" s="121"/>
    </row>
    <row r="429" spans="1:52">
      <c r="A429" s="73"/>
      <c r="B429" s="73"/>
      <c r="C429" s="73"/>
      <c r="D429" s="74"/>
      <c r="E429" s="79"/>
      <c r="F429" s="80"/>
      <c r="G429" s="81"/>
      <c r="H429" s="78"/>
      <c r="I429" s="223"/>
      <c r="J429" s="73"/>
      <c r="K429" s="122"/>
      <c r="L429" s="259"/>
      <c r="M429" s="121"/>
      <c r="N429" s="73"/>
      <c r="O429" s="73"/>
      <c r="P429" s="73"/>
      <c r="Q429" s="74"/>
      <c r="R429" s="79"/>
      <c r="S429" s="80"/>
      <c r="T429" s="81"/>
      <c r="U429" s="78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78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/>
      <c r="B430" s="73"/>
      <c r="C430" s="73"/>
      <c r="D430" s="74"/>
      <c r="E430" s="79"/>
      <c r="F430" s="80"/>
      <c r="G430" s="81"/>
      <c r="H430" s="78"/>
      <c r="I430" s="223"/>
      <c r="J430" s="73"/>
      <c r="K430" s="122"/>
      <c r="L430" s="259"/>
      <c r="M430" s="121"/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89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/>
      <c r="B431" s="73"/>
      <c r="C431" s="73"/>
      <c r="D431" s="74"/>
      <c r="E431" s="79"/>
      <c r="F431" s="80"/>
      <c r="G431" s="81"/>
      <c r="H431" s="78"/>
      <c r="I431" s="223"/>
      <c r="J431" s="73"/>
      <c r="K431" s="122"/>
      <c r="L431" s="259"/>
      <c r="M431" s="121"/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/>
      <c r="B432" s="73"/>
      <c r="C432" s="73"/>
      <c r="D432" s="74"/>
      <c r="E432" s="79"/>
      <c r="F432" s="80"/>
      <c r="G432" s="81"/>
      <c r="H432" s="78"/>
      <c r="I432" s="223"/>
      <c r="J432" s="73"/>
      <c r="K432" s="122"/>
      <c r="L432" s="259"/>
      <c r="M432" s="121"/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/>
      <c r="B433" s="73"/>
      <c r="C433" s="73"/>
      <c r="D433" s="74"/>
      <c r="E433" s="79"/>
      <c r="F433" s="80"/>
      <c r="G433" s="81"/>
      <c r="H433" s="78"/>
      <c r="I433" s="223"/>
      <c r="J433" s="73"/>
      <c r="K433" s="122"/>
      <c r="L433" s="259"/>
      <c r="M433" s="121"/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78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/>
      <c r="B434" s="73"/>
      <c r="C434" s="73"/>
      <c r="D434" s="74"/>
      <c r="E434" s="79"/>
      <c r="F434" s="80"/>
      <c r="G434" s="81"/>
      <c r="H434" s="78"/>
      <c r="I434" s="223"/>
      <c r="J434" s="73"/>
      <c r="K434" s="122"/>
      <c r="L434" s="259"/>
      <c r="M434" s="121"/>
      <c r="N434" s="73"/>
      <c r="O434" s="73"/>
      <c r="P434" s="73"/>
      <c r="Q434" s="74"/>
      <c r="R434" s="79"/>
      <c r="S434" s="80"/>
      <c r="T434" s="81"/>
      <c r="U434" s="89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89"/>
      <c r="AI434" s="118"/>
      <c r="AJ434" s="73"/>
      <c r="AK434" s="119"/>
      <c r="AL434" s="120"/>
      <c r="AM434" s="121"/>
      <c r="AN434" s="152"/>
      <c r="AO434" s="73"/>
      <c r="AP434" s="73"/>
      <c r="AQ434" s="74"/>
      <c r="AR434" s="79"/>
      <c r="AS434" s="80"/>
      <c r="AT434" s="81"/>
      <c r="AU434" s="89"/>
      <c r="AV434" s="158"/>
      <c r="AW434" s="152"/>
      <c r="AX434" s="122"/>
      <c r="AY434" s="120"/>
      <c r="AZ434" s="121"/>
    </row>
    <row r="435" spans="1:52">
      <c r="A435" s="73"/>
      <c r="B435" s="73"/>
      <c r="C435" s="73"/>
      <c r="D435" s="74"/>
      <c r="E435" s="79"/>
      <c r="F435" s="80"/>
      <c r="G435" s="81"/>
      <c r="H435" s="78"/>
      <c r="I435" s="223"/>
      <c r="J435" s="73"/>
      <c r="K435" s="122"/>
      <c r="L435" s="259"/>
      <c r="M435" s="121"/>
      <c r="N435" s="73"/>
      <c r="O435" s="73"/>
      <c r="P435" s="73"/>
      <c r="Q435" s="74"/>
      <c r="R435" s="79"/>
      <c r="S435" s="80"/>
      <c r="T435" s="81"/>
      <c r="U435" s="78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/>
      <c r="B436" s="73"/>
      <c r="C436" s="73"/>
      <c r="D436" s="74"/>
      <c r="E436" s="79"/>
      <c r="F436" s="80"/>
      <c r="G436" s="81"/>
      <c r="H436" s="78"/>
      <c r="I436" s="223"/>
      <c r="J436" s="73"/>
      <c r="K436" s="122"/>
      <c r="L436" s="259"/>
      <c r="M436" s="121"/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78"/>
      <c r="AI436" s="118"/>
      <c r="AJ436" s="73"/>
      <c r="AK436" s="119"/>
      <c r="AL436" s="120"/>
      <c r="AM436" s="121"/>
      <c r="AN436" s="152"/>
      <c r="AO436" s="152"/>
      <c r="AP436" s="152"/>
      <c r="AQ436" s="105"/>
      <c r="AR436" s="106"/>
      <c r="AS436" s="107"/>
      <c r="AT436" s="108"/>
      <c r="AU436" s="89"/>
      <c r="AV436" s="158"/>
      <c r="AW436" s="152"/>
      <c r="AX436" s="122"/>
      <c r="AY436" s="120"/>
      <c r="AZ436" s="121"/>
    </row>
    <row r="437" spans="1:52">
      <c r="A437" s="73"/>
      <c r="B437" s="73"/>
      <c r="C437" s="73"/>
      <c r="D437" s="74"/>
      <c r="E437" s="79"/>
      <c r="F437" s="80"/>
      <c r="G437" s="81"/>
      <c r="H437" s="78"/>
      <c r="I437" s="223"/>
      <c r="J437" s="73"/>
      <c r="K437" s="122"/>
      <c r="L437" s="259"/>
      <c r="M437" s="121"/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73"/>
      <c r="AP437" s="73"/>
      <c r="AQ437" s="74"/>
      <c r="AR437" s="79"/>
      <c r="AS437" s="80"/>
      <c r="AT437" s="81"/>
      <c r="AU437" s="89"/>
      <c r="AV437" s="158"/>
      <c r="AW437" s="152"/>
      <c r="AX437" s="122"/>
      <c r="AY437" s="120"/>
      <c r="AZ437" s="121"/>
    </row>
    <row r="438" spans="1:52">
      <c r="A438" s="73"/>
      <c r="B438" s="73"/>
      <c r="C438" s="73"/>
      <c r="D438" s="74"/>
      <c r="E438" s="79"/>
      <c r="F438" s="80"/>
      <c r="G438" s="81"/>
      <c r="H438" s="78"/>
      <c r="I438" s="223"/>
      <c r="J438" s="73"/>
      <c r="K438" s="122"/>
      <c r="L438" s="259"/>
      <c r="M438" s="121"/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/>
      <c r="B439" s="73"/>
      <c r="C439" s="73"/>
      <c r="D439" s="74"/>
      <c r="E439" s="79"/>
      <c r="F439" s="80"/>
      <c r="G439" s="81"/>
      <c r="H439" s="78"/>
      <c r="I439" s="223"/>
      <c r="J439" s="73"/>
      <c r="K439" s="122"/>
      <c r="L439" s="259"/>
      <c r="M439" s="121"/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89"/>
      <c r="AI439" s="118"/>
      <c r="AJ439" s="73"/>
      <c r="AK439" s="119"/>
      <c r="AL439" s="120"/>
      <c r="AM439" s="121"/>
      <c r="AN439" s="152"/>
      <c r="AO439" s="152"/>
      <c r="AP439" s="152"/>
      <c r="AQ439" s="105"/>
      <c r="AR439" s="106"/>
      <c r="AS439" s="107"/>
      <c r="AT439" s="108"/>
      <c r="AU439" s="89"/>
      <c r="AV439" s="158"/>
      <c r="AW439" s="152"/>
      <c r="AX439" s="122"/>
      <c r="AY439" s="120"/>
      <c r="AZ439" s="121"/>
    </row>
    <row r="440" spans="1:52">
      <c r="A440" s="73"/>
      <c r="B440" s="73"/>
      <c r="C440" s="73"/>
      <c r="D440" s="74"/>
      <c r="E440" s="79"/>
      <c r="F440" s="80"/>
      <c r="G440" s="81"/>
      <c r="H440" s="78"/>
      <c r="I440" s="223"/>
      <c r="J440" s="73"/>
      <c r="K440" s="122"/>
      <c r="L440" s="259"/>
      <c r="M440" s="121"/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/>
      <c r="B441" s="73"/>
      <c r="C441" s="73"/>
      <c r="D441" s="74"/>
      <c r="E441" s="79"/>
      <c r="F441" s="80"/>
      <c r="G441" s="81"/>
      <c r="H441" s="78"/>
      <c r="I441" s="223"/>
      <c r="J441" s="73"/>
      <c r="K441" s="122"/>
      <c r="L441" s="259"/>
      <c r="M441" s="121"/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73"/>
      <c r="AP441" s="73"/>
      <c r="AQ441" s="74"/>
      <c r="AR441" s="79"/>
      <c r="AS441" s="80"/>
      <c r="AT441" s="81"/>
      <c r="AU441" s="89"/>
      <c r="AV441" s="158"/>
      <c r="AW441" s="152"/>
      <c r="AX441" s="122"/>
      <c r="AY441" s="120"/>
      <c r="AZ441" s="121"/>
    </row>
    <row r="442" spans="1:52">
      <c r="A442" s="73"/>
      <c r="B442" s="73"/>
      <c r="C442" s="73"/>
      <c r="D442" s="74"/>
      <c r="E442" s="79"/>
      <c r="F442" s="80"/>
      <c r="G442" s="81"/>
      <c r="H442" s="78"/>
      <c r="I442" s="223"/>
      <c r="J442" s="73"/>
      <c r="K442" s="122"/>
      <c r="L442" s="259"/>
      <c r="M442" s="121"/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152"/>
      <c r="AP442" s="152"/>
      <c r="AQ442" s="105"/>
      <c r="AR442" s="106"/>
      <c r="AS442" s="107"/>
      <c r="AT442" s="108"/>
      <c r="AU442" s="89"/>
      <c r="AV442" s="158"/>
      <c r="AW442" s="152"/>
      <c r="AX442" s="122"/>
      <c r="AY442" s="120"/>
      <c r="AZ442" s="121"/>
    </row>
    <row r="443" spans="1:52">
      <c r="A443" s="73"/>
      <c r="B443" s="73"/>
      <c r="C443" s="73"/>
      <c r="D443" s="74"/>
      <c r="E443" s="79"/>
      <c r="F443" s="80"/>
      <c r="G443" s="81"/>
      <c r="H443" s="78"/>
      <c r="I443" s="223"/>
      <c r="J443" s="73"/>
      <c r="K443" s="122"/>
      <c r="L443" s="259"/>
      <c r="M443" s="121"/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/>
      <c r="B444" s="73"/>
      <c r="C444" s="73"/>
      <c r="D444" s="74"/>
      <c r="E444" s="79"/>
      <c r="F444" s="80"/>
      <c r="G444" s="81"/>
      <c r="H444" s="78"/>
      <c r="I444" s="223"/>
      <c r="J444" s="73"/>
      <c r="K444" s="122"/>
      <c r="L444" s="259"/>
      <c r="M444" s="121"/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/>
      <c r="B445" s="73"/>
      <c r="C445" s="73"/>
      <c r="D445" s="74"/>
      <c r="E445" s="79"/>
      <c r="F445" s="80"/>
      <c r="G445" s="81"/>
      <c r="H445" s="83"/>
      <c r="I445" s="223"/>
      <c r="J445" s="73"/>
      <c r="K445" s="122"/>
      <c r="L445" s="259"/>
      <c r="M445" s="121"/>
      <c r="N445" s="73"/>
      <c r="O445" s="73"/>
      <c r="P445" s="73"/>
      <c r="Q445" s="74"/>
      <c r="R445" s="79"/>
      <c r="S445" s="80"/>
      <c r="T445" s="81"/>
      <c r="U445" s="130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130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130"/>
      <c r="AV445" s="158"/>
      <c r="AW445" s="152"/>
      <c r="AX445" s="122"/>
      <c r="AY445" s="120"/>
      <c r="AZ445" s="121"/>
    </row>
    <row r="446" spans="1:52">
      <c r="A446" s="73"/>
      <c r="B446" s="73"/>
      <c r="C446" s="73"/>
      <c r="D446" s="74"/>
      <c r="E446" s="79"/>
      <c r="F446" s="80"/>
      <c r="G446" s="81"/>
      <c r="H446" s="83"/>
      <c r="I446" s="223"/>
      <c r="J446" s="73"/>
      <c r="K446" s="122"/>
      <c r="L446" s="259"/>
      <c r="M446" s="121"/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/>
      <c r="B447" s="73"/>
      <c r="C447" s="73"/>
      <c r="D447" s="74"/>
      <c r="E447" s="79"/>
      <c r="F447" s="80"/>
      <c r="G447" s="81"/>
      <c r="H447" s="83"/>
      <c r="I447" s="223"/>
      <c r="J447" s="73"/>
      <c r="K447" s="122"/>
      <c r="L447" s="259"/>
      <c r="M447" s="121"/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89"/>
      <c r="AI447" s="118"/>
      <c r="AJ447" s="73"/>
      <c r="AK447" s="119"/>
      <c r="AL447" s="120"/>
      <c r="AM447" s="121"/>
      <c r="AN447" s="152"/>
      <c r="AO447" s="73"/>
      <c r="AP447" s="73"/>
      <c r="AQ447" s="74"/>
      <c r="AR447" s="79"/>
      <c r="AS447" s="80"/>
      <c r="AT447" s="81"/>
      <c r="AU447" s="89"/>
      <c r="AV447" s="158"/>
      <c r="AW447" s="152"/>
      <c r="AX447" s="122"/>
      <c r="AY447" s="120"/>
      <c r="AZ447" s="121"/>
    </row>
    <row r="448" spans="1:52">
      <c r="A448" s="73"/>
      <c r="B448" s="73"/>
      <c r="C448" s="73"/>
      <c r="D448" s="74"/>
      <c r="E448" s="79"/>
      <c r="F448" s="80"/>
      <c r="G448" s="81"/>
      <c r="H448" s="83"/>
      <c r="I448" s="223"/>
      <c r="J448" s="73"/>
      <c r="K448" s="122"/>
      <c r="L448" s="259"/>
      <c r="M448" s="121"/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/>
      <c r="B449" s="73"/>
      <c r="C449" s="73"/>
      <c r="D449" s="74"/>
      <c r="E449" s="79"/>
      <c r="F449" s="80"/>
      <c r="G449" s="81"/>
      <c r="H449" s="83"/>
      <c r="I449" s="223"/>
      <c r="J449" s="73"/>
      <c r="K449" s="122"/>
      <c r="L449" s="259"/>
      <c r="M449" s="121"/>
      <c r="N449" s="73"/>
      <c r="O449" s="73"/>
      <c r="P449" s="73"/>
      <c r="Q449" s="74"/>
      <c r="R449" s="79"/>
      <c r="S449" s="80"/>
      <c r="T449" s="81"/>
      <c r="U449" s="89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152"/>
      <c r="AP449" s="152"/>
      <c r="AQ449" s="105"/>
      <c r="AR449" s="106"/>
      <c r="AS449" s="107"/>
      <c r="AT449" s="108"/>
      <c r="AU449" s="89"/>
      <c r="AV449" s="158"/>
      <c r="AW449" s="152"/>
      <c r="AX449" s="122"/>
      <c r="AY449" s="120"/>
      <c r="AZ449" s="121"/>
    </row>
    <row r="450" spans="1:52">
      <c r="A450" s="73"/>
      <c r="B450" s="73"/>
      <c r="C450" s="73"/>
      <c r="D450" s="74"/>
      <c r="E450" s="79"/>
      <c r="F450" s="80"/>
      <c r="G450" s="81"/>
      <c r="H450" s="89"/>
      <c r="I450" s="223"/>
      <c r="J450" s="73"/>
      <c r="K450" s="122"/>
      <c r="L450" s="259"/>
      <c r="M450" s="121"/>
      <c r="N450" s="73"/>
      <c r="O450" s="73"/>
      <c r="P450" s="73"/>
      <c r="Q450" s="74"/>
      <c r="R450" s="79"/>
      <c r="S450" s="80"/>
      <c r="T450" s="81"/>
      <c r="U450" s="130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/>
      <c r="B451" s="73"/>
      <c r="C451" s="73"/>
      <c r="D451" s="74"/>
      <c r="E451" s="79"/>
      <c r="F451" s="80"/>
      <c r="G451" s="81"/>
      <c r="H451" s="130"/>
      <c r="I451" s="223"/>
      <c r="J451" s="73"/>
      <c r="K451" s="122"/>
      <c r="L451" s="259"/>
      <c r="M451" s="121"/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/>
      <c r="B452" s="73"/>
      <c r="C452" s="73"/>
      <c r="D452" s="74"/>
      <c r="E452" s="79"/>
      <c r="F452" s="80"/>
      <c r="G452" s="81"/>
      <c r="H452" s="78"/>
      <c r="I452" s="223"/>
      <c r="J452" s="73"/>
      <c r="K452" s="122"/>
      <c r="L452" s="259"/>
      <c r="M452" s="121"/>
      <c r="N452" s="73"/>
      <c r="O452" s="73"/>
      <c r="P452" s="73"/>
      <c r="Q452" s="74"/>
      <c r="R452" s="79"/>
      <c r="S452" s="80"/>
      <c r="T452" s="81"/>
      <c r="U452" s="78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78"/>
      <c r="AI452" s="118"/>
      <c r="AJ452" s="73"/>
      <c r="AK452" s="119"/>
      <c r="AL452" s="120"/>
      <c r="AM452" s="121"/>
      <c r="AN452" s="152"/>
      <c r="AO452" s="73"/>
      <c r="AP452" s="73"/>
      <c r="AQ452" s="74"/>
      <c r="AR452" s="79"/>
      <c r="AS452" s="80"/>
      <c r="AT452" s="81"/>
      <c r="AU452" s="89"/>
      <c r="AV452" s="158"/>
      <c r="AW452" s="152"/>
      <c r="AX452" s="122"/>
      <c r="AY452" s="120"/>
      <c r="AZ452" s="121"/>
    </row>
    <row r="453" spans="1:52">
      <c r="A453" s="73"/>
      <c r="B453" s="73"/>
      <c r="C453" s="73"/>
      <c r="D453" s="74"/>
      <c r="E453" s="79"/>
      <c r="F453" s="80"/>
      <c r="G453" s="81"/>
      <c r="H453" s="130"/>
      <c r="I453" s="230"/>
      <c r="J453" s="73"/>
      <c r="K453" s="122"/>
      <c r="L453" s="259"/>
      <c r="M453" s="121"/>
      <c r="N453" s="73"/>
      <c r="O453" s="73"/>
      <c r="P453" s="73"/>
      <c r="Q453" s="74"/>
      <c r="R453" s="79"/>
      <c r="S453" s="80"/>
      <c r="T453" s="81"/>
      <c r="U453" s="130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130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130"/>
      <c r="AV453" s="158"/>
      <c r="AW453" s="152"/>
      <c r="AX453" s="122"/>
      <c r="AY453" s="120"/>
      <c r="AZ453" s="121"/>
    </row>
    <row r="454" spans="1:52">
      <c r="A454" s="73"/>
      <c r="B454" s="73"/>
      <c r="C454" s="73"/>
      <c r="D454" s="74"/>
      <c r="E454" s="79"/>
      <c r="F454" s="80"/>
      <c r="G454" s="81"/>
      <c r="H454" s="89"/>
      <c r="I454" s="223"/>
      <c r="J454" s="73"/>
      <c r="K454" s="122"/>
      <c r="L454" s="259"/>
      <c r="M454" s="121"/>
      <c r="N454" s="73"/>
      <c r="O454" s="73"/>
      <c r="P454" s="73"/>
      <c r="Q454" s="74"/>
      <c r="R454" s="79"/>
      <c r="S454" s="80"/>
      <c r="T454" s="81"/>
      <c r="U454" s="78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78"/>
      <c r="AI454" s="118"/>
      <c r="AJ454" s="73"/>
      <c r="AK454" s="119"/>
      <c r="AL454" s="120"/>
      <c r="AM454" s="121"/>
      <c r="AN454" s="152"/>
      <c r="AO454" s="152"/>
      <c r="AP454" s="152"/>
      <c r="AQ454" s="105"/>
      <c r="AR454" s="106"/>
      <c r="AS454" s="107"/>
      <c r="AT454" s="108"/>
      <c r="AU454" s="89"/>
      <c r="AV454" s="158"/>
      <c r="AW454" s="152"/>
      <c r="AX454" s="122"/>
      <c r="AY454" s="120"/>
      <c r="AZ454" s="121"/>
    </row>
    <row r="455" spans="1:52">
      <c r="A455" s="73"/>
      <c r="B455" s="73"/>
      <c r="C455" s="73"/>
      <c r="D455" s="74"/>
      <c r="E455" s="79"/>
      <c r="F455" s="80"/>
      <c r="G455" s="81"/>
      <c r="H455" s="89"/>
      <c r="I455" s="223"/>
      <c r="J455" s="73"/>
      <c r="K455" s="122"/>
      <c r="L455" s="259"/>
      <c r="M455" s="121"/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/>
      <c r="B456" s="73"/>
      <c r="C456" s="73"/>
      <c r="D456" s="74"/>
      <c r="E456" s="79"/>
      <c r="F456" s="80"/>
      <c r="G456" s="81"/>
      <c r="H456" s="89"/>
      <c r="I456" s="223"/>
      <c r="J456" s="73"/>
      <c r="K456" s="122"/>
      <c r="L456" s="259"/>
      <c r="M456" s="121"/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31" customHeight="1" spans="1:52">
      <c r="A457" s="73"/>
      <c r="B457" s="73"/>
      <c r="C457" s="73"/>
      <c r="D457" s="74"/>
      <c r="E457" s="79"/>
      <c r="F457" s="80"/>
      <c r="G457" s="81"/>
      <c r="H457" s="78"/>
      <c r="I457" s="223"/>
      <c r="J457" s="73"/>
      <c r="K457" s="122"/>
      <c r="L457" s="259"/>
      <c r="M457" s="121"/>
      <c r="N457" s="73"/>
      <c r="O457" s="73"/>
      <c r="P457" s="73"/>
      <c r="Q457" s="74"/>
      <c r="R457" s="79"/>
      <c r="S457" s="80"/>
      <c r="T457" s="81"/>
      <c r="U457" s="130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130"/>
      <c r="AI457" s="118"/>
      <c r="AJ457" s="73"/>
      <c r="AK457" s="119"/>
      <c r="AL457" s="120"/>
      <c r="AM457" s="121"/>
      <c r="AN457" s="152"/>
      <c r="AO457" s="73"/>
      <c r="AP457" s="73"/>
      <c r="AQ457" s="74"/>
      <c r="AR457" s="79"/>
      <c r="AS457" s="80"/>
      <c r="AT457" s="81"/>
      <c r="AU457" s="130"/>
      <c r="AV457" s="158"/>
      <c r="AW457" s="152"/>
      <c r="AX457" s="122"/>
      <c r="AY457" s="120"/>
      <c r="AZ457" s="121"/>
    </row>
    <row r="458" spans="1:52">
      <c r="A458" s="73"/>
      <c r="B458" s="73"/>
      <c r="C458" s="73"/>
      <c r="D458" s="74"/>
      <c r="E458" s="79"/>
      <c r="F458" s="80"/>
      <c r="G458" s="81"/>
      <c r="H458" s="78"/>
      <c r="I458" s="223"/>
      <c r="J458" s="73"/>
      <c r="K458" s="122"/>
      <c r="L458" s="259"/>
      <c r="M458" s="121"/>
      <c r="N458" s="73"/>
      <c r="O458" s="73"/>
      <c r="P458" s="73"/>
      <c r="Q458" s="74"/>
      <c r="R458" s="79"/>
      <c r="S458" s="80"/>
      <c r="T458" s="81"/>
      <c r="U458" s="78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78"/>
      <c r="AI458" s="118"/>
      <c r="AJ458" s="73"/>
      <c r="AK458" s="119"/>
      <c r="AL458" s="120"/>
      <c r="AM458" s="121"/>
      <c r="AN458" s="152"/>
      <c r="AO458" s="152"/>
      <c r="AP458" s="152"/>
      <c r="AQ458" s="105"/>
      <c r="AR458" s="106"/>
      <c r="AS458" s="107"/>
      <c r="AT458" s="108"/>
      <c r="AU458" s="89"/>
      <c r="AV458" s="158"/>
      <c r="AW458" s="152"/>
      <c r="AX458" s="122"/>
      <c r="AY458" s="120"/>
      <c r="AZ458" s="121"/>
    </row>
    <row r="459" spans="1:52">
      <c r="A459" s="73"/>
      <c r="B459" s="73"/>
      <c r="C459" s="73"/>
      <c r="D459" s="74"/>
      <c r="E459" s="79"/>
      <c r="F459" s="80"/>
      <c r="G459" s="81"/>
      <c r="H459" s="78"/>
      <c r="I459" s="223"/>
      <c r="J459" s="73"/>
      <c r="K459" s="122"/>
      <c r="L459" s="259"/>
      <c r="M459" s="121"/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73"/>
      <c r="AP459" s="73"/>
      <c r="AQ459" s="74"/>
      <c r="AR459" s="79"/>
      <c r="AS459" s="80"/>
      <c r="AT459" s="81"/>
      <c r="AU459" s="89"/>
      <c r="AV459" s="158"/>
      <c r="AW459" s="152"/>
      <c r="AX459" s="122"/>
      <c r="AY459" s="120"/>
      <c r="AZ459" s="121"/>
    </row>
    <row r="460" spans="1:52">
      <c r="A460" s="73"/>
      <c r="B460" s="73"/>
      <c r="C460" s="73"/>
      <c r="D460" s="74"/>
      <c r="E460" s="79"/>
      <c r="F460" s="80"/>
      <c r="G460" s="81"/>
      <c r="H460" s="89"/>
      <c r="I460" s="223"/>
      <c r="J460" s="73"/>
      <c r="K460" s="122"/>
      <c r="L460" s="259"/>
      <c r="M460" s="121"/>
      <c r="N460" s="73"/>
      <c r="O460" s="73"/>
      <c r="P460" s="73"/>
      <c r="Q460" s="74"/>
      <c r="R460" s="79"/>
      <c r="S460" s="80"/>
      <c r="T460" s="81"/>
      <c r="U460" s="229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89"/>
      <c r="AI460" s="118"/>
      <c r="AJ460" s="73"/>
      <c r="AK460" s="119"/>
      <c r="AL460" s="120"/>
      <c r="AM460" s="121"/>
      <c r="AN460" s="152"/>
      <c r="AO460" s="152"/>
      <c r="AP460" s="152"/>
      <c r="AQ460" s="105"/>
      <c r="AR460" s="106"/>
      <c r="AS460" s="107"/>
      <c r="AT460" s="108"/>
      <c r="AU460" s="89"/>
      <c r="AV460" s="158"/>
      <c r="AW460" s="152"/>
      <c r="AX460" s="122"/>
      <c r="AY460" s="120"/>
      <c r="AZ460" s="121"/>
    </row>
    <row r="461" spans="1:52">
      <c r="A461" s="73"/>
      <c r="B461" s="73"/>
      <c r="C461" s="73"/>
      <c r="D461" s="74"/>
      <c r="E461" s="79"/>
      <c r="F461" s="80"/>
      <c r="G461" s="81"/>
      <c r="H461" s="78"/>
      <c r="I461" s="223"/>
      <c r="J461" s="73"/>
      <c r="K461" s="122"/>
      <c r="L461" s="259"/>
      <c r="M461" s="121"/>
      <c r="N461" s="73"/>
      <c r="O461" s="73"/>
      <c r="P461" s="73"/>
      <c r="Q461" s="74"/>
      <c r="R461" s="79"/>
      <c r="S461" s="80"/>
      <c r="T461" s="81"/>
      <c r="U461" s="78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78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/>
      <c r="B462" s="73"/>
      <c r="C462" s="73"/>
      <c r="D462" s="74"/>
      <c r="E462" s="79"/>
      <c r="F462" s="80"/>
      <c r="G462" s="81"/>
      <c r="H462" s="78"/>
      <c r="I462" s="223"/>
      <c r="J462" s="73"/>
      <c r="K462" s="122"/>
      <c r="L462" s="259"/>
      <c r="M462" s="121"/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/>
      <c r="B463" s="73"/>
      <c r="C463" s="73"/>
      <c r="D463" s="74"/>
      <c r="E463" s="79"/>
      <c r="F463" s="80"/>
      <c r="G463" s="81"/>
      <c r="H463" s="78"/>
      <c r="I463" s="223"/>
      <c r="J463" s="73"/>
      <c r="K463" s="122"/>
      <c r="L463" s="259"/>
      <c r="M463" s="121"/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73"/>
      <c r="AP463" s="73"/>
      <c r="AQ463" s="74"/>
      <c r="AR463" s="79"/>
      <c r="AS463" s="80"/>
      <c r="AT463" s="81"/>
      <c r="AU463" s="89"/>
      <c r="AV463" s="158"/>
      <c r="AW463" s="152"/>
      <c r="AX463" s="122"/>
      <c r="AY463" s="120"/>
      <c r="AZ463" s="121"/>
    </row>
    <row r="464" spans="1:52">
      <c r="A464" s="73"/>
      <c r="B464" s="73"/>
      <c r="C464" s="73"/>
      <c r="D464" s="74"/>
      <c r="E464" s="79"/>
      <c r="F464" s="80"/>
      <c r="G464" s="81"/>
      <c r="H464" s="78"/>
      <c r="I464" s="223"/>
      <c r="J464" s="73"/>
      <c r="K464" s="122"/>
      <c r="L464" s="259"/>
      <c r="M464" s="121"/>
      <c r="N464" s="73"/>
      <c r="O464" s="73"/>
      <c r="P464" s="73"/>
      <c r="Q464" s="74"/>
      <c r="R464" s="79"/>
      <c r="S464" s="80"/>
      <c r="T464" s="81"/>
      <c r="U464" s="89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152"/>
      <c r="AP464" s="152"/>
      <c r="AQ464" s="105"/>
      <c r="AR464" s="106"/>
      <c r="AS464" s="107"/>
      <c r="AT464" s="108"/>
      <c r="AU464" s="89"/>
      <c r="AV464" s="158"/>
      <c r="AW464" s="152"/>
      <c r="AX464" s="122"/>
      <c r="AY464" s="120"/>
      <c r="AZ464" s="121"/>
    </row>
    <row r="465" spans="1:52">
      <c r="A465" s="73"/>
      <c r="B465" s="73"/>
      <c r="C465" s="73"/>
      <c r="D465" s="74"/>
      <c r="E465" s="79"/>
      <c r="F465" s="80"/>
      <c r="G465" s="81"/>
      <c r="H465" s="78"/>
      <c r="I465" s="223"/>
      <c r="J465" s="73"/>
      <c r="K465" s="122"/>
      <c r="L465" s="259"/>
      <c r="M465" s="121"/>
      <c r="N465" s="73"/>
      <c r="O465" s="73"/>
      <c r="P465" s="73"/>
      <c r="Q465" s="74"/>
      <c r="R465" s="79"/>
      <c r="S465" s="80"/>
      <c r="T465" s="81"/>
      <c r="U465" s="78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89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/>
      <c r="B466" s="73"/>
      <c r="C466" s="73"/>
      <c r="D466" s="74"/>
      <c r="E466" s="79"/>
      <c r="F466" s="80"/>
      <c r="G466" s="81"/>
      <c r="H466" s="78"/>
      <c r="I466" s="223"/>
      <c r="J466" s="73"/>
      <c r="K466" s="122"/>
      <c r="L466" s="259"/>
      <c r="M466" s="121"/>
      <c r="N466" s="73"/>
      <c r="O466" s="73"/>
      <c r="P466" s="73"/>
      <c r="Q466" s="74"/>
      <c r="R466" s="79"/>
      <c r="S466" s="80"/>
      <c r="T466" s="81"/>
      <c r="U466" s="89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/>
      <c r="B467" s="73"/>
      <c r="C467" s="73"/>
      <c r="D467" s="74"/>
      <c r="E467" s="79"/>
      <c r="F467" s="80"/>
      <c r="G467" s="81"/>
      <c r="H467" s="89"/>
      <c r="I467" s="223"/>
      <c r="J467" s="73"/>
      <c r="K467" s="122"/>
      <c r="L467" s="259"/>
      <c r="M467" s="121"/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73"/>
      <c r="AP467" s="73"/>
      <c r="AQ467" s="74"/>
      <c r="AR467" s="79"/>
      <c r="AS467" s="80"/>
      <c r="AT467" s="81"/>
      <c r="AU467" s="82"/>
      <c r="AV467" s="158"/>
      <c r="AW467" s="152"/>
      <c r="AX467" s="122"/>
      <c r="AY467" s="120"/>
      <c r="AZ467" s="121"/>
    </row>
    <row r="468" spans="1:52">
      <c r="A468" s="73"/>
      <c r="B468" s="73"/>
      <c r="C468" s="73"/>
      <c r="D468" s="74"/>
      <c r="E468" s="79"/>
      <c r="F468" s="80"/>
      <c r="G468" s="81"/>
      <c r="H468" s="89"/>
      <c r="I468" s="223"/>
      <c r="J468" s="73"/>
      <c r="K468" s="122"/>
      <c r="L468" s="259"/>
      <c r="M468" s="121"/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/>
      <c r="B469" s="73"/>
      <c r="C469" s="73"/>
      <c r="D469" s="74"/>
      <c r="E469" s="79"/>
      <c r="F469" s="80"/>
      <c r="G469" s="81"/>
      <c r="H469" s="89"/>
      <c r="I469" s="223"/>
      <c r="J469" s="73"/>
      <c r="K469" s="122"/>
      <c r="L469" s="259"/>
      <c r="M469" s="121"/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152"/>
      <c r="AP469" s="152"/>
      <c r="AQ469" s="105"/>
      <c r="AR469" s="106"/>
      <c r="AS469" s="107"/>
      <c r="AT469" s="108"/>
      <c r="AU469" s="89"/>
      <c r="AV469" s="158"/>
      <c r="AW469" s="152"/>
      <c r="AX469" s="122"/>
      <c r="AY469" s="120"/>
      <c r="AZ469" s="121"/>
    </row>
    <row r="470" spans="1:52">
      <c r="A470" s="73"/>
      <c r="B470" s="73"/>
      <c r="C470" s="73"/>
      <c r="D470" s="74"/>
      <c r="E470" s="79"/>
      <c r="F470" s="80"/>
      <c r="G470" s="81"/>
      <c r="H470" s="130"/>
      <c r="I470" s="223"/>
      <c r="J470" s="73"/>
      <c r="K470" s="122"/>
      <c r="L470" s="259"/>
      <c r="M470" s="121"/>
      <c r="N470" s="73"/>
      <c r="O470" s="73"/>
      <c r="P470" s="73"/>
      <c r="Q470" s="74"/>
      <c r="R470" s="79"/>
      <c r="S470" s="80"/>
      <c r="T470" s="81"/>
      <c r="U470" s="130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73"/>
      <c r="AP470" s="73"/>
      <c r="AQ470" s="74"/>
      <c r="AR470" s="79"/>
      <c r="AS470" s="80"/>
      <c r="AT470" s="81"/>
      <c r="AU470" s="89"/>
      <c r="AV470" s="158"/>
      <c r="AW470" s="152"/>
      <c r="AX470" s="122"/>
      <c r="AY470" s="120"/>
      <c r="AZ470" s="121"/>
    </row>
    <row r="471" spans="1:52">
      <c r="A471" s="73"/>
      <c r="B471" s="73"/>
      <c r="C471" s="73"/>
      <c r="D471" s="74"/>
      <c r="E471" s="79"/>
      <c r="F471" s="80"/>
      <c r="G471" s="81"/>
      <c r="H471" s="78"/>
      <c r="I471" s="223"/>
      <c r="J471" s="73"/>
      <c r="K471" s="122"/>
      <c r="L471" s="259"/>
      <c r="M471" s="121"/>
      <c r="N471" s="73"/>
      <c r="O471" s="73"/>
      <c r="P471" s="73"/>
      <c r="Q471" s="74"/>
      <c r="R471" s="79"/>
      <c r="S471" s="80"/>
      <c r="T471" s="81"/>
      <c r="U471" s="78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152"/>
      <c r="AP471" s="152"/>
      <c r="AQ471" s="105"/>
      <c r="AR471" s="106"/>
      <c r="AS471" s="107"/>
      <c r="AT471" s="108"/>
      <c r="AU471" s="89"/>
      <c r="AV471" s="158"/>
      <c r="AW471" s="152"/>
      <c r="AX471" s="122"/>
      <c r="AY471" s="120"/>
      <c r="AZ471" s="121"/>
    </row>
    <row r="472" spans="1:52">
      <c r="A472" s="73"/>
      <c r="B472" s="73"/>
      <c r="C472" s="73"/>
      <c r="D472" s="74"/>
      <c r="E472" s="79"/>
      <c r="F472" s="80"/>
      <c r="G472" s="81"/>
      <c r="H472" s="78"/>
      <c r="I472" s="223"/>
      <c r="J472" s="73"/>
      <c r="K472" s="122"/>
      <c r="L472" s="259"/>
      <c r="M472" s="121"/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/>
      <c r="B473" s="73"/>
      <c r="C473" s="73"/>
      <c r="D473" s="74"/>
      <c r="E473" s="79"/>
      <c r="F473" s="80"/>
      <c r="G473" s="81"/>
      <c r="H473" s="78"/>
      <c r="I473" s="118"/>
      <c r="J473" s="73"/>
      <c r="K473" s="122"/>
      <c r="L473" s="259"/>
      <c r="M473" s="121"/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78"/>
      <c r="AI473" s="118"/>
      <c r="AJ473" s="73"/>
      <c r="AK473" s="119"/>
      <c r="AL473" s="120"/>
      <c r="AM473" s="121"/>
      <c r="AN473" s="152"/>
      <c r="AO473" s="73"/>
      <c r="AP473" s="73"/>
      <c r="AQ473" s="74"/>
      <c r="AR473" s="79"/>
      <c r="AS473" s="80"/>
      <c r="AT473" s="81"/>
      <c r="AU473" s="89"/>
      <c r="AV473" s="158"/>
      <c r="AW473" s="152"/>
      <c r="AX473" s="122"/>
      <c r="AY473" s="120"/>
      <c r="AZ473" s="121"/>
    </row>
    <row r="474" spans="1:52">
      <c r="A474" s="73"/>
      <c r="B474" s="73"/>
      <c r="C474" s="73"/>
      <c r="D474" s="74"/>
      <c r="E474" s="79"/>
      <c r="F474" s="80"/>
      <c r="G474" s="81"/>
      <c r="H474" s="78"/>
      <c r="I474" s="118"/>
      <c r="J474" s="73"/>
      <c r="K474" s="122"/>
      <c r="L474" s="259"/>
      <c r="M474" s="121"/>
      <c r="N474" s="73"/>
      <c r="O474" s="73"/>
      <c r="P474" s="73"/>
      <c r="Q474" s="74"/>
      <c r="R474" s="79"/>
      <c r="S474" s="80"/>
      <c r="T474" s="81"/>
      <c r="U474" s="89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89"/>
      <c r="AI474" s="118"/>
      <c r="AJ474" s="73"/>
      <c r="AK474" s="119"/>
      <c r="AL474" s="120"/>
      <c r="AM474" s="121"/>
      <c r="AN474" s="152"/>
      <c r="AO474" s="152"/>
      <c r="AP474" s="152"/>
      <c r="AQ474" s="105"/>
      <c r="AR474" s="106"/>
      <c r="AS474" s="107"/>
      <c r="AT474" s="108"/>
      <c r="AU474" s="89"/>
      <c r="AV474" s="158"/>
      <c r="AW474" s="152"/>
      <c r="AX474" s="122"/>
      <c r="AY474" s="120"/>
      <c r="AZ474" s="121"/>
    </row>
    <row r="475" spans="1:52">
      <c r="A475" s="73"/>
      <c r="B475" s="73"/>
      <c r="C475" s="73"/>
      <c r="D475" s="74"/>
      <c r="E475" s="79"/>
      <c r="F475" s="80"/>
      <c r="G475" s="81"/>
      <c r="H475" s="130"/>
      <c r="I475" s="118"/>
      <c r="J475" s="73"/>
      <c r="K475" s="122"/>
      <c r="L475" s="259"/>
      <c r="M475" s="121"/>
      <c r="N475" s="73"/>
      <c r="O475" s="73"/>
      <c r="P475" s="73"/>
      <c r="Q475" s="74"/>
      <c r="R475" s="79"/>
      <c r="S475" s="80"/>
      <c r="T475" s="81"/>
      <c r="U475" s="130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2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/>
      <c r="B476" s="73"/>
      <c r="C476" s="73"/>
      <c r="D476" s="74"/>
      <c r="E476" s="79"/>
      <c r="F476" s="80"/>
      <c r="G476" s="81"/>
      <c r="H476" s="78"/>
      <c r="I476" s="118"/>
      <c r="J476" s="73"/>
      <c r="K476" s="122"/>
      <c r="L476" s="259"/>
      <c r="M476" s="121"/>
      <c r="N476" s="73"/>
      <c r="O476" s="73"/>
      <c r="P476" s="73"/>
      <c r="Q476" s="74"/>
      <c r="R476" s="79"/>
      <c r="S476" s="80"/>
      <c r="T476" s="81"/>
      <c r="U476" s="78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9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/>
      <c r="B477" s="73"/>
      <c r="C477" s="73"/>
      <c r="D477" s="74"/>
      <c r="E477" s="79"/>
      <c r="F477" s="80"/>
      <c r="G477" s="81"/>
      <c r="H477" s="78"/>
      <c r="I477" s="118"/>
      <c r="J477" s="73"/>
      <c r="K477" s="122"/>
      <c r="L477" s="259"/>
      <c r="M477" s="121"/>
      <c r="N477" s="73"/>
      <c r="O477" s="73"/>
      <c r="P477" s="73"/>
      <c r="Q477" s="74"/>
      <c r="R477" s="79"/>
      <c r="S477" s="80"/>
      <c r="T477" s="81"/>
      <c r="U477" s="89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/>
      <c r="B478" s="73"/>
      <c r="C478" s="73"/>
      <c r="D478" s="74"/>
      <c r="E478" s="79"/>
      <c r="F478" s="80"/>
      <c r="G478" s="81"/>
      <c r="H478" s="78"/>
      <c r="I478" s="118"/>
      <c r="J478" s="73"/>
      <c r="K478" s="122"/>
      <c r="L478" s="259"/>
      <c r="M478" s="121"/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/>
      <c r="B479" s="73"/>
      <c r="C479" s="73"/>
      <c r="D479" s="74"/>
      <c r="E479" s="79"/>
      <c r="F479" s="80"/>
      <c r="G479" s="81"/>
      <c r="H479" s="78"/>
      <c r="I479" s="118"/>
      <c r="J479" s="73"/>
      <c r="K479" s="122"/>
      <c r="L479" s="259"/>
      <c r="M479" s="121"/>
      <c r="N479" s="73"/>
      <c r="O479" s="73"/>
      <c r="P479" s="73"/>
      <c r="Q479" s="74"/>
      <c r="R479" s="79"/>
      <c r="S479" s="80"/>
      <c r="T479" s="81"/>
      <c r="U479" s="78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73"/>
      <c r="AP479" s="73"/>
      <c r="AQ479" s="74"/>
      <c r="AR479" s="79"/>
      <c r="AS479" s="80"/>
      <c r="AT479" s="81"/>
      <c r="AU479" s="89"/>
      <c r="AV479" s="158"/>
      <c r="AW479" s="152"/>
      <c r="AX479" s="122"/>
      <c r="AY479" s="120"/>
      <c r="AZ479" s="121"/>
    </row>
    <row r="480" spans="1:52">
      <c r="A480" s="73"/>
      <c r="B480" s="73"/>
      <c r="C480" s="73"/>
      <c r="D480" s="74"/>
      <c r="E480" s="79"/>
      <c r="F480" s="80"/>
      <c r="G480" s="81"/>
      <c r="H480" s="78"/>
      <c r="I480" s="118"/>
      <c r="J480" s="73"/>
      <c r="K480" s="122"/>
      <c r="L480" s="259"/>
      <c r="M480" s="121"/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152"/>
      <c r="AP480" s="152"/>
      <c r="AQ480" s="105"/>
      <c r="AR480" s="106"/>
      <c r="AS480" s="107"/>
      <c r="AT480" s="108"/>
      <c r="AU480" s="89"/>
      <c r="AV480" s="158"/>
      <c r="AW480" s="152"/>
      <c r="AX480" s="122"/>
      <c r="AY480" s="120"/>
      <c r="AZ480" s="121"/>
    </row>
    <row r="481" spans="1:52">
      <c r="A481" s="73"/>
      <c r="B481" s="73"/>
      <c r="C481" s="73"/>
      <c r="D481" s="74"/>
      <c r="E481" s="79"/>
      <c r="F481" s="80"/>
      <c r="G481" s="81"/>
      <c r="H481" s="78"/>
      <c r="I481" s="118"/>
      <c r="J481" s="73"/>
      <c r="K481" s="122"/>
      <c r="L481" s="259"/>
      <c r="M481" s="121"/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78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/>
      <c r="B482" s="73"/>
      <c r="C482" s="73"/>
      <c r="D482" s="74"/>
      <c r="E482" s="79"/>
      <c r="F482" s="80"/>
      <c r="G482" s="81"/>
      <c r="H482" s="78"/>
      <c r="I482" s="118"/>
      <c r="J482" s="73"/>
      <c r="K482" s="122"/>
      <c r="L482" s="259"/>
      <c r="M482" s="121"/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89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/>
      <c r="B483" s="73"/>
      <c r="C483" s="73"/>
      <c r="D483" s="74"/>
      <c r="E483" s="79"/>
      <c r="F483" s="80"/>
      <c r="G483" s="81"/>
      <c r="H483" s="78"/>
      <c r="I483" s="118"/>
      <c r="J483" s="73"/>
      <c r="K483" s="122"/>
      <c r="L483" s="259"/>
      <c r="M483" s="121"/>
      <c r="N483" s="73"/>
      <c r="O483" s="73"/>
      <c r="P483" s="73"/>
      <c r="Q483" s="74"/>
      <c r="R483" s="79"/>
      <c r="S483" s="80"/>
      <c r="T483" s="81"/>
      <c r="U483" s="89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/>
      <c r="B484" s="73"/>
      <c r="C484" s="73"/>
      <c r="D484" s="74"/>
      <c r="E484" s="79"/>
      <c r="F484" s="80"/>
      <c r="G484" s="81"/>
      <c r="H484" s="78"/>
      <c r="I484" s="118"/>
      <c r="J484" s="73"/>
      <c r="K484" s="122"/>
      <c r="L484" s="259"/>
      <c r="M484" s="121"/>
      <c r="N484" s="73"/>
      <c r="O484" s="73"/>
      <c r="P484" s="73"/>
      <c r="Q484" s="74"/>
      <c r="R484" s="79"/>
      <c r="S484" s="80"/>
      <c r="T484" s="81"/>
      <c r="U484" s="78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78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/>
      <c r="B485" s="73"/>
      <c r="C485" s="73"/>
      <c r="D485" s="74"/>
      <c r="E485" s="79"/>
      <c r="F485" s="80"/>
      <c r="G485" s="81"/>
      <c r="H485" s="78"/>
      <c r="I485" s="118"/>
      <c r="J485" s="73"/>
      <c r="K485" s="122"/>
      <c r="L485" s="259"/>
      <c r="M485" s="121"/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89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/>
      <c r="B486" s="73"/>
      <c r="C486" s="73"/>
      <c r="D486" s="74"/>
      <c r="E486" s="79"/>
      <c r="F486" s="80"/>
      <c r="G486" s="81"/>
      <c r="H486" s="78"/>
      <c r="I486" s="118"/>
      <c r="J486" s="73"/>
      <c r="K486" s="122"/>
      <c r="L486" s="259"/>
      <c r="M486" s="121"/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78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/>
      <c r="B487" s="73"/>
      <c r="C487" s="73"/>
      <c r="D487" s="74"/>
      <c r="E487" s="79"/>
      <c r="F487" s="80"/>
      <c r="G487" s="81"/>
      <c r="H487" s="78"/>
      <c r="I487" s="118"/>
      <c r="J487" s="73"/>
      <c r="K487" s="122"/>
      <c r="L487" s="259"/>
      <c r="M487" s="121"/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73"/>
      <c r="AP487" s="73"/>
      <c r="AQ487" s="74"/>
      <c r="AR487" s="79"/>
      <c r="AS487" s="80"/>
      <c r="AT487" s="81"/>
      <c r="AU487" s="78"/>
      <c r="AV487" s="158"/>
      <c r="AW487" s="152"/>
      <c r="AX487" s="122"/>
      <c r="AY487" s="120"/>
      <c r="AZ487" s="121"/>
    </row>
    <row r="488" spans="1:52">
      <c r="A488" s="73"/>
      <c r="B488" s="73"/>
      <c r="C488" s="73"/>
      <c r="D488" s="74"/>
      <c r="E488" s="79"/>
      <c r="F488" s="80"/>
      <c r="G488" s="81"/>
      <c r="H488" s="78"/>
      <c r="I488" s="118"/>
      <c r="J488" s="73"/>
      <c r="K488" s="122"/>
      <c r="L488" s="259"/>
      <c r="M488" s="121"/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89"/>
      <c r="AI488" s="118"/>
      <c r="AJ488" s="73"/>
      <c r="AK488" s="119"/>
      <c r="AL488" s="120"/>
      <c r="AM488" s="121"/>
      <c r="AN488" s="152"/>
      <c r="AO488" s="152"/>
      <c r="AP488" s="152"/>
      <c r="AQ488" s="105"/>
      <c r="AR488" s="106"/>
      <c r="AS488" s="107"/>
      <c r="AT488" s="108"/>
      <c r="AU488" s="89"/>
      <c r="AV488" s="158"/>
      <c r="AW488" s="152"/>
      <c r="AX488" s="122"/>
      <c r="AY488" s="120"/>
      <c r="AZ488" s="121"/>
    </row>
    <row r="489" spans="1:52">
      <c r="A489" s="73"/>
      <c r="B489" s="73"/>
      <c r="C489" s="73"/>
      <c r="D489" s="74"/>
      <c r="E489" s="79"/>
      <c r="F489" s="80"/>
      <c r="G489" s="81"/>
      <c r="H489" s="78"/>
      <c r="I489" s="118"/>
      <c r="J489" s="73"/>
      <c r="K489" s="122"/>
      <c r="L489" s="259"/>
      <c r="M489" s="121"/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73"/>
      <c r="AP489" s="73"/>
      <c r="AQ489" s="74"/>
      <c r="AR489" s="79"/>
      <c r="AS489" s="80"/>
      <c r="AT489" s="81"/>
      <c r="AU489" s="82"/>
      <c r="AV489" s="158"/>
      <c r="AW489" s="152"/>
      <c r="AX489" s="122"/>
      <c r="AY489" s="120"/>
      <c r="AZ489" s="121"/>
    </row>
    <row r="490" spans="1:52">
      <c r="A490" s="73"/>
      <c r="B490" s="73"/>
      <c r="C490" s="73"/>
      <c r="D490" s="74"/>
      <c r="E490" s="79"/>
      <c r="F490" s="80"/>
      <c r="G490" s="81"/>
      <c r="H490" s="78"/>
      <c r="I490" s="118"/>
      <c r="J490" s="73"/>
      <c r="K490" s="122"/>
      <c r="L490" s="259"/>
      <c r="M490" s="121"/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78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/>
      <c r="B491" s="73"/>
      <c r="C491" s="73"/>
      <c r="D491" s="74"/>
      <c r="E491" s="79"/>
      <c r="F491" s="80"/>
      <c r="G491" s="81"/>
      <c r="H491" s="78"/>
      <c r="I491" s="118"/>
      <c r="J491" s="73"/>
      <c r="K491" s="122"/>
      <c r="L491" s="259"/>
      <c r="M491" s="121"/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89"/>
      <c r="AI491" s="118"/>
      <c r="AJ491" s="73"/>
      <c r="AK491" s="119"/>
      <c r="AL491" s="120"/>
      <c r="AM491" s="121"/>
      <c r="AN491" s="152"/>
      <c r="AO491" s="152"/>
      <c r="AP491" s="152"/>
      <c r="AQ491" s="105"/>
      <c r="AR491" s="106"/>
      <c r="AS491" s="107"/>
      <c r="AT491" s="108"/>
      <c r="AU491" s="89"/>
      <c r="AV491" s="158"/>
      <c r="AW491" s="152"/>
      <c r="AX491" s="122"/>
      <c r="AY491" s="120"/>
      <c r="AZ491" s="121"/>
    </row>
    <row r="492" ht="22.5" spans="1:52">
      <c r="A492" s="73"/>
      <c r="B492" s="73"/>
      <c r="C492" s="73"/>
      <c r="D492" s="254"/>
      <c r="E492" s="79"/>
      <c r="F492" s="80"/>
      <c r="G492" s="81"/>
      <c r="H492" s="130"/>
      <c r="I492" s="118"/>
      <c r="J492" s="73"/>
      <c r="K492" s="122"/>
      <c r="L492" s="259"/>
      <c r="M492" s="121"/>
      <c r="N492" s="73"/>
      <c r="O492" s="73"/>
      <c r="P492" s="73"/>
      <c r="Q492" s="254"/>
      <c r="R492" s="79"/>
      <c r="S492" s="80"/>
      <c r="T492" s="81"/>
      <c r="U492" s="83"/>
      <c r="V492" s="118"/>
      <c r="W492" s="73"/>
      <c r="X492" s="119"/>
      <c r="Y492" s="120"/>
      <c r="Z492" s="121"/>
      <c r="AA492" s="73"/>
      <c r="AB492" s="73"/>
      <c r="AC492" s="73"/>
      <c r="AD492" s="25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262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spans="1:52">
      <c r="A493" s="73"/>
      <c r="B493" s="73"/>
      <c r="C493" s="73"/>
      <c r="D493" s="74"/>
      <c r="E493" s="79"/>
      <c r="F493" s="80"/>
      <c r="G493" s="81"/>
      <c r="H493" s="78"/>
      <c r="I493" s="118"/>
      <c r="J493" s="73"/>
      <c r="K493" s="122"/>
      <c r="L493" s="259"/>
      <c r="M493" s="121"/>
      <c r="N493" s="73"/>
      <c r="O493" s="73"/>
      <c r="P493" s="73"/>
      <c r="Q493" s="74"/>
      <c r="R493" s="79"/>
      <c r="S493" s="80"/>
      <c r="T493" s="81"/>
      <c r="U493" s="78"/>
      <c r="V493" s="118"/>
      <c r="W493" s="73"/>
      <c r="X493" s="119"/>
      <c r="Y493" s="120"/>
      <c r="Z493" s="121"/>
      <c r="AA493" s="73"/>
      <c r="AB493" s="73"/>
      <c r="AC493" s="73"/>
      <c r="AD493" s="74"/>
      <c r="AE493" s="79"/>
      <c r="AF493" s="80"/>
      <c r="AG493" s="81"/>
      <c r="AH493" s="78"/>
      <c r="AI493" s="118"/>
      <c r="AJ493" s="73"/>
      <c r="AK493" s="119"/>
      <c r="AL493" s="120"/>
      <c r="AM493" s="121"/>
      <c r="AN493" s="152"/>
      <c r="AO493" s="152"/>
      <c r="AP493" s="152"/>
      <c r="AQ493" s="105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/>
      <c r="B494" s="73"/>
      <c r="C494" s="73"/>
      <c r="D494" s="74"/>
      <c r="E494" s="79"/>
      <c r="F494" s="80"/>
      <c r="G494" s="81"/>
      <c r="H494" s="78"/>
      <c r="I494" s="118"/>
      <c r="J494" s="73"/>
      <c r="K494" s="122"/>
      <c r="L494" s="259"/>
      <c r="M494" s="121"/>
      <c r="N494" s="73"/>
      <c r="O494" s="73"/>
      <c r="P494" s="73"/>
      <c r="Q494" s="74"/>
      <c r="R494" s="79"/>
      <c r="S494" s="80"/>
      <c r="T494" s="81"/>
      <c r="U494" s="82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73"/>
      <c r="AP494" s="73"/>
      <c r="AQ494" s="74"/>
      <c r="AR494" s="79"/>
      <c r="AS494" s="80"/>
      <c r="AT494" s="81"/>
      <c r="AU494" s="78"/>
      <c r="AV494" s="158"/>
      <c r="AW494" s="152"/>
      <c r="AX494" s="122"/>
      <c r="AY494" s="120"/>
      <c r="AZ494" s="121"/>
    </row>
    <row r="495" ht="24" customHeight="1" spans="1:52">
      <c r="A495" s="73"/>
      <c r="B495" s="73"/>
      <c r="C495" s="73"/>
      <c r="D495" s="74"/>
      <c r="E495" s="79"/>
      <c r="F495" s="80"/>
      <c r="G495" s="81"/>
      <c r="H495" s="78"/>
      <c r="I495" s="118"/>
      <c r="J495" s="73"/>
      <c r="K495" s="122"/>
      <c r="L495" s="259"/>
      <c r="M495" s="121"/>
      <c r="N495" s="73"/>
      <c r="O495" s="73"/>
      <c r="P495" s="73"/>
      <c r="Q495" s="74"/>
      <c r="R495" s="79"/>
      <c r="S495" s="80"/>
      <c r="T495" s="81"/>
      <c r="U495" s="78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130"/>
      <c r="AI495" s="118"/>
      <c r="AJ495" s="73"/>
      <c r="AK495" s="119"/>
      <c r="AL495" s="120"/>
      <c r="AM495" s="121"/>
      <c r="AN495" s="152"/>
      <c r="AO495" s="152"/>
      <c r="AP495" s="152"/>
      <c r="AQ495" s="105"/>
      <c r="AR495" s="106"/>
      <c r="AS495" s="107"/>
      <c r="AT495" s="108"/>
      <c r="AU495" s="89"/>
      <c r="AV495" s="158"/>
      <c r="AW495" s="152"/>
      <c r="AX495" s="122"/>
      <c r="AY495" s="120"/>
      <c r="AZ495" s="121"/>
    </row>
    <row r="496" spans="1:52">
      <c r="A496" s="73"/>
      <c r="B496" s="73"/>
      <c r="C496" s="73"/>
      <c r="D496" s="74"/>
      <c r="E496" s="79"/>
      <c r="F496" s="80"/>
      <c r="G496" s="81"/>
      <c r="H496" s="78"/>
      <c r="I496" s="118"/>
      <c r="J496" s="73"/>
      <c r="K496" s="122"/>
      <c r="L496" s="259"/>
      <c r="M496" s="121"/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89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/>
      <c r="B497" s="73"/>
      <c r="C497" s="73"/>
      <c r="D497" s="74"/>
      <c r="E497" s="79"/>
      <c r="F497" s="80"/>
      <c r="G497" s="81"/>
      <c r="H497" s="78"/>
      <c r="I497" s="118"/>
      <c r="J497" s="73"/>
      <c r="K497" s="122"/>
      <c r="L497" s="259"/>
      <c r="M497" s="121"/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22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229"/>
      <c r="AV497" s="158"/>
      <c r="AW497" s="152"/>
      <c r="AX497" s="122"/>
      <c r="AY497" s="120"/>
      <c r="AZ497" s="121"/>
    </row>
    <row r="498" spans="1:52">
      <c r="A498" s="73"/>
      <c r="B498" s="73"/>
      <c r="C498" s="73"/>
      <c r="D498" s="74"/>
      <c r="E498" s="79"/>
      <c r="F498" s="80"/>
      <c r="G498" s="81"/>
      <c r="H498" s="78"/>
      <c r="I498" s="118"/>
      <c r="J498" s="73"/>
      <c r="K498" s="122"/>
      <c r="L498" s="259"/>
      <c r="M498" s="121"/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/>
      <c r="B499" s="73"/>
      <c r="C499" s="73"/>
      <c r="D499" s="74"/>
      <c r="E499" s="79"/>
      <c r="F499" s="80"/>
      <c r="G499" s="81"/>
      <c r="H499" s="89"/>
      <c r="I499" s="118"/>
      <c r="J499" s="73"/>
      <c r="K499" s="122"/>
      <c r="L499" s="259"/>
      <c r="M499" s="121"/>
      <c r="N499" s="73"/>
      <c r="O499" s="73"/>
      <c r="P499" s="73"/>
      <c r="Q499" s="74"/>
      <c r="R499" s="79"/>
      <c r="S499" s="80"/>
      <c r="T499" s="81"/>
      <c r="U499" s="229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73"/>
      <c r="AP499" s="73"/>
      <c r="AQ499" s="74"/>
      <c r="AR499" s="79"/>
      <c r="AS499" s="80"/>
      <c r="AT499" s="81"/>
      <c r="AU499" s="264"/>
      <c r="AV499" s="158"/>
      <c r="AW499" s="152"/>
      <c r="AX499" s="122"/>
      <c r="AY499" s="120"/>
      <c r="AZ499" s="121"/>
    </row>
    <row r="500" spans="1:52">
      <c r="A500" s="73"/>
      <c r="B500" s="73"/>
      <c r="C500" s="73"/>
      <c r="D500" s="74"/>
      <c r="E500" s="79"/>
      <c r="F500" s="80"/>
      <c r="G500" s="81"/>
      <c r="H500" s="89"/>
      <c r="I500" s="118"/>
      <c r="J500" s="73"/>
      <c r="K500" s="122"/>
      <c r="L500" s="259"/>
      <c r="M500" s="121"/>
      <c r="N500" s="73"/>
      <c r="O500" s="73"/>
      <c r="P500" s="73"/>
      <c r="Q500" s="74"/>
      <c r="R500" s="79"/>
      <c r="S500" s="80"/>
      <c r="T500" s="81"/>
      <c r="U500" s="8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/>
      <c r="B501" s="73"/>
      <c r="C501" s="73"/>
      <c r="D501" s="74"/>
      <c r="E501" s="79"/>
      <c r="F501" s="80"/>
      <c r="G501" s="81"/>
      <c r="H501" s="78"/>
      <c r="I501" s="118"/>
      <c r="J501" s="73"/>
      <c r="K501" s="122"/>
      <c r="L501" s="259"/>
      <c r="M501" s="121"/>
      <c r="N501" s="73"/>
      <c r="O501" s="73"/>
      <c r="P501" s="73"/>
      <c r="Q501" s="74"/>
      <c r="R501" s="79"/>
      <c r="S501" s="80"/>
      <c r="T501" s="81"/>
      <c r="U501" s="78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89"/>
      <c r="AI501" s="118"/>
      <c r="AJ501" s="73"/>
      <c r="AK501" s="119"/>
      <c r="AL501" s="120"/>
      <c r="AM501" s="121"/>
      <c r="AN501" s="152"/>
      <c r="AO501" s="152"/>
      <c r="AP501" s="152"/>
      <c r="AQ501" s="105"/>
      <c r="AR501" s="106"/>
      <c r="AS501" s="107"/>
      <c r="AT501" s="108"/>
      <c r="AU501" s="89"/>
      <c r="AV501" s="158"/>
      <c r="AW501" s="152"/>
      <c r="AX501" s="122"/>
      <c r="AY501" s="120"/>
      <c r="AZ501" s="121"/>
    </row>
    <row r="502" spans="1:52">
      <c r="A502" s="73"/>
      <c r="B502" s="73"/>
      <c r="C502" s="73"/>
      <c r="D502" s="74"/>
      <c r="E502" s="79"/>
      <c r="F502" s="80"/>
      <c r="G502" s="81"/>
      <c r="H502" s="78"/>
      <c r="I502" s="118"/>
      <c r="J502" s="73"/>
      <c r="K502" s="122"/>
      <c r="L502" s="259"/>
      <c r="M502" s="121"/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/>
      <c r="B503" s="73"/>
      <c r="C503" s="73"/>
      <c r="D503" s="74"/>
      <c r="E503" s="79"/>
      <c r="F503" s="80"/>
      <c r="G503" s="81"/>
      <c r="H503" s="78"/>
      <c r="I503" s="118"/>
      <c r="J503" s="73"/>
      <c r="K503" s="122"/>
      <c r="L503" s="259"/>
      <c r="M503" s="121"/>
      <c r="N503" s="73"/>
      <c r="O503" s="73"/>
      <c r="P503" s="73"/>
      <c r="Q503" s="74"/>
      <c r="R503" s="79"/>
      <c r="S503" s="80"/>
      <c r="T503" s="81"/>
      <c r="U503" s="89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/>
      <c r="B504" s="73"/>
      <c r="C504" s="73"/>
      <c r="D504" s="74"/>
      <c r="E504" s="79"/>
      <c r="F504" s="80"/>
      <c r="G504" s="81"/>
      <c r="H504" s="130"/>
      <c r="I504" s="118"/>
      <c r="J504" s="73"/>
      <c r="K504" s="122"/>
      <c r="L504" s="259"/>
      <c r="M504" s="121"/>
      <c r="N504" s="73"/>
      <c r="O504" s="73"/>
      <c r="P504" s="73"/>
      <c r="Q504" s="74"/>
      <c r="R504" s="79"/>
      <c r="S504" s="80"/>
      <c r="T504" s="81"/>
      <c r="U504" s="130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/>
      <c r="B505" s="73"/>
      <c r="C505" s="73"/>
      <c r="D505" s="74"/>
      <c r="E505" s="79"/>
      <c r="F505" s="80"/>
      <c r="G505" s="81"/>
      <c r="H505" s="78"/>
      <c r="I505" s="118"/>
      <c r="J505" s="73"/>
      <c r="K505" s="122"/>
      <c r="L505" s="259"/>
      <c r="M505" s="121"/>
      <c r="N505" s="73"/>
      <c r="O505" s="73"/>
      <c r="P505" s="73"/>
      <c r="Q505" s="74"/>
      <c r="R505" s="79"/>
      <c r="S505" s="80"/>
      <c r="T505" s="81"/>
      <c r="U505" s="89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/>
      <c r="B506" s="73"/>
      <c r="C506" s="73"/>
      <c r="D506" s="74"/>
      <c r="E506" s="79"/>
      <c r="F506" s="80"/>
      <c r="G506" s="81"/>
      <c r="H506" s="78"/>
      <c r="I506" s="118"/>
      <c r="J506" s="73"/>
      <c r="K506" s="122"/>
      <c r="L506" s="259"/>
      <c r="M506" s="121"/>
      <c r="N506" s="73"/>
      <c r="O506" s="73"/>
      <c r="P506" s="73"/>
      <c r="Q506" s="74"/>
      <c r="R506" s="79"/>
      <c r="S506" s="80"/>
      <c r="T506" s="81"/>
      <c r="U506" s="78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/>
      <c r="B507" s="73"/>
      <c r="C507" s="73"/>
      <c r="D507" s="74"/>
      <c r="E507" s="79"/>
      <c r="F507" s="80"/>
      <c r="G507" s="81"/>
      <c r="H507" s="78"/>
      <c r="I507" s="118"/>
      <c r="J507" s="73"/>
      <c r="K507" s="122"/>
      <c r="L507" s="259"/>
      <c r="M507" s="121"/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/>
      <c r="B508" s="73"/>
      <c r="C508" s="73"/>
      <c r="D508" s="74"/>
      <c r="E508" s="79"/>
      <c r="F508" s="80"/>
      <c r="G508" s="81"/>
      <c r="H508" s="78"/>
      <c r="I508" s="118"/>
      <c r="J508" s="73"/>
      <c r="K508" s="122"/>
      <c r="L508" s="259"/>
      <c r="M508" s="121"/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78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/>
      <c r="B509" s="73"/>
      <c r="C509" s="73"/>
      <c r="D509" s="74"/>
      <c r="E509" s="79"/>
      <c r="F509" s="80"/>
      <c r="G509" s="81"/>
      <c r="H509" s="78"/>
      <c r="I509" s="118"/>
      <c r="J509" s="73"/>
      <c r="K509" s="122"/>
      <c r="L509" s="259"/>
      <c r="M509" s="121"/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89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/>
      <c r="B510" s="73"/>
      <c r="C510" s="73"/>
      <c r="D510" s="74"/>
      <c r="E510" s="79"/>
      <c r="F510" s="80"/>
      <c r="G510" s="81"/>
      <c r="H510" s="89"/>
      <c r="I510" s="118"/>
      <c r="J510" s="73"/>
      <c r="K510" s="122"/>
      <c r="L510" s="120"/>
      <c r="M510" s="121"/>
      <c r="N510" s="73"/>
      <c r="O510" s="73"/>
      <c r="P510" s="73"/>
      <c r="Q510" s="74"/>
      <c r="R510" s="79"/>
      <c r="S510" s="80"/>
      <c r="T510" s="81"/>
      <c r="U510" s="89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/>
      <c r="B511" s="73"/>
      <c r="C511" s="73"/>
      <c r="D511" s="74"/>
      <c r="E511" s="79"/>
      <c r="F511" s="80"/>
      <c r="G511" s="81"/>
      <c r="H511" s="78"/>
      <c r="I511" s="118"/>
      <c r="J511" s="73"/>
      <c r="K511" s="122"/>
      <c r="L511" s="120"/>
      <c r="M511" s="121"/>
      <c r="N511" s="73"/>
      <c r="O511" s="73"/>
      <c r="P511" s="73"/>
      <c r="Q511" s="74"/>
      <c r="R511" s="79"/>
      <c r="S511" s="80"/>
      <c r="T511" s="81"/>
      <c r="U511" s="89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/>
      <c r="B512" s="73"/>
      <c r="C512" s="73"/>
      <c r="D512" s="74"/>
      <c r="E512" s="79"/>
      <c r="F512" s="80"/>
      <c r="G512" s="81"/>
      <c r="H512" s="89"/>
      <c r="I512" s="118"/>
      <c r="J512" s="73"/>
      <c r="K512" s="122"/>
      <c r="L512" s="120"/>
      <c r="M512" s="121"/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/>
      <c r="B513" s="73"/>
      <c r="C513" s="73"/>
      <c r="D513" s="74"/>
      <c r="E513" s="79"/>
      <c r="F513" s="80"/>
      <c r="G513" s="81"/>
      <c r="H513" s="78"/>
      <c r="I513" s="118"/>
      <c r="J513" s="73"/>
      <c r="K513" s="122"/>
      <c r="L513" s="120"/>
      <c r="M513" s="121"/>
      <c r="N513" s="73"/>
      <c r="O513" s="73"/>
      <c r="P513" s="73"/>
      <c r="Q513" s="74"/>
      <c r="R513" s="79"/>
      <c r="S513" s="80"/>
      <c r="T513" s="81"/>
      <c r="U513" s="78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78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/>
      <c r="B514" s="73"/>
      <c r="C514" s="73"/>
      <c r="D514" s="74"/>
      <c r="E514" s="79"/>
      <c r="F514" s="80"/>
      <c r="G514" s="81"/>
      <c r="H514" s="78"/>
      <c r="I514" s="118"/>
      <c r="J514" s="73"/>
      <c r="K514" s="122"/>
      <c r="L514" s="120"/>
      <c r="M514" s="121"/>
      <c r="N514" s="73"/>
      <c r="O514" s="73"/>
      <c r="P514" s="73"/>
      <c r="Q514" s="74"/>
      <c r="R514" s="79"/>
      <c r="S514" s="80"/>
      <c r="T514" s="81"/>
      <c r="U514" s="78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78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/>
      <c r="B515" s="73"/>
      <c r="C515" s="73"/>
      <c r="D515" s="74"/>
      <c r="E515" s="79"/>
      <c r="F515" s="80"/>
      <c r="G515" s="81"/>
      <c r="H515" s="89"/>
      <c r="I515" s="118"/>
      <c r="J515" s="73"/>
      <c r="K515" s="122"/>
      <c r="L515" s="120"/>
      <c r="M515" s="121"/>
      <c r="N515" s="73"/>
      <c r="O515" s="73"/>
      <c r="P515" s="73"/>
      <c r="Q515" s="74"/>
      <c r="R515" s="79"/>
      <c r="S515" s="80"/>
      <c r="T515" s="81"/>
      <c r="U515" s="130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89"/>
      <c r="AI515" s="118"/>
      <c r="AJ515" s="73"/>
      <c r="AK515" s="119"/>
      <c r="AL515" s="120"/>
      <c r="AM515" s="121"/>
      <c r="AN515" s="152"/>
      <c r="AO515" s="73"/>
      <c r="AP515" s="73"/>
      <c r="AQ515" s="74"/>
      <c r="AR515" s="79"/>
      <c r="AS515" s="80"/>
      <c r="AT515" s="81"/>
      <c r="AU515" s="89"/>
      <c r="AV515" s="158"/>
      <c r="AW515" s="152"/>
      <c r="AX515" s="122"/>
      <c r="AY515" s="120"/>
      <c r="AZ515" s="121"/>
    </row>
    <row r="516" spans="1:52">
      <c r="A516" s="73"/>
      <c r="B516" s="73"/>
      <c r="C516" s="73"/>
      <c r="D516" s="74"/>
      <c r="E516" s="79"/>
      <c r="F516" s="80"/>
      <c r="G516" s="81"/>
      <c r="H516" s="78"/>
      <c r="I516" s="118"/>
      <c r="J516" s="73"/>
      <c r="K516" s="122"/>
      <c r="L516" s="120"/>
      <c r="M516" s="121"/>
      <c r="N516" s="73"/>
      <c r="O516" s="73"/>
      <c r="P516" s="73"/>
      <c r="Q516" s="74"/>
      <c r="R516" s="79"/>
      <c r="S516" s="80"/>
      <c r="T516" s="81"/>
      <c r="U516" s="89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89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/>
      <c r="B517" s="73"/>
      <c r="C517" s="73"/>
      <c r="D517" s="74"/>
      <c r="E517" s="79"/>
      <c r="F517" s="80"/>
      <c r="G517" s="81"/>
      <c r="H517" s="89"/>
      <c r="I517" s="118"/>
      <c r="J517" s="73"/>
      <c r="K517" s="122"/>
      <c r="L517" s="120"/>
      <c r="M517" s="121"/>
      <c r="N517" s="73"/>
      <c r="O517" s="73"/>
      <c r="P517" s="73"/>
      <c r="Q517" s="74"/>
      <c r="R517" s="79"/>
      <c r="S517" s="80"/>
      <c r="T517" s="81"/>
      <c r="U517" s="89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152"/>
      <c r="AP517" s="152"/>
      <c r="AQ517" s="105"/>
      <c r="AR517" s="106"/>
      <c r="AS517" s="107"/>
      <c r="AT517" s="108"/>
      <c r="AU517" s="89"/>
      <c r="AV517" s="158"/>
      <c r="AW517" s="152"/>
      <c r="AX517" s="122"/>
      <c r="AY517" s="120"/>
      <c r="AZ517" s="121"/>
    </row>
    <row r="518" spans="1:52">
      <c r="A518" s="73"/>
      <c r="B518" s="73"/>
      <c r="C518" s="73"/>
      <c r="D518" s="74"/>
      <c r="E518" s="79"/>
      <c r="F518" s="80"/>
      <c r="G518" s="81"/>
      <c r="H518" s="265"/>
      <c r="I518" s="118"/>
      <c r="J518" s="73"/>
      <c r="K518" s="122"/>
      <c r="L518" s="120"/>
      <c r="M518" s="121"/>
      <c r="N518" s="73"/>
      <c r="O518" s="73"/>
      <c r="P518" s="73"/>
      <c r="Q518" s="74"/>
      <c r="R518" s="79"/>
      <c r="S518" s="80"/>
      <c r="T518" s="81"/>
      <c r="U518" s="130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130"/>
      <c r="AI518" s="118"/>
      <c r="AJ518" s="73"/>
      <c r="AK518" s="119"/>
      <c r="AL518" s="120"/>
      <c r="AM518" s="121"/>
      <c r="AN518" s="152"/>
      <c r="AO518" s="73"/>
      <c r="AP518" s="73"/>
      <c r="AQ518" s="74"/>
      <c r="AR518" s="79"/>
      <c r="AS518" s="80"/>
      <c r="AT518" s="81"/>
      <c r="AU518" s="204"/>
      <c r="AV518" s="158"/>
      <c r="AW518" s="152"/>
      <c r="AX518" s="122"/>
      <c r="AY518" s="120"/>
      <c r="AZ518" s="121"/>
    </row>
    <row r="519" spans="1:52">
      <c r="A519" s="73"/>
      <c r="B519" s="73"/>
      <c r="C519" s="73"/>
      <c r="D519" s="74"/>
      <c r="E519" s="79"/>
      <c r="F519" s="80"/>
      <c r="G519" s="81"/>
      <c r="H519" s="265"/>
      <c r="I519" s="118"/>
      <c r="J519" s="73"/>
      <c r="K519" s="122"/>
      <c r="L519" s="120"/>
      <c r="M519" s="121"/>
      <c r="N519" s="73"/>
      <c r="O519" s="73"/>
      <c r="P519" s="73"/>
      <c r="Q519" s="74"/>
      <c r="R519" s="79"/>
      <c r="S519" s="80"/>
      <c r="T519" s="81"/>
      <c r="U519" s="130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130"/>
      <c r="AI519" s="118"/>
      <c r="AJ519" s="73"/>
      <c r="AK519" s="119"/>
      <c r="AL519" s="120"/>
      <c r="AM519" s="121"/>
      <c r="AN519" s="152"/>
      <c r="AO519" s="73"/>
      <c r="AP519" s="73"/>
      <c r="AQ519" s="74"/>
      <c r="AR519" s="79"/>
      <c r="AS519" s="80"/>
      <c r="AT519" s="81"/>
      <c r="AU519" s="204"/>
      <c r="AV519" s="158"/>
      <c r="AW519" s="152"/>
      <c r="AX519" s="122"/>
      <c r="AY519" s="120"/>
      <c r="AZ519" s="121"/>
    </row>
    <row r="520" spans="1:52">
      <c r="A520" s="73"/>
      <c r="B520" s="73"/>
      <c r="C520" s="73"/>
      <c r="D520" s="74"/>
      <c r="E520" s="79"/>
      <c r="F520" s="80"/>
      <c r="G520" s="81"/>
      <c r="H520" s="265"/>
      <c r="I520" s="118"/>
      <c r="J520" s="73"/>
      <c r="K520" s="122"/>
      <c r="L520" s="120"/>
      <c r="M520" s="121"/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82"/>
      <c r="AV520" s="158"/>
      <c r="AW520" s="152"/>
      <c r="AX520" s="122"/>
      <c r="AY520" s="120"/>
      <c r="AZ520" s="121"/>
    </row>
    <row r="521" spans="1:52">
      <c r="A521" s="73"/>
      <c r="B521" s="73"/>
      <c r="C521" s="73"/>
      <c r="D521" s="74"/>
      <c r="E521" s="79"/>
      <c r="F521" s="80"/>
      <c r="G521" s="81"/>
      <c r="H521" s="130"/>
      <c r="I521" s="118"/>
      <c r="J521" s="73"/>
      <c r="K521" s="122"/>
      <c r="L521" s="120"/>
      <c r="M521" s="121"/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82"/>
      <c r="AV521" s="158"/>
      <c r="AW521" s="152"/>
      <c r="AX521" s="122"/>
      <c r="AY521" s="120"/>
      <c r="AZ521" s="121"/>
    </row>
    <row r="522" spans="1:52">
      <c r="A522" s="73"/>
      <c r="B522" s="73"/>
      <c r="C522" s="73"/>
      <c r="D522" s="74"/>
      <c r="E522" s="79"/>
      <c r="F522" s="80"/>
      <c r="G522" s="81"/>
      <c r="H522" s="130"/>
      <c r="I522" s="118"/>
      <c r="J522" s="73"/>
      <c r="K522" s="122"/>
      <c r="L522" s="120"/>
      <c r="M522" s="121"/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89"/>
      <c r="AI522" s="118"/>
      <c r="AJ522" s="73"/>
      <c r="AK522" s="119"/>
      <c r="AL522" s="120"/>
      <c r="AM522" s="121"/>
      <c r="AN522" s="152"/>
      <c r="AO522" s="152"/>
      <c r="AP522" s="152"/>
      <c r="AQ522" s="105"/>
      <c r="AR522" s="106"/>
      <c r="AS522" s="107"/>
      <c r="AT522" s="108"/>
      <c r="AU522" s="89"/>
      <c r="AV522" s="158"/>
      <c r="AW522" s="152"/>
      <c r="AX522" s="122"/>
      <c r="AY522" s="120"/>
      <c r="AZ522" s="121"/>
    </row>
    <row r="523" spans="1:52">
      <c r="A523" s="73"/>
      <c r="B523" s="73"/>
      <c r="C523" s="73"/>
      <c r="D523" s="74"/>
      <c r="E523" s="79"/>
      <c r="F523" s="80"/>
      <c r="G523" s="81"/>
      <c r="H523" s="130"/>
      <c r="I523" s="118"/>
      <c r="J523" s="73"/>
      <c r="K523" s="122"/>
      <c r="L523" s="120"/>
      <c r="M523" s="121"/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/>
      <c r="B524" s="73"/>
      <c r="C524" s="73"/>
      <c r="D524" s="74"/>
      <c r="E524" s="79"/>
      <c r="F524" s="80"/>
      <c r="G524" s="81"/>
      <c r="H524" s="78"/>
      <c r="I524" s="118"/>
      <c r="J524" s="73"/>
      <c r="K524" s="122"/>
      <c r="L524" s="120"/>
      <c r="M524" s="121"/>
      <c r="N524" s="73"/>
      <c r="O524" s="73"/>
      <c r="P524" s="73"/>
      <c r="Q524" s="74"/>
      <c r="R524" s="79"/>
      <c r="S524" s="80"/>
      <c r="T524" s="81"/>
      <c r="U524" s="78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78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/>
      <c r="B525" s="73"/>
      <c r="C525" s="73"/>
      <c r="D525" s="74"/>
      <c r="E525" s="79"/>
      <c r="F525" s="80"/>
      <c r="G525" s="81"/>
      <c r="H525" s="78"/>
      <c r="I525" s="118"/>
      <c r="J525" s="73"/>
      <c r="K525" s="122"/>
      <c r="L525" s="120"/>
      <c r="M525" s="121"/>
      <c r="N525" s="73"/>
      <c r="O525" s="73"/>
      <c r="P525" s="73"/>
      <c r="Q525" s="74"/>
      <c r="R525" s="79"/>
      <c r="S525" s="80"/>
      <c r="T525" s="81"/>
      <c r="U525" s="78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78"/>
      <c r="AI525" s="118"/>
      <c r="AJ525" s="73"/>
      <c r="AK525" s="119"/>
      <c r="AL525" s="120"/>
      <c r="AM525" s="121"/>
      <c r="AN525" s="152"/>
      <c r="AO525" s="152"/>
      <c r="AP525" s="152"/>
      <c r="AQ525" s="105"/>
      <c r="AR525" s="106"/>
      <c r="AS525" s="107"/>
      <c r="AT525" s="108"/>
      <c r="AU525" s="89"/>
      <c r="AV525" s="158"/>
      <c r="AW525" s="152"/>
      <c r="AX525" s="122"/>
      <c r="AY525" s="120"/>
      <c r="AZ525" s="121"/>
    </row>
    <row r="526" spans="1:52">
      <c r="A526" s="73"/>
      <c r="B526" s="73"/>
      <c r="C526" s="73"/>
      <c r="D526" s="74"/>
      <c r="E526" s="79"/>
      <c r="F526" s="80"/>
      <c r="G526" s="81"/>
      <c r="H526" s="78"/>
      <c r="I526" s="118"/>
      <c r="J526" s="73"/>
      <c r="K526" s="122"/>
      <c r="L526" s="120"/>
      <c r="M526" s="121"/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73"/>
      <c r="AP526" s="73"/>
      <c r="AQ526" s="74"/>
      <c r="AR526" s="79"/>
      <c r="AS526" s="80"/>
      <c r="AT526" s="81"/>
      <c r="AU526" s="89"/>
      <c r="AV526" s="158"/>
      <c r="AW526" s="152"/>
      <c r="AX526" s="122"/>
      <c r="AY526" s="120"/>
      <c r="AZ526" s="121"/>
    </row>
    <row r="527" spans="1:52">
      <c r="A527" s="73"/>
      <c r="B527" s="73"/>
      <c r="C527" s="73"/>
      <c r="D527" s="74"/>
      <c r="E527" s="79"/>
      <c r="F527" s="80"/>
      <c r="G527" s="81"/>
      <c r="H527" s="78"/>
      <c r="I527" s="118"/>
      <c r="J527" s="73"/>
      <c r="K527" s="122"/>
      <c r="L527" s="120"/>
      <c r="M527" s="121"/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89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/>
      <c r="B528" s="73"/>
      <c r="C528" s="73"/>
      <c r="D528" s="74"/>
      <c r="E528" s="79"/>
      <c r="F528" s="80"/>
      <c r="G528" s="81"/>
      <c r="H528" s="78"/>
      <c r="I528" s="118"/>
      <c r="J528" s="73"/>
      <c r="K528" s="122"/>
      <c r="L528" s="120"/>
      <c r="M528" s="121"/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130"/>
      <c r="AI528" s="118"/>
      <c r="AJ528" s="73"/>
      <c r="AK528" s="119"/>
      <c r="AL528" s="120"/>
      <c r="AM528" s="121"/>
      <c r="AN528" s="152"/>
      <c r="AO528" s="152"/>
      <c r="AP528" s="152"/>
      <c r="AQ528" s="105"/>
      <c r="AR528" s="106"/>
      <c r="AS528" s="107"/>
      <c r="AT528" s="108"/>
      <c r="AU528" s="89"/>
      <c r="AV528" s="158"/>
      <c r="AW528" s="152"/>
      <c r="AX528" s="122"/>
      <c r="AY528" s="120"/>
      <c r="AZ528" s="121"/>
    </row>
    <row r="529" spans="1:52">
      <c r="A529" s="73"/>
      <c r="B529" s="73"/>
      <c r="C529" s="73"/>
      <c r="D529" s="74"/>
      <c r="E529" s="79"/>
      <c r="F529" s="80"/>
      <c r="G529" s="81"/>
      <c r="H529" s="78"/>
      <c r="I529" s="118"/>
      <c r="J529" s="73"/>
      <c r="K529" s="122"/>
      <c r="L529" s="120"/>
      <c r="M529" s="121"/>
      <c r="N529" s="73"/>
      <c r="O529" s="73"/>
      <c r="P529" s="73"/>
      <c r="Q529" s="74"/>
      <c r="R529" s="79"/>
      <c r="S529" s="80"/>
      <c r="T529" s="81"/>
      <c r="U529" s="89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/>
      <c r="B530" s="73"/>
      <c r="C530" s="73"/>
      <c r="D530" s="74"/>
      <c r="E530" s="79"/>
      <c r="F530" s="80"/>
      <c r="G530" s="81"/>
      <c r="H530" s="130"/>
      <c r="I530" s="118"/>
      <c r="J530" s="73"/>
      <c r="K530" s="122"/>
      <c r="L530" s="120"/>
      <c r="M530" s="121"/>
      <c r="N530" s="73"/>
      <c r="O530" s="73"/>
      <c r="P530" s="73"/>
      <c r="Q530" s="74"/>
      <c r="R530" s="79"/>
      <c r="S530" s="80"/>
      <c r="T530" s="81"/>
      <c r="U530" s="130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89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/>
      <c r="B531" s="73"/>
      <c r="C531" s="73"/>
      <c r="D531" s="74"/>
      <c r="E531" s="79"/>
      <c r="F531" s="80"/>
      <c r="G531" s="81"/>
      <c r="H531" s="130"/>
      <c r="I531" s="118"/>
      <c r="J531" s="73"/>
      <c r="K531" s="122"/>
      <c r="L531" s="120"/>
      <c r="M531" s="121"/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/>
      <c r="B532" s="73"/>
      <c r="C532" s="73"/>
      <c r="D532" s="74"/>
      <c r="E532" s="79"/>
      <c r="F532" s="80"/>
      <c r="G532" s="81"/>
      <c r="H532" s="130"/>
      <c r="I532" s="118"/>
      <c r="J532" s="73"/>
      <c r="K532" s="122"/>
      <c r="L532" s="120"/>
      <c r="M532" s="121"/>
      <c r="N532" s="73"/>
      <c r="O532" s="73"/>
      <c r="P532" s="73"/>
      <c r="Q532" s="74"/>
      <c r="R532" s="79"/>
      <c r="S532" s="80"/>
      <c r="T532" s="81"/>
      <c r="U532" s="89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2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/>
      <c r="B533" s="73"/>
      <c r="C533" s="73"/>
      <c r="D533" s="74"/>
      <c r="E533" s="79"/>
      <c r="F533" s="80"/>
      <c r="G533" s="81"/>
      <c r="H533" s="78"/>
      <c r="I533" s="118"/>
      <c r="J533" s="73"/>
      <c r="K533" s="122"/>
      <c r="L533" s="120"/>
      <c r="M533" s="121"/>
      <c r="N533" s="73"/>
      <c r="O533" s="73"/>
      <c r="P533" s="73"/>
      <c r="Q533" s="74"/>
      <c r="R533" s="79"/>
      <c r="S533" s="80"/>
      <c r="T533" s="81"/>
      <c r="U533" s="78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/>
      <c r="B534" s="73"/>
      <c r="C534" s="73"/>
      <c r="D534" s="74"/>
      <c r="E534" s="79"/>
      <c r="F534" s="80"/>
      <c r="G534" s="81"/>
      <c r="H534" s="78"/>
      <c r="I534" s="118"/>
      <c r="J534" s="73"/>
      <c r="K534" s="122"/>
      <c r="L534" s="120"/>
      <c r="M534" s="121"/>
      <c r="N534" s="73"/>
      <c r="O534" s="73"/>
      <c r="P534" s="73"/>
      <c r="Q534" s="74"/>
      <c r="R534" s="79"/>
      <c r="S534" s="80"/>
      <c r="T534" s="81"/>
      <c r="U534" s="78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9"/>
      <c r="AI534" s="118"/>
      <c r="AJ534" s="73"/>
      <c r="AK534" s="119"/>
      <c r="AL534" s="120"/>
      <c r="AM534" s="121"/>
      <c r="AN534" s="152"/>
      <c r="AO534" s="73"/>
      <c r="AP534" s="73"/>
      <c r="AQ534" s="74"/>
      <c r="AR534" s="79"/>
      <c r="AS534" s="80"/>
      <c r="AT534" s="81"/>
      <c r="AU534" s="89"/>
      <c r="AV534" s="158"/>
      <c r="AW534" s="152"/>
      <c r="AX534" s="122"/>
      <c r="AY534" s="120"/>
      <c r="AZ534" s="121"/>
    </row>
    <row r="535" spans="1:52">
      <c r="A535" s="73"/>
      <c r="B535" s="73"/>
      <c r="C535" s="73"/>
      <c r="D535" s="74"/>
      <c r="E535" s="79"/>
      <c r="F535" s="80"/>
      <c r="G535" s="81"/>
      <c r="H535" s="78"/>
      <c r="I535" s="118"/>
      <c r="J535" s="73"/>
      <c r="K535" s="122"/>
      <c r="L535" s="120"/>
      <c r="M535" s="121"/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/>
      <c r="B536" s="73"/>
      <c r="C536" s="73"/>
      <c r="D536" s="74"/>
      <c r="E536" s="79"/>
      <c r="F536" s="80"/>
      <c r="G536" s="81"/>
      <c r="H536" s="78"/>
      <c r="I536" s="118"/>
      <c r="J536" s="73"/>
      <c r="K536" s="122"/>
      <c r="L536" s="120"/>
      <c r="M536" s="121"/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152"/>
      <c r="AP536" s="152"/>
      <c r="AQ536" s="105"/>
      <c r="AR536" s="106"/>
      <c r="AS536" s="107"/>
      <c r="AT536" s="108"/>
      <c r="AU536" s="89"/>
      <c r="AV536" s="158"/>
      <c r="AW536" s="152"/>
      <c r="AX536" s="122"/>
      <c r="AY536" s="120"/>
      <c r="AZ536" s="121"/>
    </row>
    <row r="537" spans="1:52">
      <c r="A537" s="73"/>
      <c r="B537" s="73"/>
      <c r="C537" s="73"/>
      <c r="D537" s="74"/>
      <c r="E537" s="79"/>
      <c r="F537" s="80"/>
      <c r="G537" s="81"/>
      <c r="H537" s="78"/>
      <c r="I537" s="118"/>
      <c r="J537" s="73"/>
      <c r="K537" s="122"/>
      <c r="L537" s="120"/>
      <c r="M537" s="121"/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/>
      <c r="B538" s="73"/>
      <c r="C538" s="73"/>
      <c r="D538" s="74"/>
      <c r="E538" s="79"/>
      <c r="F538" s="80"/>
      <c r="G538" s="81"/>
      <c r="H538" s="78"/>
      <c r="I538" s="118"/>
      <c r="J538" s="73"/>
      <c r="K538" s="122"/>
      <c r="L538" s="120"/>
      <c r="M538" s="121"/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78"/>
      <c r="AI538" s="118"/>
      <c r="AJ538" s="73"/>
      <c r="AK538" s="119"/>
      <c r="AL538" s="120"/>
      <c r="AM538" s="121"/>
      <c r="AN538" s="152"/>
      <c r="AO538" s="73"/>
      <c r="AP538" s="73"/>
      <c r="AQ538" s="74"/>
      <c r="AR538" s="79"/>
      <c r="AS538" s="80"/>
      <c r="AT538" s="81"/>
      <c r="AU538" s="89"/>
      <c r="AV538" s="158"/>
      <c r="AW538" s="152"/>
      <c r="AX538" s="122"/>
      <c r="AY538" s="120"/>
      <c r="AZ538" s="121"/>
    </row>
    <row r="539" spans="1:52">
      <c r="A539" s="73"/>
      <c r="B539" s="73"/>
      <c r="C539" s="73"/>
      <c r="D539" s="74"/>
      <c r="E539" s="79"/>
      <c r="F539" s="80"/>
      <c r="G539" s="81"/>
      <c r="H539" s="78"/>
      <c r="I539" s="118"/>
      <c r="J539" s="73"/>
      <c r="K539" s="122"/>
      <c r="L539" s="120"/>
      <c r="M539" s="121"/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/>
      <c r="B540" s="73"/>
      <c r="C540" s="73"/>
      <c r="D540" s="74"/>
      <c r="E540" s="79"/>
      <c r="F540" s="80"/>
      <c r="G540" s="81"/>
      <c r="H540" s="78"/>
      <c r="I540" s="118"/>
      <c r="J540" s="73"/>
      <c r="K540" s="122"/>
      <c r="L540" s="120"/>
      <c r="M540" s="121"/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/>
      <c r="B541" s="73"/>
      <c r="C541" s="73"/>
      <c r="D541" s="74"/>
      <c r="E541" s="79"/>
      <c r="F541" s="80"/>
      <c r="G541" s="81"/>
      <c r="H541" s="78"/>
      <c r="I541" s="118"/>
      <c r="J541" s="73"/>
      <c r="K541" s="122"/>
      <c r="L541" s="120"/>
      <c r="M541" s="121"/>
      <c r="N541" s="73"/>
      <c r="O541" s="73"/>
      <c r="P541" s="73"/>
      <c r="Q541" s="74"/>
      <c r="R541" s="79"/>
      <c r="S541" s="80"/>
      <c r="T541" s="81"/>
      <c r="U541" s="89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73"/>
      <c r="AP541" s="73"/>
      <c r="AQ541" s="74"/>
      <c r="AR541" s="79"/>
      <c r="AS541" s="80"/>
      <c r="AT541" s="81"/>
      <c r="AU541" s="89"/>
      <c r="AV541" s="158"/>
      <c r="AW541" s="152"/>
      <c r="AX541" s="122"/>
      <c r="AY541" s="120"/>
      <c r="AZ541" s="121"/>
    </row>
    <row r="542" spans="1:52">
      <c r="A542" s="73"/>
      <c r="B542" s="73"/>
      <c r="C542" s="73"/>
      <c r="D542" s="74"/>
      <c r="E542" s="79"/>
      <c r="F542" s="80"/>
      <c r="G542" s="81"/>
      <c r="H542" s="78"/>
      <c r="I542" s="118"/>
      <c r="J542" s="73"/>
      <c r="K542" s="122"/>
      <c r="L542" s="120"/>
      <c r="M542" s="121"/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89"/>
      <c r="AI542" s="118"/>
      <c r="AJ542" s="73"/>
      <c r="AK542" s="119"/>
      <c r="AL542" s="120"/>
      <c r="AM542" s="121"/>
      <c r="AN542" s="152"/>
      <c r="AO542" s="152"/>
      <c r="AP542" s="152"/>
      <c r="AQ542" s="105"/>
      <c r="AR542" s="106"/>
      <c r="AS542" s="107"/>
      <c r="AT542" s="108"/>
      <c r="AU542" s="89"/>
      <c r="AV542" s="158"/>
      <c r="AW542" s="152"/>
      <c r="AX542" s="122"/>
      <c r="AY542" s="120"/>
      <c r="AZ542" s="121"/>
    </row>
    <row r="543" spans="1:52">
      <c r="A543" s="73"/>
      <c r="B543" s="73"/>
      <c r="C543" s="73"/>
      <c r="D543" s="74"/>
      <c r="E543" s="79"/>
      <c r="F543" s="80"/>
      <c r="G543" s="81"/>
      <c r="H543" s="78"/>
      <c r="I543" s="118"/>
      <c r="J543" s="73"/>
      <c r="K543" s="122"/>
      <c r="L543" s="120"/>
      <c r="M543" s="121"/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152"/>
      <c r="AP543" s="152"/>
      <c r="AQ543" s="105"/>
      <c r="AR543" s="106"/>
      <c r="AS543" s="107"/>
      <c r="AT543" s="108"/>
      <c r="AU543" s="89"/>
      <c r="AV543" s="158"/>
      <c r="AW543" s="152"/>
      <c r="AX543" s="122"/>
      <c r="AY543" s="120"/>
      <c r="AZ543" s="121"/>
    </row>
    <row r="544" spans="1:52">
      <c r="A544" s="73"/>
      <c r="B544" s="73"/>
      <c r="C544" s="73"/>
      <c r="D544" s="74"/>
      <c r="E544" s="79"/>
      <c r="F544" s="80"/>
      <c r="G544" s="81"/>
      <c r="H544" s="78"/>
      <c r="I544" s="118"/>
      <c r="J544" s="73"/>
      <c r="K544" s="122"/>
      <c r="L544" s="120"/>
      <c r="M544" s="121"/>
      <c r="N544" s="73"/>
      <c r="O544" s="73"/>
      <c r="P544" s="73"/>
      <c r="Q544" s="74"/>
      <c r="R544" s="79"/>
      <c r="S544" s="80"/>
      <c r="T544" s="81"/>
      <c r="U544" s="89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/>
      <c r="B545" s="73"/>
      <c r="C545" s="73"/>
      <c r="D545" s="74"/>
      <c r="E545" s="79"/>
      <c r="F545" s="80"/>
      <c r="G545" s="81"/>
      <c r="H545" s="78"/>
      <c r="I545" s="118"/>
      <c r="J545" s="73"/>
      <c r="K545" s="122"/>
      <c r="L545" s="120"/>
      <c r="M545" s="121"/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/>
      <c r="B546" s="73"/>
      <c r="C546" s="73"/>
      <c r="D546" s="74"/>
      <c r="E546" s="79"/>
      <c r="F546" s="80"/>
      <c r="G546" s="81"/>
      <c r="H546" s="78"/>
      <c r="I546" s="118"/>
      <c r="J546" s="73"/>
      <c r="K546" s="122"/>
      <c r="L546" s="120"/>
      <c r="M546" s="121"/>
      <c r="N546" s="73"/>
      <c r="O546" s="73"/>
      <c r="P546" s="73"/>
      <c r="Q546" s="74"/>
      <c r="R546" s="79"/>
      <c r="S546" s="80"/>
      <c r="T546" s="81"/>
      <c r="U546" s="78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78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/>
      <c r="B547" s="73"/>
      <c r="C547" s="73"/>
      <c r="D547" s="74"/>
      <c r="E547" s="79"/>
      <c r="F547" s="80"/>
      <c r="G547" s="81"/>
      <c r="H547" s="78"/>
      <c r="I547" s="118"/>
      <c r="J547" s="73"/>
      <c r="K547" s="122"/>
      <c r="L547" s="120"/>
      <c r="M547" s="121"/>
      <c r="N547" s="73"/>
      <c r="O547" s="73"/>
      <c r="P547" s="73"/>
      <c r="Q547" s="74"/>
      <c r="R547" s="79"/>
      <c r="S547" s="80"/>
      <c r="T547" s="81"/>
      <c r="U547" s="78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78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/>
      <c r="B548" s="73"/>
      <c r="C548" s="73"/>
      <c r="D548" s="74"/>
      <c r="E548" s="79"/>
      <c r="F548" s="80"/>
      <c r="G548" s="81"/>
      <c r="H548" s="89"/>
      <c r="I548" s="118"/>
      <c r="J548" s="73"/>
      <c r="K548" s="122"/>
      <c r="L548" s="120"/>
      <c r="M548" s="121"/>
      <c r="N548" s="73"/>
      <c r="O548" s="73"/>
      <c r="P548" s="73"/>
      <c r="Q548" s="74"/>
      <c r="R548" s="79"/>
      <c r="S548" s="80"/>
      <c r="T548" s="81"/>
      <c r="U548" s="130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130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/>
      <c r="B549" s="73"/>
      <c r="C549" s="73"/>
      <c r="D549" s="74"/>
      <c r="E549" s="79"/>
      <c r="F549" s="80"/>
      <c r="G549" s="81"/>
      <c r="H549" s="89"/>
      <c r="I549" s="118"/>
      <c r="J549" s="73"/>
      <c r="K549" s="122"/>
      <c r="L549" s="120"/>
      <c r="M549" s="121"/>
      <c r="N549" s="73"/>
      <c r="O549" s="73"/>
      <c r="P549" s="73"/>
      <c r="Q549" s="74"/>
      <c r="R549" s="79"/>
      <c r="S549" s="80"/>
      <c r="T549" s="81"/>
      <c r="U549" s="89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89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/>
      <c r="B550" s="73"/>
      <c r="C550" s="73"/>
      <c r="D550" s="74"/>
      <c r="E550" s="79"/>
      <c r="F550" s="80"/>
      <c r="G550" s="81"/>
      <c r="H550" s="89"/>
      <c r="I550" s="118"/>
      <c r="J550" s="73"/>
      <c r="K550" s="122"/>
      <c r="L550" s="120"/>
      <c r="M550" s="121"/>
      <c r="N550" s="73"/>
      <c r="O550" s="73"/>
      <c r="P550" s="73"/>
      <c r="Q550" s="74"/>
      <c r="R550" s="79"/>
      <c r="S550" s="80"/>
      <c r="T550" s="81"/>
      <c r="U550" s="89"/>
      <c r="V550" s="118"/>
      <c r="W550" s="73"/>
      <c r="X550" s="119"/>
      <c r="Y550" s="120"/>
      <c r="Z550" s="121"/>
      <c r="AA550" s="73"/>
      <c r="AB550" s="266"/>
      <c r="AC550" s="73"/>
      <c r="AD550" s="74"/>
      <c r="AE550" s="79"/>
      <c r="AF550" s="80"/>
      <c r="AG550" s="81"/>
      <c r="AH550" s="89"/>
      <c r="AI550" s="118"/>
      <c r="AJ550" s="73"/>
      <c r="AK550" s="119"/>
      <c r="AL550" s="120"/>
      <c r="AM550" s="121"/>
      <c r="AN550" s="152"/>
      <c r="AO550" s="266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/>
      <c r="B551" s="73"/>
      <c r="C551" s="73"/>
      <c r="D551" s="74"/>
      <c r="E551" s="79"/>
      <c r="F551" s="80"/>
      <c r="G551" s="81"/>
      <c r="H551" s="89"/>
      <c r="I551" s="118"/>
      <c r="J551" s="73"/>
      <c r="K551" s="122"/>
      <c r="L551" s="120"/>
      <c r="M551" s="121"/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266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266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/>
      <c r="B552" s="73"/>
      <c r="C552" s="73"/>
      <c r="D552" s="74"/>
      <c r="E552" s="79"/>
      <c r="F552" s="80"/>
      <c r="G552" s="81"/>
      <c r="H552" s="89"/>
      <c r="I552" s="118"/>
      <c r="J552" s="73"/>
      <c r="K552" s="122"/>
      <c r="L552" s="120"/>
      <c r="M552" s="121"/>
      <c r="N552" s="73"/>
      <c r="O552" s="73"/>
      <c r="P552" s="73"/>
      <c r="Q552" s="74"/>
      <c r="R552" s="79"/>
      <c r="S552" s="80"/>
      <c r="T552" s="81"/>
      <c r="U552" s="147"/>
      <c r="V552" s="118"/>
      <c r="W552" s="73"/>
      <c r="X552" s="119"/>
      <c r="Y552" s="120"/>
      <c r="Z552" s="121"/>
      <c r="AA552" s="73"/>
      <c r="AB552" s="73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152"/>
      <c r="AP552" s="152"/>
      <c r="AQ552" s="105"/>
      <c r="AR552" s="106"/>
      <c r="AS552" s="107"/>
      <c r="AT552" s="108"/>
      <c r="AU552" s="147"/>
      <c r="AV552" s="158"/>
      <c r="AW552" s="152"/>
      <c r="AX552" s="122"/>
      <c r="AY552" s="120"/>
      <c r="AZ552" s="121"/>
    </row>
    <row r="553" spans="1:52">
      <c r="A553" s="73"/>
      <c r="B553" s="73"/>
      <c r="C553" s="73"/>
      <c r="D553" s="74"/>
      <c r="E553" s="79"/>
      <c r="F553" s="80"/>
      <c r="G553" s="81"/>
      <c r="H553" s="78"/>
      <c r="I553" s="118"/>
      <c r="J553" s="73"/>
      <c r="K553" s="122"/>
      <c r="L553" s="120"/>
      <c r="M553" s="121"/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73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73"/>
      <c r="AP553" s="73"/>
      <c r="AQ553" s="74"/>
      <c r="AR553" s="79"/>
      <c r="AS553" s="80"/>
      <c r="AT553" s="81"/>
      <c r="AU553" s="82"/>
      <c r="AV553" s="158"/>
      <c r="AW553" s="152"/>
      <c r="AX553" s="122"/>
      <c r="AY553" s="120"/>
      <c r="AZ553" s="121"/>
    </row>
    <row r="554" spans="1:52">
      <c r="A554" s="73"/>
      <c r="B554" s="73"/>
      <c r="C554" s="73"/>
      <c r="D554" s="74"/>
      <c r="E554" s="79"/>
      <c r="F554" s="80"/>
      <c r="G554" s="81"/>
      <c r="H554" s="78"/>
      <c r="I554" s="118"/>
      <c r="J554" s="73"/>
      <c r="K554" s="122"/>
      <c r="L554" s="120"/>
      <c r="M554" s="121"/>
      <c r="N554" s="73"/>
      <c r="O554" s="73"/>
      <c r="P554" s="73"/>
      <c r="Q554" s="74"/>
      <c r="R554" s="79"/>
      <c r="S554" s="80"/>
      <c r="T554" s="81"/>
      <c r="U554" s="78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78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89"/>
      <c r="AV554" s="158"/>
      <c r="AW554" s="152"/>
      <c r="AX554" s="122"/>
      <c r="AY554" s="120"/>
      <c r="AZ554" s="121"/>
    </row>
    <row r="555" spans="1:52">
      <c r="A555" s="73"/>
      <c r="B555" s="73"/>
      <c r="C555" s="73"/>
      <c r="D555" s="74"/>
      <c r="E555" s="79"/>
      <c r="F555" s="80"/>
      <c r="G555" s="81"/>
      <c r="H555" s="78"/>
      <c r="I555" s="118"/>
      <c r="J555" s="73"/>
      <c r="K555" s="122"/>
      <c r="L555" s="120"/>
      <c r="M555" s="121"/>
      <c r="N555" s="73"/>
      <c r="O555" s="73"/>
      <c r="P555" s="73"/>
      <c r="Q555" s="74"/>
      <c r="R555" s="79"/>
      <c r="S555" s="80"/>
      <c r="T555" s="81"/>
      <c r="U555" s="78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152"/>
      <c r="AP555" s="152"/>
      <c r="AQ555" s="105"/>
      <c r="AR555" s="106"/>
      <c r="AS555" s="107"/>
      <c r="AT555" s="108"/>
      <c r="AU555" s="89"/>
      <c r="AV555" s="158"/>
      <c r="AW555" s="152"/>
      <c r="AX555" s="122"/>
      <c r="AY555" s="120"/>
      <c r="AZ555" s="121"/>
    </row>
    <row r="556" spans="1:52">
      <c r="A556" s="73"/>
      <c r="B556" s="73"/>
      <c r="C556" s="73"/>
      <c r="D556" s="74"/>
      <c r="E556" s="79"/>
      <c r="F556" s="80"/>
      <c r="G556" s="81"/>
      <c r="H556" s="78"/>
      <c r="I556" s="118"/>
      <c r="J556" s="73"/>
      <c r="K556" s="122"/>
      <c r="L556" s="120"/>
      <c r="M556" s="121"/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/>
      <c r="B557" s="73"/>
      <c r="C557" s="73"/>
      <c r="D557" s="74"/>
      <c r="E557" s="79"/>
      <c r="F557" s="80"/>
      <c r="G557" s="81"/>
      <c r="H557" s="78"/>
      <c r="I557" s="118"/>
      <c r="J557" s="73"/>
      <c r="K557" s="122"/>
      <c r="L557" s="120"/>
      <c r="M557" s="121"/>
      <c r="N557" s="73"/>
      <c r="O557" s="73"/>
      <c r="P557" s="73"/>
      <c r="Q557" s="74"/>
      <c r="R557" s="79"/>
      <c r="S557" s="80"/>
      <c r="T557" s="81"/>
      <c r="U557" s="89"/>
      <c r="V557" s="118"/>
      <c r="W557" s="73"/>
      <c r="X557" s="119"/>
      <c r="Y557" s="120"/>
      <c r="Z557" s="121"/>
      <c r="AA557" s="73"/>
      <c r="AB557" s="73"/>
      <c r="AC557" s="73"/>
      <c r="AD557" s="79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6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/>
      <c r="B558" s="73"/>
      <c r="C558" s="73"/>
      <c r="D558" s="74"/>
      <c r="E558" s="79"/>
      <c r="F558" s="80"/>
      <c r="G558" s="81"/>
      <c r="H558" s="130"/>
      <c r="I558" s="118"/>
      <c r="J558" s="73"/>
      <c r="K558" s="122"/>
      <c r="L558" s="120"/>
      <c r="M558" s="121"/>
      <c r="N558" s="73"/>
      <c r="O558" s="73"/>
      <c r="P558" s="73"/>
      <c r="Q558" s="74"/>
      <c r="R558" s="79"/>
      <c r="S558" s="80"/>
      <c r="T558" s="81"/>
      <c r="U558" s="130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89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/>
      <c r="B559" s="73"/>
      <c r="C559" s="73"/>
      <c r="D559" s="74"/>
      <c r="E559" s="79"/>
      <c r="F559" s="80"/>
      <c r="G559" s="81"/>
      <c r="H559" s="130"/>
      <c r="I559" s="118"/>
      <c r="J559" s="73"/>
      <c r="K559" s="122"/>
      <c r="L559" s="120"/>
      <c r="M559" s="121"/>
      <c r="N559" s="73"/>
      <c r="O559" s="73"/>
      <c r="P559" s="73"/>
      <c r="Q559" s="74"/>
      <c r="R559" s="79"/>
      <c r="S559" s="80"/>
      <c r="T559" s="81"/>
      <c r="U559" s="130"/>
      <c r="V559" s="118"/>
      <c r="W559" s="73"/>
      <c r="X559" s="119"/>
      <c r="Y559" s="120"/>
      <c r="Z559" s="121"/>
      <c r="AA559" s="73"/>
      <c r="AB559" s="73"/>
      <c r="AC559" s="73"/>
      <c r="AD559" s="74"/>
      <c r="AE559" s="79"/>
      <c r="AF559" s="80"/>
      <c r="AG559" s="81"/>
      <c r="AH559" s="130"/>
      <c r="AI559" s="118"/>
      <c r="AJ559" s="73"/>
      <c r="AK559" s="119"/>
      <c r="AL559" s="120"/>
      <c r="AM559" s="121"/>
      <c r="AN559" s="152"/>
      <c r="AO559" s="73"/>
      <c r="AP559" s="73"/>
      <c r="AQ559" s="74"/>
      <c r="AR559" s="79"/>
      <c r="AS559" s="80"/>
      <c r="AT559" s="81"/>
      <c r="AU559" s="89"/>
      <c r="AV559" s="158"/>
      <c r="AW559" s="152"/>
      <c r="AX559" s="122"/>
      <c r="AY559" s="120"/>
      <c r="AZ559" s="121"/>
    </row>
    <row r="560" ht="24" customHeight="1" spans="1:52">
      <c r="A560" s="73"/>
      <c r="B560" s="73"/>
      <c r="C560" s="73"/>
      <c r="D560" s="74"/>
      <c r="E560" s="79"/>
      <c r="F560" s="80"/>
      <c r="G560" s="81"/>
      <c r="H560" s="78"/>
      <c r="I560" s="118"/>
      <c r="J560" s="73"/>
      <c r="K560" s="122"/>
      <c r="L560" s="120"/>
      <c r="M560" s="121"/>
      <c r="N560" s="73"/>
      <c r="O560" s="73"/>
      <c r="P560" s="73"/>
      <c r="Q560" s="74"/>
      <c r="R560" s="79"/>
      <c r="S560" s="80"/>
      <c r="T560" s="81"/>
      <c r="U560" s="78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/>
      <c r="B561" s="73"/>
      <c r="C561" s="73"/>
      <c r="D561" s="74"/>
      <c r="E561" s="79"/>
      <c r="F561" s="80"/>
      <c r="G561" s="81"/>
      <c r="H561" s="78"/>
      <c r="I561" s="118"/>
      <c r="J561" s="73"/>
      <c r="K561" s="122"/>
      <c r="L561" s="120"/>
      <c r="M561" s="121"/>
      <c r="N561" s="73"/>
      <c r="O561" s="73"/>
      <c r="P561" s="73"/>
      <c r="Q561" s="74"/>
      <c r="R561" s="79"/>
      <c r="S561" s="80"/>
      <c r="T561" s="81"/>
      <c r="U561" s="78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89"/>
      <c r="AI561" s="118"/>
      <c r="AJ561" s="73"/>
      <c r="AK561" s="119"/>
      <c r="AL561" s="120"/>
      <c r="AM561" s="121"/>
      <c r="AN561" s="152"/>
      <c r="AO561" s="152"/>
      <c r="AP561" s="152"/>
      <c r="AQ561" s="105"/>
      <c r="AR561" s="106"/>
      <c r="AS561" s="107"/>
      <c r="AT561" s="108"/>
      <c r="AU561" s="89"/>
      <c r="AV561" s="158"/>
      <c r="AW561" s="152"/>
      <c r="AX561" s="122"/>
      <c r="AY561" s="120"/>
      <c r="AZ561" s="121"/>
    </row>
    <row r="562" spans="1:52">
      <c r="A562" s="73"/>
      <c r="B562" s="73"/>
      <c r="C562" s="73"/>
      <c r="D562" s="74"/>
      <c r="E562" s="79"/>
      <c r="F562" s="80"/>
      <c r="G562" s="81"/>
      <c r="H562" s="130"/>
      <c r="I562" s="118"/>
      <c r="J562" s="73"/>
      <c r="K562" s="122"/>
      <c r="L562" s="120"/>
      <c r="M562" s="121"/>
      <c r="N562" s="73"/>
      <c r="O562" s="73"/>
      <c r="P562" s="73"/>
      <c r="Q562" s="74"/>
      <c r="R562" s="79"/>
      <c r="S562" s="80"/>
      <c r="T562" s="81"/>
      <c r="U562" s="130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130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/>
      <c r="B563" s="73"/>
      <c r="C563" s="73"/>
      <c r="D563" s="74"/>
      <c r="E563" s="79"/>
      <c r="F563" s="80"/>
      <c r="G563" s="81"/>
      <c r="H563" s="130"/>
      <c r="I563" s="118"/>
      <c r="J563" s="73"/>
      <c r="K563" s="122"/>
      <c r="L563" s="120"/>
      <c r="M563" s="121"/>
      <c r="N563" s="73"/>
      <c r="O563" s="73"/>
      <c r="P563" s="73"/>
      <c r="Q563" s="74"/>
      <c r="R563" s="79"/>
      <c r="S563" s="80"/>
      <c r="T563" s="81"/>
      <c r="U563" s="89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73"/>
      <c r="AP563" s="73"/>
      <c r="AQ563" s="74"/>
      <c r="AR563" s="79"/>
      <c r="AS563" s="80"/>
      <c r="AT563" s="81"/>
      <c r="AU563" s="82"/>
      <c r="AV563" s="158"/>
      <c r="AW563" s="152"/>
      <c r="AX563" s="122"/>
      <c r="AY563" s="120"/>
      <c r="AZ563" s="121"/>
    </row>
    <row r="564" spans="1:52">
      <c r="A564" s="73"/>
      <c r="B564" s="73"/>
      <c r="C564" s="73"/>
      <c r="D564" s="74"/>
      <c r="E564" s="79"/>
      <c r="F564" s="80"/>
      <c r="G564" s="81"/>
      <c r="H564" s="89"/>
      <c r="I564" s="118"/>
      <c r="J564" s="73"/>
      <c r="K564" s="122"/>
      <c r="L564" s="120"/>
      <c r="M564" s="121"/>
      <c r="N564" s="73"/>
      <c r="O564" s="73"/>
      <c r="P564" s="73"/>
      <c r="Q564" s="74"/>
      <c r="R564" s="79"/>
      <c r="S564" s="80"/>
      <c r="T564" s="81"/>
      <c r="U564" s="82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89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/>
      <c r="B565" s="73"/>
      <c r="C565" s="73"/>
      <c r="D565" s="74"/>
      <c r="E565" s="79"/>
      <c r="F565" s="80"/>
      <c r="G565" s="81"/>
      <c r="H565" s="89"/>
      <c r="I565" s="118"/>
      <c r="J565" s="73"/>
      <c r="K565" s="122"/>
      <c r="L565" s="120"/>
      <c r="M565" s="121"/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152"/>
      <c r="AP565" s="152"/>
      <c r="AQ565" s="105"/>
      <c r="AR565" s="106"/>
      <c r="AS565" s="107"/>
      <c r="AT565" s="108"/>
      <c r="AU565" s="89"/>
      <c r="AV565" s="158"/>
      <c r="AW565" s="152"/>
      <c r="AX565" s="122"/>
      <c r="AY565" s="120"/>
      <c r="AZ565" s="121"/>
    </row>
    <row r="566" spans="1:52">
      <c r="A566" s="73"/>
      <c r="B566" s="73"/>
      <c r="C566" s="73"/>
      <c r="D566" s="74"/>
      <c r="E566" s="79"/>
      <c r="F566" s="80"/>
      <c r="G566" s="81"/>
      <c r="H566" s="89"/>
      <c r="I566" s="118"/>
      <c r="J566" s="73"/>
      <c r="K566" s="122"/>
      <c r="L566" s="120"/>
      <c r="M566" s="121"/>
      <c r="N566" s="73"/>
      <c r="O566" s="73"/>
      <c r="P566" s="73"/>
      <c r="Q566" s="74"/>
      <c r="R566" s="79"/>
      <c r="S566" s="80"/>
      <c r="T566" s="81"/>
      <c r="U566" s="130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130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130"/>
      <c r="AV566" s="158"/>
      <c r="AW566" s="152"/>
      <c r="AX566" s="122"/>
      <c r="AY566" s="120"/>
      <c r="AZ566" s="121"/>
    </row>
    <row r="567" spans="1:52">
      <c r="A567" s="73"/>
      <c r="B567" s="73"/>
      <c r="C567" s="73"/>
      <c r="D567" s="74"/>
      <c r="E567" s="79"/>
      <c r="F567" s="80"/>
      <c r="G567" s="81"/>
      <c r="H567" s="89"/>
      <c r="I567" s="118"/>
      <c r="J567" s="73"/>
      <c r="K567" s="122"/>
      <c r="L567" s="120"/>
      <c r="M567" s="121"/>
      <c r="N567" s="73"/>
      <c r="O567" s="73"/>
      <c r="P567" s="73"/>
      <c r="Q567" s="74"/>
      <c r="R567" s="79"/>
      <c r="S567" s="80"/>
      <c r="T567" s="81"/>
      <c r="U567" s="130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/>
      <c r="B568" s="73"/>
      <c r="C568" s="73"/>
      <c r="D568" s="74"/>
      <c r="E568" s="79"/>
      <c r="F568" s="80"/>
      <c r="G568" s="81"/>
      <c r="H568" s="89"/>
      <c r="I568" s="118"/>
      <c r="J568" s="73"/>
      <c r="K568" s="122"/>
      <c r="L568" s="120"/>
      <c r="M568" s="121"/>
      <c r="N568" s="73"/>
      <c r="O568" s="73"/>
      <c r="P568" s="73"/>
      <c r="Q568" s="74"/>
      <c r="R568" s="79"/>
      <c r="S568" s="80"/>
      <c r="T568" s="81"/>
      <c r="U568" s="89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89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89"/>
      <c r="AV568" s="158"/>
      <c r="AW568" s="152"/>
      <c r="AX568" s="122"/>
      <c r="AY568" s="120"/>
      <c r="AZ568" s="121"/>
    </row>
    <row r="569" spans="1:52">
      <c r="A569" s="73"/>
      <c r="B569" s="73"/>
      <c r="C569" s="73"/>
      <c r="D569" s="74"/>
      <c r="E569" s="79"/>
      <c r="F569" s="80"/>
      <c r="G569" s="81"/>
      <c r="H569" s="89"/>
      <c r="I569" s="118"/>
      <c r="J569" s="73"/>
      <c r="K569" s="122"/>
      <c r="L569" s="120"/>
      <c r="M569" s="121"/>
      <c r="N569" s="73"/>
      <c r="O569" s="73"/>
      <c r="P569" s="73"/>
      <c r="Q569" s="74"/>
      <c r="R569" s="79"/>
      <c r="S569" s="80"/>
      <c r="T569" s="81"/>
      <c r="U569" s="89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/>
      <c r="B570" s="73"/>
      <c r="C570" s="73"/>
      <c r="D570" s="74"/>
      <c r="E570" s="79"/>
      <c r="F570" s="80"/>
      <c r="G570" s="81"/>
      <c r="H570" s="89"/>
      <c r="I570" s="118"/>
      <c r="J570" s="73"/>
      <c r="K570" s="122"/>
      <c r="L570" s="120"/>
      <c r="M570" s="121"/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2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/>
      <c r="B571" s="73"/>
      <c r="C571" s="73"/>
      <c r="D571" s="74"/>
      <c r="E571" s="79"/>
      <c r="F571" s="80"/>
      <c r="G571" s="81"/>
      <c r="H571" s="78"/>
      <c r="I571" s="118"/>
      <c r="J571" s="73"/>
      <c r="K571" s="122"/>
      <c r="L571" s="120"/>
      <c r="M571" s="121"/>
      <c r="N571" s="73"/>
      <c r="O571" s="73"/>
      <c r="P571" s="73"/>
      <c r="Q571" s="74"/>
      <c r="R571" s="79"/>
      <c r="S571" s="80"/>
      <c r="T571" s="81"/>
      <c r="U571" s="78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78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/>
      <c r="B572" s="73"/>
      <c r="C572" s="73"/>
      <c r="D572" s="74"/>
      <c r="E572" s="79"/>
      <c r="F572" s="80"/>
      <c r="G572" s="81"/>
      <c r="H572" s="78"/>
      <c r="I572" s="118"/>
      <c r="J572" s="73"/>
      <c r="K572" s="122"/>
      <c r="L572" s="120"/>
      <c r="M572" s="121"/>
      <c r="N572" s="73"/>
      <c r="O572" s="73"/>
      <c r="P572" s="73"/>
      <c r="Q572" s="74"/>
      <c r="R572" s="79"/>
      <c r="S572" s="80"/>
      <c r="T572" s="81"/>
      <c r="U572" s="78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9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/>
      <c r="B573" s="73"/>
      <c r="C573" s="73"/>
      <c r="D573" s="74"/>
      <c r="E573" s="79"/>
      <c r="F573" s="80"/>
      <c r="G573" s="81"/>
      <c r="H573" s="89"/>
      <c r="I573" s="118"/>
      <c r="J573" s="73"/>
      <c r="K573" s="122"/>
      <c r="L573" s="120"/>
      <c r="M573" s="121"/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89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/>
      <c r="B574" s="73"/>
      <c r="C574" s="73"/>
      <c r="D574" s="74"/>
      <c r="E574" s="79"/>
      <c r="F574" s="80"/>
      <c r="G574" s="81"/>
      <c r="H574" s="89"/>
      <c r="I574" s="118"/>
      <c r="J574" s="73"/>
      <c r="K574" s="122"/>
      <c r="L574" s="120"/>
      <c r="M574" s="121"/>
      <c r="N574" s="73"/>
      <c r="O574" s="73"/>
      <c r="P574" s="73"/>
      <c r="Q574" s="74"/>
      <c r="R574" s="79"/>
      <c r="S574" s="80"/>
      <c r="T574" s="81"/>
      <c r="U574" s="89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/>
      <c r="B575" s="73"/>
      <c r="C575" s="73"/>
      <c r="D575" s="74"/>
      <c r="E575" s="79"/>
      <c r="F575" s="80"/>
      <c r="G575" s="81"/>
      <c r="H575" s="89"/>
      <c r="I575" s="118"/>
      <c r="J575" s="73"/>
      <c r="K575" s="122"/>
      <c r="L575" s="120"/>
      <c r="M575" s="121"/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/>
      <c r="B576" s="73"/>
      <c r="C576" s="73"/>
      <c r="D576" s="74"/>
      <c r="E576" s="79"/>
      <c r="F576" s="80"/>
      <c r="G576" s="81"/>
      <c r="H576" s="89"/>
      <c r="I576" s="118"/>
      <c r="J576" s="73"/>
      <c r="K576" s="122"/>
      <c r="L576" s="120"/>
      <c r="M576" s="121"/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73"/>
      <c r="AP576" s="73"/>
      <c r="AQ576" s="74"/>
      <c r="AR576" s="79"/>
      <c r="AS576" s="80"/>
      <c r="AT576" s="81"/>
      <c r="AU576" s="89"/>
      <c r="AV576" s="158"/>
      <c r="AW576" s="152"/>
      <c r="AX576" s="122"/>
      <c r="AY576" s="120"/>
      <c r="AZ576" s="121"/>
    </row>
    <row r="577" spans="1:52">
      <c r="A577" s="73"/>
      <c r="B577" s="73"/>
      <c r="C577" s="73"/>
      <c r="D577" s="74"/>
      <c r="E577" s="79"/>
      <c r="F577" s="80"/>
      <c r="G577" s="81"/>
      <c r="H577" s="89"/>
      <c r="I577" s="118"/>
      <c r="J577" s="73"/>
      <c r="K577" s="122"/>
      <c r="L577" s="120"/>
      <c r="M577" s="121"/>
      <c r="N577" s="73"/>
      <c r="O577" s="73"/>
      <c r="P577" s="73"/>
      <c r="Q577" s="74"/>
      <c r="R577" s="79"/>
      <c r="S577" s="80"/>
      <c r="T577" s="81"/>
      <c r="U577" s="89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/>
      <c r="B578" s="73"/>
      <c r="C578" s="73"/>
      <c r="D578" s="74"/>
      <c r="E578" s="79"/>
      <c r="F578" s="80"/>
      <c r="G578" s="81"/>
      <c r="H578" s="130"/>
      <c r="I578" s="118"/>
      <c r="J578" s="73"/>
      <c r="K578" s="122"/>
      <c r="L578" s="120"/>
      <c r="M578" s="121"/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2"/>
      <c r="AV578" s="158"/>
      <c r="AW578" s="152"/>
      <c r="AX578" s="122"/>
      <c r="AY578" s="120"/>
      <c r="AZ578" s="121"/>
    </row>
    <row r="579" spans="1:52">
      <c r="A579" s="73"/>
      <c r="B579" s="73"/>
      <c r="C579" s="73"/>
      <c r="D579" s="74"/>
      <c r="E579" s="79"/>
      <c r="F579" s="80"/>
      <c r="G579" s="81"/>
      <c r="H579" s="130"/>
      <c r="I579" s="118"/>
      <c r="J579" s="73"/>
      <c r="K579" s="122"/>
      <c r="L579" s="120"/>
      <c r="M579" s="121"/>
      <c r="N579" s="73"/>
      <c r="O579" s="73"/>
      <c r="P579" s="73"/>
      <c r="Q579" s="74"/>
      <c r="R579" s="79"/>
      <c r="S579" s="80"/>
      <c r="T579" s="81"/>
      <c r="U579" s="130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/>
      <c r="B580" s="73"/>
      <c r="C580" s="73"/>
      <c r="D580" s="74"/>
      <c r="E580" s="79"/>
      <c r="F580" s="80"/>
      <c r="G580" s="81"/>
      <c r="H580" s="89"/>
      <c r="I580" s="118"/>
      <c r="J580" s="73"/>
      <c r="K580" s="122"/>
      <c r="L580" s="120"/>
      <c r="M580" s="121"/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9"/>
      <c r="AV580" s="158"/>
      <c r="AW580" s="152"/>
      <c r="AX580" s="122"/>
      <c r="AY580" s="120"/>
      <c r="AZ580" s="121"/>
    </row>
    <row r="581" spans="1:52">
      <c r="A581" s="73"/>
      <c r="B581" s="73"/>
      <c r="C581" s="73"/>
      <c r="D581" s="74"/>
      <c r="E581" s="79"/>
      <c r="F581" s="80"/>
      <c r="G581" s="81"/>
      <c r="H581" s="89"/>
      <c r="I581" s="118"/>
      <c r="J581" s="73"/>
      <c r="K581" s="122"/>
      <c r="L581" s="120"/>
      <c r="M581" s="121"/>
      <c r="N581" s="73"/>
      <c r="O581" s="73"/>
      <c r="P581" s="73"/>
      <c r="Q581" s="74"/>
      <c r="R581" s="79"/>
      <c r="S581" s="80"/>
      <c r="T581" s="81"/>
      <c r="U581" s="89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/>
      <c r="B582" s="73"/>
      <c r="C582" s="73"/>
      <c r="D582" s="74"/>
      <c r="E582" s="79"/>
      <c r="F582" s="80"/>
      <c r="G582" s="81"/>
      <c r="H582" s="89"/>
      <c r="I582" s="118"/>
      <c r="J582" s="73"/>
      <c r="K582" s="122"/>
      <c r="L582" s="120"/>
      <c r="M582" s="121"/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152"/>
      <c r="AP582" s="152"/>
      <c r="AQ582" s="105"/>
      <c r="AR582" s="106"/>
      <c r="AS582" s="107"/>
      <c r="AT582" s="108"/>
      <c r="AU582" s="89"/>
      <c r="AV582" s="158"/>
      <c r="AW582" s="152"/>
      <c r="AX582" s="122"/>
      <c r="AY582" s="120"/>
      <c r="AZ582" s="121"/>
    </row>
    <row r="583" ht="15" customHeight="1" spans="1:52">
      <c r="A583" s="73"/>
      <c r="B583" s="73"/>
      <c r="C583" s="73"/>
      <c r="D583" s="74"/>
      <c r="E583" s="79"/>
      <c r="F583" s="80"/>
      <c r="G583" s="81"/>
      <c r="H583" s="89"/>
      <c r="I583" s="118"/>
      <c r="J583" s="73"/>
      <c r="K583" s="122"/>
      <c r="L583" s="120"/>
      <c r="M583" s="121"/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/>
      <c r="B584" s="73"/>
      <c r="C584" s="73"/>
      <c r="D584" s="74"/>
      <c r="E584" s="79"/>
      <c r="F584" s="80"/>
      <c r="G584" s="81"/>
      <c r="H584" s="89"/>
      <c r="I584" s="118"/>
      <c r="J584" s="73"/>
      <c r="K584" s="122"/>
      <c r="L584" s="120"/>
      <c r="M584" s="121"/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78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spans="1:52">
      <c r="A585" s="73"/>
      <c r="B585" s="73"/>
      <c r="C585" s="73"/>
      <c r="D585" s="74"/>
      <c r="E585" s="79"/>
      <c r="F585" s="80"/>
      <c r="G585" s="81"/>
      <c r="H585" s="89"/>
      <c r="I585" s="118"/>
      <c r="J585" s="73"/>
      <c r="K585" s="122"/>
      <c r="L585" s="120"/>
      <c r="M585" s="121"/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78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/>
      <c r="B586" s="73"/>
      <c r="C586" s="73"/>
      <c r="D586" s="74"/>
      <c r="E586" s="79"/>
      <c r="F586" s="80"/>
      <c r="G586" s="81"/>
      <c r="H586" s="78"/>
      <c r="I586" s="118"/>
      <c r="J586" s="73"/>
      <c r="K586" s="122"/>
      <c r="L586" s="120"/>
      <c r="M586" s="121"/>
      <c r="N586" s="73"/>
      <c r="O586" s="73"/>
      <c r="P586" s="73"/>
      <c r="Q586" s="74"/>
      <c r="R586" s="79"/>
      <c r="S586" s="80"/>
      <c r="T586" s="81"/>
      <c r="U586" s="78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89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/>
      <c r="B587" s="73"/>
      <c r="C587" s="73"/>
      <c r="D587" s="74"/>
      <c r="E587" s="79"/>
      <c r="F587" s="80"/>
      <c r="G587" s="81"/>
      <c r="H587" s="78"/>
      <c r="I587" s="118"/>
      <c r="J587" s="73"/>
      <c r="K587" s="122"/>
      <c r="L587" s="120"/>
      <c r="M587" s="121"/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/>
      <c r="B588" s="73"/>
      <c r="C588" s="73"/>
      <c r="D588" s="74"/>
      <c r="E588" s="79"/>
      <c r="F588" s="80"/>
      <c r="G588" s="81"/>
      <c r="H588" s="78"/>
      <c r="I588" s="118"/>
      <c r="J588" s="73"/>
      <c r="K588" s="122"/>
      <c r="L588" s="120"/>
      <c r="M588" s="121"/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/>
      <c r="B589" s="73"/>
      <c r="C589" s="73"/>
      <c r="D589" s="74"/>
      <c r="E589" s="79"/>
      <c r="F589" s="80"/>
      <c r="G589" s="81"/>
      <c r="H589" s="78"/>
      <c r="I589" s="118"/>
      <c r="J589" s="73"/>
      <c r="K589" s="122"/>
      <c r="L589" s="120"/>
      <c r="M589" s="121"/>
      <c r="N589" s="73"/>
      <c r="O589" s="73"/>
      <c r="P589" s="73"/>
      <c r="Q589" s="74"/>
      <c r="R589" s="79"/>
      <c r="S589" s="80"/>
      <c r="T589" s="81"/>
      <c r="U589" s="78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89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130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130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130"/>
      <c r="AV590" s="158"/>
      <c r="AW590" s="152"/>
      <c r="AX590" s="122"/>
      <c r="AY590" s="120"/>
      <c r="AZ590" s="121"/>
    </row>
    <row r="591" ht="79" customHeight="1" spans="1:52">
      <c r="A591" s="73"/>
      <c r="B591" s="73"/>
      <c r="C591" s="73"/>
      <c r="D591" s="74"/>
      <c r="E591" s="79"/>
      <c r="F591" s="80"/>
      <c r="G591" s="81"/>
      <c r="H591" s="130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130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2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spans="1:52">
      <c r="A592" s="73"/>
      <c r="B592" s="73"/>
      <c r="C592" s="73"/>
      <c r="D592" s="74"/>
      <c r="E592" s="79"/>
      <c r="F592" s="80"/>
      <c r="G592" s="81"/>
      <c r="H592" s="130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89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89"/>
      <c r="AV592" s="158"/>
      <c r="AW592" s="152"/>
      <c r="AX592" s="122"/>
      <c r="AY592" s="120"/>
      <c r="AZ592" s="121"/>
    </row>
    <row r="593" ht="22.5" spans="1:52">
      <c r="A593" s="73"/>
      <c r="B593" s="73"/>
      <c r="C593" s="73"/>
      <c r="D593" s="254"/>
      <c r="E593" s="79"/>
      <c r="F593" s="80"/>
      <c r="G593" s="81"/>
      <c r="H593" s="89"/>
      <c r="I593" s="118"/>
      <c r="J593" s="73"/>
      <c r="K593" s="122"/>
      <c r="L593" s="120"/>
      <c r="M593" s="121"/>
      <c r="N593" s="73"/>
      <c r="O593" s="73"/>
      <c r="P593" s="73"/>
      <c r="Q593" s="254"/>
      <c r="R593" s="79"/>
      <c r="S593" s="80"/>
      <c r="T593" s="81"/>
      <c r="U593" s="78"/>
      <c r="V593" s="118"/>
      <c r="W593" s="73"/>
      <c r="X593" s="119"/>
      <c r="Y593" s="120"/>
      <c r="Z593" s="121"/>
      <c r="AA593" s="73"/>
      <c r="AB593" s="73"/>
      <c r="AC593" s="73"/>
      <c r="AD593" s="254"/>
      <c r="AE593" s="79"/>
      <c r="AF593" s="80"/>
      <c r="AG593" s="81"/>
      <c r="AH593" s="89"/>
      <c r="AI593" s="118"/>
      <c r="AJ593" s="73"/>
      <c r="AK593" s="119"/>
      <c r="AL593" s="120"/>
      <c r="AM593" s="121"/>
      <c r="AN593" s="152"/>
      <c r="AO593" s="152"/>
      <c r="AP593" s="152"/>
      <c r="AQ593" s="262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/>
      <c r="B594" s="73"/>
      <c r="C594" s="73"/>
      <c r="D594" s="74"/>
      <c r="E594" s="79"/>
      <c r="F594" s="80"/>
      <c r="G594" s="81"/>
      <c r="H594" s="89"/>
      <c r="I594" s="118"/>
      <c r="J594" s="73"/>
      <c r="K594" s="122"/>
      <c r="L594" s="120"/>
      <c r="M594" s="121"/>
      <c r="N594" s="73"/>
      <c r="O594" s="73"/>
      <c r="P594" s="73"/>
      <c r="Q594" s="74"/>
      <c r="R594" s="79"/>
      <c r="S594" s="80"/>
      <c r="T594" s="81"/>
      <c r="U594" s="89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spans="1:52">
      <c r="A595" s="73"/>
      <c r="B595" s="73"/>
      <c r="C595" s="73"/>
      <c r="D595" s="7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74"/>
      <c r="R595" s="79"/>
      <c r="S595" s="80"/>
      <c r="T595" s="81"/>
      <c r="U595" s="89"/>
      <c r="V595" s="118"/>
      <c r="W595" s="73"/>
      <c r="X595" s="119"/>
      <c r="Y595" s="120"/>
      <c r="Z595" s="121"/>
      <c r="AA595" s="73"/>
      <c r="AB595" s="73"/>
      <c r="AC595" s="73"/>
      <c r="AD595" s="7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105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73"/>
      <c r="AP597" s="73"/>
      <c r="AQ597" s="74"/>
      <c r="AR597" s="79"/>
      <c r="AS597" s="80"/>
      <c r="AT597" s="81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73"/>
      <c r="AP598" s="73"/>
      <c r="AQ598" s="74"/>
      <c r="AR598" s="79"/>
      <c r="AS598" s="80"/>
      <c r="AT598" s="81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152"/>
      <c r="AP599" s="152"/>
      <c r="AQ599" s="105"/>
      <c r="AR599" s="106"/>
      <c r="AS599" s="107"/>
      <c r="AT599" s="108"/>
      <c r="AU599" s="89"/>
      <c r="AV599" s="158"/>
      <c r="AW599" s="152"/>
      <c r="AX599" s="122"/>
      <c r="AY599" s="120"/>
      <c r="AZ599" s="121"/>
    </row>
    <row r="600" ht="24" customHeight="1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ht="22" customHeight="1" spans="1:52">
      <c r="A601" s="73"/>
      <c r="B601" s="73"/>
      <c r="C601" s="73"/>
      <c r="D601" s="74"/>
      <c r="E601" s="79"/>
      <c r="F601" s="80"/>
      <c r="G601" s="81"/>
      <c r="H601" s="147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147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2" customHeight="1" spans="1:52">
      <c r="A602" s="73"/>
      <c r="B602" s="73"/>
      <c r="C602" s="73"/>
      <c r="D602" s="74"/>
      <c r="E602" s="79"/>
      <c r="F602" s="80"/>
      <c r="G602" s="81"/>
      <c r="H602" s="147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152"/>
      <c r="AP602" s="152"/>
      <c r="AQ602" s="105"/>
      <c r="AR602" s="106"/>
      <c r="AS602" s="107"/>
      <c r="AT602" s="108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89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89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82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130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130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89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89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78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78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89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89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78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89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78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78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78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78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89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82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89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78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89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78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ht="21" customHeight="1" spans="1:52">
      <c r="A625" s="73"/>
      <c r="B625" s="73"/>
      <c r="C625" s="73"/>
      <c r="D625" s="74"/>
      <c r="E625" s="79"/>
      <c r="F625" s="80"/>
      <c r="G625" s="81"/>
      <c r="H625" s="89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5" customHeight="1" spans="1:52">
      <c r="A626" s="73"/>
      <c r="B626" s="73"/>
      <c r="C626" s="73"/>
      <c r="D626" s="74"/>
      <c r="E626" s="79"/>
      <c r="F626" s="80"/>
      <c r="G626" s="81"/>
      <c r="H626" s="78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1" customHeight="1" spans="1:52">
      <c r="A627" s="73"/>
      <c r="B627" s="73"/>
      <c r="C627" s="73"/>
      <c r="D627" s="74"/>
      <c r="E627" s="79"/>
      <c r="F627" s="80"/>
      <c r="G627" s="81"/>
      <c r="H627" s="78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4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78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158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158"/>
      <c r="AV628" s="158"/>
      <c r="AW628" s="152"/>
      <c r="AX628" s="122"/>
      <c r="AY628" s="120"/>
      <c r="AZ628" s="121"/>
    </row>
    <row r="629" ht="30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27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7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6" customHeight="1" spans="1:52">
      <c r="A631" s="73"/>
      <c r="B631" s="73"/>
      <c r="C631" s="73"/>
      <c r="D631" s="74"/>
      <c r="E631" s="79"/>
      <c r="F631" s="80"/>
      <c r="G631" s="81"/>
      <c r="H631" s="267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0" customHeight="1" spans="1:52">
      <c r="A632" s="73"/>
      <c r="B632" s="73"/>
      <c r="C632" s="73"/>
      <c r="D632" s="74"/>
      <c r="E632" s="79"/>
      <c r="F632" s="80"/>
      <c r="G632" s="81"/>
      <c r="H632" s="15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15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15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0" customHeight="1" spans="1:52">
      <c r="A633" s="73"/>
      <c r="B633" s="73"/>
      <c r="C633" s="73"/>
      <c r="D633" s="74"/>
      <c r="E633" s="79"/>
      <c r="F633" s="80"/>
      <c r="G633" s="81"/>
      <c r="H633" s="158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15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15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spans="1:52">
      <c r="A635" s="73"/>
      <c r="B635" s="73"/>
      <c r="C635" s="73"/>
      <c r="D635" s="74"/>
      <c r="E635" s="79"/>
      <c r="F635" s="80"/>
      <c r="G635" s="81"/>
      <c r="H635" s="7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89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89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89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26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158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89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89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130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89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89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78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7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78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78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78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78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89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89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89"/>
      <c r="AI644" s="118"/>
      <c r="AJ644" s="73"/>
      <c r="AK644" s="119"/>
      <c r="AL644" s="120"/>
      <c r="AM644" s="121"/>
      <c r="AN644" s="152"/>
      <c r="AO644" s="73"/>
      <c r="AP644" s="73"/>
      <c r="AQ644" s="74"/>
      <c r="AR644" s="79"/>
      <c r="AS644" s="80"/>
      <c r="AT644" s="81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78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89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78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78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78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130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89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ht="53" customHeight="1" spans="1:52">
      <c r="A653" s="73"/>
      <c r="B653" s="73"/>
      <c r="C653" s="73"/>
      <c r="D653" s="74"/>
      <c r="E653" s="79"/>
      <c r="F653" s="80"/>
      <c r="G653" s="81"/>
      <c r="H653" s="130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130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24" customHeight="1" spans="1:52">
      <c r="A654" s="73"/>
      <c r="B654" s="73"/>
      <c r="C654" s="73"/>
      <c r="D654" s="74"/>
      <c r="E654" s="79"/>
      <c r="F654" s="80"/>
      <c r="G654" s="81"/>
      <c r="H654" s="89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/>
      <c r="B655" s="73"/>
      <c r="C655" s="73"/>
      <c r="D655" s="74"/>
      <c r="E655" s="79"/>
      <c r="F655" s="80"/>
      <c r="G655" s="81"/>
      <c r="H655" s="89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spans="1:52">
      <c r="A657" s="73"/>
      <c r="B657" s="73"/>
      <c r="C657" s="73"/>
      <c r="D657" s="74"/>
      <c r="E657" s="79"/>
      <c r="F657" s="80"/>
      <c r="G657" s="81"/>
      <c r="H657" s="78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78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/>
      <c r="B658" s="73"/>
      <c r="C658" s="73"/>
      <c r="D658" s="74"/>
      <c r="E658" s="79"/>
      <c r="F658" s="80"/>
      <c r="G658" s="81"/>
      <c r="H658" s="78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78"/>
      <c r="V660" s="118"/>
      <c r="W660" s="73"/>
      <c r="X660" s="119"/>
      <c r="Y660" s="120"/>
      <c r="Z660" s="121"/>
      <c r="AA660" s="73"/>
      <c r="AB660" s="255"/>
      <c r="AC660" s="73"/>
      <c r="AD660" s="74"/>
      <c r="AE660" s="79"/>
      <c r="AF660" s="80"/>
      <c r="AG660" s="81"/>
      <c r="AH660" s="78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73"/>
      <c r="AP662" s="73"/>
      <c r="AQ662" s="74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89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89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ht="22.5" spans="1:52">
      <c r="A671" s="73"/>
      <c r="B671" s="73"/>
      <c r="C671" s="73"/>
      <c r="D671" s="254"/>
      <c r="E671" s="79"/>
      <c r="F671" s="80"/>
      <c r="G671" s="81"/>
      <c r="H671" s="130"/>
      <c r="I671" s="118"/>
      <c r="J671" s="73"/>
      <c r="K671" s="122"/>
      <c r="L671" s="120"/>
      <c r="M671" s="121"/>
      <c r="N671" s="73"/>
      <c r="O671" s="73"/>
      <c r="P671" s="73"/>
      <c r="Q671" s="254"/>
      <c r="R671" s="79"/>
      <c r="S671" s="80"/>
      <c r="T671" s="81"/>
      <c r="U671" s="130"/>
      <c r="V671" s="118"/>
      <c r="W671" s="73"/>
      <c r="X671" s="119"/>
      <c r="Y671" s="120"/>
      <c r="Z671" s="121"/>
      <c r="AA671" s="73"/>
      <c r="AB671" s="73"/>
      <c r="AC671" s="73"/>
      <c r="AD671" s="254"/>
      <c r="AE671" s="79"/>
      <c r="AF671" s="80"/>
      <c r="AG671" s="81"/>
      <c r="AH671" s="130"/>
      <c r="AI671" s="118"/>
      <c r="AJ671" s="73"/>
      <c r="AK671" s="119"/>
      <c r="AL671" s="120"/>
      <c r="AM671" s="121"/>
      <c r="AN671" s="152"/>
      <c r="AO671" s="73"/>
      <c r="AP671" s="73"/>
      <c r="AQ671" s="254"/>
      <c r="AR671" s="79"/>
      <c r="AS671" s="80"/>
      <c r="AT671" s="81"/>
      <c r="AU671" s="82"/>
      <c r="AV671" s="158"/>
      <c r="AW671" s="152"/>
      <c r="AX671" s="122"/>
      <c r="AY671" s="120"/>
      <c r="AZ671" s="121"/>
    </row>
    <row r="672" spans="1:52">
      <c r="A672" s="73"/>
      <c r="B672" s="73"/>
      <c r="C672" s="73"/>
      <c r="D672" s="74"/>
      <c r="E672" s="79"/>
      <c r="F672" s="80"/>
      <c r="G672" s="81"/>
      <c r="H672" s="78"/>
      <c r="I672" s="118"/>
      <c r="J672" s="73"/>
      <c r="K672" s="122"/>
      <c r="L672" s="120"/>
      <c r="M672" s="121"/>
      <c r="N672" s="73"/>
      <c r="O672" s="73"/>
      <c r="P672" s="73"/>
      <c r="Q672" s="74"/>
      <c r="R672" s="79"/>
      <c r="S672" s="80"/>
      <c r="T672" s="81"/>
      <c r="U672" s="78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spans="1:52">
      <c r="A673" s="73"/>
      <c r="B673" s="73"/>
      <c r="C673" s="73"/>
      <c r="D673" s="74"/>
      <c r="E673" s="79"/>
      <c r="F673" s="80"/>
      <c r="G673" s="81"/>
      <c r="H673" s="89"/>
      <c r="I673" s="118"/>
      <c r="J673" s="73"/>
      <c r="K673" s="122"/>
      <c r="L673" s="120"/>
      <c r="M673" s="121"/>
      <c r="N673" s="73"/>
      <c r="O673" s="73"/>
      <c r="P673" s="73"/>
      <c r="Q673" s="74"/>
      <c r="R673" s="79"/>
      <c r="S673" s="80"/>
      <c r="T673" s="81"/>
      <c r="U673" s="89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89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2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78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24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22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78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130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130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130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130"/>
      <c r="I686" s="118"/>
      <c r="J686" s="73"/>
      <c r="K686" s="122"/>
      <c r="L686" s="120"/>
      <c r="M686" s="121"/>
      <c r="N686" s="73"/>
      <c r="O686" s="73"/>
      <c r="P686" s="73"/>
      <c r="Q686" s="74"/>
      <c r="R686" s="183"/>
      <c r="S686" s="134"/>
      <c r="T686" s="135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89"/>
      <c r="I687" s="118"/>
      <c r="J687" s="73"/>
      <c r="K687" s="122"/>
      <c r="L687" s="120"/>
      <c r="M687" s="121"/>
      <c r="N687" s="73"/>
      <c r="O687" s="73"/>
      <c r="P687" s="73"/>
      <c r="Q687" s="74"/>
      <c r="R687" s="121"/>
      <c r="S687" s="121"/>
      <c r="T687" s="121"/>
      <c r="U687" s="108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78" customHeight="1" spans="1:52">
      <c r="A688" s="73"/>
      <c r="B688" s="73"/>
      <c r="C688" s="73"/>
      <c r="D688" s="74"/>
      <c r="E688" s="79"/>
      <c r="F688" s="80"/>
      <c r="G688" s="81"/>
      <c r="H688" s="130"/>
      <c r="I688" s="118"/>
      <c r="J688" s="73"/>
      <c r="K688" s="122"/>
      <c r="L688" s="120"/>
      <c r="M688" s="121"/>
      <c r="N688" s="73"/>
      <c r="O688" s="73"/>
      <c r="P688" s="73"/>
      <c r="Q688" s="74"/>
      <c r="R688" s="218"/>
      <c r="S688" s="219"/>
      <c r="T688" s="220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218"/>
      <c r="AF688" s="219"/>
      <c r="AG688" s="220"/>
      <c r="AH688" s="82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/>
      <c r="B689" s="73"/>
      <c r="C689" s="73"/>
      <c r="D689" s="74"/>
      <c r="E689" s="79"/>
      <c r="F689" s="80"/>
      <c r="G689" s="81"/>
      <c r="H689" s="130"/>
      <c r="I689" s="118"/>
      <c r="J689" s="73"/>
      <c r="K689" s="122"/>
      <c r="L689" s="120"/>
      <c r="M689" s="121"/>
      <c r="N689" s="73"/>
      <c r="O689" s="73"/>
      <c r="P689" s="73"/>
      <c r="Q689" s="74"/>
      <c r="R689" s="79"/>
      <c r="S689" s="80"/>
      <c r="T689" s="81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78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/>
      <c r="B690" s="73"/>
      <c r="C690" s="73"/>
      <c r="D690" s="74"/>
      <c r="E690" s="79"/>
      <c r="F690" s="80"/>
      <c r="G690" s="81"/>
      <c r="H690" s="78"/>
      <c r="I690" s="118"/>
      <c r="J690" s="73"/>
      <c r="K690" s="122"/>
      <c r="L690" s="120"/>
      <c r="M690" s="121"/>
      <c r="N690" s="73"/>
      <c r="O690" s="73"/>
      <c r="P690" s="73"/>
      <c r="Q690" s="74"/>
      <c r="R690" s="79"/>
      <c r="S690" s="80"/>
      <c r="T690" s="81"/>
      <c r="U690" s="78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78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89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89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78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ht="31" customHeight="1" spans="1:52">
      <c r="A697" s="73"/>
      <c r="B697" s="73"/>
      <c r="C697" s="73"/>
      <c r="D697" s="74"/>
      <c r="E697" s="79"/>
      <c r="F697" s="80"/>
      <c r="G697" s="81"/>
      <c r="H697" s="256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82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/>
      <c r="B698" s="73"/>
      <c r="C698" s="73"/>
      <c r="D698" s="74"/>
      <c r="E698" s="79"/>
      <c r="F698" s="80"/>
      <c r="G698" s="81"/>
      <c r="H698" s="256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78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/>
      <c r="B699" s="73"/>
      <c r="C699" s="73"/>
      <c r="D699" s="74"/>
      <c r="E699" s="79"/>
      <c r="F699" s="80"/>
      <c r="G699" s="81"/>
      <c r="H699" s="89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9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89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250"/>
      <c r="V700" s="250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250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130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130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13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ht="70" customHeight="1" spans="1:52">
      <c r="A702" s="73"/>
      <c r="B702" s="73"/>
      <c r="C702" s="73"/>
      <c r="D702" s="74"/>
      <c r="E702" s="79"/>
      <c r="F702" s="80"/>
      <c r="G702" s="81"/>
      <c r="H702" s="130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3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/>
      <c r="B703" s="73"/>
      <c r="C703" s="73"/>
      <c r="D703" s="74"/>
      <c r="E703" s="79"/>
      <c r="F703" s="80"/>
      <c r="G703" s="81"/>
      <c r="H703" s="89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89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9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/>
      <c r="B704" s="73"/>
      <c r="C704" s="73"/>
      <c r="D704" s="74"/>
      <c r="E704" s="79"/>
      <c r="F704" s="80"/>
      <c r="G704" s="81"/>
      <c r="H704" s="89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130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130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130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130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89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89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250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22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78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78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147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130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130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130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2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2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78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78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78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73"/>
      <c r="AP742" s="73"/>
      <c r="AQ742" s="74"/>
      <c r="AR742" s="79"/>
      <c r="AS742" s="80"/>
      <c r="AT742" s="81"/>
      <c r="AU742" s="82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270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ht="25" customHeight="1" spans="1:52">
      <c r="A745" s="73"/>
      <c r="B745" s="73"/>
      <c r="C745" s="73"/>
      <c r="D745" s="74"/>
      <c r="E745" s="79"/>
      <c r="F745" s="80"/>
      <c r="G745" s="81"/>
      <c r="H745" s="130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130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130"/>
      <c r="AI747" s="118"/>
      <c r="AJ747" s="73"/>
      <c r="AK747" s="119"/>
      <c r="AL747" s="120"/>
      <c r="AM747" s="121"/>
      <c r="AN747" s="152"/>
      <c r="AO747" s="73"/>
      <c r="AP747" s="73"/>
      <c r="AQ747" s="74"/>
      <c r="AR747" s="79"/>
      <c r="AS747" s="80"/>
      <c r="AT747" s="81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130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152"/>
      <c r="AP751" s="152"/>
      <c r="AQ751" s="105"/>
      <c r="AR751" s="106"/>
      <c r="AS751" s="107"/>
      <c r="AT751" s="108"/>
      <c r="AU751" s="89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106"/>
      <c r="F752" s="107"/>
      <c r="G752" s="108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106"/>
      <c r="S752" s="107"/>
      <c r="T752" s="108"/>
      <c r="U752" s="89"/>
      <c r="V752" s="118"/>
      <c r="W752" s="73"/>
      <c r="X752" s="119"/>
      <c r="Y752" s="120"/>
      <c r="Z752" s="121"/>
      <c r="AA752" s="73"/>
      <c r="AB752" s="73"/>
      <c r="AC752" s="73"/>
      <c r="AD752" s="74"/>
      <c r="AE752" s="106"/>
      <c r="AF752" s="107"/>
      <c r="AG752" s="108"/>
      <c r="AH752" s="89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89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82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78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22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78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78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269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130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73"/>
      <c r="AP769" s="73"/>
      <c r="AQ769" s="74"/>
      <c r="AR769" s="79"/>
      <c r="AS769" s="80"/>
      <c r="AT769" s="81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89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78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78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89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78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78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271"/>
      <c r="F777" s="272"/>
      <c r="G777" s="273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271"/>
      <c r="S777" s="272"/>
      <c r="T777" s="273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1"/>
      <c r="F778" s="272"/>
      <c r="G778" s="273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1"/>
      <c r="S778" s="272"/>
      <c r="T778" s="273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271"/>
      <c r="AF778" s="272"/>
      <c r="AG778" s="273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79"/>
      <c r="F779" s="80"/>
      <c r="G779" s="81"/>
      <c r="H779" s="89"/>
      <c r="I779" s="118"/>
      <c r="J779" s="73"/>
      <c r="K779" s="122"/>
      <c r="L779" s="120"/>
      <c r="M779" s="121"/>
      <c r="N779" s="73"/>
      <c r="O779" s="73"/>
      <c r="P779" s="73"/>
      <c r="Q779" s="74"/>
      <c r="R779" s="79"/>
      <c r="S779" s="80"/>
      <c r="T779" s="81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78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78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130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89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78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89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78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130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130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ht="22.5" spans="1:52">
      <c r="A798" s="73"/>
      <c r="B798" s="73"/>
      <c r="C798" s="73"/>
      <c r="D798" s="274"/>
      <c r="E798" s="79"/>
      <c r="F798" s="80"/>
      <c r="G798" s="81"/>
      <c r="H798" s="130"/>
      <c r="I798" s="118"/>
      <c r="J798" s="73"/>
      <c r="K798" s="122"/>
      <c r="L798" s="120"/>
      <c r="M798" s="121"/>
      <c r="N798" s="73"/>
      <c r="O798" s="73"/>
      <c r="P798" s="73"/>
      <c r="Q798" s="274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274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89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82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89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9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2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130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78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78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89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78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106"/>
      <c r="F834" s="107"/>
      <c r="G834" s="108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106"/>
      <c r="F837" s="107"/>
      <c r="G837" s="108"/>
      <c r="H837" s="130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73"/>
      <c r="AP841" s="73"/>
      <c r="AQ841" s="74"/>
      <c r="AR841" s="79"/>
      <c r="AS841" s="80"/>
      <c r="AT841" s="81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130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89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78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78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270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130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130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78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78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130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89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78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78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2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78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ht="68" customHeight="1" spans="1:52">
      <c r="A883" s="73"/>
      <c r="B883" s="73"/>
      <c r="C883" s="73"/>
      <c r="D883" s="74"/>
      <c r="E883" s="79"/>
      <c r="F883" s="80"/>
      <c r="G883" s="81"/>
      <c r="H883" s="130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130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130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27" customHeight="1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78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78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89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73"/>
      <c r="AP887" s="73"/>
      <c r="AQ887" s="74"/>
      <c r="AR887" s="106"/>
      <c r="AS887" s="107"/>
      <c r="AT887" s="108"/>
      <c r="AU887" s="82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130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130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78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78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89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130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78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78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78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83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130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130"/>
      <c r="AI899" s="118"/>
      <c r="AJ899" s="73"/>
      <c r="AK899" s="119"/>
      <c r="AL899" s="120"/>
      <c r="AM899" s="121"/>
      <c r="AN899" s="152"/>
      <c r="AO899" s="73"/>
      <c r="AP899" s="73"/>
      <c r="AQ899" s="74"/>
      <c r="AR899" s="79"/>
      <c r="AS899" s="80"/>
      <c r="AT899" s="81"/>
      <c r="AU899" s="82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9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78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78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78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130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250"/>
      <c r="V904" s="229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130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89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78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89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78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78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130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130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89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89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130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78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106"/>
      <c r="F924" s="107"/>
      <c r="G924" s="108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78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78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78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89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78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78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78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89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130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89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ht="52" customHeight="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130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78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130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130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130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78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78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89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275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130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ht="21" customHeight="1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ht="53" customHeight="1" spans="1:52">
      <c r="A973" s="73"/>
      <c r="B973" s="73"/>
      <c r="C973" s="73"/>
      <c r="D973" s="74"/>
      <c r="E973" s="79"/>
      <c r="F973" s="80"/>
      <c r="G973" s="81"/>
      <c r="H973" s="130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130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130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78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80"/>
      <c r="G977" s="81"/>
      <c r="H977" s="130"/>
      <c r="I977" s="118"/>
      <c r="J977" s="73"/>
      <c r="K977" s="122"/>
      <c r="L977" s="120"/>
      <c r="M977" s="121"/>
      <c r="N977" s="73"/>
      <c r="O977" s="73"/>
      <c r="P977" s="73"/>
      <c r="Q977" s="74"/>
      <c r="R977" s="276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78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130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130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89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78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78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78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130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130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2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89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130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89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130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130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130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78"/>
      <c r="V1009" s="15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2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78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78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89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130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78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130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130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89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130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89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50" customHeight="1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78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147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89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130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78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204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56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256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106"/>
      <c r="F1066" s="107"/>
      <c r="G1066" s="108"/>
      <c r="H1066" s="89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78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89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89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2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78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130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89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2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130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130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130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2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2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78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78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89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277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277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277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7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152"/>
      <c r="C1119" s="194"/>
      <c r="D1119" s="190"/>
      <c r="E1119" s="79"/>
      <c r="F1119" s="80"/>
      <c r="G1119" s="81"/>
      <c r="H1119" s="130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7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7"/>
      <c r="E1121" s="79"/>
      <c r="F1121" s="80"/>
      <c r="G1121" s="81"/>
      <c r="H1121" s="89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7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7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7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277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277"/>
      <c r="AE1124" s="79"/>
      <c r="AF1124" s="80"/>
      <c r="AG1124" s="81"/>
      <c r="AH1124" s="82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78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78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89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256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89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147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78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130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147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2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78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78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130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78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78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78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78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130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147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78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130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130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82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130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78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9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2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2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2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11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2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130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78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78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2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78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9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2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78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89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2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278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278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0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9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47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78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30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ht="38" customHeight="1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42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89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78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147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89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78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78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78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78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2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78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89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130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78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89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78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130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2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106"/>
      <c r="F1457" s="107"/>
      <c r="G1457" s="108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78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2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78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78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130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2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2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89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78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130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2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89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89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ht="30" customHeight="1" spans="1:52">
      <c r="A1550" s="73"/>
      <c r="B1550" s="73"/>
      <c r="C1550" s="73"/>
      <c r="D1550" s="74"/>
      <c r="E1550" s="79"/>
      <c r="F1550" s="80"/>
      <c r="G1550" s="81"/>
      <c r="H1550" s="89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29" customHeight="1" spans="1:52">
      <c r="A1551" s="73"/>
      <c r="B1551" s="73"/>
      <c r="C1551" s="73"/>
      <c r="D1551" s="74"/>
      <c r="E1551" s="79"/>
      <c r="F1551" s="80"/>
      <c r="G1551" s="81"/>
      <c r="H1551" s="130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130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2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78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89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83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9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106"/>
      <c r="F1600" s="107"/>
      <c r="G1600" s="108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130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1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130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55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79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55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9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55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9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55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89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9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55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9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55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9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55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9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55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9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55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9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55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3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9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9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55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9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55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9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55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9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83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9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55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9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11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55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9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55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9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55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9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55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9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55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9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55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9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9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55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2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9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55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9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55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9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55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9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55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9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130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55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9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55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9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55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9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55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9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55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9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55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9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55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9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55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9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55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9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55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9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1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9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55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9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55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9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55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9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55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9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55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9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55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9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55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9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55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9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55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9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55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9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55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9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9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55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9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9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55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9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55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9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9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9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9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9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9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9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9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9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9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9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9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9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9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9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9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9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9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9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9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9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9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9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9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9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9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9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9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9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9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9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9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9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9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9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9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9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9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9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9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9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9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9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82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9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9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9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9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9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9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9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9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9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9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9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213"/>
      <c r="I1824" s="280"/>
      <c r="J1824" s="124"/>
      <c r="K1824" s="281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9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98"/>
      <c r="I1825" s="282"/>
      <c r="J1825" s="283"/>
      <c r="K1825" s="284"/>
      <c r="L1825" s="285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9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104"/>
      <c r="I1826" s="282"/>
      <c r="J1826" s="283"/>
      <c r="K1826" s="286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9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2"/>
      <c r="J1827" s="283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9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282"/>
      <c r="J1828" s="283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9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82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9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2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9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9"/>
      <c r="I1831" s="282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9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2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9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282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9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2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9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2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9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2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9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2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9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2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9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82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9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2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9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2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9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2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9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2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9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2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9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2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9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2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9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2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9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9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9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9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9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9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9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9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9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9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9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9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9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9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9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9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9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9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9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9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9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9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9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9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9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9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9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9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9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9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9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9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9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9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9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9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9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9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9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9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9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9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9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9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9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9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9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9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9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9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9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9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9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9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9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9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9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9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9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9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9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9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9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9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9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9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9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9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9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9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9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9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9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9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9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9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9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9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9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9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9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9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9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9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9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9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9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9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9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9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9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9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9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9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9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9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9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9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9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9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9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9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9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9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9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9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9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9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9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9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9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9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9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9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9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9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9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9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9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9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9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9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9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9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9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9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9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9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9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9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9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9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9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9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9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9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9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9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</sheetData>
  <mergeCells count="7500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E271:G271"/>
    <mergeCell ref="R271:T271"/>
    <mergeCell ref="E272:G272"/>
    <mergeCell ref="R272:T272"/>
    <mergeCell ref="AE272:AG272"/>
    <mergeCell ref="AR272:AT272"/>
    <mergeCell ref="E273:G273"/>
    <mergeCell ref="R273:T273"/>
    <mergeCell ref="AE273:AG273"/>
    <mergeCell ref="AR273:AT273"/>
    <mergeCell ref="E274:G274"/>
    <mergeCell ref="R274:T274"/>
    <mergeCell ref="AE274:AG274"/>
    <mergeCell ref="E275:G275"/>
    <mergeCell ref="R275:T275"/>
    <mergeCell ref="AE275:AG275"/>
    <mergeCell ref="E276:G276"/>
    <mergeCell ref="R276:T276"/>
    <mergeCell ref="AE276:AG276"/>
    <mergeCell ref="AR276:AT276"/>
    <mergeCell ref="E277:G277"/>
    <mergeCell ref="R277:T277"/>
    <mergeCell ref="AE277:AG277"/>
    <mergeCell ref="AR277:AT277"/>
    <mergeCell ref="E278:G278"/>
    <mergeCell ref="E279:G279"/>
    <mergeCell ref="R279:T279"/>
    <mergeCell ref="E280:G280"/>
    <mergeCell ref="R280:T280"/>
    <mergeCell ref="AE280:AG280"/>
    <mergeCell ref="E281:G281"/>
    <mergeCell ref="E282:G282"/>
    <mergeCell ref="R282:T282"/>
    <mergeCell ref="AE282:AG282"/>
    <mergeCell ref="E283:G283"/>
    <mergeCell ref="R283:T283"/>
    <mergeCell ref="AE283:AG283"/>
    <mergeCell ref="AR283:AT283"/>
    <mergeCell ref="E284:G284"/>
    <mergeCell ref="R284:T284"/>
    <mergeCell ref="AE284:AG284"/>
    <mergeCell ref="AR284:AT284"/>
    <mergeCell ref="E285:G285"/>
    <mergeCell ref="R285:T285"/>
    <mergeCell ref="AE285:AG285"/>
    <mergeCell ref="E286:G286"/>
    <mergeCell ref="R286:T286"/>
    <mergeCell ref="AE286:AG286"/>
    <mergeCell ref="E287:G287"/>
    <mergeCell ref="R287:T287"/>
    <mergeCell ref="AE287:AG287"/>
    <mergeCell ref="AR287:AT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E292:G292"/>
    <mergeCell ref="E293:G293"/>
    <mergeCell ref="R293:T293"/>
    <mergeCell ref="AE293:AG293"/>
    <mergeCell ref="E294:G294"/>
    <mergeCell ref="R294:T294"/>
    <mergeCell ref="AE294:AG294"/>
    <mergeCell ref="AR294:AT294"/>
    <mergeCell ref="E295:G295"/>
    <mergeCell ref="R295:T295"/>
    <mergeCell ref="AE295:AG295"/>
    <mergeCell ref="AR295:AT295"/>
    <mergeCell ref="E296:G296"/>
    <mergeCell ref="E297:G297"/>
    <mergeCell ref="R297:T297"/>
    <mergeCell ref="E298:G298"/>
    <mergeCell ref="R298:T298"/>
    <mergeCell ref="AE298:AG298"/>
    <mergeCell ref="AR298:AT298"/>
    <mergeCell ref="E299:G299"/>
    <mergeCell ref="R299:T299"/>
    <mergeCell ref="E300:G300"/>
    <mergeCell ref="R300: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E304:G304"/>
    <mergeCell ref="R304:T304"/>
    <mergeCell ref="AE304:AG304"/>
    <mergeCell ref="AR304:AT304"/>
    <mergeCell ref="E305:G305"/>
    <mergeCell ref="E306:G306"/>
    <mergeCell ref="R306:T306"/>
    <mergeCell ref="AE306:AG306"/>
    <mergeCell ref="E307:G307"/>
    <mergeCell ref="R307:S307"/>
    <mergeCell ref="E308:G308"/>
    <mergeCell ref="R308:T308"/>
    <mergeCell ref="E309:G309"/>
    <mergeCell ref="E310:G310"/>
    <mergeCell ref="R310:T310"/>
    <mergeCell ref="AE310:AG310"/>
    <mergeCell ref="AR310:A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E515:G515"/>
    <mergeCell ref="R515:T515"/>
    <mergeCell ref="AE515:AG515"/>
    <mergeCell ref="AR515:AT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E523:G523"/>
    <mergeCell ref="R523:T523"/>
    <mergeCell ref="AE523:AG523"/>
    <mergeCell ref="AR523:AT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E529:G529"/>
    <mergeCell ref="R529:T529"/>
    <mergeCell ref="AE529:AG529"/>
    <mergeCell ref="AR529:A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E568:G568"/>
    <mergeCell ref="R568:T568"/>
    <mergeCell ref="AE568:AG568"/>
    <mergeCell ref="AR568:A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E599:G599"/>
    <mergeCell ref="R599:T599"/>
    <mergeCell ref="AE599:AG599"/>
    <mergeCell ref="AR599:A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R702:T702"/>
    <mergeCell ref="AE702:A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E771:G771"/>
    <mergeCell ref="R771:T771"/>
    <mergeCell ref="E772:G772"/>
    <mergeCell ref="R772:T772"/>
    <mergeCell ref="AE772:AG772"/>
    <mergeCell ref="AR772:A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AR781:AT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E838:G838"/>
    <mergeCell ref="R838:T838"/>
    <mergeCell ref="AE838:AG838"/>
    <mergeCell ref="AR838:AT838"/>
    <mergeCell ref="E839:G839"/>
    <mergeCell ref="E840:G840"/>
    <mergeCell ref="E841:G841"/>
    <mergeCell ref="R841:T841"/>
    <mergeCell ref="AE841:AG841"/>
    <mergeCell ref="AR841:AT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R904:T904"/>
    <mergeCell ref="AE904:AG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E1082:G1082"/>
    <mergeCell ref="R1082:T1082"/>
    <mergeCell ref="E1083:G1083"/>
    <mergeCell ref="R1083:T1083"/>
    <mergeCell ref="E1084:G1084"/>
    <mergeCell ref="R1084:T1084"/>
    <mergeCell ref="AE1084:AG1084"/>
    <mergeCell ref="E1085:G1085"/>
    <mergeCell ref="R1085:T1085"/>
    <mergeCell ref="E1086:G1086"/>
    <mergeCell ref="E1087:G1087"/>
    <mergeCell ref="R1087:T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AE1091:AG1091"/>
    <mergeCell ref="E1092:G1092"/>
    <mergeCell ref="E1093:G1093"/>
    <mergeCell ref="R1093:T1093"/>
    <mergeCell ref="E1094:G1094"/>
    <mergeCell ref="E1095:G1095"/>
    <mergeCell ref="E1096:G1096"/>
    <mergeCell ref="E1097:G1097"/>
    <mergeCell ref="R1097:T1097"/>
    <mergeCell ref="AE1097:AG1097"/>
    <mergeCell ref="AR1097:AT1097"/>
    <mergeCell ref="E1098:G1098"/>
    <mergeCell ref="R1098:T1098"/>
    <mergeCell ref="E1099:G1099"/>
    <mergeCell ref="E1100:G1100"/>
    <mergeCell ref="R1100:T1100"/>
    <mergeCell ref="AE1100:AG1100"/>
    <mergeCell ref="AR1100:AT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E1105:G1105"/>
    <mergeCell ref="R1105:T1105"/>
    <mergeCell ref="AE1105:AG1105"/>
    <mergeCell ref="AR1105:AT1105"/>
    <mergeCell ref="E1106:G1106"/>
    <mergeCell ref="E1107:G1107"/>
    <mergeCell ref="E1108:G1108"/>
    <mergeCell ref="E1109:G1109"/>
    <mergeCell ref="E1110:G1110"/>
    <mergeCell ref="E1111:G1111"/>
    <mergeCell ref="R1111:T1111"/>
    <mergeCell ref="E1112:G1112"/>
    <mergeCell ref="R1112:T1112"/>
    <mergeCell ref="E1113:G1113"/>
    <mergeCell ref="E1114:G1114"/>
    <mergeCell ref="R1114:T1114"/>
    <mergeCell ref="E1115:G1115"/>
    <mergeCell ref="E1116:G1116"/>
    <mergeCell ref="E1117:G1117"/>
    <mergeCell ref="R1117:T1117"/>
    <mergeCell ref="AE1117:AG1117"/>
    <mergeCell ref="E1118:G1118"/>
    <mergeCell ref="E1119:G1119"/>
    <mergeCell ref="E1120:G1120"/>
    <mergeCell ref="E1121:G1121"/>
    <mergeCell ref="E1122:G1122"/>
    <mergeCell ref="E1123:G1123"/>
    <mergeCell ref="E1124:G1124"/>
    <mergeCell ref="R1124:T1124"/>
    <mergeCell ref="AE1124:AG1124"/>
    <mergeCell ref="E1125:G1125"/>
    <mergeCell ref="E1126:G1126"/>
    <mergeCell ref="E1127:G1127"/>
    <mergeCell ref="R1127:T1127"/>
    <mergeCell ref="E1128:G1128"/>
    <mergeCell ref="E1129:G1129"/>
    <mergeCell ref="E1130:G1130"/>
    <mergeCell ref="E1131:G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R1144:T1144"/>
    <mergeCell ref="E1145:G1145"/>
    <mergeCell ref="E1146:G1146"/>
    <mergeCell ref="E1147:G1147"/>
    <mergeCell ref="E1148:G1148"/>
    <mergeCell ref="E1149:G1149"/>
    <mergeCell ref="E1150:G1150"/>
    <mergeCell ref="R1150:T1150"/>
    <mergeCell ref="AE1150:AG1150"/>
    <mergeCell ref="AR1150:AT1150"/>
    <mergeCell ref="E1151:G1151"/>
    <mergeCell ref="R1151:T1151"/>
    <mergeCell ref="AE1151:AG1151"/>
    <mergeCell ref="AR1151:AT1151"/>
    <mergeCell ref="E1152:G1152"/>
    <mergeCell ref="E1153:G1153"/>
    <mergeCell ref="R1153: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E1156:G1156"/>
    <mergeCell ref="R1156:T1156"/>
    <mergeCell ref="AE1156:A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E1651:G1651"/>
    <mergeCell ref="E1652:G1652"/>
    <mergeCell ref="E1653:G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M224">
    <cfRule type="cellIs" dxfId="0" priority="247" operator="lessThan">
      <formula>30</formula>
    </cfRule>
  </conditionalFormatting>
  <conditionalFormatting sqref="M229">
    <cfRule type="cellIs" dxfId="0" priority="154" operator="lessThan">
      <formula>30</formula>
    </cfRule>
  </conditionalFormatting>
  <conditionalFormatting sqref="M237">
    <cfRule type="cellIs" dxfId="0" priority="230" operator="lessThan">
      <formula>30</formula>
    </cfRule>
  </conditionalFormatting>
  <conditionalFormatting sqref="M238">
    <cfRule type="cellIs" dxfId="0" priority="175" operator="lessThan">
      <formula>30</formula>
    </cfRule>
  </conditionalFormatting>
  <conditionalFormatting sqref="M241">
    <cfRule type="cellIs" dxfId="0" priority="236" operator="lessThan">
      <formula>30</formula>
    </cfRule>
  </conditionalFormatting>
  <conditionalFormatting sqref="M242">
    <cfRule type="cellIs" dxfId="0" priority="159" operator="lessThan">
      <formula>30</formula>
    </cfRule>
  </conditionalFormatting>
  <conditionalFormatting sqref="M243">
    <cfRule type="cellIs" dxfId="0" priority="194" operator="lessThan">
      <formula>30</formula>
    </cfRule>
  </conditionalFormatting>
  <conditionalFormatting sqref="M244">
    <cfRule type="cellIs" dxfId="0" priority="198" operator="lessThan">
      <formula>30</formula>
    </cfRule>
  </conditionalFormatting>
  <conditionalFormatting sqref="M245">
    <cfRule type="cellIs" dxfId="0" priority="232" operator="lessThan">
      <formula>30</formula>
    </cfRule>
  </conditionalFormatting>
  <conditionalFormatting sqref="M246">
    <cfRule type="cellIs" dxfId="0" priority="171" operator="lessThan">
      <formula>30</formula>
    </cfRule>
  </conditionalFormatting>
  <conditionalFormatting sqref="M252">
    <cfRule type="cellIs" dxfId="0" priority="210" operator="lessThan">
      <formula>30</formula>
    </cfRule>
  </conditionalFormatting>
  <conditionalFormatting sqref="M255">
    <cfRule type="cellIs" dxfId="0" priority="88" operator="lessThan">
      <formula>30</formula>
    </cfRule>
  </conditionalFormatting>
  <conditionalFormatting sqref="M258">
    <cfRule type="cellIs" dxfId="0" priority="87" operator="lessThan">
      <formula>30</formula>
    </cfRule>
  </conditionalFormatting>
  <conditionalFormatting sqref="M262">
    <cfRule type="cellIs" dxfId="0" priority="89" operator="lessThan">
      <formula>30</formula>
    </cfRule>
  </conditionalFormatting>
  <conditionalFormatting sqref="M269">
    <cfRule type="cellIs" dxfId="0" priority="43" operator="lessThan">
      <formula>30</formula>
    </cfRule>
  </conditionalFormatting>
  <conditionalFormatting sqref="M271">
    <cfRule type="cellIs" dxfId="0" priority="51" operator="lessThan">
      <formula>30</formula>
    </cfRule>
  </conditionalFormatting>
  <conditionalFormatting sqref="M273">
    <cfRule type="cellIs" dxfId="0" priority="85" operator="lessThan">
      <formula>30</formula>
    </cfRule>
  </conditionalFormatting>
  <conditionalFormatting sqref="M276">
    <cfRule type="cellIs" dxfId="0" priority="44" operator="lessThan">
      <formula>30</formula>
    </cfRule>
  </conditionalFormatting>
  <conditionalFormatting sqref="M278">
    <cfRule type="cellIs" dxfId="0" priority="86" operator="lessThan">
      <formula>30</formula>
    </cfRule>
  </conditionalFormatting>
  <conditionalFormatting sqref="M279">
    <cfRule type="cellIs" dxfId="0" priority="125" operator="lessThan">
      <formula>30</formula>
    </cfRule>
  </conditionalFormatting>
  <conditionalFormatting sqref="M285">
    <cfRule type="cellIs" dxfId="0" priority="176" operator="lessThan">
      <formula>30</formula>
    </cfRule>
  </conditionalFormatting>
  <conditionalFormatting sqref="M288">
    <cfRule type="cellIs" dxfId="0" priority="187" operator="lessThan">
      <formula>30</formula>
    </cfRule>
  </conditionalFormatting>
  <conditionalFormatting sqref="M289">
    <cfRule type="cellIs" dxfId="0" priority="190" operator="lessThan">
      <formula>30</formula>
    </cfRule>
  </conditionalFormatting>
  <conditionalFormatting sqref="M290">
    <cfRule type="cellIs" dxfId="0" priority="153" operator="lessThan">
      <formula>30</formula>
    </cfRule>
  </conditionalFormatting>
  <conditionalFormatting sqref="M298">
    <cfRule type="cellIs" dxfId="0" priority="101" operator="lessThan">
      <formula>30</formula>
    </cfRule>
  </conditionalFormatting>
  <conditionalFormatting sqref="M301">
    <cfRule type="cellIs" dxfId="0" priority="102" operator="lessThan">
      <formula>30</formula>
    </cfRule>
  </conditionalFormatting>
  <conditionalFormatting sqref="M305">
    <cfRule type="cellIs" dxfId="0" priority="130" operator="lessThan">
      <formula>30</formula>
    </cfRule>
  </conditionalFormatting>
  <conditionalFormatting sqref="M310">
    <cfRule type="cellIs" dxfId="0" priority="170" operator="lessThan">
      <formula>30</formula>
    </cfRule>
  </conditionalFormatting>
  <conditionalFormatting sqref="M311">
    <cfRule type="cellIs" dxfId="0" priority="117" operator="lessThan">
      <formula>30</formula>
    </cfRule>
  </conditionalFormatting>
  <conditionalFormatting sqref="M322">
    <cfRule type="cellIs" dxfId="0" priority="172" operator="lessThan">
      <formula>30</formula>
    </cfRule>
  </conditionalFormatting>
  <conditionalFormatting sqref="M323">
    <cfRule type="cellIs" dxfId="0" priority="127" operator="lessThan">
      <formula>30</formula>
    </cfRule>
  </conditionalFormatting>
  <conditionalFormatting sqref="M325">
    <cfRule type="cellIs" dxfId="0" priority="113" operator="lessThan">
      <formula>30</formula>
    </cfRule>
  </conditionalFormatting>
  <conditionalFormatting sqref="M332">
    <cfRule type="cellIs" dxfId="0" priority="203" operator="lessThan">
      <formula>30</formula>
    </cfRule>
  </conditionalFormatting>
  <conditionalFormatting sqref="M340">
    <cfRule type="cellIs" dxfId="0" priority="204" operator="lessThan">
      <formula>30</formula>
    </cfRule>
  </conditionalFormatting>
  <conditionalFormatting sqref="M342">
    <cfRule type="cellIs" dxfId="0" priority="133" operator="lessThan">
      <formula>30</formula>
    </cfRule>
  </conditionalFormatting>
  <conditionalFormatting sqref="M347">
    <cfRule type="cellIs" dxfId="0" priority="186" operator="lessThan">
      <formula>30</formula>
    </cfRule>
  </conditionalFormatting>
  <conditionalFormatting sqref="M349">
    <cfRule type="cellIs" dxfId="0" priority="120" operator="lessThan">
      <formula>30</formula>
    </cfRule>
  </conditionalFormatting>
  <conditionalFormatting sqref="M353">
    <cfRule type="cellIs" dxfId="0" priority="164" operator="lessThan">
      <formula>30</formula>
    </cfRule>
  </conditionalFormatting>
  <conditionalFormatting sqref="M354">
    <cfRule type="cellIs" dxfId="0" priority="235" operator="lessThan">
      <formula>30</formula>
    </cfRule>
  </conditionalFormatting>
  <conditionalFormatting sqref="M355">
    <cfRule type="cellIs" dxfId="0" priority="151" operator="lessThan">
      <formula>30</formula>
    </cfRule>
  </conditionalFormatting>
  <conditionalFormatting sqref="M356">
    <cfRule type="cellIs" dxfId="0" priority="152" operator="lessThan">
      <formula>30</formula>
    </cfRule>
  </conditionalFormatting>
  <conditionalFormatting sqref="M357">
    <cfRule type="cellIs" dxfId="0" priority="132" operator="lessThan">
      <formula>30</formula>
    </cfRule>
  </conditionalFormatting>
  <conditionalFormatting sqref="M361">
    <cfRule type="cellIs" dxfId="0" priority="195" operator="lessThan">
      <formula>30</formula>
    </cfRule>
  </conditionalFormatting>
  <conditionalFormatting sqref="M362">
    <cfRule type="cellIs" dxfId="0" priority="196" operator="lessThan">
      <formula>30</formula>
    </cfRule>
  </conditionalFormatting>
  <conditionalFormatting sqref="M366">
    <cfRule type="cellIs" dxfId="0" priority="233" operator="lessThan">
      <formula>30</formula>
    </cfRule>
  </conditionalFormatting>
  <conditionalFormatting sqref="M373">
    <cfRule type="cellIs" dxfId="0" priority="193" operator="lessThan">
      <formula>30</formula>
    </cfRule>
  </conditionalFormatting>
  <conditionalFormatting sqref="M374">
    <cfRule type="cellIs" dxfId="0" priority="134" operator="lessThan">
      <formula>30</formula>
    </cfRule>
  </conditionalFormatting>
  <conditionalFormatting sqref="M379">
    <cfRule type="cellIs" dxfId="0" priority="118" operator="lessThan">
      <formula>30</formula>
    </cfRule>
  </conditionalFormatting>
  <conditionalFormatting sqref="M387">
    <cfRule type="cellIs" dxfId="0" priority="123" operator="lessThan">
      <formula>30</formula>
    </cfRule>
  </conditionalFormatting>
  <conditionalFormatting sqref="M390">
    <cfRule type="cellIs" dxfId="0" priority="63" operator="lessThan">
      <formula>30</formula>
    </cfRule>
  </conditionalFormatting>
  <conditionalFormatting sqref="M391">
    <cfRule type="cellIs" dxfId="0" priority="135" operator="lessThan">
      <formula>30</formula>
    </cfRule>
  </conditionalFormatting>
  <conditionalFormatting sqref="M393">
    <cfRule type="cellIs" dxfId="0" priority="149" operator="lessThan">
      <formula>30</formula>
    </cfRule>
  </conditionalFormatting>
  <conditionalFormatting sqref="M395">
    <cfRule type="cellIs" dxfId="0" priority="156" operator="lessThan">
      <formula>30</formula>
    </cfRule>
  </conditionalFormatting>
  <conditionalFormatting sqref="M398">
    <cfRule type="cellIs" dxfId="0" priority="192" operator="lessThan">
      <formula>30</formula>
    </cfRule>
  </conditionalFormatting>
  <conditionalFormatting sqref="M403">
    <cfRule type="cellIs" dxfId="0" priority="83" operator="lessThan">
      <formula>30</formula>
    </cfRule>
  </conditionalFormatting>
  <conditionalFormatting sqref="M409">
    <cfRule type="cellIs" dxfId="0" priority="197" operator="lessThan">
      <formula>30</formula>
    </cfRule>
  </conditionalFormatting>
  <conditionalFormatting sqref="M411">
    <cfRule type="cellIs" dxfId="0" priority="42" operator="lessThan">
      <formula>30</formula>
    </cfRule>
  </conditionalFormatting>
  <conditionalFormatting sqref="M414">
    <cfRule type="cellIs" dxfId="0" priority="178" operator="lessThan">
      <formula>30</formula>
    </cfRule>
  </conditionalFormatting>
  <conditionalFormatting sqref="M415">
    <cfRule type="cellIs" dxfId="0" priority="106" operator="lessThan">
      <formula>30</formula>
    </cfRule>
  </conditionalFormatting>
  <conditionalFormatting sqref="M416">
    <cfRule type="cellIs" dxfId="0" priority="162" operator="lessThan">
      <formula>30</formula>
    </cfRule>
  </conditionalFormatting>
  <conditionalFormatting sqref="M418">
    <cfRule type="cellIs" dxfId="0" priority="189" operator="lessThan">
      <formula>30</formula>
    </cfRule>
  </conditionalFormatting>
  <conditionalFormatting sqref="M419">
    <cfRule type="cellIs" dxfId="0" priority="188" operator="lessThan">
      <formula>30</formula>
    </cfRule>
  </conditionalFormatting>
  <conditionalFormatting sqref="M422">
    <cfRule type="cellIs" dxfId="0" priority="112" operator="lessThan">
      <formula>30</formula>
    </cfRule>
  </conditionalFormatting>
  <conditionalFormatting sqref="M428">
    <cfRule type="cellIs" dxfId="0" priority="84" operator="lessThan">
      <formula>30</formula>
    </cfRule>
  </conditionalFormatting>
  <conditionalFormatting sqref="M430">
    <cfRule type="cellIs" dxfId="0" priority="53" operator="lessThan">
      <formula>30</formula>
    </cfRule>
  </conditionalFormatting>
  <conditionalFormatting sqref="M431">
    <cfRule type="cellIs" dxfId="0" priority="167" operator="lessThan">
      <formula>30</formula>
    </cfRule>
  </conditionalFormatting>
  <conditionalFormatting sqref="M434">
    <cfRule type="cellIs" dxfId="0" priority="166" operator="lessThan">
      <formula>30</formula>
    </cfRule>
  </conditionalFormatting>
  <conditionalFormatting sqref="Z586">
    <cfRule type="cellIs" dxfId="0" priority="21" operator="lessThan">
      <formula>30</formula>
    </cfRule>
  </conditionalFormatting>
  <conditionalFormatting sqref="M679">
    <cfRule type="cellIs" dxfId="0" priority="67" operator="lessThan">
      <formula>30</formula>
    </cfRule>
  </conditionalFormatting>
  <conditionalFormatting sqref="M708">
    <cfRule type="cellIs" dxfId="0" priority="77" operator="lessThan">
      <formula>30</formula>
    </cfRule>
  </conditionalFormatting>
  <conditionalFormatting sqref="M711">
    <cfRule type="cellIs" dxfId="0" priority="50" operator="lessThan">
      <formula>30</formula>
    </cfRule>
  </conditionalFormatting>
  <conditionalFormatting sqref="M713">
    <cfRule type="cellIs" dxfId="0" priority="62" operator="lessThan">
      <formula>30</formula>
    </cfRule>
  </conditionalFormatting>
  <conditionalFormatting sqref="M727">
    <cfRule type="cellIs" dxfId="0" priority="72" operator="lessThan">
      <formula>30</formula>
    </cfRule>
  </conditionalFormatting>
  <conditionalFormatting sqref="M1570">
    <cfRule type="cellIs" dxfId="0" priority="20" operator="lessThan">
      <formula>30</formula>
    </cfRule>
  </conditionalFormatting>
  <conditionalFormatting sqref="M3:M223">
    <cfRule type="cellIs" dxfId="0" priority="5" operator="lessThan">
      <formula>30</formula>
    </cfRule>
  </conditionalFormatting>
  <conditionalFormatting sqref="M371:M372">
    <cfRule type="cellIs" dxfId="0" priority="122" operator="lessThan">
      <formula>30</formula>
    </cfRule>
  </conditionalFormatting>
  <conditionalFormatting sqref="M685:M686">
    <cfRule type="cellIs" dxfId="0" priority="73" operator="lessThan">
      <formula>30</formula>
    </cfRule>
  </conditionalFormatting>
  <conditionalFormatting sqref="M1003:M1013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68:Z1984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4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4">
    <cfRule type="cellIs" dxfId="0" priority="18" operator="lessThan">
      <formula>30</formula>
    </cfRule>
  </conditionalFormatting>
  <conditionalFormatting sqref="Z9:Z42 Z587:Z1667 Z258:Z585 Z45:Z255">
    <cfRule type="cellIs" dxfId="0" priority="33" operator="lessThan">
      <formula>30</formula>
    </cfRule>
  </conditionalFormatting>
  <conditionalFormatting sqref="M1571:M1984 M1014:M1569 M277 M326:M331 M324 M341 M343:M346 M333:M339 M358:M360 M299:M300 M306:M309 M263:M268 M388:M389 M363:M365 M375:M378 M367:M370 M350:M352 M380:M386 M348 M404:M408 M396:M397 M429 M420:M421 M410 M423:M427 M417 M412:M413 M399:M402 M432:M433 M435:M678 M392 M394 M709:M710 M680:M684 M312:M321 M302:M304 M272 M286:M287 M280:M284 M274:M275 M291:M297 M728:M1002 M714:M726 M687:M707 M712 M270 M253:M254 M256:M257 M259:M261 M247:M251 M239:M240 M225:M228 M230:M236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5" max="51" man="1"/>
  </rowBreaks>
  <colBreaks count="2" manualBreakCount="2">
    <brk id="22" max="1943" man="1"/>
    <brk id="25" max="194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389</v>
      </c>
      <c r="B1" s="2"/>
      <c r="C1" s="3"/>
      <c r="D1" s="4" t="s">
        <v>390</v>
      </c>
      <c r="E1" s="5"/>
      <c r="F1" s="6" t="s">
        <v>391</v>
      </c>
      <c r="G1" s="6"/>
      <c r="H1" s="6"/>
      <c r="I1" s="35"/>
      <c r="J1" s="35"/>
      <c r="K1" s="35"/>
      <c r="L1" s="35"/>
      <c r="M1" s="3"/>
      <c r="N1" s="3"/>
      <c r="O1" s="36" t="s">
        <v>392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393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394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395</v>
      </c>
      <c r="D4" s="20"/>
      <c r="E4" s="21"/>
      <c r="F4" s="18" t="s">
        <v>396</v>
      </c>
      <c r="G4" s="19" t="s">
        <v>397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398</v>
      </c>
      <c r="Q4" s="18" t="s">
        <v>399</v>
      </c>
      <c r="R4" s="18" t="s">
        <v>10</v>
      </c>
      <c r="S4" s="18" t="s">
        <v>400</v>
      </c>
    </row>
    <row r="5" spans="1:19">
      <c r="A5" s="22">
        <v>1</v>
      </c>
      <c r="B5" s="23" t="s">
        <v>23</v>
      </c>
      <c r="C5" s="24" t="s">
        <v>401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402</v>
      </c>
      <c r="Q5" s="52" t="s">
        <v>403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404</v>
      </c>
      <c r="C6" s="24" t="s">
        <v>405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406</v>
      </c>
      <c r="Q6" s="52" t="s">
        <v>407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23</v>
      </c>
      <c r="C7" s="24" t="s">
        <v>408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406</v>
      </c>
      <c r="Q7" s="52" t="s">
        <v>409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23</v>
      </c>
      <c r="C8" s="29" t="s">
        <v>410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406</v>
      </c>
      <c r="Q8" s="52" t="s">
        <v>403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406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406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406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406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406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2026-01-13T02:23:51Z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