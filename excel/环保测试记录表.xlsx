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总览表!$A$2:$AZ$501</definedName>
    <definedName name="_xlnm.Print_Area" localSheetId="0">总览表!$A$1:$AZ$1946</definedName>
  </definedNames>
  <calcPr calcId="144525"/>
</workbook>
</file>

<file path=xl/sharedStrings.xml><?xml version="1.0" encoding="utf-8"?>
<sst xmlns="http://schemas.openxmlformats.org/spreadsheetml/2006/main" count="2605" uniqueCount="963">
  <si>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</si>
  <si>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</si>
  <si>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</si>
  <si>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</si>
  <si>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</si>
  <si>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</si>
  <si>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</si>
  <si>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</si>
  <si>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</si>
  <si>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</si>
  <si>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</si>
  <si>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</si>
  <si>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</si>
  <si>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</si>
  <si>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</si>
  <si>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</si>
  <si>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</si>
  <si>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</si>
  <si>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</si>
  <si>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</si>
  <si>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</si>
  <si>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</si>
  <si>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</si>
  <si>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</si>
  <si>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</si>
  <si>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</si>
  <si>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</si>
  <si>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</si>
  <si>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</si>
  <si>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</si>
  <si>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</si>
  <si>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</si>
  <si>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</si>
  <si>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</si>
  <si>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</si>
  <si>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</si>
  <si>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</si>
  <si>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</si>
  <si>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</si>
  <si>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</si>
  <si>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</si>
  <si>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</si>
  <si>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</si>
  <si>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</si>
  <si>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</si>
  <si>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</si>
  <si>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</si>
  <si>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</si>
  <si>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</si>
  <si>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</si>
  <si>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</si>
  <si>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</si>
  <si>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</si>
  <si>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</si>
  <si>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</si>
  <si>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</si>
  <si>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</si>
  <si>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</si>
  <si>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</si>
  <si>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</si>
  <si>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</si>
  <si>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</si>
  <si>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</si>
  <si>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</si>
  <si>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</si>
  <si>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</si>
  <si>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</si>
  <si>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</si>
  <si>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</si>
  <si>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</si>
  <si>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</si>
  <si>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</si>
  <si>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</si>
  <si>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</si>
  <si>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</si>
  <si>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</si>
  <si>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</si>
  <si>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</si>
  <si>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</si>
  <si>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</si>
  <si>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</si>
  <si>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</si>
  <si>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</si>
  <si>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</si>
  <si>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</si>
  <si>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</si>
  <si>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</si>
  <si>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</si>
  <si>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</si>
  <si>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</si>
  <si>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</si>
  <si>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</si>
  <si>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</si>
  <si>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</si>
  <si>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</si>
  <si>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</si>
  <si>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</si>
  <si>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</si>
  <si>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</si>
  <si>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</si>
  <si>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</si>
  <si>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</si>
  <si>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</si>
  <si>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</si>
  <si>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</si>
  <si>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</si>
  <si>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</si>
  <si>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</si>
  <si>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</si>
  <si>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</si>
  <si>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</si>
  <si>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</si>
  <si>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</si>
  <si>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</si>
  <si>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</si>
  <si>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</si>
  <si>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</si>
  <si>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</si>
  <si>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</si>
  <si>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</si>
  <si>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</si>
  <si>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</si>
  <si>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</si>
  <si>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</si>
  <si>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</si>
  <si>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</si>
  <si>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</si>
  <si>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</si>
  <si>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</si>
  <si>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</si>
  <si>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</si>
  <si>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</si>
  <si>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</si>
  <si>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</si>
  <si>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</si>
  <si>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</si>
  <si>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</si>
  <si>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</si>
  <si>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</si>
  <si>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</si>
  <si>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</si>
  <si>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</si>
  <si>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</si>
  <si>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</si>
  <si>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</si>
  <si>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</si>
  <si>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</si>
  <si>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</si>
  <si>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</si>
  <si>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</si>
  <si>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</si>
  <si>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</si>
  <si>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</si>
  <si>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</si>
  <si>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</si>
  <si>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</si>
  <si>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</si>
  <si>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</si>
  <si>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</si>
  <si>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</si>
  <si>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</si>
  <si>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</si>
  <si>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</si>
  <si>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</si>
  <si>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</si>
  <si>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</si>
  <si>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</si>
  <si>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</si>
  <si>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</si>
  <si>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</si>
  <si>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</si>
  <si>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</si>
  <si>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</si>
  <si>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</si>
  <si>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</si>
  <si>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</si>
  <si>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</si>
  <si>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</si>
  <si>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</si>
  <si>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</si>
  <si>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</si>
  <si>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</si>
  <si>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</si>
  <si>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</si>
  <si>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</si>
  <si>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</si>
  <si>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</si>
  <si>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</si>
  <si>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</si>
  <si>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</si>
  <si>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</si>
  <si>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</si>
  <si>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</si>
  <si>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</si>
  <si>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</si>
  <si>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</si>
  <si>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</si>
  <si>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</si>
  <si>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</si>
  <si>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</si>
  <si>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</si>
  <si>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</si>
  <si>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</si>
  <si>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</si>
  <si>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</si>
  <si>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</si>
  <si>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</si>
  <si>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</si>
  <si>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</si>
  <si>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</si>
  <si>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</si>
  <si>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</si>
  <si>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</si>
  <si>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</si>
  <si>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</si>
  <si>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</si>
  <si>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</si>
  <si>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</si>
  <si>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</si>
  <si>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</si>
  <si>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</si>
  <si>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</si>
  <si>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</si>
  <si>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</si>
  <si>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</si>
  <si>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</si>
  <si>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</si>
  <si>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</si>
  <si>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</si>
  <si>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</si>
  <si>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</si>
  <si>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</si>
  <si>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</si>
  <si>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</si>
  <si>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</si>
  <si>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</si>
  <si>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</si>
  <si>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</si>
  <si>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</si>
  <si>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</si>
  <si>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</si>
  <si>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</si>
  <si>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</si>
  <si>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</si>
  <si>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</si>
  <si>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</si>
  <si>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</si>
  <si>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</si>
  <si>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</si>
  <si>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</si>
  <si>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</si>
  <si>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</si>
  <si>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</si>
  <si>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</si>
  <si>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</si>
  <si>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</si>
  <si>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</si>
  <si>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</si>
  <si>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</si>
  <si>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</si>
  <si>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</si>
  <si>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</si>
  <si>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</si>
  <si>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</si>
  <si>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</si>
  <si>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</si>
  <si>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</si>
  <si>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</si>
  <si>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</si>
  <si>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</si>
  <si>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</si>
  <si>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</si>
  <si>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</si>
  <si>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</si>
  <si>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</si>
  <si>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</si>
  <si>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</si>
  <si>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</si>
  <si>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</si>
  <si>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</si>
  <si>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</si>
  <si>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</si>
  <si>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</si>
  <si>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</si>
  <si>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</si>
  <si>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</si>
  <si>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</si>
  <si>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</si>
  <si>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</si>
  <si>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</si>
  <si>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</si>
  <si>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</si>
  <si>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</si>
  <si>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</si>
  <si>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</si>
  <si>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</si>
  <si>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</si>
  <si>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</si>
  <si>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</si>
  <si>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</si>
  <si>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</si>
  <si>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</si>
  <si>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</si>
  <si>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</si>
  <si>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</si>
  <si>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</si>
  <si>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</si>
  <si>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</si>
  <si>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</si>
  <si>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</si>
  <si>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</si>
  <si>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</si>
  <si>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</si>
  <si>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</si>
  <si>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</si>
  <si>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</si>
  <si>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</si>
  <si>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</si>
  <si>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</si>
  <si>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</si>
  <si>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</si>
  <si>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</si>
  <si>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</si>
  <si>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</si>
  <si>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</si>
  <si>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</si>
  <si>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</si>
  <si>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</si>
  <si>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</si>
  <si>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</si>
  <si>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</si>
  <si>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</si>
  <si>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</si>
  <si>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</si>
  <si>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</si>
  <si>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</si>
  <si>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</si>
  <si>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</si>
  <si>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</si>
  <si>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</si>
  <si>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</si>
  <si>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</si>
  <si>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</si>
  <si>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</si>
  <si>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</si>
  <si>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</si>
  <si>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</si>
  <si>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</si>
  <si>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</si>
  <si>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</si>
  <si>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</si>
  <si>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</si>
  <si>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</si>
  <si>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</si>
  <si>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</si>
  <si>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</si>
  <si>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</si>
  <si>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</si>
  <si>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</si>
  <si>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</si>
  <si>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</si>
  <si>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</si>
  <si>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</si>
  <si>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</si>
  <si>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</si>
  <si>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</si>
  <si>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</si>
  <si>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</si>
  <si>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</si>
  <si>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</si>
  <si>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</si>
  <si>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</si>
  <si>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</si>
  <si>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</si>
  <si>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</si>
  <si>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</si>
  <si>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</si>
  <si>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</si>
  <si>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</si>
  <si>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</si>
  <si>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</si>
  <si>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</si>
  <si>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</si>
  <si>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</si>
  <si>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</si>
  <si>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</si>
  <si>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</si>
  <si>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</si>
  <si>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</si>
  <si>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</si>
  <si>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</si>
  <si>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</si>
  <si>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</si>
  <si>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</si>
  <si>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</si>
  <si>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</si>
  <si>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</si>
  <si>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</si>
  <si>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</si>
  <si>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</si>
  <si>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</si>
  <si>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</si>
  <si>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</si>
  <si>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</si>
  <si>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</si>
  <si>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</si>
  <si>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</si>
  <si>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</si>
  <si>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</si>
  <si>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</si>
  <si>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</si>
  <si>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</si>
  <si>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</si>
  <si>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</si>
  <si>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</si>
  <si>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</si>
  <si>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</si>
  <si>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</si>
  <si>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</si>
  <si>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</si>
  <si>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</si>
  <si>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</si>
  <si>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</si>
  <si>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</si>
  <si>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</si>
  <si>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</si>
  <si>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</si>
  <si>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</si>
  <si>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</si>
  <si>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</si>
  <si>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</si>
  <si>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</si>
  <si>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</si>
  <si>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</si>
  <si>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</si>
  <si>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</si>
  <si>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</si>
  <si>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</si>
  <si>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</si>
  <si>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</si>
  <si>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</si>
  <si>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</si>
  <si>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</si>
  <si>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</si>
  <si>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</si>
  <si>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</si>
  <si>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</si>
  <si>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</si>
  <si>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</si>
  <si>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</si>
  <si>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</si>
  <si>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</si>
  <si>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</si>
  <si>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</si>
  <si>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</si>
  <si>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</si>
  <si>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</si>
  <si>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</si>
  <si>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</si>
  <si>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</si>
  <si>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</si>
  <si>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</si>
  <si>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</si>
  <si>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</si>
  <si>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</si>
  <si>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</si>
  <si>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</si>
  <si>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</si>
  <si>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</si>
  <si>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</si>
  <si>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</si>
  <si>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</si>
  <si>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</si>
  <si>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</si>
  <si>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</si>
  <si>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</si>
  <si>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</si>
  <si>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</si>
  <si>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</si>
  <si>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</si>
  <si>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</si>
  <si>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</si>
  <si>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</si>
  <si>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</si>
  <si>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</si>
  <si>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</si>
  <si>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</si>
  <si>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</si>
  <si>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</si>
  <si>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</si>
  <si>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</si>
  <si>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</si>
  <si>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</si>
  <si>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</si>
  <si>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</si>
  <si>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</si>
  <si>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</si>
  <si>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</si>
  <si>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</si>
  <si>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</si>
  <si>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223030400061A</t>
  </si>
  <si>
    <t>223050000011A</t>
  </si>
  <si>
    <t>223080000051A</t>
  </si>
  <si>
    <t>后盖</t>
  </si>
  <si>
    <t>224041210021A</t>
  </si>
  <si>
    <t>224041220021A</t>
  </si>
  <si>
    <t>223030090061A</t>
  </si>
  <si>
    <t>母头胶壳</t>
  </si>
  <si>
    <t>220152030011A</t>
  </si>
  <si>
    <t>223020000921A</t>
  </si>
  <si>
    <t>223020060271A</t>
  </si>
  <si>
    <t>双胞胎蓝色胶壳</t>
  </si>
  <si>
    <t>烨永泰</t>
  </si>
  <si>
    <t>206001950031A</t>
  </si>
  <si>
    <t>USB短体</t>
  </si>
  <si>
    <t>215152130011A</t>
  </si>
  <si>
    <t>UL015# 16黑色</t>
  </si>
  <si>
    <t>越洋</t>
  </si>
  <si>
    <t>102180890011A</t>
  </si>
  <si>
    <t>扁平线</t>
  </si>
  <si>
    <t>程茂电子</t>
  </si>
  <si>
    <t>3061000C0011A</t>
  </si>
  <si>
    <t>自然色卡扣</t>
  </si>
  <si>
    <t>306080080021A</t>
  </si>
  <si>
    <t>深灰色束线带</t>
  </si>
  <si>
    <t>佳湘</t>
  </si>
  <si>
    <t>717854040011R</t>
  </si>
  <si>
    <t>标签</t>
  </si>
  <si>
    <t>鸿正</t>
  </si>
  <si>
    <t xml:space="preserve">710E0C500011R </t>
  </si>
  <si>
    <t>珍珠棉</t>
  </si>
  <si>
    <t>701F0C7D0011R</t>
  </si>
  <si>
    <t>307106100011A</t>
  </si>
  <si>
    <t>223020090061A</t>
  </si>
  <si>
    <t>221072100161A</t>
  </si>
  <si>
    <t>公端子</t>
  </si>
  <si>
    <t>220207030011A</t>
  </si>
  <si>
    <t>224042100061A</t>
  </si>
  <si>
    <t>HSL铜壳</t>
  </si>
  <si>
    <t>219151050011A</t>
  </si>
  <si>
    <t>219131050031A</t>
  </si>
  <si>
    <t>22404Y210021A</t>
  </si>
  <si>
    <t>224000100031A</t>
  </si>
  <si>
    <t>223020090011A</t>
  </si>
  <si>
    <t>223020000161A</t>
  </si>
  <si>
    <t>胶芯</t>
  </si>
  <si>
    <t>221072150171A</t>
  </si>
  <si>
    <t>223020060151A</t>
  </si>
  <si>
    <t>221072140041A</t>
  </si>
  <si>
    <t>101260400011A</t>
  </si>
  <si>
    <t>LVDS线</t>
  </si>
  <si>
    <t>101250100021A</t>
  </si>
  <si>
    <t>101200400021A</t>
  </si>
  <si>
    <t>亿格</t>
  </si>
  <si>
    <t>306080000301A</t>
  </si>
  <si>
    <t>223080000221A</t>
  </si>
  <si>
    <t>飞机扣</t>
  </si>
  <si>
    <t>307130100011A</t>
  </si>
  <si>
    <t>307135100011A</t>
  </si>
  <si>
    <t>703D7B900061R</t>
  </si>
  <si>
    <t>701D0C5D0011R</t>
  </si>
  <si>
    <t>223030270021A</t>
  </si>
  <si>
    <t>紫色二次锁扣</t>
  </si>
  <si>
    <t>223190070011A</t>
  </si>
  <si>
    <t>223030270011A</t>
  </si>
  <si>
    <t>301040090141A</t>
  </si>
  <si>
    <t>导光板</t>
  </si>
  <si>
    <t>22454Y200031A</t>
  </si>
  <si>
    <t>307357100011A</t>
  </si>
  <si>
    <t>224240200021A</t>
  </si>
  <si>
    <t>223180000181A</t>
  </si>
  <si>
    <t>22404Y100091A</t>
  </si>
  <si>
    <t>弯头主体</t>
  </si>
  <si>
    <t>223130020101A</t>
  </si>
  <si>
    <t>国轩</t>
  </si>
  <si>
    <t>801A04010011A</t>
  </si>
  <si>
    <t>双面导电铜箔</t>
  </si>
  <si>
    <t>801A04010021A</t>
  </si>
  <si>
    <t>雅文</t>
  </si>
  <si>
    <t>702157090011H</t>
  </si>
  <si>
    <t>纸扎带</t>
  </si>
  <si>
    <t>223020080061A</t>
  </si>
  <si>
    <t>221072150121A</t>
  </si>
  <si>
    <t>221072010111A</t>
  </si>
  <si>
    <t>223020000481A</t>
  </si>
  <si>
    <t>棕色内胶壳</t>
  </si>
  <si>
    <t>223020000471A</t>
  </si>
  <si>
    <t>灰色内胶壳</t>
  </si>
  <si>
    <t>223020000491A</t>
  </si>
  <si>
    <t>224542100031A</t>
  </si>
  <si>
    <t>206011E90021A</t>
  </si>
  <si>
    <t>224041110041A</t>
  </si>
  <si>
    <t>USB下铜壳</t>
  </si>
  <si>
    <t>223060080021A</t>
  </si>
  <si>
    <t>灰色小线卡</t>
  </si>
  <si>
    <t>223020000501A</t>
  </si>
  <si>
    <t>224041120041A</t>
  </si>
  <si>
    <t>221072010101A</t>
  </si>
  <si>
    <t>224000200061A</t>
  </si>
  <si>
    <t>下屏蔽壳</t>
  </si>
  <si>
    <t>224000200071A</t>
  </si>
  <si>
    <t>上屏蔽壳</t>
  </si>
  <si>
    <t>223060000081A</t>
  </si>
  <si>
    <t>223080060061A</t>
  </si>
  <si>
    <t>223070400021A</t>
  </si>
  <si>
    <t>301080000011A</t>
  </si>
  <si>
    <t>223070060051A</t>
  </si>
  <si>
    <t>224640200081A</t>
  </si>
  <si>
    <t>223180060041A</t>
  </si>
  <si>
    <t>223130020021A</t>
  </si>
  <si>
    <t>红色防水圈</t>
  </si>
  <si>
    <t>223100000041A</t>
  </si>
  <si>
    <t>塑胶后盖</t>
  </si>
  <si>
    <t>224200000011A</t>
  </si>
  <si>
    <t>223030070061A</t>
  </si>
  <si>
    <t>乾方</t>
  </si>
  <si>
    <t>502000000011A</t>
  </si>
  <si>
    <t>PBT胶料</t>
  </si>
  <si>
    <t>502100000011A</t>
  </si>
  <si>
    <t>ABS改性料</t>
  </si>
  <si>
    <t>HDMI</t>
  </si>
  <si>
    <t>717382210011R</t>
  </si>
  <si>
    <t>HDMI标签</t>
  </si>
  <si>
    <t>223020090081A</t>
  </si>
  <si>
    <t>2230200J0011A</t>
  </si>
  <si>
    <t>223020020141A</t>
  </si>
  <si>
    <t>223020060181A</t>
  </si>
  <si>
    <t>223070490021A</t>
  </si>
  <si>
    <t>223030400031A</t>
  </si>
  <si>
    <t>223030490011A</t>
  </si>
  <si>
    <t>223020010091A</t>
  </si>
  <si>
    <t>224540200061A</t>
  </si>
  <si>
    <t>223180000101A</t>
  </si>
  <si>
    <t>建盛荣</t>
  </si>
  <si>
    <t>219131050011A</t>
  </si>
  <si>
    <t>219421040011A</t>
  </si>
  <si>
    <t>219422040021A</t>
  </si>
  <si>
    <t>旭卓飞</t>
  </si>
  <si>
    <t>602000010031A</t>
  </si>
  <si>
    <t>FPCA</t>
  </si>
  <si>
    <t>衡越</t>
  </si>
  <si>
    <t>206151060031A</t>
  </si>
  <si>
    <t>TYPC</t>
  </si>
  <si>
    <t>104260360011A</t>
  </si>
  <si>
    <t>UL1061＃26　蓝色</t>
  </si>
  <si>
    <t>101260500011A</t>
  </si>
  <si>
    <t>101301000011A</t>
  </si>
  <si>
    <t>福尔欣</t>
  </si>
  <si>
    <t>101260200091A</t>
  </si>
  <si>
    <t>领亚</t>
  </si>
  <si>
    <t>101280400121A</t>
  </si>
  <si>
    <t>501145400011B</t>
  </si>
  <si>
    <t>45P黑色PVC</t>
  </si>
  <si>
    <t>801510010011A</t>
  </si>
  <si>
    <t>308130100011A</t>
  </si>
  <si>
    <t>PVC软管</t>
  </si>
  <si>
    <t>307164100011A</t>
  </si>
  <si>
    <t>223020060081A</t>
  </si>
  <si>
    <t>221079010011A</t>
  </si>
  <si>
    <t>301080000041A</t>
  </si>
  <si>
    <t>下盖</t>
  </si>
  <si>
    <t>220132030041A</t>
  </si>
  <si>
    <t>219421010011A</t>
  </si>
  <si>
    <t>凌志链接</t>
  </si>
  <si>
    <t>223110080041A</t>
  </si>
  <si>
    <t>223020050161A</t>
  </si>
  <si>
    <t>绿色锁扣</t>
  </si>
  <si>
    <t>223030000311A</t>
  </si>
  <si>
    <t>223030000321A</t>
  </si>
  <si>
    <t>223130060021A</t>
  </si>
  <si>
    <t>防水塞</t>
  </si>
  <si>
    <t>223030060081A</t>
  </si>
  <si>
    <t>307150100011A</t>
  </si>
  <si>
    <t>307210100011A</t>
  </si>
  <si>
    <t>307125100011A</t>
  </si>
  <si>
    <t>705A65010041A</t>
  </si>
  <si>
    <t>纸卡</t>
  </si>
  <si>
    <t>224640100041A</t>
  </si>
  <si>
    <t>221079380011A</t>
  </si>
  <si>
    <t>223020000041A</t>
  </si>
  <si>
    <t>胶卡</t>
  </si>
  <si>
    <t>216132020021A</t>
  </si>
  <si>
    <t>LVDS下铜壳</t>
  </si>
  <si>
    <t>223020090031A</t>
  </si>
  <si>
    <t>白色卡扣</t>
  </si>
  <si>
    <t>206002090021A</t>
  </si>
  <si>
    <t>USB  下铜壳</t>
  </si>
  <si>
    <t>U00AMU200021A</t>
  </si>
  <si>
    <t>黑色单体母座</t>
  </si>
  <si>
    <t>鸿昌顺</t>
  </si>
  <si>
    <t>301040090061A</t>
  </si>
  <si>
    <t>白色上盖</t>
  </si>
  <si>
    <t>301040090091A</t>
  </si>
  <si>
    <t>白色下盖</t>
  </si>
  <si>
    <t>221072150141A</t>
  </si>
  <si>
    <t>221072120051A</t>
  </si>
  <si>
    <t>221029010051A</t>
  </si>
  <si>
    <t>221029010211A</t>
  </si>
  <si>
    <t>221029010201A</t>
  </si>
  <si>
    <t>221021010071A</t>
  </si>
  <si>
    <t>221029010251A</t>
  </si>
  <si>
    <t>223020050151A</t>
  </si>
  <si>
    <t>223110080031A</t>
  </si>
  <si>
    <t>旺昀</t>
  </si>
  <si>
    <t>206001950011A</t>
  </si>
  <si>
    <t>USB三件式</t>
  </si>
  <si>
    <t>昌盛旨</t>
  </si>
  <si>
    <t>716801510011R</t>
  </si>
  <si>
    <t>空白标签</t>
  </si>
  <si>
    <t>汉烯</t>
  </si>
  <si>
    <t>801N00030011A</t>
  </si>
  <si>
    <t>导热片</t>
  </si>
  <si>
    <t>海欣达</t>
  </si>
  <si>
    <t>307150190031A</t>
  </si>
  <si>
    <t>307150190041A</t>
  </si>
  <si>
    <t>707806500011R</t>
  </si>
  <si>
    <t>防水袋</t>
  </si>
  <si>
    <t>701C5C4D0011R</t>
  </si>
  <si>
    <t>707806500021R</t>
  </si>
  <si>
    <t>221072030021A</t>
  </si>
  <si>
    <t>301040090111A</t>
  </si>
  <si>
    <t>223180090201A</t>
  </si>
  <si>
    <t>306080000261H</t>
  </si>
  <si>
    <t>301150000021A</t>
  </si>
  <si>
    <t>101170400021A</t>
  </si>
  <si>
    <t>104200200021A</t>
  </si>
  <si>
    <t>UL1007 #20黑色</t>
  </si>
  <si>
    <t>221029010351A</t>
  </si>
  <si>
    <t>223030000181A</t>
  </si>
  <si>
    <t>221071030021A</t>
  </si>
  <si>
    <t>223080000021A</t>
  </si>
  <si>
    <t>224542200171A</t>
  </si>
  <si>
    <t>223070460031A</t>
  </si>
  <si>
    <t>221072200071A</t>
  </si>
  <si>
    <t>223080060041A</t>
  </si>
  <si>
    <t>224540200211A</t>
  </si>
  <si>
    <t>206101650011B</t>
  </si>
  <si>
    <t>中圣恒</t>
  </si>
  <si>
    <t>408164640011A</t>
  </si>
  <si>
    <t>磁环铁</t>
  </si>
  <si>
    <t>206171050011H</t>
  </si>
  <si>
    <t>101200600011A</t>
  </si>
  <si>
    <t>平乐</t>
  </si>
  <si>
    <t>70220TY00021R</t>
  </si>
  <si>
    <t>扎带</t>
  </si>
  <si>
    <t>219401020071A</t>
  </si>
  <si>
    <t>矩形胶壳</t>
  </si>
  <si>
    <t>223040100011A</t>
  </si>
  <si>
    <t>223040200011A</t>
  </si>
  <si>
    <t>401001010021A</t>
  </si>
  <si>
    <t>上壳</t>
  </si>
  <si>
    <t>401001020021A</t>
  </si>
  <si>
    <t>下壳</t>
  </si>
  <si>
    <t>223130050011A</t>
  </si>
  <si>
    <t>前防水圈</t>
  </si>
  <si>
    <t>223130040011A</t>
  </si>
  <si>
    <t>后防水圈</t>
  </si>
  <si>
    <t>224640200041A</t>
  </si>
  <si>
    <t>221079120081A</t>
  </si>
  <si>
    <t>219252030011A</t>
  </si>
  <si>
    <t>220221030021A</t>
  </si>
  <si>
    <t>219221040011A</t>
  </si>
  <si>
    <t>220202030031A</t>
  </si>
  <si>
    <t>219131100011A</t>
  </si>
  <si>
    <t>219201030031A</t>
  </si>
  <si>
    <t>219201050021A</t>
  </si>
  <si>
    <t>南流江</t>
  </si>
  <si>
    <t>2130221A0011A</t>
  </si>
  <si>
    <t>莲花头</t>
  </si>
  <si>
    <t>101220200141A</t>
  </si>
  <si>
    <t>101201000021A</t>
  </si>
  <si>
    <t>307160100011A</t>
  </si>
  <si>
    <t>710A76500011R</t>
  </si>
  <si>
    <t>珍珠棉袋</t>
  </si>
  <si>
    <t>701N4L2D0011A</t>
  </si>
  <si>
    <t>701A8A6D0021R</t>
  </si>
  <si>
    <t>701A8A6D0031R</t>
  </si>
  <si>
    <t>701A7B3D0011A</t>
  </si>
  <si>
    <t>7174822H0011A</t>
  </si>
  <si>
    <t>223020060021A</t>
  </si>
  <si>
    <t>蓝色卡扣</t>
  </si>
  <si>
    <t>206002990011A</t>
  </si>
  <si>
    <t>USB A/F</t>
  </si>
  <si>
    <t>223020090311A</t>
  </si>
  <si>
    <t>221071010021A</t>
  </si>
  <si>
    <t>公头铜芯</t>
  </si>
  <si>
    <t>402442800011A</t>
  </si>
  <si>
    <t>225020600021A</t>
  </si>
  <si>
    <t>HSL连接器</t>
  </si>
  <si>
    <t>223070090031A</t>
  </si>
  <si>
    <t>223070490011A</t>
  </si>
  <si>
    <t>223080000261A</t>
  </si>
  <si>
    <t>223080000251A</t>
  </si>
  <si>
    <t>223180020041A</t>
  </si>
  <si>
    <t>223020080281A</t>
  </si>
  <si>
    <t>223030070071A</t>
  </si>
  <si>
    <t>219302030011A</t>
  </si>
  <si>
    <t>103282680011A</t>
  </si>
  <si>
    <t>3M排线</t>
  </si>
  <si>
    <t>101280200011A</t>
  </si>
  <si>
    <t>101260900021A</t>
  </si>
  <si>
    <t>801115020011A</t>
  </si>
  <si>
    <t>醋酸胶布</t>
  </si>
  <si>
    <t>223130020031A</t>
  </si>
  <si>
    <t>223020060191A</t>
  </si>
  <si>
    <t>220302030011A</t>
  </si>
  <si>
    <t>104221320021A</t>
  </si>
  <si>
    <t>0.35平方红色</t>
  </si>
  <si>
    <t>104181340031A</t>
  </si>
  <si>
    <t>0.35平方黄色</t>
  </si>
  <si>
    <t>104181300041A</t>
  </si>
  <si>
    <t>0.35平方黑色</t>
  </si>
  <si>
    <t>717701280011R</t>
  </si>
  <si>
    <t>717701280041R</t>
  </si>
  <si>
    <t>717701280051R</t>
  </si>
  <si>
    <t>717701280331R</t>
  </si>
  <si>
    <t>717701280341R</t>
  </si>
  <si>
    <t>717701280351R</t>
  </si>
  <si>
    <t>717701280371R</t>
  </si>
  <si>
    <t>717751280011R</t>
  </si>
  <si>
    <t>717A25580071R</t>
  </si>
  <si>
    <t>717801080011R</t>
  </si>
  <si>
    <t>717500680011R</t>
  </si>
  <si>
    <t>717A25580151R</t>
  </si>
  <si>
    <t>千岛</t>
  </si>
  <si>
    <t>805006010011A</t>
  </si>
  <si>
    <t>0.6MM锡丝</t>
  </si>
  <si>
    <t>威图</t>
  </si>
  <si>
    <t>801915010041A</t>
  </si>
  <si>
    <t>牛皮纸带</t>
  </si>
  <si>
    <t>801915010011A</t>
  </si>
  <si>
    <t>308185190031A</t>
  </si>
  <si>
    <t>308185190021A</t>
  </si>
  <si>
    <t>308185190041A</t>
  </si>
  <si>
    <t>201012930011A</t>
  </si>
  <si>
    <t>223110000041A</t>
  </si>
  <si>
    <t>223020000241A</t>
  </si>
  <si>
    <t>长体防水胶壳</t>
  </si>
  <si>
    <t>223100020021A</t>
  </si>
  <si>
    <t>2010129Z0021A</t>
  </si>
  <si>
    <t>223020090161A</t>
  </si>
  <si>
    <t>223020060231A</t>
  </si>
  <si>
    <t>223030000121A</t>
  </si>
  <si>
    <t>223020000231A</t>
  </si>
  <si>
    <t>223030000131A</t>
  </si>
  <si>
    <t>223030010011A</t>
  </si>
  <si>
    <t>棕色胶壳</t>
  </si>
  <si>
    <t>224600000011A</t>
  </si>
  <si>
    <t>201012920011A</t>
  </si>
  <si>
    <t>母头铜芯</t>
  </si>
  <si>
    <t>1012501D0011A</t>
  </si>
  <si>
    <t>RG316</t>
  </si>
  <si>
    <t>224542100071A</t>
  </si>
  <si>
    <t>221075010021A</t>
  </si>
  <si>
    <t>223110490011A</t>
  </si>
  <si>
    <t>224042200011A</t>
  </si>
  <si>
    <t>224542200151A</t>
  </si>
  <si>
    <t>223180070011A</t>
  </si>
  <si>
    <t>223020000651A</t>
  </si>
  <si>
    <t>正瑞华鑫</t>
  </si>
  <si>
    <t>206182690021A</t>
  </si>
  <si>
    <t>221079010021A</t>
  </si>
  <si>
    <t>223030060271A</t>
  </si>
  <si>
    <t>224000010051A</t>
  </si>
  <si>
    <t>齐鑫</t>
  </si>
  <si>
    <t>220201050021A</t>
  </si>
  <si>
    <t>401031200021A</t>
  </si>
  <si>
    <t>401031200031A</t>
  </si>
  <si>
    <t>223080000291A</t>
  </si>
  <si>
    <t>内胶壳</t>
  </si>
  <si>
    <t>306020020011A</t>
  </si>
  <si>
    <t>红色锁扣</t>
  </si>
  <si>
    <t>306060000011A</t>
  </si>
  <si>
    <t>223080000281A</t>
  </si>
  <si>
    <t>红色胶壳</t>
  </si>
  <si>
    <t>协升</t>
  </si>
  <si>
    <t>303090000011A</t>
  </si>
  <si>
    <t>硅胶垫</t>
  </si>
  <si>
    <t>亿昌达</t>
  </si>
  <si>
    <t>202022050011A</t>
  </si>
  <si>
    <t>BNC插头</t>
  </si>
  <si>
    <t>金信诺</t>
  </si>
  <si>
    <t>101210100071A</t>
  </si>
  <si>
    <t>艾威尔</t>
  </si>
  <si>
    <t>601180000031A</t>
  </si>
  <si>
    <t>PCB板</t>
  </si>
  <si>
    <t>5010ZZ000021A</t>
  </si>
  <si>
    <t>PE料</t>
  </si>
  <si>
    <t>5010ZZ0D0011A</t>
  </si>
  <si>
    <t>凯洛威</t>
  </si>
  <si>
    <t>801915010031A</t>
  </si>
  <si>
    <t>纸带</t>
  </si>
  <si>
    <t>和兴创新</t>
  </si>
  <si>
    <t>801P05020012A</t>
  </si>
  <si>
    <t>EVA泡棉</t>
  </si>
  <si>
    <t>704A976G0011A</t>
  </si>
  <si>
    <t>705G8G820011A</t>
  </si>
  <si>
    <t>703C0B500011R</t>
  </si>
  <si>
    <t>703D7B900031R</t>
  </si>
  <si>
    <t>703C5B900011R</t>
  </si>
  <si>
    <t>703H8H800011A</t>
  </si>
  <si>
    <t>2010129Z0031A</t>
  </si>
  <si>
    <t>223100000031A</t>
  </si>
  <si>
    <t>221072100061A</t>
  </si>
  <si>
    <t>221072100051A</t>
  </si>
  <si>
    <t>221072100071A</t>
  </si>
  <si>
    <t>2060020A0021A</t>
  </si>
  <si>
    <t>半包式母座</t>
  </si>
  <si>
    <t>2060020A0011A</t>
  </si>
  <si>
    <t>221071010181A</t>
  </si>
  <si>
    <t>223020000561A</t>
  </si>
  <si>
    <t>223030460021A</t>
  </si>
  <si>
    <t>220202030051A</t>
  </si>
  <si>
    <t>220252030051A</t>
  </si>
  <si>
    <t>219251020061A</t>
  </si>
  <si>
    <t>219201070011A</t>
  </si>
  <si>
    <t>223030000531A</t>
  </si>
  <si>
    <t>223030000521A</t>
  </si>
  <si>
    <t>223020000151A</t>
  </si>
  <si>
    <t>223020060011A</t>
  </si>
  <si>
    <t>221071030011A</t>
  </si>
  <si>
    <t>223080060051A</t>
  </si>
  <si>
    <t>221071010171A</t>
  </si>
  <si>
    <t>博戈斯</t>
  </si>
  <si>
    <t>202061090031A</t>
  </si>
  <si>
    <t>长垣方元</t>
  </si>
  <si>
    <t>302120000051A</t>
  </si>
  <si>
    <t>护套</t>
  </si>
  <si>
    <t>玮帝</t>
  </si>
  <si>
    <t>102260280011A</t>
  </si>
  <si>
    <t>101240500031A</t>
  </si>
  <si>
    <t>101220200151A</t>
  </si>
  <si>
    <t>104200260011A</t>
  </si>
  <si>
    <t>蓝色 UL1007</t>
  </si>
  <si>
    <t>海佳顺</t>
  </si>
  <si>
    <t>501425000011A</t>
  </si>
  <si>
    <t>TPU胶料</t>
  </si>
  <si>
    <t>307220100011A</t>
  </si>
  <si>
    <t>2.0超薄套管</t>
  </si>
  <si>
    <t>710A87000011R</t>
  </si>
  <si>
    <t>71036G000011R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</si>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</sst>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57" fillId="20" borderId="24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0" fillId="27" borderId="26" applyNumberFormat="0" applyFont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9" fillId="0" borderId="23" applyNumberFormat="0" applyFill="0" applyAlignment="0" applyProtection="0">
      <alignment vertical="center"/>
    </xf>
    <xf numFmtId="0" fontId="54" fillId="0" borderId="23" applyNumberFormat="0" applyFill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63" fillId="0" borderId="29" applyNumberFormat="0" applyFill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62" fillId="29" borderId="27" applyNumberFormat="0" applyAlignment="0" applyProtection="0">
      <alignment vertical="center"/>
    </xf>
    <xf numFmtId="0" fontId="66" fillId="29" borderId="24" applyNumberFormat="0" applyAlignment="0" applyProtection="0">
      <alignment vertical="center"/>
    </xf>
    <xf numFmtId="0" fontId="67" fillId="33" borderId="30" applyNumberFormat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65" fillId="0" borderId="28" applyNumberFormat="0" applyFill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58" fillId="21" borderId="0" applyNumberFormat="0" applyBorder="0" applyAlignment="0" applyProtection="0">
      <alignment vertical="center"/>
    </xf>
    <xf numFmtId="0" fontId="68" fillId="3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53" fillId="15" borderId="0" applyNumberFormat="0" applyBorder="0" applyAlignment="0" applyProtection="0">
      <alignment vertical="center"/>
    </xf>
    <xf numFmtId="0" fontId="64" fillId="0" borderId="0"/>
  </cellStyleXfs>
  <cellXfs count="289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6"/>
  <sheetViews>
    <sheetView tabSelected="1" view="pageBreakPreview" zoomScaleNormal="100" zoomScaleSheetLayoutView="100" workbookViewId="0">
      <pane ySplit="2" topLeftCell="A505" activePane="bottomLeft" state="frozen"/>
      <selection/>
      <selection pane="bottomLeft" activeCell="I531" sqref="I530:I531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66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-46049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-46049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-46049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66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-46049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-46049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-46049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66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66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66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66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66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66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66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66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67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67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67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67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67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67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67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67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67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67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67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67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67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67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67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67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67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67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67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67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67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67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67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67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67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68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68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68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68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68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68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68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68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68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68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68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68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68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68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68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68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68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68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68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68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68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68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68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68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69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69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69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69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69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69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69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69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69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69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69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69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69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69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69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69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69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69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69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69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69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69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69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69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69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69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69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69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69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70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70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70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70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70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70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70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70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70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70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70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70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70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70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70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70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70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70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70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70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70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70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70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70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70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70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70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70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70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71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71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71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71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71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71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71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71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71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71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71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71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71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71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71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71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71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71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71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71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71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71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71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71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71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71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71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72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72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72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72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72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72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72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72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72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72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72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72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72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72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72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72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72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72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72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72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72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72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72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72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72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72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72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/>
      <c r="L175" s="120">
        <f t="shared" ref="L175:L199" si="16">EDATE(I175,J175)</f>
        <v>46122</v>
      </c>
      <c r="M175" s="121">
        <f ca="1" t="shared" ref="M175:M199" si="17">L175-TODAY()</f>
        <v>73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500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/>
      <c r="L176" s="120">
        <f t="shared" si="16"/>
        <v>46122</v>
      </c>
      <c r="M176" s="121">
        <f ca="1" t="shared" si="17"/>
        <v>73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/>
      <c r="L177" s="120">
        <f t="shared" si="16"/>
        <v>46122</v>
      </c>
      <c r="M177" s="121">
        <f ca="1" t="shared" si="17"/>
        <v>73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501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/>
      <c r="L178" s="120">
        <f t="shared" si="16"/>
        <v>46122</v>
      </c>
      <c r="M178" s="121">
        <f ca="1" t="shared" si="17"/>
        <v>73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502</v>
      </c>
      <c r="E179" s="176" t="s">
        <v>503</v>
      </c>
      <c r="F179" s="177"/>
      <c r="G179" s="178"/>
      <c r="H179" s="82"/>
      <c r="I179" s="118">
        <v>46032</v>
      </c>
      <c r="J179" s="192">
        <v>3</v>
      </c>
      <c r="K179" s="127"/>
      <c r="L179" s="120">
        <f t="shared" si="16"/>
        <v>46122</v>
      </c>
      <c r="M179" s="121">
        <f ca="1" t="shared" si="17"/>
        <v>73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/>
      <c r="L180" s="120">
        <f t="shared" si="16"/>
        <v>46122</v>
      </c>
      <c r="M180" s="121">
        <f ca="1" t="shared" si="17"/>
        <v>73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/>
      <c r="L181" s="120">
        <f t="shared" si="16"/>
        <v>46122</v>
      </c>
      <c r="M181" s="121">
        <f ca="1" t="shared" si="17"/>
        <v>73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504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/>
      <c r="L182" s="120">
        <f t="shared" si="16"/>
        <v>46122</v>
      </c>
      <c r="M182" s="121">
        <f ca="1" t="shared" si="17"/>
        <v>73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505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/>
      <c r="L183" s="120">
        <f t="shared" si="16"/>
        <v>46122</v>
      </c>
      <c r="M183" s="121">
        <f ca="1" t="shared" si="17"/>
        <v>73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/>
      <c r="L184" s="120">
        <f t="shared" si="16"/>
        <v>46122</v>
      </c>
      <c r="M184" s="121">
        <f ca="1" t="shared" si="17"/>
        <v>73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506</v>
      </c>
      <c r="E185" s="179" t="s">
        <v>507</v>
      </c>
      <c r="F185" s="180"/>
      <c r="G185" s="181"/>
      <c r="H185" s="89" t="s">
        <v>16</v>
      </c>
      <c r="I185" s="118">
        <v>46032</v>
      </c>
      <c r="J185" s="192">
        <v>3</v>
      </c>
      <c r="K185" s="127"/>
      <c r="L185" s="120">
        <f t="shared" si="16"/>
        <v>46122</v>
      </c>
      <c r="M185" s="121">
        <f ca="1" t="shared" si="17"/>
        <v>73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508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/>
      <c r="L186" s="120">
        <f t="shared" si="16"/>
        <v>46122</v>
      </c>
      <c r="M186" s="121">
        <f ca="1" t="shared" si="17"/>
        <v>73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509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/>
      <c r="L187" s="120">
        <f t="shared" si="16"/>
        <v>46122</v>
      </c>
      <c r="M187" s="121">
        <f ca="1" t="shared" si="17"/>
        <v>73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510</v>
      </c>
      <c r="E188" s="179" t="s">
        <v>511</v>
      </c>
      <c r="F188" s="180"/>
      <c r="G188" s="181"/>
      <c r="H188" s="83" t="s">
        <v>16</v>
      </c>
      <c r="I188" s="118">
        <v>46032</v>
      </c>
      <c r="J188" s="192">
        <v>3</v>
      </c>
      <c r="K188" s="127"/>
      <c r="L188" s="120">
        <f t="shared" si="16"/>
        <v>46122</v>
      </c>
      <c r="M188" s="121">
        <f ca="1" t="shared" si="17"/>
        <v>73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512</v>
      </c>
      <c r="C189" s="73" t="s">
        <v>27</v>
      </c>
      <c r="D189" s="74" t="s">
        <v>513</v>
      </c>
      <c r="E189" s="179" t="s">
        <v>514</v>
      </c>
      <c r="F189" s="180"/>
      <c r="G189" s="181"/>
      <c r="H189" s="82"/>
      <c r="I189" s="118">
        <v>46032</v>
      </c>
      <c r="J189" s="192">
        <v>3</v>
      </c>
      <c r="K189" s="127"/>
      <c r="L189" s="120">
        <f t="shared" si="16"/>
        <v>46122</v>
      </c>
      <c r="M189" s="121">
        <f ca="1" t="shared" si="17"/>
        <v>73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515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/>
      <c r="L190" s="120">
        <f t="shared" si="16"/>
        <v>46122</v>
      </c>
      <c r="M190" s="121">
        <f ca="1" t="shared" si="17"/>
        <v>73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516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517</v>
      </c>
      <c r="C193" s="73" t="s">
        <v>158</v>
      </c>
      <c r="D193" s="74" t="s">
        <v>518</v>
      </c>
      <c r="E193" s="179" t="s">
        <v>519</v>
      </c>
      <c r="F193" s="180"/>
      <c r="G193" s="181"/>
      <c r="H193" s="82"/>
      <c r="I193" s="223">
        <v>46032</v>
      </c>
      <c r="J193" s="192">
        <v>3</v>
      </c>
      <c r="K193" s="127"/>
      <c r="L193" s="120">
        <f t="shared" si="16"/>
        <v>46122</v>
      </c>
      <c r="M193" s="121">
        <f ca="1" t="shared" si="17"/>
        <v>73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520</v>
      </c>
      <c r="C194" s="73" t="s">
        <v>228</v>
      </c>
      <c r="D194" s="74" t="s">
        <v>521</v>
      </c>
      <c r="E194" s="179" t="s">
        <v>522</v>
      </c>
      <c r="F194" s="180"/>
      <c r="G194" s="181"/>
      <c r="H194" s="89" t="s">
        <v>16</v>
      </c>
      <c r="I194" s="223">
        <v>46032</v>
      </c>
      <c r="J194" s="192">
        <v>3</v>
      </c>
      <c r="K194" s="127"/>
      <c r="L194" s="120">
        <f t="shared" si="16"/>
        <v>46122</v>
      </c>
      <c r="M194" s="121">
        <f ca="1" t="shared" si="17"/>
        <v>73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520</v>
      </c>
      <c r="C195" s="73" t="s">
        <v>228</v>
      </c>
      <c r="D195" s="74" t="s">
        <v>523</v>
      </c>
      <c r="E195" s="179" t="s">
        <v>524</v>
      </c>
      <c r="F195" s="180"/>
      <c r="G195" s="181"/>
      <c r="H195" s="82"/>
      <c r="I195" s="223">
        <v>46032</v>
      </c>
      <c r="J195" s="192">
        <v>3</v>
      </c>
      <c r="K195" s="127"/>
      <c r="L195" s="120">
        <f t="shared" si="16"/>
        <v>46122</v>
      </c>
      <c r="M195" s="121">
        <f ca="1" t="shared" si="17"/>
        <v>73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525</v>
      </c>
      <c r="C196" s="73" t="s">
        <v>228</v>
      </c>
      <c r="D196" s="74" t="s">
        <v>526</v>
      </c>
      <c r="E196" s="179" t="s">
        <v>527</v>
      </c>
      <c r="F196" s="180"/>
      <c r="G196" s="181"/>
      <c r="H196" s="89" t="s">
        <v>16</v>
      </c>
      <c r="I196" s="223">
        <v>46032</v>
      </c>
      <c r="J196" s="192">
        <v>3</v>
      </c>
      <c r="K196" s="127"/>
      <c r="L196" s="120">
        <f t="shared" si="16"/>
        <v>46122</v>
      </c>
      <c r="M196" s="121">
        <f ca="1" t="shared" si="17"/>
        <v>73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528</v>
      </c>
      <c r="C197" s="73" t="s">
        <v>228</v>
      </c>
      <c r="D197" s="74" t="s">
        <v>529</v>
      </c>
      <c r="E197" s="179" t="s">
        <v>530</v>
      </c>
      <c r="F197" s="180"/>
      <c r="G197" s="181"/>
      <c r="H197" s="89" t="s">
        <v>16</v>
      </c>
      <c r="I197" s="223">
        <v>46032</v>
      </c>
      <c r="J197" s="192">
        <v>3</v>
      </c>
      <c r="K197" s="127"/>
      <c r="L197" s="120">
        <f t="shared" si="16"/>
        <v>46122</v>
      </c>
      <c r="M197" s="121">
        <f ca="1" t="shared" si="17"/>
        <v>73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528</v>
      </c>
      <c r="C198" s="73" t="s">
        <v>228</v>
      </c>
      <c r="D198" s="74" t="s">
        <v>531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/>
      <c r="L198" s="120">
        <f t="shared" si="16"/>
        <v>46122</v>
      </c>
      <c r="M198" s="121">
        <f ca="1" t="shared" si="17"/>
        <v>73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532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/>
      <c r="L199" s="120">
        <f t="shared" si="16"/>
        <v>46122</v>
      </c>
      <c r="M199" s="121">
        <f ca="1" t="shared" si="17"/>
        <v>73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533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/>
      <c r="L200" s="120">
        <f t="shared" ref="L200:L207" si="18">EDATE(I200,J200)</f>
        <v>46123</v>
      </c>
      <c r="M200" s="121">
        <f ca="1" t="shared" ref="M200:M207" si="19">L200-TODAY()</f>
        <v>74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534</v>
      </c>
      <c r="E201" s="179" t="s">
        <v>535</v>
      </c>
      <c r="F201" s="180"/>
      <c r="G201" s="181"/>
      <c r="H201" s="89" t="s">
        <v>16</v>
      </c>
      <c r="I201" s="223">
        <v>46033</v>
      </c>
      <c r="J201" s="192">
        <v>3</v>
      </c>
      <c r="K201" s="127"/>
      <c r="L201" s="120">
        <f t="shared" si="18"/>
        <v>46123</v>
      </c>
      <c r="M201" s="121">
        <f ca="1" t="shared" si="19"/>
        <v>74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536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/>
      <c r="L202" s="120">
        <f t="shared" si="18"/>
        <v>46123</v>
      </c>
      <c r="M202" s="121">
        <f ca="1" t="shared" si="19"/>
        <v>74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537</v>
      </c>
      <c r="E203" s="179" t="s">
        <v>538</v>
      </c>
      <c r="F203" s="180"/>
      <c r="G203" s="181"/>
      <c r="H203" s="89" t="s">
        <v>16</v>
      </c>
      <c r="I203" s="223">
        <v>46033</v>
      </c>
      <c r="J203" s="192">
        <v>3</v>
      </c>
      <c r="K203" s="127"/>
      <c r="L203" s="120">
        <f t="shared" si="18"/>
        <v>46123</v>
      </c>
      <c r="M203" s="121">
        <f ca="1" t="shared" si="19"/>
        <v>74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539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/>
      <c r="L204" s="120">
        <f t="shared" si="18"/>
        <v>46123</v>
      </c>
      <c r="M204" s="121">
        <f ca="1" t="shared" si="19"/>
        <v>74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540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/>
      <c r="L205" s="120">
        <f t="shared" si="18"/>
        <v>46123</v>
      </c>
      <c r="M205" s="121">
        <f ca="1" t="shared" si="19"/>
        <v>74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541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/>
      <c r="L206" s="120">
        <f t="shared" si="18"/>
        <v>46123</v>
      </c>
      <c r="M206" s="121">
        <f ca="1" t="shared" si="19"/>
        <v>74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542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/>
      <c r="L207" s="120">
        <f t="shared" si="18"/>
        <v>46123</v>
      </c>
      <c r="M207" s="121">
        <f ca="1" t="shared" si="19"/>
        <v>74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543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/>
      <c r="L208" s="120">
        <f t="shared" ref="L208:L223" si="20">EDATE(I208,J208)</f>
        <v>46124</v>
      </c>
      <c r="M208" s="121">
        <f ca="1" t="shared" ref="M208:M223" si="21">L208-TODAY()</f>
        <v>75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544</v>
      </c>
      <c r="E209" s="179" t="s">
        <v>545</v>
      </c>
      <c r="F209" s="180"/>
      <c r="G209" s="181"/>
      <c r="H209" s="83" t="s">
        <v>16</v>
      </c>
      <c r="I209" s="223">
        <v>46034</v>
      </c>
      <c r="J209" s="192">
        <v>3</v>
      </c>
      <c r="K209" s="127"/>
      <c r="L209" s="120">
        <f t="shared" si="20"/>
        <v>46124</v>
      </c>
      <c r="M209" s="121">
        <f ca="1" t="shared" si="21"/>
        <v>75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546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/>
      <c r="L210" s="120">
        <f t="shared" si="20"/>
        <v>46124</v>
      </c>
      <c r="M210" s="121">
        <f ca="1" t="shared" si="21"/>
        <v>75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547</v>
      </c>
      <c r="E211" s="179" t="s">
        <v>511</v>
      </c>
      <c r="F211" s="180"/>
      <c r="G211" s="181"/>
      <c r="H211" s="83" t="s">
        <v>16</v>
      </c>
      <c r="I211" s="223">
        <v>46034</v>
      </c>
      <c r="J211" s="192">
        <v>3</v>
      </c>
      <c r="K211" s="127"/>
      <c r="L211" s="120">
        <f t="shared" si="20"/>
        <v>46124</v>
      </c>
      <c r="M211" s="121">
        <f ca="1" t="shared" si="21"/>
        <v>75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548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/>
      <c r="L212" s="120">
        <f t="shared" si="20"/>
        <v>46124</v>
      </c>
      <c r="M212" s="121">
        <f ca="1" t="shared" si="21"/>
        <v>75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549</v>
      </c>
      <c r="E213" s="179" t="s">
        <v>550</v>
      </c>
      <c r="F213" s="180"/>
      <c r="G213" s="181"/>
      <c r="H213" s="204"/>
      <c r="I213" s="223">
        <v>46034</v>
      </c>
      <c r="J213" s="192">
        <v>3</v>
      </c>
      <c r="K213" s="127"/>
      <c r="L213" s="120">
        <f t="shared" si="20"/>
        <v>46124</v>
      </c>
      <c r="M213" s="121">
        <f ca="1" t="shared" si="21"/>
        <v>75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/>
      <c r="L214" s="120">
        <f t="shared" si="20"/>
        <v>46124</v>
      </c>
      <c r="M214" s="121">
        <f ca="1" t="shared" si="21"/>
        <v>75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551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/>
      <c r="L215" s="120">
        <f t="shared" si="20"/>
        <v>46124</v>
      </c>
      <c r="M215" s="121">
        <f ca="1" t="shared" si="21"/>
        <v>75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552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/>
      <c r="L217" s="120">
        <f t="shared" si="20"/>
        <v>46124</v>
      </c>
      <c r="M217" s="121">
        <f ca="1" t="shared" si="21"/>
        <v>75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553</v>
      </c>
      <c r="C218" s="73" t="s">
        <v>13</v>
      </c>
      <c r="D218" s="74" t="s">
        <v>554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/>
      <c r="L218" s="120">
        <f t="shared" si="20"/>
        <v>46124</v>
      </c>
      <c r="M218" s="121">
        <f ca="1" t="shared" si="21"/>
        <v>75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553</v>
      </c>
      <c r="C219" s="73" t="s">
        <v>13</v>
      </c>
      <c r="D219" s="74" t="s">
        <v>555</v>
      </c>
      <c r="E219" s="79" t="s">
        <v>556</v>
      </c>
      <c r="F219" s="80"/>
      <c r="G219" s="81"/>
      <c r="H219" s="82"/>
      <c r="I219" s="223">
        <v>46034</v>
      </c>
      <c r="J219" s="192">
        <v>3</v>
      </c>
      <c r="K219" s="122"/>
      <c r="L219" s="120">
        <f t="shared" si="20"/>
        <v>46124</v>
      </c>
      <c r="M219" s="121">
        <f ca="1" t="shared" si="21"/>
        <v>75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557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2"/>
      <c r="L220" s="120">
        <f t="shared" si="20"/>
        <v>46124</v>
      </c>
      <c r="M220" s="121">
        <f ca="1" t="shared" si="21"/>
        <v>75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558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2"/>
      <c r="L221" s="120">
        <f t="shared" si="20"/>
        <v>46124</v>
      </c>
      <c r="M221" s="121">
        <f ca="1" t="shared" si="21"/>
        <v>75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559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2"/>
      <c r="L222" s="120">
        <f t="shared" si="20"/>
        <v>46124</v>
      </c>
      <c r="M222" s="121">
        <f ca="1" t="shared" si="21"/>
        <v>75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560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2"/>
      <c r="L223" s="120">
        <f t="shared" si="20"/>
        <v>46124</v>
      </c>
      <c r="M223" s="121">
        <f ca="1" t="shared" si="21"/>
        <v>75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561</v>
      </c>
      <c r="E224" s="79" t="s">
        <v>562</v>
      </c>
      <c r="F224" s="80"/>
      <c r="G224" s="81"/>
      <c r="H224" s="130" t="s">
        <v>16</v>
      </c>
      <c r="I224" s="223">
        <v>46035</v>
      </c>
      <c r="J224" s="192">
        <v>3</v>
      </c>
      <c r="K224" s="122"/>
      <c r="L224" s="120">
        <f t="shared" ref="L224:L237" si="22">EDATE(I224,J224)</f>
        <v>46125</v>
      </c>
      <c r="M224" s="121">
        <f ca="1" t="shared" ref="M224:M237" si="23">L224-TODAY()</f>
        <v>76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563</v>
      </c>
      <c r="E225" s="79" t="s">
        <v>562</v>
      </c>
      <c r="F225" s="80"/>
      <c r="G225" s="81"/>
      <c r="H225" s="130" t="s">
        <v>16</v>
      </c>
      <c r="I225" s="223">
        <v>46035</v>
      </c>
      <c r="J225" s="192">
        <v>3</v>
      </c>
      <c r="K225" s="122"/>
      <c r="L225" s="120">
        <f t="shared" si="22"/>
        <v>46125</v>
      </c>
      <c r="M225" s="121">
        <f ca="1" t="shared" si="23"/>
        <v>76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564</v>
      </c>
      <c r="E226" s="79" t="s">
        <v>562</v>
      </c>
      <c r="F226" s="80"/>
      <c r="G226" s="81"/>
      <c r="H226" s="130" t="s">
        <v>16</v>
      </c>
      <c r="I226" s="223">
        <v>46035</v>
      </c>
      <c r="J226" s="192">
        <v>3</v>
      </c>
      <c r="K226" s="122"/>
      <c r="L226" s="120">
        <f t="shared" si="22"/>
        <v>46125</v>
      </c>
      <c r="M226" s="121">
        <f ca="1" t="shared" si="23"/>
        <v>76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565</v>
      </c>
      <c r="E227" s="79" t="s">
        <v>566</v>
      </c>
      <c r="F227" s="80"/>
      <c r="G227" s="81"/>
      <c r="H227" s="130" t="s">
        <v>16</v>
      </c>
      <c r="I227" s="223">
        <v>46035</v>
      </c>
      <c r="J227" s="192">
        <v>3</v>
      </c>
      <c r="K227" s="122"/>
      <c r="L227" s="120">
        <f t="shared" si="22"/>
        <v>46125</v>
      </c>
      <c r="M227" s="121">
        <f ca="1" t="shared" si="23"/>
        <v>76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567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/>
      <c r="L228" s="120">
        <f t="shared" si="22"/>
        <v>46125</v>
      </c>
      <c r="M228" s="121">
        <f ca="1" t="shared" si="23"/>
        <v>76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568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/>
      <c r="L229" s="120">
        <f t="shared" si="22"/>
        <v>46125</v>
      </c>
      <c r="M229" s="121">
        <f ca="1" t="shared" si="23"/>
        <v>76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569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/>
      <c r="L230" s="120">
        <f t="shared" si="22"/>
        <v>46125</v>
      </c>
      <c r="M230" s="121">
        <f ca="1" t="shared" si="23"/>
        <v>76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570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/>
      <c r="L231" s="120">
        <f t="shared" si="22"/>
        <v>46125</v>
      </c>
      <c r="M231" s="121">
        <f ca="1" t="shared" si="23"/>
        <v>76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571</v>
      </c>
      <c r="E232" s="79" t="s">
        <v>572</v>
      </c>
      <c r="F232" s="80"/>
      <c r="G232" s="81"/>
      <c r="H232" s="130" t="s">
        <v>16</v>
      </c>
      <c r="I232" s="223">
        <v>46035</v>
      </c>
      <c r="J232" s="192">
        <v>3</v>
      </c>
      <c r="K232" s="122"/>
      <c r="L232" s="120">
        <f t="shared" si="22"/>
        <v>46125</v>
      </c>
      <c r="M232" s="121">
        <f ca="1" t="shared" si="23"/>
        <v>76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573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/>
      <c r="L233" s="120">
        <f t="shared" si="22"/>
        <v>46125</v>
      </c>
      <c r="M233" s="121">
        <f ca="1" t="shared" si="23"/>
        <v>76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574</v>
      </c>
      <c r="C235" s="73" t="s">
        <v>228</v>
      </c>
      <c r="D235" s="74" t="s">
        <v>575</v>
      </c>
      <c r="E235" s="79" t="s">
        <v>576</v>
      </c>
      <c r="F235" s="80"/>
      <c r="G235" s="81"/>
      <c r="H235" s="130" t="s">
        <v>16</v>
      </c>
      <c r="I235" s="223">
        <v>46035</v>
      </c>
      <c r="J235" s="192">
        <v>3</v>
      </c>
      <c r="K235" s="122"/>
      <c r="L235" s="120">
        <f t="shared" si="22"/>
        <v>46125</v>
      </c>
      <c r="M235" s="121">
        <f ca="1" t="shared" si="23"/>
        <v>76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574</v>
      </c>
      <c r="C236" s="73" t="s">
        <v>228</v>
      </c>
      <c r="D236" s="74" t="s">
        <v>577</v>
      </c>
      <c r="E236" s="79" t="s">
        <v>576</v>
      </c>
      <c r="F236" s="80"/>
      <c r="G236" s="81"/>
      <c r="H236" s="130" t="s">
        <v>16</v>
      </c>
      <c r="I236" s="223">
        <v>46035</v>
      </c>
      <c r="J236" s="192">
        <v>3</v>
      </c>
      <c r="K236" s="122"/>
      <c r="L236" s="120">
        <f t="shared" si="22"/>
        <v>46125</v>
      </c>
      <c r="M236" s="121">
        <f ca="1" t="shared" si="23"/>
        <v>76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578</v>
      </c>
      <c r="C237" s="73" t="s">
        <v>228</v>
      </c>
      <c r="D237" s="74" t="s">
        <v>579</v>
      </c>
      <c r="E237" s="79" t="s">
        <v>580</v>
      </c>
      <c r="F237" s="80"/>
      <c r="G237" s="81"/>
      <c r="H237" s="204"/>
      <c r="I237" s="223">
        <v>46035</v>
      </c>
      <c r="J237" s="192">
        <v>3</v>
      </c>
      <c r="K237" s="122"/>
      <c r="L237" s="120">
        <f t="shared" si="22"/>
        <v>46125</v>
      </c>
      <c r="M237" s="121">
        <f ca="1" t="shared" si="23"/>
        <v>76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581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/>
      <c r="L238" s="120">
        <f t="shared" ref="L238:L266" si="24">EDATE(I238,J238)</f>
        <v>46126</v>
      </c>
      <c r="M238" s="121">
        <f ca="1" t="shared" ref="M238:M266" si="25">L238-TODAY()</f>
        <v>77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582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/>
      <c r="L239" s="120">
        <f t="shared" si="24"/>
        <v>46126</v>
      </c>
      <c r="M239" s="121">
        <f ca="1" t="shared" si="25"/>
        <v>77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583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/>
      <c r="L240" s="120">
        <f t="shared" si="24"/>
        <v>46126</v>
      </c>
      <c r="M240" s="121">
        <f ca="1" t="shared" si="25"/>
        <v>77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584</v>
      </c>
      <c r="E241" s="79" t="s">
        <v>585</v>
      </c>
      <c r="F241" s="80"/>
      <c r="G241" s="81"/>
      <c r="H241" s="130" t="s">
        <v>16</v>
      </c>
      <c r="I241" s="223">
        <v>46036</v>
      </c>
      <c r="J241" s="192">
        <v>3</v>
      </c>
      <c r="K241" s="122"/>
      <c r="L241" s="120">
        <f t="shared" si="24"/>
        <v>46126</v>
      </c>
      <c r="M241" s="121">
        <f ca="1" t="shared" si="25"/>
        <v>77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586</v>
      </c>
      <c r="E242" s="79" t="s">
        <v>587</v>
      </c>
      <c r="F242" s="80"/>
      <c r="G242" s="81"/>
      <c r="H242" s="130" t="s">
        <v>16</v>
      </c>
      <c r="I242" s="223">
        <v>46036</v>
      </c>
      <c r="J242" s="192">
        <v>3</v>
      </c>
      <c r="K242" s="122"/>
      <c r="L242" s="120">
        <f t="shared" si="24"/>
        <v>46126</v>
      </c>
      <c r="M242" s="121">
        <f ca="1" t="shared" si="25"/>
        <v>77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588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/>
      <c r="L243" s="120">
        <f t="shared" si="24"/>
        <v>46126</v>
      </c>
      <c r="M243" s="121">
        <f ca="1" t="shared" si="25"/>
        <v>77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589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/>
      <c r="L244" s="120">
        <f t="shared" si="24"/>
        <v>46126</v>
      </c>
      <c r="M244" s="121">
        <f ca="1" t="shared" si="25"/>
        <v>77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590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/>
      <c r="L245" s="120">
        <f t="shared" si="24"/>
        <v>46126</v>
      </c>
      <c r="M245" s="121">
        <f ca="1" t="shared" si="25"/>
        <v>77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591</v>
      </c>
      <c r="E246" s="79" t="s">
        <v>592</v>
      </c>
      <c r="F246" s="80"/>
      <c r="G246" s="81"/>
      <c r="H246" s="130" t="s">
        <v>16</v>
      </c>
      <c r="I246" s="223">
        <v>46036</v>
      </c>
      <c r="J246" s="192">
        <v>3</v>
      </c>
      <c r="K246" s="122"/>
      <c r="L246" s="120">
        <f t="shared" si="24"/>
        <v>46126</v>
      </c>
      <c r="M246" s="121">
        <f ca="1" t="shared" si="25"/>
        <v>77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593</v>
      </c>
      <c r="E247" s="79" t="s">
        <v>594</v>
      </c>
      <c r="F247" s="80"/>
      <c r="G247" s="81"/>
      <c r="H247" s="130" t="s">
        <v>16</v>
      </c>
      <c r="I247" s="223">
        <v>46036</v>
      </c>
      <c r="J247" s="192">
        <v>3</v>
      </c>
      <c r="K247" s="122"/>
      <c r="L247" s="120">
        <f t="shared" si="24"/>
        <v>46126</v>
      </c>
      <c r="M247" s="121">
        <f ca="1" t="shared" si="25"/>
        <v>77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595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/>
      <c r="L248" s="120">
        <f t="shared" si="24"/>
        <v>46126</v>
      </c>
      <c r="M248" s="121">
        <f ca="1" t="shared" si="25"/>
        <v>77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596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/>
      <c r="L249" s="120">
        <f t="shared" si="24"/>
        <v>46126</v>
      </c>
      <c r="M249" s="121">
        <f ca="1" t="shared" si="25"/>
        <v>77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597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/>
      <c r="L250" s="120">
        <f t="shared" si="24"/>
        <v>46126</v>
      </c>
      <c r="M250" s="121">
        <f ca="1" t="shared" si="25"/>
        <v>77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598</v>
      </c>
      <c r="E251" s="79" t="s">
        <v>599</v>
      </c>
      <c r="F251" s="80"/>
      <c r="G251" s="81"/>
      <c r="H251" s="78" t="s">
        <v>16</v>
      </c>
      <c r="I251" s="223">
        <v>46036</v>
      </c>
      <c r="J251" s="192">
        <v>3</v>
      </c>
      <c r="K251" s="122"/>
      <c r="L251" s="120">
        <f t="shared" si="24"/>
        <v>46126</v>
      </c>
      <c r="M251" s="121">
        <f ca="1" t="shared" si="25"/>
        <v>77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600</v>
      </c>
      <c r="E252" s="79" t="s">
        <v>601</v>
      </c>
      <c r="F252" s="80"/>
      <c r="G252" s="81"/>
      <c r="H252" s="78" t="s">
        <v>16</v>
      </c>
      <c r="I252" s="223">
        <v>46036</v>
      </c>
      <c r="J252" s="192">
        <v>3</v>
      </c>
      <c r="K252" s="122"/>
      <c r="L252" s="120">
        <f t="shared" si="24"/>
        <v>46126</v>
      </c>
      <c r="M252" s="121">
        <f ca="1" t="shared" si="25"/>
        <v>77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602</v>
      </c>
      <c r="E253" s="79" t="s">
        <v>545</v>
      </c>
      <c r="F253" s="80"/>
      <c r="G253" s="81"/>
      <c r="H253" s="78" t="s">
        <v>16</v>
      </c>
      <c r="I253" s="223">
        <v>46036</v>
      </c>
      <c r="J253" s="192">
        <v>3</v>
      </c>
      <c r="K253" s="122"/>
      <c r="L253" s="120">
        <f t="shared" si="24"/>
        <v>46126</v>
      </c>
      <c r="M253" s="121">
        <f ca="1" t="shared" si="25"/>
        <v>77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603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/>
      <c r="L254" s="120">
        <f t="shared" si="24"/>
        <v>46126</v>
      </c>
      <c r="M254" s="121">
        <f ca="1" t="shared" si="25"/>
        <v>77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604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/>
      <c r="L255" s="120">
        <f t="shared" si="24"/>
        <v>46126</v>
      </c>
      <c r="M255" s="121">
        <f ca="1" t="shared" si="25"/>
        <v>77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spans="1:52">
      <c r="A256" s="73">
        <v>254</v>
      </c>
      <c r="B256" s="73" t="s">
        <v>140</v>
      </c>
      <c r="C256" s="73" t="s">
        <v>13</v>
      </c>
      <c r="D256" s="74" t="s">
        <v>605</v>
      </c>
      <c r="E256" s="79" t="s">
        <v>503</v>
      </c>
      <c r="F256" s="80"/>
      <c r="G256" s="81"/>
      <c r="H256" s="130" t="s">
        <v>16</v>
      </c>
      <c r="I256" s="223">
        <v>46036</v>
      </c>
      <c r="J256" s="192">
        <v>3</v>
      </c>
      <c r="K256" s="122"/>
      <c r="L256" s="120">
        <f t="shared" si="24"/>
        <v>46126</v>
      </c>
      <c r="M256" s="121">
        <f ca="1" t="shared" si="25"/>
        <v>77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606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/>
      <c r="L257" s="120">
        <f t="shared" si="24"/>
        <v>46126</v>
      </c>
      <c r="M257" s="121">
        <f ca="1" t="shared" si="25"/>
        <v>77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607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/>
      <c r="L258" s="120">
        <f t="shared" si="24"/>
        <v>46126</v>
      </c>
      <c r="M258" s="121">
        <f ca="1" t="shared" si="25"/>
        <v>77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608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/>
      <c r="L259" s="120">
        <f t="shared" si="24"/>
        <v>46126</v>
      </c>
      <c r="M259" s="121">
        <f ca="1" t="shared" si="25"/>
        <v>77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609</v>
      </c>
      <c r="E260" s="79" t="s">
        <v>610</v>
      </c>
      <c r="F260" s="80"/>
      <c r="G260" s="81"/>
      <c r="H260" s="89" t="s">
        <v>16</v>
      </c>
      <c r="I260" s="223">
        <v>46036</v>
      </c>
      <c r="J260" s="192">
        <v>3</v>
      </c>
      <c r="K260" s="122"/>
      <c r="L260" s="120">
        <f t="shared" si="24"/>
        <v>46126</v>
      </c>
      <c r="M260" s="121">
        <f ca="1" t="shared" si="25"/>
        <v>77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611</v>
      </c>
      <c r="E261" s="79" t="s">
        <v>612</v>
      </c>
      <c r="F261" s="80"/>
      <c r="G261" s="81"/>
      <c r="H261" s="89" t="s">
        <v>16</v>
      </c>
      <c r="I261" s="223">
        <v>46036</v>
      </c>
      <c r="J261" s="192">
        <v>3</v>
      </c>
      <c r="K261" s="122"/>
      <c r="L261" s="120">
        <f t="shared" si="24"/>
        <v>46126</v>
      </c>
      <c r="M261" s="121">
        <f ca="1" t="shared" si="25"/>
        <v>77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613</v>
      </c>
      <c r="E262" s="79" t="s">
        <v>503</v>
      </c>
      <c r="F262" s="80"/>
      <c r="G262" s="81"/>
      <c r="H262" s="89" t="s">
        <v>16</v>
      </c>
      <c r="I262" s="223">
        <v>46036</v>
      </c>
      <c r="J262" s="192">
        <v>3</v>
      </c>
      <c r="K262" s="122"/>
      <c r="L262" s="120">
        <f t="shared" si="24"/>
        <v>46126</v>
      </c>
      <c r="M262" s="121">
        <f ca="1" t="shared" si="25"/>
        <v>77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614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/>
      <c r="L263" s="120">
        <f t="shared" si="24"/>
        <v>46126</v>
      </c>
      <c r="M263" s="121">
        <f ca="1" t="shared" si="25"/>
        <v>77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615</v>
      </c>
      <c r="C264" s="73" t="s">
        <v>13</v>
      </c>
      <c r="D264" s="74" t="s">
        <v>616</v>
      </c>
      <c r="E264" s="79" t="s">
        <v>617</v>
      </c>
      <c r="F264" s="80"/>
      <c r="G264" s="81"/>
      <c r="H264" s="89" t="s">
        <v>16</v>
      </c>
      <c r="I264" s="223">
        <v>46036</v>
      </c>
      <c r="J264" s="192">
        <v>3</v>
      </c>
      <c r="K264" s="122"/>
      <c r="L264" s="120">
        <f t="shared" si="24"/>
        <v>46126</v>
      </c>
      <c r="M264" s="121">
        <f ca="1" t="shared" si="25"/>
        <v>77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615</v>
      </c>
      <c r="C265" s="73" t="s">
        <v>13</v>
      </c>
      <c r="D265" s="74" t="s">
        <v>618</v>
      </c>
      <c r="E265" s="79" t="s">
        <v>619</v>
      </c>
      <c r="F265" s="80"/>
      <c r="G265" s="81"/>
      <c r="H265" s="89" t="s">
        <v>16</v>
      </c>
      <c r="I265" s="223">
        <v>46036</v>
      </c>
      <c r="J265" s="192">
        <v>3</v>
      </c>
      <c r="K265" s="122"/>
      <c r="L265" s="120">
        <f t="shared" si="24"/>
        <v>46126</v>
      </c>
      <c r="M265" s="121">
        <f ca="1" t="shared" si="25"/>
        <v>77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620</v>
      </c>
      <c r="C266" s="73" t="s">
        <v>228</v>
      </c>
      <c r="D266" s="74" t="s">
        <v>621</v>
      </c>
      <c r="E266" s="79" t="s">
        <v>622</v>
      </c>
      <c r="F266" s="80"/>
      <c r="G266" s="81"/>
      <c r="H266" s="89" t="s">
        <v>16</v>
      </c>
      <c r="I266" s="223">
        <v>46036</v>
      </c>
      <c r="J266" s="192">
        <v>3</v>
      </c>
      <c r="K266" s="122"/>
      <c r="L266" s="120">
        <f t="shared" si="24"/>
        <v>46126</v>
      </c>
      <c r="M266" s="121">
        <f ca="1" t="shared" si="25"/>
        <v>77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623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/>
      <c r="L267" s="120">
        <f t="shared" ref="L267:L291" si="26">EDATE(I267,J267)</f>
        <v>46126</v>
      </c>
      <c r="M267" s="121">
        <f ca="1" t="shared" ref="M267:M291" si="27">L267-TODAY()</f>
        <v>77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624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/>
      <c r="L268" s="120">
        <f t="shared" si="26"/>
        <v>46127</v>
      </c>
      <c r="M268" s="121">
        <f ca="1" t="shared" si="27"/>
        <v>78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625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/>
      <c r="L269" s="120">
        <f t="shared" si="26"/>
        <v>46127</v>
      </c>
      <c r="M269" s="121">
        <f ca="1" t="shared" si="27"/>
        <v>78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626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/>
      <c r="L270" s="120">
        <f t="shared" si="26"/>
        <v>46127</v>
      </c>
      <c r="M270" s="121">
        <f ca="1" t="shared" si="27"/>
        <v>78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627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/>
      <c r="L271" s="120">
        <f t="shared" si="26"/>
        <v>46127</v>
      </c>
      <c r="M271" s="121">
        <f ca="1" t="shared" si="27"/>
        <v>78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628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/>
      <c r="L272" s="120">
        <f t="shared" si="26"/>
        <v>46127</v>
      </c>
      <c r="M272" s="121">
        <f ca="1" t="shared" si="27"/>
        <v>78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629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/>
      <c r="L273" s="120">
        <f t="shared" si="26"/>
        <v>46127</v>
      </c>
      <c r="M273" s="121">
        <f ca="1" t="shared" si="27"/>
        <v>78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630</v>
      </c>
      <c r="E274" s="79" t="s">
        <v>503</v>
      </c>
      <c r="F274" s="80"/>
      <c r="G274" s="81"/>
      <c r="H274" s="89" t="s">
        <v>16</v>
      </c>
      <c r="I274" s="223">
        <v>46037</v>
      </c>
      <c r="J274" s="73">
        <v>3</v>
      </c>
      <c r="K274" s="122"/>
      <c r="L274" s="120">
        <f t="shared" si="26"/>
        <v>46127</v>
      </c>
      <c r="M274" s="121">
        <f ca="1" t="shared" si="27"/>
        <v>78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631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/>
      <c r="L275" s="120">
        <f t="shared" si="26"/>
        <v>46127</v>
      </c>
      <c r="M275" s="121">
        <f ca="1" t="shared" si="27"/>
        <v>78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632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/>
      <c r="L276" s="120">
        <f t="shared" si="26"/>
        <v>46127</v>
      </c>
      <c r="M276" s="121">
        <f ca="1" t="shared" si="27"/>
        <v>78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633</v>
      </c>
      <c r="C277" s="73" t="s">
        <v>13</v>
      </c>
      <c r="D277" s="74" t="s">
        <v>634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/>
      <c r="L277" s="120">
        <f t="shared" si="26"/>
        <v>46127</v>
      </c>
      <c r="M277" s="121">
        <f ca="1" t="shared" si="27"/>
        <v>78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633</v>
      </c>
      <c r="C278" s="73" t="s">
        <v>13</v>
      </c>
      <c r="D278" s="74" t="s">
        <v>635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/>
      <c r="L278" s="120">
        <f t="shared" si="26"/>
        <v>46127</v>
      </c>
      <c r="M278" s="121">
        <f ca="1" t="shared" si="27"/>
        <v>78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633</v>
      </c>
      <c r="C279" s="73" t="s">
        <v>13</v>
      </c>
      <c r="D279" s="74" t="s">
        <v>636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/>
      <c r="L279" s="120">
        <f t="shared" si="26"/>
        <v>46127</v>
      </c>
      <c r="M279" s="121">
        <f ca="1" t="shared" si="27"/>
        <v>78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637</v>
      </c>
      <c r="C280" s="73" t="s">
        <v>27</v>
      </c>
      <c r="D280" s="74" t="s">
        <v>638</v>
      </c>
      <c r="E280" s="79" t="s">
        <v>639</v>
      </c>
      <c r="F280" s="80"/>
      <c r="G280" s="81"/>
      <c r="H280" s="82"/>
      <c r="I280" s="223">
        <v>46037</v>
      </c>
      <c r="J280" s="73">
        <v>3</v>
      </c>
      <c r="K280" s="122"/>
      <c r="L280" s="120">
        <f t="shared" si="26"/>
        <v>46127</v>
      </c>
      <c r="M280" s="121">
        <f ca="1" t="shared" si="27"/>
        <v>78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640</v>
      </c>
      <c r="C281" s="73" t="s">
        <v>27</v>
      </c>
      <c r="D281" s="74" t="s">
        <v>641</v>
      </c>
      <c r="E281" s="79" t="s">
        <v>642</v>
      </c>
      <c r="F281" s="80"/>
      <c r="G281" s="81"/>
      <c r="H281" s="82"/>
      <c r="I281" s="223">
        <v>46037</v>
      </c>
      <c r="J281" s="73">
        <v>3</v>
      </c>
      <c r="K281" s="122"/>
      <c r="L281" s="120">
        <f t="shared" si="26"/>
        <v>46127</v>
      </c>
      <c r="M281" s="121">
        <f ca="1" t="shared" si="27"/>
        <v>78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643</v>
      </c>
      <c r="E282" s="79" t="s">
        <v>644</v>
      </c>
      <c r="F282" s="80"/>
      <c r="G282" s="81"/>
      <c r="H282" s="82"/>
      <c r="I282" s="223">
        <v>46037</v>
      </c>
      <c r="J282" s="73">
        <v>3</v>
      </c>
      <c r="K282" s="122"/>
      <c r="L282" s="120">
        <f t="shared" si="26"/>
        <v>46127</v>
      </c>
      <c r="M282" s="121">
        <f ca="1" t="shared" si="27"/>
        <v>78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645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/>
      <c r="L283" s="120">
        <f t="shared" si="26"/>
        <v>46127</v>
      </c>
      <c r="M283" s="121">
        <f ca="1" t="shared" si="27"/>
        <v>78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646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/>
      <c r="L284" s="120">
        <f t="shared" si="26"/>
        <v>46127</v>
      </c>
      <c r="M284" s="121">
        <f ca="1" t="shared" si="27"/>
        <v>78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647</v>
      </c>
      <c r="C285" s="73" t="s">
        <v>158</v>
      </c>
      <c r="D285" s="74" t="s">
        <v>648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/>
      <c r="L285" s="120">
        <f t="shared" si="26"/>
        <v>46127</v>
      </c>
      <c r="M285" s="121">
        <f ca="1" t="shared" si="27"/>
        <v>78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649</v>
      </c>
      <c r="C286" s="73" t="s">
        <v>158</v>
      </c>
      <c r="D286" s="74" t="s">
        <v>650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/>
      <c r="L286" s="120">
        <f t="shared" si="26"/>
        <v>46127</v>
      </c>
      <c r="M286" s="121">
        <f ca="1" t="shared" si="27"/>
        <v>78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651</v>
      </c>
      <c r="E288" s="79" t="s">
        <v>652</v>
      </c>
      <c r="F288" s="80"/>
      <c r="G288" s="81"/>
      <c r="H288" s="89" t="s">
        <v>16</v>
      </c>
      <c r="I288" s="223">
        <v>46037</v>
      </c>
      <c r="J288" s="73">
        <v>3</v>
      </c>
      <c r="K288" s="122"/>
      <c r="L288" s="120">
        <f t="shared" si="26"/>
        <v>46127</v>
      </c>
      <c r="M288" s="121">
        <f ca="1" t="shared" si="27"/>
        <v>78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574</v>
      </c>
      <c r="C289" s="73" t="s">
        <v>228</v>
      </c>
      <c r="D289" s="74" t="s">
        <v>653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/>
      <c r="L289" s="120">
        <f t="shared" si="26"/>
        <v>46127</v>
      </c>
      <c r="M289" s="121">
        <f ca="1" t="shared" si="27"/>
        <v>78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654</v>
      </c>
      <c r="E290" s="79" t="s">
        <v>655</v>
      </c>
      <c r="F290" s="80"/>
      <c r="G290" s="81"/>
      <c r="H290" s="89" t="s">
        <v>16</v>
      </c>
      <c r="I290" s="223">
        <v>46037</v>
      </c>
      <c r="J290" s="73">
        <v>3</v>
      </c>
      <c r="K290" s="122"/>
      <c r="L290" s="120">
        <f t="shared" si="26"/>
        <v>46127</v>
      </c>
      <c r="M290" s="121">
        <f ca="1" t="shared" si="27"/>
        <v>78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656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/>
      <c r="L291" s="120">
        <f t="shared" si="26"/>
        <v>46127</v>
      </c>
      <c r="M291" s="121">
        <f ca="1" t="shared" si="27"/>
        <v>78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657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/>
      <c r="L292" s="120">
        <f t="shared" ref="L292:L306" si="28">EDATE(I292,J292)</f>
        <v>46128</v>
      </c>
      <c r="M292" s="121">
        <f ca="1" t="shared" ref="M292:M306" si="29">L292-TODAY()</f>
        <v>79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658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/>
      <c r="L293" s="120">
        <f t="shared" si="28"/>
        <v>46128</v>
      </c>
      <c r="M293" s="121">
        <f ca="1" t="shared" si="29"/>
        <v>79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659</v>
      </c>
      <c r="E294" s="79" t="s">
        <v>660</v>
      </c>
      <c r="F294" s="80"/>
      <c r="G294" s="81"/>
      <c r="H294" s="204"/>
      <c r="I294" s="223">
        <v>46038</v>
      </c>
      <c r="J294" s="73">
        <v>3</v>
      </c>
      <c r="K294" s="122"/>
      <c r="L294" s="120">
        <f t="shared" si="28"/>
        <v>46128</v>
      </c>
      <c r="M294" s="121">
        <f ca="1" t="shared" si="29"/>
        <v>79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633</v>
      </c>
      <c r="C295" s="73" t="s">
        <v>27</v>
      </c>
      <c r="D295" s="74" t="s">
        <v>661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/>
      <c r="L295" s="120">
        <f t="shared" si="28"/>
        <v>46128</v>
      </c>
      <c r="M295" s="121">
        <f ca="1" t="shared" si="29"/>
        <v>79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633</v>
      </c>
      <c r="C296" s="73" t="s">
        <v>27</v>
      </c>
      <c r="D296" s="74" t="s">
        <v>662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/>
      <c r="L296" s="120">
        <f t="shared" si="28"/>
        <v>46128</v>
      </c>
      <c r="M296" s="121">
        <f ca="1" t="shared" si="29"/>
        <v>79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663</v>
      </c>
      <c r="C297" s="73" t="s">
        <v>13</v>
      </c>
      <c r="D297" s="74" t="s">
        <v>664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/>
      <c r="L297" s="120">
        <f t="shared" si="28"/>
        <v>46128</v>
      </c>
      <c r="M297" s="121">
        <f ca="1" t="shared" si="29"/>
        <v>79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663</v>
      </c>
      <c r="C298" s="73" t="s">
        <v>13</v>
      </c>
      <c r="D298" s="74" t="s">
        <v>665</v>
      </c>
      <c r="E298" s="79" t="s">
        <v>666</v>
      </c>
      <c r="F298" s="80"/>
      <c r="G298" s="81"/>
      <c r="H298" s="130" t="s">
        <v>16</v>
      </c>
      <c r="I298" s="223">
        <v>46038</v>
      </c>
      <c r="J298" s="73">
        <v>3</v>
      </c>
      <c r="K298" s="122"/>
      <c r="L298" s="120">
        <f t="shared" si="28"/>
        <v>46128</v>
      </c>
      <c r="M298" s="121">
        <f ca="1" t="shared" si="29"/>
        <v>79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667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/>
      <c r="L299" s="120">
        <f t="shared" si="28"/>
        <v>46128</v>
      </c>
      <c r="M299" s="121">
        <f ca="1" t="shared" si="29"/>
        <v>79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668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/>
      <c r="L300" s="120">
        <f t="shared" si="28"/>
        <v>46128</v>
      </c>
      <c r="M300" s="121">
        <f ca="1" t="shared" si="29"/>
        <v>79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669</v>
      </c>
      <c r="E301" s="79" t="s">
        <v>670</v>
      </c>
      <c r="F301" s="80"/>
      <c r="G301" s="81"/>
      <c r="H301" s="130" t="s">
        <v>16</v>
      </c>
      <c r="I301" s="223">
        <v>46038</v>
      </c>
      <c r="J301" s="73">
        <v>3</v>
      </c>
      <c r="K301" s="122"/>
      <c r="L301" s="120">
        <f t="shared" si="28"/>
        <v>46128</v>
      </c>
      <c r="M301" s="121">
        <f ca="1" t="shared" si="29"/>
        <v>79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671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/>
      <c r="L302" s="120">
        <f t="shared" si="28"/>
        <v>46128</v>
      </c>
      <c r="M302" s="121">
        <f ca="1" t="shared" si="29"/>
        <v>79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672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/>
      <c r="L303" s="120">
        <f t="shared" si="28"/>
        <v>46128</v>
      </c>
      <c r="M303" s="121">
        <f ca="1" t="shared" si="29"/>
        <v>79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673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/>
      <c r="L304" s="120">
        <f t="shared" si="28"/>
        <v>46128</v>
      </c>
      <c r="M304" s="121">
        <f ca="1" t="shared" si="29"/>
        <v>79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674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/>
      <c r="L305" s="120">
        <f t="shared" si="28"/>
        <v>46128</v>
      </c>
      <c r="M305" s="121">
        <f ca="1" t="shared" si="29"/>
        <v>79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578</v>
      </c>
      <c r="C306" s="73" t="s">
        <v>228</v>
      </c>
      <c r="D306" s="74" t="s">
        <v>675</v>
      </c>
      <c r="E306" s="79" t="s">
        <v>676</v>
      </c>
      <c r="F306" s="80"/>
      <c r="G306" s="81"/>
      <c r="H306" s="130" t="s">
        <v>16</v>
      </c>
      <c r="I306" s="223">
        <v>46038</v>
      </c>
      <c r="J306" s="73">
        <v>3</v>
      </c>
      <c r="K306" s="122"/>
      <c r="L306" s="120">
        <f t="shared" si="28"/>
        <v>46128</v>
      </c>
      <c r="M306" s="121">
        <f ca="1" t="shared" si="29"/>
        <v>79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677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/>
      <c r="L307" s="120">
        <f t="shared" ref="L307:L337" si="30">EDATE(I307,J307)</f>
        <v>46129</v>
      </c>
      <c r="M307" s="121">
        <f ca="1" t="shared" ref="M307:M337" si="31">L307-TODAY()</f>
        <v>80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678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/>
      <c r="L308" s="120">
        <f t="shared" si="30"/>
        <v>46129</v>
      </c>
      <c r="M308" s="121">
        <f ca="1" t="shared" si="31"/>
        <v>80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679</v>
      </c>
      <c r="E309" s="79" t="s">
        <v>680</v>
      </c>
      <c r="F309" s="80"/>
      <c r="G309" s="81"/>
      <c r="H309" s="204"/>
      <c r="I309" s="223">
        <v>46039</v>
      </c>
      <c r="J309" s="73">
        <v>3</v>
      </c>
      <c r="K309" s="122"/>
      <c r="L309" s="120">
        <f t="shared" si="30"/>
        <v>46129</v>
      </c>
      <c r="M309" s="121">
        <f ca="1" t="shared" si="31"/>
        <v>80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681</v>
      </c>
      <c r="E310" s="79" t="s">
        <v>682</v>
      </c>
      <c r="F310" s="80"/>
      <c r="G310" s="81"/>
      <c r="H310" s="130" t="s">
        <v>16</v>
      </c>
      <c r="I310" s="223">
        <v>46039</v>
      </c>
      <c r="J310" s="73">
        <v>3</v>
      </c>
      <c r="K310" s="122"/>
      <c r="L310" s="120">
        <f t="shared" si="30"/>
        <v>46129</v>
      </c>
      <c r="M310" s="121">
        <f ca="1" t="shared" si="31"/>
        <v>80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683</v>
      </c>
      <c r="E311" s="79" t="s">
        <v>684</v>
      </c>
      <c r="F311" s="80"/>
      <c r="G311" s="81"/>
      <c r="H311" s="130" t="s">
        <v>16</v>
      </c>
      <c r="I311" s="223">
        <v>46039</v>
      </c>
      <c r="J311" s="73">
        <v>3</v>
      </c>
      <c r="K311" s="122"/>
      <c r="L311" s="120">
        <f t="shared" si="30"/>
        <v>46129</v>
      </c>
      <c r="M311" s="121">
        <f ca="1" t="shared" si="31"/>
        <v>80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685</v>
      </c>
      <c r="E312" s="79" t="s">
        <v>686</v>
      </c>
      <c r="F312" s="80"/>
      <c r="G312" s="81"/>
      <c r="H312" s="204"/>
      <c r="I312" s="223">
        <v>46039</v>
      </c>
      <c r="J312" s="73">
        <v>3</v>
      </c>
      <c r="K312" s="122"/>
      <c r="L312" s="120">
        <f t="shared" si="30"/>
        <v>46129</v>
      </c>
      <c r="M312" s="121">
        <f ca="1" t="shared" si="31"/>
        <v>80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/>
      <c r="L313" s="120">
        <f t="shared" si="30"/>
        <v>46129</v>
      </c>
      <c r="M313" s="121">
        <f ca="1" t="shared" si="31"/>
        <v>80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687</v>
      </c>
      <c r="E314" s="79" t="s">
        <v>688</v>
      </c>
      <c r="F314" s="80"/>
      <c r="G314" s="81"/>
      <c r="H314" s="204"/>
      <c r="I314" s="223">
        <v>46039</v>
      </c>
      <c r="J314" s="73">
        <v>3</v>
      </c>
      <c r="K314" s="122"/>
      <c r="L314" s="120">
        <f t="shared" si="30"/>
        <v>46129</v>
      </c>
      <c r="M314" s="121">
        <f ca="1" t="shared" si="31"/>
        <v>80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505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/>
      <c r="L315" s="120">
        <f t="shared" si="30"/>
        <v>46129</v>
      </c>
      <c r="M315" s="121">
        <f ca="1" t="shared" si="31"/>
        <v>80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504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/>
      <c r="L316" s="120">
        <f t="shared" si="30"/>
        <v>46129</v>
      </c>
      <c r="M316" s="121">
        <f ca="1" t="shared" si="31"/>
        <v>80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/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689</v>
      </c>
      <c r="C318" s="73" t="s">
        <v>13</v>
      </c>
      <c r="D318" s="74" t="s">
        <v>690</v>
      </c>
      <c r="E318" s="79" t="s">
        <v>691</v>
      </c>
      <c r="F318" s="80"/>
      <c r="G318" s="81"/>
      <c r="H318" s="130" t="s">
        <v>16</v>
      </c>
      <c r="I318" s="223">
        <v>46039</v>
      </c>
      <c r="J318" s="73">
        <v>3</v>
      </c>
      <c r="K318" s="122"/>
      <c r="L318" s="120">
        <f t="shared" si="30"/>
        <v>46129</v>
      </c>
      <c r="M318" s="121">
        <f ca="1" t="shared" si="31"/>
        <v>80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689</v>
      </c>
      <c r="C319" s="73" t="s">
        <v>13</v>
      </c>
      <c r="D319" s="74" t="s">
        <v>692</v>
      </c>
      <c r="E319" s="79" t="s">
        <v>693</v>
      </c>
      <c r="F319" s="80"/>
      <c r="G319" s="81"/>
      <c r="H319" s="130" t="s">
        <v>16</v>
      </c>
      <c r="I319" s="223">
        <v>46039</v>
      </c>
      <c r="J319" s="73">
        <v>3</v>
      </c>
      <c r="K319" s="122"/>
      <c r="L319" s="120">
        <f t="shared" si="30"/>
        <v>46129</v>
      </c>
      <c r="M319" s="121">
        <f ca="1" t="shared" si="31"/>
        <v>80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694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/>
      <c r="L320" s="120">
        <f t="shared" si="30"/>
        <v>46129</v>
      </c>
      <c r="M320" s="121">
        <f ca="1" t="shared" si="31"/>
        <v>80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695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/>
      <c r="L321" s="120">
        <f t="shared" si="30"/>
        <v>46129</v>
      </c>
      <c r="M321" s="121">
        <f ca="1" t="shared" si="31"/>
        <v>80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663</v>
      </c>
      <c r="C322" s="73" t="s">
        <v>27</v>
      </c>
      <c r="D322" s="74" t="s">
        <v>696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/>
      <c r="L322" s="120">
        <f t="shared" si="30"/>
        <v>46129</v>
      </c>
      <c r="M322" s="121">
        <f ca="1" t="shared" si="31"/>
        <v>80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663</v>
      </c>
      <c r="C323" s="73" t="s">
        <v>27</v>
      </c>
      <c r="D323" s="74" t="s">
        <v>697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/>
      <c r="L323" s="120">
        <f t="shared" si="30"/>
        <v>46129</v>
      </c>
      <c r="M323" s="121">
        <f ca="1" t="shared" si="31"/>
        <v>80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663</v>
      </c>
      <c r="C324" s="73" t="s">
        <v>27</v>
      </c>
      <c r="D324" s="74" t="s">
        <v>698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/>
      <c r="L324" s="120">
        <f t="shared" si="30"/>
        <v>46129</v>
      </c>
      <c r="M324" s="121">
        <f ca="1" t="shared" si="31"/>
        <v>80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663</v>
      </c>
      <c r="C325" s="73" t="s">
        <v>27</v>
      </c>
      <c r="D325" s="74" t="s">
        <v>699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/>
      <c r="L325" s="120">
        <f t="shared" si="30"/>
        <v>46129</v>
      </c>
      <c r="M325" s="121">
        <f ca="1" t="shared" si="31"/>
        <v>80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663</v>
      </c>
      <c r="C326" s="73" t="s">
        <v>27</v>
      </c>
      <c r="D326" s="74" t="s">
        <v>700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/>
      <c r="L326" s="120">
        <f t="shared" si="30"/>
        <v>46129</v>
      </c>
      <c r="M326" s="121">
        <f ca="1" t="shared" si="31"/>
        <v>80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663</v>
      </c>
      <c r="C327" s="73" t="s">
        <v>13</v>
      </c>
      <c r="D327" s="74" t="s">
        <v>701</v>
      </c>
      <c r="E327" s="79" t="s">
        <v>666</v>
      </c>
      <c r="F327" s="80"/>
      <c r="G327" s="81"/>
      <c r="H327" s="130" t="s">
        <v>16</v>
      </c>
      <c r="I327" s="223">
        <v>46039</v>
      </c>
      <c r="J327" s="73">
        <v>3</v>
      </c>
      <c r="K327" s="122"/>
      <c r="L327" s="120">
        <f t="shared" si="30"/>
        <v>46129</v>
      </c>
      <c r="M327" s="121">
        <f ca="1" t="shared" si="31"/>
        <v>80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663</v>
      </c>
      <c r="C328" s="73" t="s">
        <v>13</v>
      </c>
      <c r="D328" s="74" t="s">
        <v>702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/>
      <c r="L328" s="120">
        <f t="shared" si="30"/>
        <v>46129</v>
      </c>
      <c r="M328" s="121">
        <f ca="1" t="shared" si="31"/>
        <v>80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703</v>
      </c>
      <c r="C329" s="73" t="s">
        <v>27</v>
      </c>
      <c r="D329" s="74" t="s">
        <v>704</v>
      </c>
      <c r="E329" s="79" t="s">
        <v>705</v>
      </c>
      <c r="F329" s="80"/>
      <c r="G329" s="81"/>
      <c r="H329" s="204"/>
      <c r="I329" s="223">
        <v>46039</v>
      </c>
      <c r="J329" s="73">
        <v>3</v>
      </c>
      <c r="K329" s="122"/>
      <c r="L329" s="120">
        <f t="shared" si="30"/>
        <v>46129</v>
      </c>
      <c r="M329" s="121">
        <f ca="1" t="shared" si="31"/>
        <v>80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706</v>
      </c>
      <c r="C331" s="73" t="s">
        <v>228</v>
      </c>
      <c r="D331" s="74" t="s">
        <v>707</v>
      </c>
      <c r="E331" s="79" t="s">
        <v>708</v>
      </c>
      <c r="F331" s="80"/>
      <c r="G331" s="81"/>
      <c r="H331" s="130" t="s">
        <v>16</v>
      </c>
      <c r="I331" s="223">
        <v>46039</v>
      </c>
      <c r="J331" s="73">
        <v>3</v>
      </c>
      <c r="K331" s="122"/>
      <c r="L331" s="120">
        <f t="shared" si="30"/>
        <v>46129</v>
      </c>
      <c r="M331" s="121">
        <f ca="1" t="shared" si="31"/>
        <v>80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709</v>
      </c>
      <c r="C332" s="73" t="s">
        <v>228</v>
      </c>
      <c r="D332" s="74" t="s">
        <v>710</v>
      </c>
      <c r="E332" s="79" t="s">
        <v>711</v>
      </c>
      <c r="F332" s="80"/>
      <c r="G332" s="81"/>
      <c r="H332" s="82"/>
      <c r="I332" s="223">
        <v>46039</v>
      </c>
      <c r="J332" s="73">
        <v>3</v>
      </c>
      <c r="K332" s="122"/>
      <c r="L332" s="120">
        <f t="shared" si="30"/>
        <v>46129</v>
      </c>
      <c r="M332" s="121">
        <f ca="1" t="shared" si="31"/>
        <v>80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712</v>
      </c>
      <c r="C333" s="73" t="s">
        <v>228</v>
      </c>
      <c r="D333" s="74" t="s">
        <v>713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/>
      <c r="L333" s="120">
        <f t="shared" si="30"/>
        <v>46129</v>
      </c>
      <c r="M333" s="121">
        <f ca="1" t="shared" si="31"/>
        <v>80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712</v>
      </c>
      <c r="C334" s="73" t="s">
        <v>228</v>
      </c>
      <c r="D334" s="74" t="s">
        <v>714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/>
      <c r="L334" s="120">
        <f t="shared" si="30"/>
        <v>46129</v>
      </c>
      <c r="M334" s="121">
        <f ca="1" t="shared" si="31"/>
        <v>80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715</v>
      </c>
      <c r="E335" s="79" t="s">
        <v>716</v>
      </c>
      <c r="F335" s="80"/>
      <c r="G335" s="81"/>
      <c r="H335" s="89" t="s">
        <v>16</v>
      </c>
      <c r="I335" s="223">
        <v>46039</v>
      </c>
      <c r="J335" s="73">
        <v>3</v>
      </c>
      <c r="K335" s="122"/>
      <c r="L335" s="120">
        <f t="shared" si="30"/>
        <v>46129</v>
      </c>
      <c r="M335" s="121">
        <f ca="1" t="shared" si="31"/>
        <v>80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717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/>
      <c r="L336" s="120">
        <f t="shared" si="30"/>
        <v>46129</v>
      </c>
      <c r="M336" s="121">
        <f ca="1" t="shared" si="31"/>
        <v>80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718</v>
      </c>
      <c r="E337" s="79" t="s">
        <v>716</v>
      </c>
      <c r="F337" s="80"/>
      <c r="G337" s="81"/>
      <c r="H337" s="89" t="s">
        <v>16</v>
      </c>
      <c r="I337" s="223">
        <v>46039</v>
      </c>
      <c r="J337" s="73">
        <v>3</v>
      </c>
      <c r="K337" s="122"/>
      <c r="L337" s="120">
        <f t="shared" si="30"/>
        <v>46129</v>
      </c>
      <c r="M337" s="121">
        <f ca="1" t="shared" si="31"/>
        <v>80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719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/>
      <c r="L338" s="120">
        <f t="shared" ref="L338:L346" si="32">EDATE(I338,J338)</f>
        <v>46130</v>
      </c>
      <c r="M338" s="121">
        <f ca="1" t="shared" ref="M338:M346" si="33">L338-TODAY()</f>
        <v>81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720</v>
      </c>
      <c r="E339" s="79" t="s">
        <v>566</v>
      </c>
      <c r="F339" s="80"/>
      <c r="G339" s="81"/>
      <c r="H339" s="82"/>
      <c r="I339" s="223">
        <v>46040</v>
      </c>
      <c r="J339" s="73">
        <v>3</v>
      </c>
      <c r="K339" s="122"/>
      <c r="L339" s="120">
        <f t="shared" si="32"/>
        <v>46130</v>
      </c>
      <c r="M339" s="121">
        <f ca="1" t="shared" si="33"/>
        <v>81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721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/>
      <c r="L340" s="120">
        <f t="shared" si="32"/>
        <v>46130</v>
      </c>
      <c r="M340" s="121">
        <f ca="1" t="shared" si="33"/>
        <v>81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722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/>
      <c r="L341" s="120">
        <f t="shared" si="32"/>
        <v>46130</v>
      </c>
      <c r="M341" s="121">
        <f ca="1" t="shared" si="33"/>
        <v>81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723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/>
      <c r="L342" s="120">
        <f t="shared" si="32"/>
        <v>46130</v>
      </c>
      <c r="M342" s="121">
        <f ca="1" t="shared" si="33"/>
        <v>81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724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/>
      <c r="L343" s="120">
        <f t="shared" si="32"/>
        <v>46130</v>
      </c>
      <c r="M343" s="121">
        <f ca="1" t="shared" si="33"/>
        <v>81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725</v>
      </c>
      <c r="E345" s="79" t="s">
        <v>726</v>
      </c>
      <c r="F345" s="80"/>
      <c r="G345" s="81"/>
      <c r="H345" s="204"/>
      <c r="I345" s="223">
        <v>46040</v>
      </c>
      <c r="J345" s="73">
        <v>3</v>
      </c>
      <c r="K345" s="122"/>
      <c r="L345" s="120">
        <f t="shared" si="32"/>
        <v>46130</v>
      </c>
      <c r="M345" s="121">
        <f ca="1" t="shared" si="33"/>
        <v>81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525</v>
      </c>
      <c r="C346" s="73" t="s">
        <v>228</v>
      </c>
      <c r="D346" s="74" t="s">
        <v>707</v>
      </c>
      <c r="E346" s="79" t="s">
        <v>708</v>
      </c>
      <c r="F346" s="80"/>
      <c r="G346" s="81"/>
      <c r="H346" s="78" t="s">
        <v>16</v>
      </c>
      <c r="I346" s="223">
        <v>46040</v>
      </c>
      <c r="J346" s="73">
        <v>3</v>
      </c>
      <c r="K346" s="122"/>
      <c r="L346" s="120">
        <f t="shared" si="32"/>
        <v>46130</v>
      </c>
      <c r="M346" s="121">
        <f ca="1" t="shared" si="33"/>
        <v>81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727</v>
      </c>
      <c r="E347" s="79" t="s">
        <v>535</v>
      </c>
      <c r="F347" s="80"/>
      <c r="G347" s="81"/>
      <c r="H347" s="78" t="s">
        <v>16</v>
      </c>
      <c r="I347" s="223">
        <v>46041</v>
      </c>
      <c r="J347" s="73">
        <v>3</v>
      </c>
      <c r="K347" s="122"/>
      <c r="L347" s="120">
        <f t="shared" ref="L347:L361" si="34">EDATE(I347,J347)</f>
        <v>46131</v>
      </c>
      <c r="M347" s="121">
        <f ca="1" t="shared" ref="M347:M361" si="35">L347-TODAY()</f>
        <v>82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728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/>
      <c r="L348" s="120">
        <f t="shared" si="34"/>
        <v>46131</v>
      </c>
      <c r="M348" s="121">
        <f ca="1" t="shared" si="35"/>
        <v>82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729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/>
      <c r="L349" s="120">
        <f t="shared" si="34"/>
        <v>46131</v>
      </c>
      <c r="M349" s="121">
        <f ca="1" t="shared" si="35"/>
        <v>82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730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/>
      <c r="L350" s="120">
        <f t="shared" si="34"/>
        <v>46131</v>
      </c>
      <c r="M350" s="121">
        <f ca="1" t="shared" si="35"/>
        <v>82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731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/>
      <c r="L351" s="120">
        <f t="shared" si="34"/>
        <v>46131</v>
      </c>
      <c r="M351" s="121">
        <f ca="1" t="shared" si="35"/>
        <v>82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732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/>
      <c r="L352" s="120">
        <f t="shared" si="34"/>
        <v>46131</v>
      </c>
      <c r="M352" s="121">
        <f ca="1" t="shared" si="35"/>
        <v>82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733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/>
      <c r="L353" s="120">
        <f t="shared" si="34"/>
        <v>46131</v>
      </c>
      <c r="M353" s="121">
        <f ca="1" t="shared" si="35"/>
        <v>82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734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/>
      <c r="L354" s="120">
        <f t="shared" si="34"/>
        <v>46131</v>
      </c>
      <c r="M354" s="121">
        <f ca="1" t="shared" si="35"/>
        <v>82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735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/>
      <c r="L355" s="120">
        <f t="shared" si="34"/>
        <v>46131</v>
      </c>
      <c r="M355" s="121">
        <f ca="1" t="shared" si="35"/>
        <v>82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703</v>
      </c>
      <c r="C356" s="73" t="s">
        <v>27</v>
      </c>
      <c r="D356" s="74" t="s">
        <v>736</v>
      </c>
      <c r="E356" s="79" t="s">
        <v>705</v>
      </c>
      <c r="F356" s="80"/>
      <c r="G356" s="81"/>
      <c r="H356" s="82"/>
      <c r="I356" s="223">
        <v>46041</v>
      </c>
      <c r="J356" s="73">
        <v>3</v>
      </c>
      <c r="K356" s="122"/>
      <c r="L356" s="120">
        <f t="shared" si="34"/>
        <v>46131</v>
      </c>
      <c r="M356" s="121">
        <f ca="1" t="shared" si="35"/>
        <v>82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737</v>
      </c>
      <c r="C357" s="73" t="s">
        <v>27</v>
      </c>
      <c r="D357" s="74" t="s">
        <v>738</v>
      </c>
      <c r="E357" s="79" t="s">
        <v>739</v>
      </c>
      <c r="F357" s="80"/>
      <c r="G357" s="81"/>
      <c r="H357" s="130" t="s">
        <v>16</v>
      </c>
      <c r="I357" s="223">
        <v>46041</v>
      </c>
      <c r="J357" s="73">
        <v>3</v>
      </c>
      <c r="K357" s="122"/>
      <c r="L357" s="120">
        <f t="shared" si="34"/>
        <v>46131</v>
      </c>
      <c r="M357" s="121">
        <f ca="1" t="shared" si="35"/>
        <v>82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740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/>
      <c r="L358" s="120">
        <f t="shared" si="34"/>
        <v>46131</v>
      </c>
      <c r="M358" s="121">
        <f ca="1" t="shared" si="35"/>
        <v>82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741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/>
      <c r="L359" s="120">
        <f t="shared" si="34"/>
        <v>46131</v>
      </c>
      <c r="M359" s="121">
        <f ca="1" t="shared" si="35"/>
        <v>82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742</v>
      </c>
      <c r="C360" s="73" t="s">
        <v>228</v>
      </c>
      <c r="D360" s="74" t="s">
        <v>743</v>
      </c>
      <c r="E360" s="79" t="s">
        <v>744</v>
      </c>
      <c r="F360" s="80"/>
      <c r="G360" s="81"/>
      <c r="H360" s="78" t="s">
        <v>16</v>
      </c>
      <c r="I360" s="223">
        <v>46041</v>
      </c>
      <c r="J360" s="73">
        <v>3</v>
      </c>
      <c r="K360" s="122"/>
      <c r="L360" s="120">
        <f t="shared" si="34"/>
        <v>46131</v>
      </c>
      <c r="M360" s="121">
        <f ca="1" t="shared" si="35"/>
        <v>82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745</v>
      </c>
      <c r="E361" s="79" t="s">
        <v>746</v>
      </c>
      <c r="F361" s="80"/>
      <c r="G361" s="81"/>
      <c r="H361" s="78" t="s">
        <v>16</v>
      </c>
      <c r="I361" s="223">
        <v>46042</v>
      </c>
      <c r="J361" s="73">
        <v>3</v>
      </c>
      <c r="K361" s="122"/>
      <c r="L361" s="120">
        <f t="shared" si="34"/>
        <v>46132</v>
      </c>
      <c r="M361" s="121">
        <f ca="1" t="shared" si="35"/>
        <v>83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747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/>
      <c r="L362" s="120">
        <f t="shared" ref="L362:L389" si="36">EDATE(I362,J362)</f>
        <v>46132</v>
      </c>
      <c r="M362" s="121">
        <f ca="1" t="shared" ref="M362:M389" si="37">L362-TODAY()</f>
        <v>83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748</v>
      </c>
      <c r="E363" s="79" t="s">
        <v>660</v>
      </c>
      <c r="F363" s="80"/>
      <c r="G363" s="81"/>
      <c r="H363" s="78"/>
      <c r="I363" s="223">
        <v>46042</v>
      </c>
      <c r="J363" s="73">
        <v>3</v>
      </c>
      <c r="K363" s="122"/>
      <c r="L363" s="120">
        <f t="shared" si="36"/>
        <v>46132</v>
      </c>
      <c r="M363" s="121">
        <f ca="1" t="shared" si="37"/>
        <v>83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749</v>
      </c>
      <c r="E364" s="79" t="s">
        <v>750</v>
      </c>
      <c r="F364" s="80"/>
      <c r="G364" s="81"/>
      <c r="H364" s="82"/>
      <c r="I364" s="223">
        <v>46042</v>
      </c>
      <c r="J364" s="73">
        <v>3</v>
      </c>
      <c r="K364" s="122"/>
      <c r="L364" s="120">
        <f t="shared" si="36"/>
        <v>46132</v>
      </c>
      <c r="M364" s="121">
        <f ca="1" t="shared" si="37"/>
        <v>83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751</v>
      </c>
      <c r="E365" s="79" t="s">
        <v>752</v>
      </c>
      <c r="F365" s="80"/>
      <c r="G365" s="81"/>
      <c r="H365" s="82"/>
      <c r="I365" s="223">
        <v>46042</v>
      </c>
      <c r="J365" s="73">
        <v>3</v>
      </c>
      <c r="K365" s="122"/>
      <c r="L365" s="120">
        <f t="shared" si="36"/>
        <v>46132</v>
      </c>
      <c r="M365" s="121">
        <f ca="1" t="shared" si="37"/>
        <v>83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753</v>
      </c>
      <c r="E366" s="79" t="s">
        <v>754</v>
      </c>
      <c r="F366" s="80"/>
      <c r="G366" s="81"/>
      <c r="H366" s="78" t="s">
        <v>16</v>
      </c>
      <c r="I366" s="223">
        <v>46042</v>
      </c>
      <c r="J366" s="73">
        <v>3</v>
      </c>
      <c r="K366" s="122"/>
      <c r="L366" s="120">
        <f t="shared" si="36"/>
        <v>46132</v>
      </c>
      <c r="M366" s="121">
        <f ca="1" t="shared" si="37"/>
        <v>83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755</v>
      </c>
      <c r="E367" s="79" t="s">
        <v>756</v>
      </c>
      <c r="F367" s="80"/>
      <c r="G367" s="81"/>
      <c r="H367" s="78" t="s">
        <v>16</v>
      </c>
      <c r="I367" s="223">
        <v>46042</v>
      </c>
      <c r="J367" s="73">
        <v>3</v>
      </c>
      <c r="K367" s="122"/>
      <c r="L367" s="120">
        <f t="shared" si="36"/>
        <v>46132</v>
      </c>
      <c r="M367" s="121">
        <f ca="1" t="shared" si="37"/>
        <v>83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757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/>
      <c r="L368" s="120">
        <f t="shared" si="36"/>
        <v>46132</v>
      </c>
      <c r="M368" s="121">
        <f ca="1" t="shared" si="37"/>
        <v>83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758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/>
      <c r="L369" s="120">
        <f t="shared" si="36"/>
        <v>46132</v>
      </c>
      <c r="M369" s="121">
        <f ca="1" t="shared" si="37"/>
        <v>83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663</v>
      </c>
      <c r="C370" s="73" t="s">
        <v>27</v>
      </c>
      <c r="D370" s="74" t="s">
        <v>759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/>
      <c r="L370" s="120">
        <f t="shared" si="36"/>
        <v>46132</v>
      </c>
      <c r="M370" s="121">
        <f ca="1" t="shared" si="37"/>
        <v>83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760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/>
      <c r="L371" s="120">
        <f t="shared" si="36"/>
        <v>46132</v>
      </c>
      <c r="M371" s="121">
        <f ca="1" t="shared" si="37"/>
        <v>83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761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/>
      <c r="L372" s="120">
        <f t="shared" si="36"/>
        <v>46132</v>
      </c>
      <c r="M372" s="121">
        <f ca="1" t="shared" si="37"/>
        <v>83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633</v>
      </c>
      <c r="C373" s="73" t="s">
        <v>27</v>
      </c>
      <c r="D373" s="74" t="s">
        <v>762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/>
      <c r="L373" s="120">
        <f t="shared" si="36"/>
        <v>46132</v>
      </c>
      <c r="M373" s="121">
        <f ca="1" t="shared" si="37"/>
        <v>83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633</v>
      </c>
      <c r="C374" s="73" t="s">
        <v>13</v>
      </c>
      <c r="D374" s="74" t="s">
        <v>763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/>
      <c r="L374" s="120">
        <f t="shared" si="36"/>
        <v>46132</v>
      </c>
      <c r="M374" s="121">
        <f ca="1" t="shared" si="37"/>
        <v>83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633</v>
      </c>
      <c r="C375" s="73" t="s">
        <v>13</v>
      </c>
      <c r="D375" s="74" t="s">
        <v>764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/>
      <c r="L375" s="120">
        <f t="shared" si="36"/>
        <v>46132</v>
      </c>
      <c r="M375" s="121">
        <f ca="1" t="shared" si="37"/>
        <v>83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633</v>
      </c>
      <c r="C376" s="73" t="s">
        <v>13</v>
      </c>
      <c r="D376" s="74" t="s">
        <v>765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/>
      <c r="L376" s="120">
        <f t="shared" si="36"/>
        <v>46132</v>
      </c>
      <c r="M376" s="121">
        <f ca="1" t="shared" si="37"/>
        <v>83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766</v>
      </c>
      <c r="C377" s="73" t="s">
        <v>27</v>
      </c>
      <c r="D377" s="74" t="s">
        <v>767</v>
      </c>
      <c r="E377" s="79" t="s">
        <v>768</v>
      </c>
      <c r="F377" s="80"/>
      <c r="G377" s="81"/>
      <c r="H377" s="255"/>
      <c r="I377" s="223">
        <v>46042</v>
      </c>
      <c r="J377" s="73">
        <v>3</v>
      </c>
      <c r="K377" s="122"/>
      <c r="L377" s="120">
        <f t="shared" si="36"/>
        <v>46132</v>
      </c>
      <c r="M377" s="121">
        <f ca="1" t="shared" si="37"/>
        <v>83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769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/>
      <c r="L378" s="120">
        <f t="shared" si="36"/>
        <v>46132</v>
      </c>
      <c r="M378" s="121">
        <f ca="1" t="shared" si="37"/>
        <v>83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770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/>
      <c r="L379" s="120">
        <f t="shared" si="36"/>
        <v>46132</v>
      </c>
      <c r="M379" s="121">
        <f ca="1" t="shared" si="37"/>
        <v>83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552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771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/>
      <c r="L383" s="120">
        <f t="shared" si="36"/>
        <v>46132</v>
      </c>
      <c r="M383" s="121">
        <f ca="1" t="shared" si="37"/>
        <v>83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528</v>
      </c>
      <c r="C384" s="73" t="s">
        <v>228</v>
      </c>
      <c r="D384" s="74" t="s">
        <v>772</v>
      </c>
      <c r="E384" s="79" t="s">
        <v>773</v>
      </c>
      <c r="F384" s="80"/>
      <c r="G384" s="81"/>
      <c r="H384" s="89" t="s">
        <v>16</v>
      </c>
      <c r="I384" s="223">
        <v>46042</v>
      </c>
      <c r="J384" s="73">
        <v>3</v>
      </c>
      <c r="K384" s="122"/>
      <c r="L384" s="120">
        <f t="shared" si="36"/>
        <v>46132</v>
      </c>
      <c r="M384" s="121">
        <f ca="1" t="shared" si="37"/>
        <v>83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528</v>
      </c>
      <c r="C385" s="73" t="s">
        <v>228</v>
      </c>
      <c r="D385" s="74" t="s">
        <v>774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/>
      <c r="L385" s="120">
        <f t="shared" si="36"/>
        <v>46132</v>
      </c>
      <c r="M385" s="121">
        <f ca="1" t="shared" si="37"/>
        <v>83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528</v>
      </c>
      <c r="C386" s="73" t="s">
        <v>228</v>
      </c>
      <c r="D386" s="74" t="s">
        <v>775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/>
      <c r="L386" s="120">
        <f t="shared" si="36"/>
        <v>46132</v>
      </c>
      <c r="M386" s="121">
        <f ca="1" t="shared" si="37"/>
        <v>83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528</v>
      </c>
      <c r="C387" s="73" t="s">
        <v>228</v>
      </c>
      <c r="D387" s="74" t="s">
        <v>776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/>
      <c r="L387" s="120">
        <f t="shared" si="36"/>
        <v>46132</v>
      </c>
      <c r="M387" s="121">
        <f ca="1" t="shared" si="37"/>
        <v>83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528</v>
      </c>
      <c r="C388" s="73" t="s">
        <v>228</v>
      </c>
      <c r="D388" s="74" t="s">
        <v>777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/>
      <c r="L388" s="120">
        <f t="shared" si="36"/>
        <v>46132</v>
      </c>
      <c r="M388" s="121">
        <f ca="1" t="shared" si="37"/>
        <v>83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620</v>
      </c>
      <c r="C389" s="73" t="s">
        <v>228</v>
      </c>
      <c r="D389" s="74" t="s">
        <v>778</v>
      </c>
      <c r="E389" s="79" t="s">
        <v>527</v>
      </c>
      <c r="F389" s="80"/>
      <c r="G389" s="81"/>
      <c r="H389" s="89" t="s">
        <v>16</v>
      </c>
      <c r="I389" s="223">
        <v>46042</v>
      </c>
      <c r="J389" s="73">
        <v>3</v>
      </c>
      <c r="K389" s="122"/>
      <c r="L389" s="120">
        <f t="shared" si="36"/>
        <v>46132</v>
      </c>
      <c r="M389" s="121">
        <f ca="1" t="shared" si="37"/>
        <v>83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779</v>
      </c>
      <c r="E390" s="79" t="s">
        <v>780</v>
      </c>
      <c r="F390" s="80"/>
      <c r="G390" s="81"/>
      <c r="H390" s="89" t="s">
        <v>16</v>
      </c>
      <c r="I390" s="223">
        <v>46043</v>
      </c>
      <c r="J390" s="73">
        <v>3</v>
      </c>
      <c r="K390" s="122"/>
      <c r="L390" s="120">
        <f t="shared" ref="L390:L408" si="38">EDATE(I390,J390)</f>
        <v>46133</v>
      </c>
      <c r="M390" s="121">
        <f ca="1" t="shared" ref="M390:M408" si="39">L390-TODAY()</f>
        <v>84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703</v>
      </c>
      <c r="C391" s="73" t="s">
        <v>27</v>
      </c>
      <c r="D391" s="74" t="s">
        <v>781</v>
      </c>
      <c r="E391" s="79" t="s">
        <v>782</v>
      </c>
      <c r="F391" s="80"/>
      <c r="G391" s="81"/>
      <c r="H391" s="204"/>
      <c r="I391" s="223">
        <v>46043</v>
      </c>
      <c r="J391" s="73">
        <v>3</v>
      </c>
      <c r="K391" s="122"/>
      <c r="L391" s="120">
        <f t="shared" si="38"/>
        <v>46133</v>
      </c>
      <c r="M391" s="121">
        <f ca="1" t="shared" si="39"/>
        <v>84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783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/>
      <c r="L392" s="120">
        <f t="shared" si="38"/>
        <v>46133</v>
      </c>
      <c r="M392" s="121">
        <f ca="1" t="shared" si="39"/>
        <v>84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784</v>
      </c>
      <c r="E393" s="79" t="s">
        <v>785</v>
      </c>
      <c r="F393" s="80"/>
      <c r="G393" s="81"/>
      <c r="H393" s="204"/>
      <c r="I393" s="223">
        <v>46043</v>
      </c>
      <c r="J393" s="73">
        <v>3</v>
      </c>
      <c r="K393" s="122"/>
      <c r="L393" s="120">
        <f t="shared" si="38"/>
        <v>46133</v>
      </c>
      <c r="M393" s="121">
        <f ca="1" t="shared" si="39"/>
        <v>84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786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/>
      <c r="L394" s="120">
        <f t="shared" si="38"/>
        <v>46133</v>
      </c>
      <c r="M394" s="121">
        <f ca="1" t="shared" si="39"/>
        <v>84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787</v>
      </c>
      <c r="E395" s="79" t="s">
        <v>788</v>
      </c>
      <c r="F395" s="80"/>
      <c r="G395" s="81"/>
      <c r="H395" s="204"/>
      <c r="I395" s="223">
        <v>46043</v>
      </c>
      <c r="J395" s="73">
        <v>3</v>
      </c>
      <c r="K395" s="122"/>
      <c r="L395" s="120">
        <f t="shared" si="38"/>
        <v>46133</v>
      </c>
      <c r="M395" s="121">
        <f ca="1" t="shared" si="39"/>
        <v>84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789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/>
      <c r="L396" s="120">
        <f t="shared" si="38"/>
        <v>46133</v>
      </c>
      <c r="M396" s="121">
        <f ca="1" t="shared" si="39"/>
        <v>84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790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/>
      <c r="L397" s="120">
        <f t="shared" si="38"/>
        <v>46133</v>
      </c>
      <c r="M397" s="121">
        <f ca="1" t="shared" si="39"/>
        <v>84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791</v>
      </c>
      <c r="E398" s="79" t="s">
        <v>660</v>
      </c>
      <c r="F398" s="80"/>
      <c r="G398" s="81"/>
      <c r="H398" s="82"/>
      <c r="I398" s="223">
        <v>46043</v>
      </c>
      <c r="J398" s="73">
        <v>3</v>
      </c>
      <c r="K398" s="122"/>
      <c r="L398" s="120">
        <f t="shared" si="38"/>
        <v>46133</v>
      </c>
      <c r="M398" s="121">
        <f ca="1" t="shared" si="39"/>
        <v>84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792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/>
      <c r="L399" s="120">
        <f t="shared" si="38"/>
        <v>46133</v>
      </c>
      <c r="M399" s="121">
        <f ca="1" t="shared" si="39"/>
        <v>84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793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/>
      <c r="L400" s="120">
        <f t="shared" si="38"/>
        <v>46133</v>
      </c>
      <c r="M400" s="121">
        <f ca="1" t="shared" si="39"/>
        <v>84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794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/>
      <c r="L401" s="120">
        <f t="shared" si="38"/>
        <v>46133</v>
      </c>
      <c r="M401" s="121">
        <f ca="1" t="shared" si="39"/>
        <v>84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795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/>
      <c r="L402" s="120">
        <f t="shared" si="38"/>
        <v>46133</v>
      </c>
      <c r="M402" s="121">
        <f ca="1" t="shared" si="39"/>
        <v>84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796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/>
      <c r="L403" s="120">
        <f t="shared" si="38"/>
        <v>46133</v>
      </c>
      <c r="M403" s="121">
        <f ca="1" t="shared" si="39"/>
        <v>84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797</v>
      </c>
      <c r="E404" s="79" t="s">
        <v>798</v>
      </c>
      <c r="F404" s="80"/>
      <c r="G404" s="81"/>
      <c r="H404" s="89" t="s">
        <v>16</v>
      </c>
      <c r="I404" s="223">
        <v>46043</v>
      </c>
      <c r="J404" s="73">
        <v>3</v>
      </c>
      <c r="K404" s="122"/>
      <c r="L404" s="120">
        <f t="shared" si="38"/>
        <v>46133</v>
      </c>
      <c r="M404" s="121">
        <f ca="1" t="shared" si="39"/>
        <v>84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799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/>
      <c r="L405" s="120">
        <f t="shared" si="38"/>
        <v>46133</v>
      </c>
      <c r="M405" s="121">
        <f ca="1" t="shared" si="39"/>
        <v>84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800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/>
      <c r="L406" s="120">
        <f t="shared" si="38"/>
        <v>46133</v>
      </c>
      <c r="M406" s="121">
        <f ca="1" t="shared" si="39"/>
        <v>84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801</v>
      </c>
      <c r="E408" s="79" t="s">
        <v>802</v>
      </c>
      <c r="F408" s="80"/>
      <c r="G408" s="81"/>
      <c r="H408" s="82"/>
      <c r="I408" s="223">
        <v>46043</v>
      </c>
      <c r="J408" s="73">
        <v>3</v>
      </c>
      <c r="K408" s="122"/>
      <c r="L408" s="120">
        <f t="shared" si="38"/>
        <v>46133</v>
      </c>
      <c r="M408" s="121">
        <f ca="1" t="shared" si="39"/>
        <v>84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803</v>
      </c>
      <c r="E409" s="79" t="s">
        <v>25</v>
      </c>
      <c r="F409" s="80"/>
      <c r="G409" s="81"/>
      <c r="H409" s="78" t="s">
        <v>16</v>
      </c>
      <c r="I409" s="223">
        <v>46044</v>
      </c>
      <c r="J409" s="73">
        <v>3</v>
      </c>
      <c r="K409" s="122"/>
      <c r="L409" s="120">
        <f t="shared" ref="L409:L435" si="40">EDATE(I409,J409)</f>
        <v>46134</v>
      </c>
      <c r="M409" s="121">
        <f ca="1" t="shared" ref="M409:M435" si="41">L409-TODAY()</f>
        <v>85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804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/>
      <c r="L410" s="120">
        <f t="shared" si="40"/>
        <v>46134</v>
      </c>
      <c r="M410" s="121">
        <f ca="1" t="shared" si="41"/>
        <v>85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805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/>
      <c r="L411" s="120">
        <f t="shared" si="40"/>
        <v>46134</v>
      </c>
      <c r="M411" s="121">
        <f ca="1" t="shared" si="41"/>
        <v>85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806</v>
      </c>
      <c r="E412" s="79" t="s">
        <v>807</v>
      </c>
      <c r="F412" s="80"/>
      <c r="G412" s="81"/>
      <c r="H412" s="82"/>
      <c r="I412" s="223">
        <v>46044</v>
      </c>
      <c r="J412" s="73">
        <v>3</v>
      </c>
      <c r="K412" s="122"/>
      <c r="L412" s="120">
        <f t="shared" si="40"/>
        <v>46134</v>
      </c>
      <c r="M412" s="121">
        <f ca="1" t="shared" si="41"/>
        <v>85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808</v>
      </c>
      <c r="E413" s="79" t="s">
        <v>809</v>
      </c>
      <c r="F413" s="80"/>
      <c r="G413" s="81"/>
      <c r="H413" s="82"/>
      <c r="I413" s="223">
        <v>46044</v>
      </c>
      <c r="J413" s="73">
        <v>3</v>
      </c>
      <c r="K413" s="122"/>
      <c r="L413" s="120">
        <f t="shared" si="40"/>
        <v>46134</v>
      </c>
      <c r="M413" s="121">
        <f ca="1" t="shared" si="41"/>
        <v>85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810</v>
      </c>
      <c r="E414" s="79" t="s">
        <v>811</v>
      </c>
      <c r="F414" s="80"/>
      <c r="G414" s="81"/>
      <c r="H414" s="82"/>
      <c r="I414" s="223">
        <v>46044</v>
      </c>
      <c r="J414" s="73">
        <v>3</v>
      </c>
      <c r="K414" s="122"/>
      <c r="L414" s="120">
        <f t="shared" si="40"/>
        <v>46134</v>
      </c>
      <c r="M414" s="121">
        <f ca="1" t="shared" si="41"/>
        <v>85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769</v>
      </c>
      <c r="E416" s="79" t="s">
        <v>811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552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706</v>
      </c>
      <c r="C418" s="73" t="s">
        <v>228</v>
      </c>
      <c r="D418" s="74" t="s">
        <v>812</v>
      </c>
      <c r="E418" s="79" t="s">
        <v>527</v>
      </c>
      <c r="F418" s="80"/>
      <c r="G418" s="81"/>
      <c r="H418" s="82"/>
      <c r="I418" s="223">
        <v>46044</v>
      </c>
      <c r="J418" s="73">
        <v>3</v>
      </c>
      <c r="K418" s="122"/>
      <c r="L418" s="120">
        <f t="shared" si="40"/>
        <v>46134</v>
      </c>
      <c r="M418" s="121">
        <f ca="1" t="shared" si="41"/>
        <v>85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706</v>
      </c>
      <c r="C419" s="73" t="s">
        <v>228</v>
      </c>
      <c r="D419" s="74" t="s">
        <v>813</v>
      </c>
      <c r="E419" s="79" t="s">
        <v>527</v>
      </c>
      <c r="F419" s="80"/>
      <c r="G419" s="81"/>
      <c r="H419" s="82"/>
      <c r="I419" s="223">
        <v>46044</v>
      </c>
      <c r="J419" s="73">
        <v>3</v>
      </c>
      <c r="K419" s="122"/>
      <c r="L419" s="120">
        <f t="shared" si="40"/>
        <v>46134</v>
      </c>
      <c r="M419" s="121">
        <f ca="1" t="shared" si="41"/>
        <v>85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706</v>
      </c>
      <c r="C420" s="73" t="s">
        <v>228</v>
      </c>
      <c r="D420" s="74" t="s">
        <v>814</v>
      </c>
      <c r="E420" s="79" t="s">
        <v>527</v>
      </c>
      <c r="F420" s="80"/>
      <c r="G420" s="81"/>
      <c r="H420" s="82"/>
      <c r="I420" s="223">
        <v>46044</v>
      </c>
      <c r="J420" s="73">
        <v>3</v>
      </c>
      <c r="K420" s="122"/>
      <c r="L420" s="120">
        <f t="shared" si="40"/>
        <v>46134</v>
      </c>
      <c r="M420" s="121">
        <f ca="1" t="shared" si="41"/>
        <v>85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706</v>
      </c>
      <c r="C421" s="73" t="s">
        <v>228</v>
      </c>
      <c r="D421" s="74" t="s">
        <v>815</v>
      </c>
      <c r="E421" s="79" t="s">
        <v>527</v>
      </c>
      <c r="F421" s="80"/>
      <c r="G421" s="81"/>
      <c r="H421" s="82"/>
      <c r="I421" s="223">
        <v>46044</v>
      </c>
      <c r="J421" s="73">
        <v>3</v>
      </c>
      <c r="K421" s="122"/>
      <c r="L421" s="120">
        <f t="shared" si="40"/>
        <v>46134</v>
      </c>
      <c r="M421" s="121">
        <f ca="1" t="shared" si="41"/>
        <v>85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706</v>
      </c>
      <c r="C422" s="73" t="s">
        <v>228</v>
      </c>
      <c r="D422" s="74" t="s">
        <v>816</v>
      </c>
      <c r="E422" s="79" t="s">
        <v>527</v>
      </c>
      <c r="F422" s="80"/>
      <c r="G422" s="81"/>
      <c r="H422" s="82"/>
      <c r="I422" s="223">
        <v>46044</v>
      </c>
      <c r="J422" s="73">
        <v>3</v>
      </c>
      <c r="K422" s="122"/>
      <c r="L422" s="120">
        <f t="shared" si="40"/>
        <v>46134</v>
      </c>
      <c r="M422" s="121">
        <f ca="1" t="shared" si="41"/>
        <v>85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706</v>
      </c>
      <c r="C423" s="73" t="s">
        <v>228</v>
      </c>
      <c r="D423" s="74" t="s">
        <v>817</v>
      </c>
      <c r="E423" s="79" t="s">
        <v>527</v>
      </c>
      <c r="F423" s="80"/>
      <c r="G423" s="81"/>
      <c r="H423" s="82"/>
      <c r="I423" s="223">
        <v>46044</v>
      </c>
      <c r="J423" s="73">
        <v>3</v>
      </c>
      <c r="K423" s="122"/>
      <c r="L423" s="120">
        <f t="shared" si="40"/>
        <v>46134</v>
      </c>
      <c r="M423" s="121">
        <f ca="1" t="shared" si="41"/>
        <v>85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706</v>
      </c>
      <c r="C424" s="73" t="s">
        <v>228</v>
      </c>
      <c r="D424" s="74" t="s">
        <v>818</v>
      </c>
      <c r="E424" s="79" t="s">
        <v>527</v>
      </c>
      <c r="F424" s="80"/>
      <c r="G424" s="81"/>
      <c r="H424" s="82"/>
      <c r="I424" s="223">
        <v>46044</v>
      </c>
      <c r="J424" s="73">
        <v>3</v>
      </c>
      <c r="K424" s="122"/>
      <c r="L424" s="120">
        <f t="shared" si="40"/>
        <v>46134</v>
      </c>
      <c r="M424" s="121">
        <f ca="1" t="shared" si="41"/>
        <v>85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706</v>
      </c>
      <c r="C425" s="73" t="s">
        <v>228</v>
      </c>
      <c r="D425" s="74" t="s">
        <v>819</v>
      </c>
      <c r="E425" s="79" t="s">
        <v>527</v>
      </c>
      <c r="F425" s="80"/>
      <c r="G425" s="81"/>
      <c r="H425" s="82"/>
      <c r="I425" s="223">
        <v>46044</v>
      </c>
      <c r="J425" s="73">
        <v>3</v>
      </c>
      <c r="K425" s="122"/>
      <c r="L425" s="120">
        <f t="shared" si="40"/>
        <v>46134</v>
      </c>
      <c r="M425" s="121">
        <f ca="1" t="shared" si="41"/>
        <v>85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706</v>
      </c>
      <c r="C426" s="73" t="s">
        <v>228</v>
      </c>
      <c r="D426" s="74" t="s">
        <v>820</v>
      </c>
      <c r="E426" s="79" t="s">
        <v>527</v>
      </c>
      <c r="F426" s="80"/>
      <c r="G426" s="81"/>
      <c r="H426" s="82"/>
      <c r="I426" s="223">
        <v>46044</v>
      </c>
      <c r="J426" s="73">
        <v>3</v>
      </c>
      <c r="K426" s="122"/>
      <c r="L426" s="120">
        <f t="shared" si="40"/>
        <v>46134</v>
      </c>
      <c r="M426" s="121">
        <f ca="1" t="shared" si="41"/>
        <v>85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706</v>
      </c>
      <c r="C427" s="73" t="s">
        <v>228</v>
      </c>
      <c r="D427" s="74" t="s">
        <v>821</v>
      </c>
      <c r="E427" s="79" t="s">
        <v>527</v>
      </c>
      <c r="F427" s="80"/>
      <c r="G427" s="81"/>
      <c r="H427" s="82"/>
      <c r="I427" s="223">
        <v>46044</v>
      </c>
      <c r="J427" s="73">
        <v>3</v>
      </c>
      <c r="K427" s="122"/>
      <c r="L427" s="120">
        <f t="shared" si="40"/>
        <v>46134</v>
      </c>
      <c r="M427" s="121">
        <f ca="1" t="shared" si="41"/>
        <v>85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706</v>
      </c>
      <c r="C428" s="73" t="s">
        <v>228</v>
      </c>
      <c r="D428" s="74" t="s">
        <v>822</v>
      </c>
      <c r="E428" s="79" t="s">
        <v>527</v>
      </c>
      <c r="F428" s="80"/>
      <c r="G428" s="81"/>
      <c r="H428" s="82"/>
      <c r="I428" s="223">
        <v>46044</v>
      </c>
      <c r="J428" s="73">
        <v>3</v>
      </c>
      <c r="K428" s="122"/>
      <c r="L428" s="120">
        <f t="shared" si="40"/>
        <v>46134</v>
      </c>
      <c r="M428" s="121">
        <f ca="1" t="shared" si="41"/>
        <v>85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706</v>
      </c>
      <c r="C429" s="73" t="s">
        <v>228</v>
      </c>
      <c r="D429" s="74" t="s">
        <v>823</v>
      </c>
      <c r="E429" s="79" t="s">
        <v>527</v>
      </c>
      <c r="F429" s="80"/>
      <c r="G429" s="81"/>
      <c r="H429" s="82"/>
      <c r="I429" s="223">
        <v>46044</v>
      </c>
      <c r="J429" s="73">
        <v>3</v>
      </c>
      <c r="K429" s="122"/>
      <c r="L429" s="120">
        <f t="shared" si="40"/>
        <v>46134</v>
      </c>
      <c r="M429" s="121">
        <f ca="1" t="shared" si="41"/>
        <v>85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824</v>
      </c>
      <c r="C430" s="73" t="s">
        <v>228</v>
      </c>
      <c r="D430" s="74" t="s">
        <v>825</v>
      </c>
      <c r="E430" s="79" t="s">
        <v>826</v>
      </c>
      <c r="F430" s="80"/>
      <c r="G430" s="81"/>
      <c r="H430" s="82"/>
      <c r="I430" s="223">
        <v>46044</v>
      </c>
      <c r="J430" s="73">
        <v>3</v>
      </c>
      <c r="K430" s="122"/>
      <c r="L430" s="120">
        <f t="shared" si="40"/>
        <v>46134</v>
      </c>
      <c r="M430" s="121">
        <f ca="1" t="shared" si="41"/>
        <v>85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827</v>
      </c>
      <c r="C431" s="73" t="s">
        <v>228</v>
      </c>
      <c r="D431" s="74" t="s">
        <v>828</v>
      </c>
      <c r="E431" s="79" t="s">
        <v>829</v>
      </c>
      <c r="F431" s="80"/>
      <c r="G431" s="81"/>
      <c r="H431" s="78" t="s">
        <v>16</v>
      </c>
      <c r="I431" s="223">
        <v>46044</v>
      </c>
      <c r="J431" s="73">
        <v>3</v>
      </c>
      <c r="K431" s="122"/>
      <c r="L431" s="120">
        <f t="shared" si="40"/>
        <v>46134</v>
      </c>
      <c r="M431" s="121">
        <f ca="1" t="shared" si="41"/>
        <v>85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827</v>
      </c>
      <c r="C432" s="73" t="s">
        <v>228</v>
      </c>
      <c r="D432" s="74" t="s">
        <v>830</v>
      </c>
      <c r="E432" s="79" t="s">
        <v>829</v>
      </c>
      <c r="F432" s="80"/>
      <c r="G432" s="81"/>
      <c r="H432" s="78" t="s">
        <v>16</v>
      </c>
      <c r="I432" s="223">
        <v>46044</v>
      </c>
      <c r="J432" s="73">
        <v>3</v>
      </c>
      <c r="K432" s="122"/>
      <c r="L432" s="120">
        <f t="shared" si="40"/>
        <v>46134</v>
      </c>
      <c r="M432" s="121">
        <f ca="1" t="shared" si="41"/>
        <v>85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831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/>
      <c r="L433" s="120">
        <f t="shared" si="40"/>
        <v>46134</v>
      </c>
      <c r="M433" s="121">
        <f ca="1" t="shared" si="41"/>
        <v>85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832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/>
      <c r="L434" s="120">
        <f t="shared" si="40"/>
        <v>46134</v>
      </c>
      <c r="M434" s="121">
        <f ca="1" t="shared" si="41"/>
        <v>85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833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/>
      <c r="L435" s="120">
        <f t="shared" si="40"/>
        <v>46134</v>
      </c>
      <c r="M435" s="121">
        <f ca="1" t="shared" si="41"/>
        <v>85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834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/>
      <c r="L436" s="120">
        <f t="shared" ref="L436:L450" si="42">EDATE(I436,J436)</f>
        <v>46135</v>
      </c>
      <c r="M436" s="121">
        <f ca="1" t="shared" ref="M436:M450" si="43">L436-TODAY()</f>
        <v>86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835</v>
      </c>
      <c r="E437" s="79" t="s">
        <v>503</v>
      </c>
      <c r="F437" s="80"/>
      <c r="G437" s="81"/>
      <c r="H437" s="78" t="s">
        <v>16</v>
      </c>
      <c r="I437" s="223">
        <v>46045</v>
      </c>
      <c r="J437" s="73">
        <v>3</v>
      </c>
      <c r="K437" s="122"/>
      <c r="L437" s="120">
        <f t="shared" si="42"/>
        <v>46135</v>
      </c>
      <c r="M437" s="121">
        <f ca="1" t="shared" si="43"/>
        <v>86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836</v>
      </c>
      <c r="E438" s="79" t="s">
        <v>837</v>
      </c>
      <c r="F438" s="80"/>
      <c r="G438" s="81"/>
      <c r="H438" s="82"/>
      <c r="I438" s="223">
        <v>46045</v>
      </c>
      <c r="J438" s="73">
        <v>3</v>
      </c>
      <c r="K438" s="122"/>
      <c r="L438" s="120">
        <f t="shared" si="42"/>
        <v>46135</v>
      </c>
      <c r="M438" s="121">
        <f ca="1" t="shared" si="43"/>
        <v>86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838</v>
      </c>
      <c r="E439" s="79" t="s">
        <v>610</v>
      </c>
      <c r="F439" s="80"/>
      <c r="G439" s="81"/>
      <c r="H439" s="78" t="s">
        <v>16</v>
      </c>
      <c r="I439" s="223">
        <v>46045</v>
      </c>
      <c r="J439" s="73">
        <v>3</v>
      </c>
      <c r="K439" s="122"/>
      <c r="L439" s="120">
        <f t="shared" si="42"/>
        <v>46135</v>
      </c>
      <c r="M439" s="121">
        <f ca="1" t="shared" si="43"/>
        <v>86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839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/>
      <c r="L440" s="120">
        <f t="shared" si="42"/>
        <v>46135</v>
      </c>
      <c r="M440" s="121">
        <f ca="1" t="shared" si="43"/>
        <v>86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840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/>
      <c r="L441" s="120">
        <f t="shared" si="42"/>
        <v>46135</v>
      </c>
      <c r="M441" s="121">
        <f ca="1" t="shared" si="43"/>
        <v>86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841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/>
      <c r="L442" s="120">
        <f t="shared" si="42"/>
        <v>46135</v>
      </c>
      <c r="M442" s="121">
        <f ca="1" t="shared" si="43"/>
        <v>86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842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/>
      <c r="L443" s="120">
        <f t="shared" si="42"/>
        <v>46135</v>
      </c>
      <c r="M443" s="121">
        <f ca="1" t="shared" si="43"/>
        <v>86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843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/>
      <c r="L444" s="120">
        <f t="shared" si="42"/>
        <v>46135</v>
      </c>
      <c r="M444" s="121">
        <f ca="1" t="shared" si="43"/>
        <v>86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844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/>
      <c r="L445" s="120">
        <f t="shared" si="42"/>
        <v>46135</v>
      </c>
      <c r="M445" s="121">
        <f ca="1" t="shared" si="43"/>
        <v>86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845</v>
      </c>
      <c r="E446" s="79" t="s">
        <v>846</v>
      </c>
      <c r="F446" s="80"/>
      <c r="G446" s="81"/>
      <c r="H446" s="78" t="s">
        <v>16</v>
      </c>
      <c r="I446" s="223">
        <v>46045</v>
      </c>
      <c r="J446" s="73">
        <v>3</v>
      </c>
      <c r="K446" s="122"/>
      <c r="L446" s="120">
        <f t="shared" si="42"/>
        <v>46135</v>
      </c>
      <c r="M446" s="121">
        <f ca="1" t="shared" si="43"/>
        <v>86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847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/>
      <c r="L447" s="120">
        <f t="shared" si="42"/>
        <v>46135</v>
      </c>
      <c r="M447" s="121">
        <f ca="1" t="shared" si="43"/>
        <v>86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848</v>
      </c>
      <c r="E448" s="79" t="s">
        <v>849</v>
      </c>
      <c r="F448" s="80"/>
      <c r="G448" s="81"/>
      <c r="H448" s="78" t="s">
        <v>16</v>
      </c>
      <c r="I448" s="223">
        <v>46045</v>
      </c>
      <c r="J448" s="73">
        <v>3</v>
      </c>
      <c r="K448" s="122"/>
      <c r="L448" s="120">
        <f t="shared" si="42"/>
        <v>46135</v>
      </c>
      <c r="M448" s="121">
        <f ca="1" t="shared" si="43"/>
        <v>86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850</v>
      </c>
      <c r="E449" s="79" t="s">
        <v>851</v>
      </c>
      <c r="F449" s="80"/>
      <c r="G449" s="81"/>
      <c r="H449" s="204"/>
      <c r="I449" s="223">
        <v>46045</v>
      </c>
      <c r="J449" s="73">
        <v>3</v>
      </c>
      <c r="K449" s="122"/>
      <c r="L449" s="120">
        <f t="shared" si="42"/>
        <v>46135</v>
      </c>
      <c r="M449" s="121">
        <f ca="1" t="shared" si="43"/>
        <v>86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551</v>
      </c>
      <c r="E450" s="79" t="s">
        <v>470</v>
      </c>
      <c r="F450" s="80"/>
      <c r="G450" s="81"/>
      <c r="H450" s="204"/>
      <c r="I450" s="83" t="s">
        <v>472</v>
      </c>
      <c r="J450" s="73"/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420</v>
      </c>
      <c r="C451" s="73" t="s">
        <v>27</v>
      </c>
      <c r="D451" s="74" t="s">
        <v>852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/>
      <c r="L451" s="120">
        <f t="shared" si="44"/>
        <v>46136</v>
      </c>
      <c r="M451" s="121">
        <f ca="1" t="shared" si="45"/>
        <v>87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853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/>
      <c r="L452" s="120">
        <f t="shared" si="44"/>
        <v>46136</v>
      </c>
      <c r="M452" s="121">
        <f ca="1" t="shared" si="45"/>
        <v>87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854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/>
      <c r="L453" s="120">
        <f t="shared" si="44"/>
        <v>46136</v>
      </c>
      <c r="M453" s="121">
        <f ca="1" t="shared" si="45"/>
        <v>87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855</v>
      </c>
      <c r="E454" s="79" t="s">
        <v>538</v>
      </c>
      <c r="F454" s="80"/>
      <c r="G454" s="81"/>
      <c r="H454" s="204"/>
      <c r="I454" s="223">
        <v>46046</v>
      </c>
      <c r="J454" s="73">
        <v>3</v>
      </c>
      <c r="K454" s="122"/>
      <c r="L454" s="120">
        <f t="shared" si="44"/>
        <v>46136</v>
      </c>
      <c r="M454" s="121">
        <f ca="1" t="shared" si="45"/>
        <v>87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856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/>
      <c r="L455" s="120">
        <f t="shared" si="44"/>
        <v>46136</v>
      </c>
      <c r="M455" s="121">
        <f ca="1" t="shared" si="45"/>
        <v>87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857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/>
      <c r="L456" s="120">
        <f t="shared" si="44"/>
        <v>46136</v>
      </c>
      <c r="M456" s="121">
        <f ca="1" t="shared" si="45"/>
        <v>87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858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/>
      <c r="L457" s="120">
        <f t="shared" si="44"/>
        <v>46136</v>
      </c>
      <c r="M457" s="121">
        <f ca="1" t="shared" si="45"/>
        <v>87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859</v>
      </c>
      <c r="C458" s="73" t="s">
        <v>27</v>
      </c>
      <c r="D458" s="74" t="s">
        <v>860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/>
      <c r="L458" s="120">
        <f t="shared" si="44"/>
        <v>46136</v>
      </c>
      <c r="M458" s="121">
        <f ca="1" t="shared" si="45"/>
        <v>87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442</v>
      </c>
      <c r="C459" s="73" t="s">
        <v>27</v>
      </c>
      <c r="D459" s="74" t="s">
        <v>861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/>
      <c r="L459" s="120">
        <f t="shared" si="44"/>
        <v>46136</v>
      </c>
      <c r="M459" s="121">
        <f ca="1" t="shared" si="45"/>
        <v>87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442</v>
      </c>
      <c r="C460" s="73" t="s">
        <v>13</v>
      </c>
      <c r="D460" s="74" t="s">
        <v>862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/>
      <c r="L460" s="120">
        <f t="shared" si="44"/>
        <v>46136</v>
      </c>
      <c r="M460" s="121">
        <f ca="1" t="shared" si="45"/>
        <v>87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442</v>
      </c>
      <c r="C461" s="73" t="s">
        <v>27</v>
      </c>
      <c r="D461" s="74" t="s">
        <v>863</v>
      </c>
      <c r="E461" s="79" t="s">
        <v>317</v>
      </c>
      <c r="F461" s="80"/>
      <c r="G461" s="81"/>
      <c r="H461" s="89" t="s">
        <v>16</v>
      </c>
      <c r="I461" s="223">
        <v>46046</v>
      </c>
      <c r="J461" s="73">
        <v>3</v>
      </c>
      <c r="K461" s="122"/>
      <c r="L461" s="120">
        <f t="shared" si="44"/>
        <v>46136</v>
      </c>
      <c r="M461" s="121">
        <f ca="1" t="shared" si="45"/>
        <v>87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864</v>
      </c>
      <c r="C462" s="73" t="s">
        <v>27</v>
      </c>
      <c r="D462" s="74" t="s">
        <v>865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/>
      <c r="L462" s="120">
        <f t="shared" si="44"/>
        <v>46136</v>
      </c>
      <c r="M462" s="121">
        <f ca="1" t="shared" si="45"/>
        <v>87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864</v>
      </c>
      <c r="C463" s="73" t="s">
        <v>27</v>
      </c>
      <c r="D463" s="74" t="s">
        <v>866</v>
      </c>
      <c r="E463" s="79" t="s">
        <v>752</v>
      </c>
      <c r="F463" s="80"/>
      <c r="G463" s="81"/>
      <c r="H463" s="78" t="s">
        <v>16</v>
      </c>
      <c r="I463" s="223">
        <v>46046</v>
      </c>
      <c r="J463" s="73">
        <v>3</v>
      </c>
      <c r="K463" s="122"/>
      <c r="L463" s="120">
        <f t="shared" si="44"/>
        <v>46136</v>
      </c>
      <c r="M463" s="121">
        <f ca="1" t="shared" si="45"/>
        <v>87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864</v>
      </c>
      <c r="C464" s="73" t="s">
        <v>27</v>
      </c>
      <c r="D464" s="74" t="s">
        <v>867</v>
      </c>
      <c r="E464" s="79" t="s">
        <v>750</v>
      </c>
      <c r="F464" s="80"/>
      <c r="G464" s="81"/>
      <c r="H464" s="78" t="s">
        <v>16</v>
      </c>
      <c r="I464" s="223">
        <v>46046</v>
      </c>
      <c r="J464" s="73">
        <v>3</v>
      </c>
      <c r="K464" s="122"/>
      <c r="L464" s="120">
        <f t="shared" si="44"/>
        <v>46136</v>
      </c>
      <c r="M464" s="121">
        <f ca="1" t="shared" si="45"/>
        <v>87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864</v>
      </c>
      <c r="C465" s="73" t="s">
        <v>13</v>
      </c>
      <c r="D465" s="74" t="s">
        <v>868</v>
      </c>
      <c r="E465" s="79" t="s">
        <v>869</v>
      </c>
      <c r="F465" s="80"/>
      <c r="G465" s="81"/>
      <c r="H465" s="78" t="s">
        <v>16</v>
      </c>
      <c r="I465" s="223">
        <v>46046</v>
      </c>
      <c r="J465" s="73">
        <v>3</v>
      </c>
      <c r="K465" s="122"/>
      <c r="L465" s="120">
        <f t="shared" si="44"/>
        <v>46136</v>
      </c>
      <c r="M465" s="121">
        <f ca="1" t="shared" si="45"/>
        <v>87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864</v>
      </c>
      <c r="C466" s="73" t="s">
        <v>13</v>
      </c>
      <c r="D466" s="74" t="s">
        <v>870</v>
      </c>
      <c r="E466" s="79" t="s">
        <v>871</v>
      </c>
      <c r="F466" s="80"/>
      <c r="G466" s="81"/>
      <c r="H466" s="78" t="s">
        <v>16</v>
      </c>
      <c r="I466" s="223">
        <v>46046</v>
      </c>
      <c r="J466" s="73">
        <v>3</v>
      </c>
      <c r="K466" s="122"/>
      <c r="L466" s="120">
        <f t="shared" si="44"/>
        <v>46136</v>
      </c>
      <c r="M466" s="121">
        <f ca="1" t="shared" si="45"/>
        <v>87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864</v>
      </c>
      <c r="C467" s="73" t="s">
        <v>13</v>
      </c>
      <c r="D467" s="74" t="s">
        <v>872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/>
      <c r="L467" s="120">
        <f t="shared" si="44"/>
        <v>46136</v>
      </c>
      <c r="M467" s="121">
        <f ca="1" t="shared" si="45"/>
        <v>87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864</v>
      </c>
      <c r="C468" s="73" t="s">
        <v>13</v>
      </c>
      <c r="D468" s="74" t="s">
        <v>873</v>
      </c>
      <c r="E468" s="79" t="s">
        <v>874</v>
      </c>
      <c r="F468" s="80"/>
      <c r="G468" s="81"/>
      <c r="H468" s="78" t="s">
        <v>16</v>
      </c>
      <c r="I468" s="223">
        <v>46046</v>
      </c>
      <c r="J468" s="73">
        <v>3</v>
      </c>
      <c r="K468" s="122"/>
      <c r="L468" s="120">
        <f t="shared" si="44"/>
        <v>46136</v>
      </c>
      <c r="M468" s="121">
        <f ca="1" t="shared" si="45"/>
        <v>87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875</v>
      </c>
      <c r="C469" s="73" t="s">
        <v>13</v>
      </c>
      <c r="D469" s="74" t="s">
        <v>876</v>
      </c>
      <c r="E469" s="79" t="s">
        <v>877</v>
      </c>
      <c r="F469" s="80"/>
      <c r="G469" s="81"/>
      <c r="H469" s="78" t="s">
        <v>16</v>
      </c>
      <c r="I469" s="223">
        <v>46046</v>
      </c>
      <c r="J469" s="73">
        <v>3</v>
      </c>
      <c r="K469" s="122"/>
      <c r="L469" s="120">
        <f t="shared" si="44"/>
        <v>46136</v>
      </c>
      <c r="M469" s="121">
        <f ca="1" t="shared" si="45"/>
        <v>87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878</v>
      </c>
      <c r="C470" s="73" t="s">
        <v>27</v>
      </c>
      <c r="D470" s="74" t="s">
        <v>879</v>
      </c>
      <c r="E470" s="79" t="s">
        <v>880</v>
      </c>
      <c r="F470" s="80"/>
      <c r="G470" s="81"/>
      <c r="H470" s="89" t="s">
        <v>16</v>
      </c>
      <c r="I470" s="223">
        <v>46046</v>
      </c>
      <c r="J470" s="73">
        <v>3</v>
      </c>
      <c r="K470" s="122"/>
      <c r="L470" s="120">
        <f t="shared" ref="L470:L484" si="46">EDATE(I470,J470)</f>
        <v>46136</v>
      </c>
      <c r="M470" s="121">
        <f ca="1" t="shared" ref="M470:M484" si="47">L470-TODAY()</f>
        <v>87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881</v>
      </c>
      <c r="C471" s="73" t="s">
        <v>158</v>
      </c>
      <c r="D471" s="74" t="s">
        <v>551</v>
      </c>
      <c r="E471" s="79" t="s">
        <v>470</v>
      </c>
      <c r="F471" s="80"/>
      <c r="G471" s="81"/>
      <c r="H471" s="204"/>
      <c r="I471" s="223">
        <v>46046</v>
      </c>
      <c r="J471" s="73">
        <v>3</v>
      </c>
      <c r="K471" s="122"/>
      <c r="L471" s="120">
        <f t="shared" si="46"/>
        <v>46136</v>
      </c>
      <c r="M471" s="121">
        <f ca="1" t="shared" si="47"/>
        <v>87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394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 t="s">
        <v>472</v>
      </c>
      <c r="J472" s="73"/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394</v>
      </c>
      <c r="C473" s="73" t="s">
        <v>158</v>
      </c>
      <c r="D473" s="74" t="s">
        <v>882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/>
      <c r="L473" s="120">
        <f t="shared" si="46"/>
        <v>46136</v>
      </c>
      <c r="M473" s="121">
        <f ca="1" t="shared" si="47"/>
        <v>87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883</v>
      </c>
      <c r="C474" s="73" t="s">
        <v>27</v>
      </c>
      <c r="D474" s="74" t="s">
        <v>884</v>
      </c>
      <c r="E474" s="79" t="s">
        <v>885</v>
      </c>
      <c r="F474" s="80"/>
      <c r="G474" s="81"/>
      <c r="H474" s="78" t="s">
        <v>16</v>
      </c>
      <c r="I474" s="223">
        <v>46046</v>
      </c>
      <c r="J474" s="73">
        <v>3</v>
      </c>
      <c r="K474" s="122"/>
      <c r="L474" s="120">
        <f t="shared" si="46"/>
        <v>46136</v>
      </c>
      <c r="M474" s="121">
        <f ca="1" t="shared" si="47"/>
        <v>87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615</v>
      </c>
      <c r="C475" s="73" t="s">
        <v>13</v>
      </c>
      <c r="D475" s="74" t="s">
        <v>886</v>
      </c>
      <c r="E475" s="79" t="s">
        <v>887</v>
      </c>
      <c r="F475" s="80"/>
      <c r="G475" s="81"/>
      <c r="H475" s="78" t="s">
        <v>16</v>
      </c>
      <c r="I475" s="223">
        <v>46046</v>
      </c>
      <c r="J475" s="73">
        <v>3</v>
      </c>
      <c r="K475" s="122"/>
      <c r="L475" s="120">
        <f t="shared" si="46"/>
        <v>46136</v>
      </c>
      <c r="M475" s="121">
        <f ca="1" t="shared" si="47"/>
        <v>87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615</v>
      </c>
      <c r="C476" s="73" t="s">
        <v>13</v>
      </c>
      <c r="D476" s="74" t="s">
        <v>888</v>
      </c>
      <c r="E476" s="79" t="s">
        <v>887</v>
      </c>
      <c r="F476" s="80"/>
      <c r="G476" s="81"/>
      <c r="H476" s="78" t="s">
        <v>16</v>
      </c>
      <c r="I476" s="223">
        <v>46046</v>
      </c>
      <c r="J476" s="73">
        <v>3</v>
      </c>
      <c r="K476" s="122"/>
      <c r="L476" s="120">
        <f t="shared" si="46"/>
        <v>46136</v>
      </c>
      <c r="M476" s="121">
        <f ca="1" t="shared" si="47"/>
        <v>87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889</v>
      </c>
      <c r="C477" s="73" t="s">
        <v>228</v>
      </c>
      <c r="D477" s="74" t="s">
        <v>890</v>
      </c>
      <c r="E477" s="79" t="s">
        <v>891</v>
      </c>
      <c r="F477" s="80"/>
      <c r="G477" s="81"/>
      <c r="H477" s="78" t="s">
        <v>16</v>
      </c>
      <c r="I477" s="223">
        <v>46046</v>
      </c>
      <c r="J477" s="73">
        <v>3</v>
      </c>
      <c r="K477" s="122"/>
      <c r="L477" s="120">
        <f t="shared" si="46"/>
        <v>46136</v>
      </c>
      <c r="M477" s="121">
        <f ca="1" t="shared" si="47"/>
        <v>87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892</v>
      </c>
      <c r="C478" s="73" t="s">
        <v>228</v>
      </c>
      <c r="D478" s="74" t="s">
        <v>893</v>
      </c>
      <c r="E478" s="79" t="s">
        <v>894</v>
      </c>
      <c r="F478" s="80"/>
      <c r="G478" s="81"/>
      <c r="H478" s="78" t="s">
        <v>16</v>
      </c>
      <c r="I478" s="223">
        <v>46046</v>
      </c>
      <c r="J478" s="73">
        <v>3</v>
      </c>
      <c r="K478" s="122"/>
      <c r="L478" s="120">
        <f t="shared" si="46"/>
        <v>46136</v>
      </c>
      <c r="M478" s="121">
        <f ca="1" t="shared" si="47"/>
        <v>87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412</v>
      </c>
      <c r="C479" s="73" t="s">
        <v>228</v>
      </c>
      <c r="D479" s="74" t="s">
        <v>895</v>
      </c>
      <c r="E479" s="79" t="s">
        <v>414</v>
      </c>
      <c r="F479" s="80"/>
      <c r="G479" s="81"/>
      <c r="H479" s="78" t="s">
        <v>16</v>
      </c>
      <c r="I479" s="223">
        <v>46046</v>
      </c>
      <c r="J479" s="73">
        <v>3</v>
      </c>
      <c r="K479" s="122"/>
      <c r="L479" s="120">
        <f t="shared" si="46"/>
        <v>46136</v>
      </c>
      <c r="M479" s="121">
        <f ca="1" t="shared" si="47"/>
        <v>87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896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/>
      <c r="L480" s="120">
        <f t="shared" si="46"/>
        <v>46136</v>
      </c>
      <c r="M480" s="121">
        <f ca="1" t="shared" si="47"/>
        <v>87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897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/>
      <c r="L481" s="120">
        <f t="shared" si="46"/>
        <v>46136</v>
      </c>
      <c r="M481" s="121">
        <f ca="1" t="shared" si="47"/>
        <v>87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898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/>
      <c r="L482" s="120">
        <f t="shared" si="46"/>
        <v>46136</v>
      </c>
      <c r="M482" s="121">
        <f ca="1" t="shared" si="47"/>
        <v>87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899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/>
      <c r="L483" s="120">
        <f t="shared" si="46"/>
        <v>46136</v>
      </c>
      <c r="M483" s="121">
        <f ca="1" t="shared" si="47"/>
        <v>87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900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/>
      <c r="L484" s="120">
        <f t="shared" si="46"/>
        <v>46136</v>
      </c>
      <c r="M484" s="121">
        <f ca="1" t="shared" si="47"/>
        <v>87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901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/>
      <c r="L485" s="120">
        <f t="shared" ref="L485:L501" si="48">EDATE(I485,J485)</f>
        <v>46137</v>
      </c>
      <c r="M485" s="121">
        <f ca="1" t="shared" ref="M485:M501" si="49">L485-TODAY()</f>
        <v>88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902</v>
      </c>
      <c r="E486" s="79" t="s">
        <v>610</v>
      </c>
      <c r="F486" s="80"/>
      <c r="G486" s="81"/>
      <c r="H486" s="78" t="s">
        <v>16</v>
      </c>
      <c r="I486" s="223">
        <v>46047</v>
      </c>
      <c r="J486" s="73">
        <v>3</v>
      </c>
      <c r="K486" s="122"/>
      <c r="L486" s="120">
        <f t="shared" si="48"/>
        <v>46137</v>
      </c>
      <c r="M486" s="121">
        <f ca="1" t="shared" si="49"/>
        <v>88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903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/>
      <c r="L487" s="120">
        <f t="shared" si="48"/>
        <v>46137</v>
      </c>
      <c r="M487" s="121">
        <f ca="1" t="shared" si="49"/>
        <v>88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904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/>
      <c r="L488" s="120">
        <f t="shared" si="48"/>
        <v>46137</v>
      </c>
      <c r="M488" s="121">
        <f ca="1" t="shared" si="49"/>
        <v>88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905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/>
      <c r="L489" s="120">
        <f t="shared" si="48"/>
        <v>46137</v>
      </c>
      <c r="M489" s="121">
        <f ca="1" t="shared" si="49"/>
        <v>88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703</v>
      </c>
      <c r="C490" s="73" t="s">
        <v>27</v>
      </c>
      <c r="D490" s="74" t="s">
        <v>906</v>
      </c>
      <c r="E490" s="79" t="s">
        <v>907</v>
      </c>
      <c r="F490" s="80"/>
      <c r="G490" s="81"/>
      <c r="H490" s="82"/>
      <c r="I490" s="223">
        <v>46047</v>
      </c>
      <c r="J490" s="73">
        <v>3</v>
      </c>
      <c r="K490" s="122"/>
      <c r="L490" s="120">
        <f t="shared" si="48"/>
        <v>46137</v>
      </c>
      <c r="M490" s="121">
        <f ca="1" t="shared" si="49"/>
        <v>88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703</v>
      </c>
      <c r="C491" s="73" t="s">
        <v>27</v>
      </c>
      <c r="D491" s="74" t="s">
        <v>908</v>
      </c>
      <c r="E491" s="79" t="s">
        <v>782</v>
      </c>
      <c r="F491" s="80"/>
      <c r="G491" s="81"/>
      <c r="H491" s="82"/>
      <c r="I491" s="223">
        <v>46047</v>
      </c>
      <c r="J491" s="73">
        <v>3</v>
      </c>
      <c r="K491" s="122"/>
      <c r="L491" s="120">
        <f t="shared" si="48"/>
        <v>46137</v>
      </c>
      <c r="M491" s="121">
        <f ca="1" t="shared" si="49"/>
        <v>88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348</v>
      </c>
      <c r="C492" s="73" t="s">
        <v>27</v>
      </c>
      <c r="D492" s="74" t="s">
        <v>909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/>
      <c r="L492" s="120">
        <f t="shared" si="48"/>
        <v>46137</v>
      </c>
      <c r="M492" s="121">
        <f ca="1" t="shared" si="49"/>
        <v>88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287</v>
      </c>
      <c r="C493" s="73" t="s">
        <v>13</v>
      </c>
      <c r="D493" s="254" t="s">
        <v>910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/>
      <c r="L493" s="120">
        <f t="shared" si="48"/>
        <v>46137</v>
      </c>
      <c r="M493" s="121">
        <f ca="1" t="shared" si="49"/>
        <v>88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287</v>
      </c>
      <c r="C494" s="73" t="s">
        <v>13</v>
      </c>
      <c r="D494" s="74" t="s">
        <v>911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/>
      <c r="L494" s="120">
        <f t="shared" si="48"/>
        <v>46137</v>
      </c>
      <c r="M494" s="121">
        <f ca="1" t="shared" si="49"/>
        <v>88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912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/>
      <c r="L495" s="120">
        <f t="shared" si="48"/>
        <v>46137</v>
      </c>
      <c r="M495" s="121">
        <f ca="1" t="shared" si="49"/>
        <v>88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913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/>
      <c r="L496" s="120">
        <f t="shared" si="48"/>
        <v>46137</v>
      </c>
      <c r="M496" s="121">
        <f ca="1" t="shared" si="49"/>
        <v>88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914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/>
      <c r="L497" s="120">
        <f t="shared" si="48"/>
        <v>46137</v>
      </c>
      <c r="M497" s="121">
        <f ca="1" t="shared" si="49"/>
        <v>88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915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/>
      <c r="L498" s="120">
        <f t="shared" si="48"/>
        <v>46137</v>
      </c>
      <c r="M498" s="121">
        <f ca="1" t="shared" si="49"/>
        <v>88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916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/>
      <c r="L499" s="120">
        <f t="shared" si="48"/>
        <v>46137</v>
      </c>
      <c r="M499" s="121">
        <f ca="1" t="shared" si="49"/>
        <v>88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917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/>
      <c r="L500" s="120">
        <f t="shared" si="48"/>
        <v>46137</v>
      </c>
      <c r="M500" s="121">
        <f ca="1" t="shared" si="49"/>
        <v>88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5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89" t="s">
        <v>472</v>
      </c>
      <c r="J501" s="73"/>
      <c r="K501" s="122"/>
      <c r="L501" s="120" t="e">
        <f t="shared" si="48"/>
        <v>#VALUE!</v>
      </c>
      <c r="M501" s="121" t="e">
        <f ca="1" t="shared" si="49"/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5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420</v>
      </c>
      <c r="C502" s="73" t="s">
        <v>13</v>
      </c>
      <c r="D502" s="74" t="s">
        <v>918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/>
      <c r="L502" s="264"/>
      <c r="M502" s="121"/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420</v>
      </c>
      <c r="C503" s="73" t="s">
        <v>13</v>
      </c>
      <c r="D503" s="74" t="s">
        <v>919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/>
      <c r="L503" s="264"/>
      <c r="M503" s="121"/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920</v>
      </c>
      <c r="E504" s="79" t="s">
        <v>785</v>
      </c>
      <c r="F504" s="80"/>
      <c r="G504" s="81"/>
      <c r="H504" s="82"/>
      <c r="I504" s="118">
        <v>46048</v>
      </c>
      <c r="J504" s="73">
        <v>3</v>
      </c>
      <c r="K504" s="122"/>
      <c r="L504" s="264"/>
      <c r="M504" s="121"/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921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/>
      <c r="L505" s="264"/>
      <c r="M505" s="121"/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348</v>
      </c>
      <c r="C506" s="73" t="s">
        <v>27</v>
      </c>
      <c r="D506" s="74" t="s">
        <v>922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/>
      <c r="L506" s="264"/>
      <c r="M506" s="121"/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923</v>
      </c>
      <c r="C507" s="73" t="s">
        <v>27</v>
      </c>
      <c r="D507" s="74" t="s">
        <v>924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/>
      <c r="L507" s="264"/>
      <c r="M507" s="121"/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925</v>
      </c>
      <c r="C508" s="73" t="s">
        <v>13</v>
      </c>
      <c r="D508" s="74" t="s">
        <v>926</v>
      </c>
      <c r="E508" s="79" t="s">
        <v>927</v>
      </c>
      <c r="F508" s="80"/>
      <c r="G508" s="81"/>
      <c r="H508" s="78" t="s">
        <v>16</v>
      </c>
      <c r="I508" s="118">
        <v>46048</v>
      </c>
      <c r="J508" s="73">
        <v>3</v>
      </c>
      <c r="K508" s="122"/>
      <c r="L508" s="264"/>
      <c r="M508" s="121"/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928</v>
      </c>
      <c r="C509" s="73" t="s">
        <v>158</v>
      </c>
      <c r="D509" s="74" t="s">
        <v>929</v>
      </c>
      <c r="E509" s="79" t="s">
        <v>519</v>
      </c>
      <c r="F509" s="80"/>
      <c r="G509" s="81"/>
      <c r="H509" s="82"/>
      <c r="I509" s="118">
        <v>46048</v>
      </c>
      <c r="J509" s="73">
        <v>3</v>
      </c>
      <c r="K509" s="122"/>
      <c r="L509" s="264"/>
      <c r="M509" s="121"/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930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/>
      <c r="L510" s="264"/>
      <c r="M510" s="121"/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647</v>
      </c>
      <c r="C511" s="73" t="s">
        <v>158</v>
      </c>
      <c r="D511" s="74" t="s">
        <v>931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/>
      <c r="L511" s="264"/>
      <c r="M511" s="121"/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932</v>
      </c>
      <c r="E512" s="79" t="s">
        <v>933</v>
      </c>
      <c r="F512" s="80"/>
      <c r="G512" s="81"/>
      <c r="H512" s="82"/>
      <c r="I512" s="118">
        <v>46048</v>
      </c>
      <c r="J512" s="73">
        <v>3</v>
      </c>
      <c r="K512" s="122"/>
      <c r="L512" s="120"/>
      <c r="M512" s="121"/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645</v>
      </c>
      <c r="E513" s="79" t="s">
        <v>221</v>
      </c>
      <c r="F513" s="80"/>
      <c r="G513" s="81"/>
      <c r="H513" s="213"/>
      <c r="I513" s="118" t="s">
        <v>472</v>
      </c>
      <c r="J513" s="73">
        <v>3</v>
      </c>
      <c r="K513" s="122"/>
      <c r="L513" s="120"/>
      <c r="M513" s="121"/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934</v>
      </c>
      <c r="C514" s="73" t="s">
        <v>13</v>
      </c>
      <c r="D514" s="74" t="s">
        <v>935</v>
      </c>
      <c r="E514" s="79" t="s">
        <v>936</v>
      </c>
      <c r="F514" s="80"/>
      <c r="G514" s="80"/>
      <c r="H514" s="212" t="s">
        <v>16</v>
      </c>
      <c r="I514" s="118">
        <v>46048</v>
      </c>
      <c r="J514" s="73">
        <v>3</v>
      </c>
      <c r="K514" s="267"/>
      <c r="L514" s="120"/>
      <c r="M514" s="121"/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937</v>
      </c>
      <c r="E515" s="79" t="s">
        <v>938</v>
      </c>
      <c r="F515" s="80"/>
      <c r="G515" s="80"/>
      <c r="H515" s="212" t="s">
        <v>16</v>
      </c>
      <c r="I515" s="118">
        <v>46048</v>
      </c>
      <c r="J515" s="73">
        <v>3</v>
      </c>
      <c r="K515" s="267"/>
      <c r="L515" s="120"/>
      <c r="M515" s="121"/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341</v>
      </c>
      <c r="C516" s="73" t="s">
        <v>228</v>
      </c>
      <c r="D516" s="74" t="s">
        <v>939</v>
      </c>
      <c r="E516" s="79" t="s">
        <v>530</v>
      </c>
      <c r="F516" s="80"/>
      <c r="G516" s="80"/>
      <c r="H516" s="212" t="s">
        <v>16</v>
      </c>
      <c r="I516" s="118">
        <v>46048</v>
      </c>
      <c r="J516" s="73">
        <v>3</v>
      </c>
      <c r="K516" s="267"/>
      <c r="L516" s="120"/>
      <c r="M516" s="121"/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341</v>
      </c>
      <c r="C517" s="73" t="s">
        <v>228</v>
      </c>
      <c r="D517" s="74" t="s">
        <v>940</v>
      </c>
      <c r="E517" s="79" t="s">
        <v>530</v>
      </c>
      <c r="F517" s="80"/>
      <c r="G517" s="80"/>
      <c r="H517" s="212" t="s">
        <v>16</v>
      </c>
      <c r="I517" s="118">
        <v>46048</v>
      </c>
      <c r="J517" s="73">
        <v>3</v>
      </c>
      <c r="K517" s="122"/>
      <c r="L517" s="120"/>
      <c r="M517" s="121"/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/>
      <c r="B518" s="73"/>
      <c r="C518" s="73"/>
      <c r="D518" s="74"/>
      <c r="E518" s="79"/>
      <c r="F518" s="80"/>
      <c r="G518" s="81"/>
      <c r="H518" s="78"/>
      <c r="I518" s="118"/>
      <c r="J518" s="73"/>
      <c r="K518" s="122"/>
      <c r="L518" s="120"/>
      <c r="M518" s="121"/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/>
      <c r="B519" s="73"/>
      <c r="C519" s="73"/>
      <c r="D519" s="74"/>
      <c r="E519" s="79"/>
      <c r="F519" s="80"/>
      <c r="G519" s="81"/>
      <c r="H519" s="89"/>
      <c r="I519" s="118"/>
      <c r="J519" s="73"/>
      <c r="K519" s="122"/>
      <c r="L519" s="120"/>
      <c r="M519" s="121"/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/>
      <c r="B520" s="73"/>
      <c r="C520" s="73"/>
      <c r="D520" s="74"/>
      <c r="E520" s="79"/>
      <c r="F520" s="80"/>
      <c r="G520" s="81"/>
      <c r="H520" s="266"/>
      <c r="I520" s="118"/>
      <c r="J520" s="73"/>
      <c r="K520" s="122"/>
      <c r="L520" s="120"/>
      <c r="M520" s="121"/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/>
      <c r="B521" s="73"/>
      <c r="C521" s="73"/>
      <c r="D521" s="74"/>
      <c r="E521" s="79"/>
      <c r="F521" s="80"/>
      <c r="G521" s="81"/>
      <c r="H521" s="266"/>
      <c r="I521" s="118"/>
      <c r="J521" s="73"/>
      <c r="K521" s="122"/>
      <c r="L521" s="120"/>
      <c r="M521" s="121"/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/>
      <c r="B522" s="73"/>
      <c r="C522" s="73"/>
      <c r="D522" s="74"/>
      <c r="E522" s="79"/>
      <c r="F522" s="80"/>
      <c r="G522" s="81"/>
      <c r="H522" s="266"/>
      <c r="I522" s="118"/>
      <c r="J522" s="73"/>
      <c r="K522" s="122"/>
      <c r="L522" s="120"/>
      <c r="M522" s="121"/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/>
      <c r="B523" s="73"/>
      <c r="C523" s="73"/>
      <c r="D523" s="74"/>
      <c r="E523" s="79"/>
      <c r="F523" s="80"/>
      <c r="G523" s="81"/>
      <c r="H523" s="130"/>
      <c r="I523" s="118"/>
      <c r="J523" s="73"/>
      <c r="K523" s="122"/>
      <c r="L523" s="120"/>
      <c r="M523" s="121"/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/>
      <c r="B524" s="73"/>
      <c r="C524" s="73"/>
      <c r="D524" s="74"/>
      <c r="E524" s="79"/>
      <c r="F524" s="80"/>
      <c r="G524" s="81"/>
      <c r="H524" s="130"/>
      <c r="I524" s="118"/>
      <c r="J524" s="73"/>
      <c r="K524" s="122"/>
      <c r="L524" s="120"/>
      <c r="M524" s="121"/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/>
      <c r="B525" s="73"/>
      <c r="C525" s="73"/>
      <c r="D525" s="74"/>
      <c r="E525" s="79"/>
      <c r="F525" s="80"/>
      <c r="G525" s="81"/>
      <c r="H525" s="130"/>
      <c r="I525" s="118"/>
      <c r="J525" s="73"/>
      <c r="K525" s="122"/>
      <c r="L525" s="120"/>
      <c r="M525" s="121"/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/>
      <c r="B526" s="73"/>
      <c r="C526" s="73"/>
      <c r="D526" s="74"/>
      <c r="E526" s="79"/>
      <c r="F526" s="80"/>
      <c r="G526" s="81"/>
      <c r="H526" s="78"/>
      <c r="I526" s="118"/>
      <c r="J526" s="73"/>
      <c r="K526" s="122"/>
      <c r="L526" s="120"/>
      <c r="M526" s="121"/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/>
      <c r="B527" s="73"/>
      <c r="C527" s="73"/>
      <c r="D527" s="74"/>
      <c r="E527" s="79"/>
      <c r="F527" s="80"/>
      <c r="G527" s="81"/>
      <c r="H527" s="78"/>
      <c r="I527" s="118"/>
      <c r="J527" s="73"/>
      <c r="K527" s="122"/>
      <c r="L527" s="120"/>
      <c r="M527" s="121"/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/>
      <c r="B528" s="73"/>
      <c r="C528" s="73"/>
      <c r="D528" s="74"/>
      <c r="E528" s="79"/>
      <c r="F528" s="80"/>
      <c r="G528" s="81"/>
      <c r="H528" s="78"/>
      <c r="I528" s="118"/>
      <c r="J528" s="73"/>
      <c r="K528" s="122"/>
      <c r="L528" s="120"/>
      <c r="M528" s="121"/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/>
      <c r="B529" s="73"/>
      <c r="C529" s="73"/>
      <c r="D529" s="74"/>
      <c r="E529" s="79"/>
      <c r="F529" s="80"/>
      <c r="G529" s="81"/>
      <c r="H529" s="78"/>
      <c r="I529" s="118"/>
      <c r="J529" s="73"/>
      <c r="K529" s="122"/>
      <c r="L529" s="120"/>
      <c r="M529" s="121"/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/>
      <c r="B530" s="73"/>
      <c r="C530" s="73"/>
      <c r="D530" s="74"/>
      <c r="E530" s="79"/>
      <c r="F530" s="80"/>
      <c r="G530" s="81"/>
      <c r="H530" s="78"/>
      <c r="I530" s="118"/>
      <c r="J530" s="73"/>
      <c r="K530" s="122"/>
      <c r="L530" s="120"/>
      <c r="M530" s="121"/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/>
      <c r="B531" s="73"/>
      <c r="C531" s="73"/>
      <c r="D531" s="74"/>
      <c r="E531" s="79"/>
      <c r="F531" s="80"/>
      <c r="G531" s="81"/>
      <c r="H531" s="78"/>
      <c r="I531" s="118"/>
      <c r="J531" s="73"/>
      <c r="K531" s="122"/>
      <c r="L531" s="120"/>
      <c r="M531" s="121"/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/>
      <c r="B532" s="73"/>
      <c r="C532" s="73"/>
      <c r="D532" s="74"/>
      <c r="E532" s="79"/>
      <c r="F532" s="80"/>
      <c r="G532" s="81"/>
      <c r="H532" s="130"/>
      <c r="I532" s="118"/>
      <c r="J532" s="73"/>
      <c r="K532" s="122"/>
      <c r="L532" s="120"/>
      <c r="M532" s="121"/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/>
      <c r="B533" s="73"/>
      <c r="C533" s="73"/>
      <c r="D533" s="74"/>
      <c r="E533" s="79"/>
      <c r="F533" s="80"/>
      <c r="G533" s="81"/>
      <c r="H533" s="130"/>
      <c r="I533" s="118"/>
      <c r="J533" s="73"/>
      <c r="K533" s="122"/>
      <c r="L533" s="120"/>
      <c r="M533" s="121"/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/>
      <c r="B534" s="73"/>
      <c r="C534" s="73"/>
      <c r="D534" s="74"/>
      <c r="E534" s="79"/>
      <c r="F534" s="80"/>
      <c r="G534" s="81"/>
      <c r="H534" s="130"/>
      <c r="I534" s="118"/>
      <c r="J534" s="73"/>
      <c r="K534" s="122"/>
      <c r="L534" s="120"/>
      <c r="M534" s="121"/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/>
      <c r="B535" s="73"/>
      <c r="C535" s="73"/>
      <c r="D535" s="74"/>
      <c r="E535" s="79"/>
      <c r="F535" s="80"/>
      <c r="G535" s="81"/>
      <c r="H535" s="78"/>
      <c r="I535" s="118"/>
      <c r="J535" s="73"/>
      <c r="K535" s="122"/>
      <c r="L535" s="120"/>
      <c r="M535" s="121"/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/>
      <c r="B536" s="73"/>
      <c r="C536" s="73"/>
      <c r="D536" s="74"/>
      <c r="E536" s="79"/>
      <c r="F536" s="80"/>
      <c r="G536" s="81"/>
      <c r="H536" s="78"/>
      <c r="I536" s="118"/>
      <c r="J536" s="73"/>
      <c r="K536" s="122"/>
      <c r="L536" s="120"/>
      <c r="M536" s="121"/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/>
      <c r="B537" s="73"/>
      <c r="C537" s="73"/>
      <c r="D537" s="74"/>
      <c r="E537" s="79"/>
      <c r="F537" s="80"/>
      <c r="G537" s="81"/>
      <c r="H537" s="78"/>
      <c r="I537" s="118"/>
      <c r="J537" s="73"/>
      <c r="K537" s="122"/>
      <c r="L537" s="120"/>
      <c r="M537" s="121"/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/>
      <c r="B538" s="73"/>
      <c r="C538" s="73"/>
      <c r="D538" s="74"/>
      <c r="E538" s="79"/>
      <c r="F538" s="80"/>
      <c r="G538" s="81"/>
      <c r="H538" s="78"/>
      <c r="I538" s="118"/>
      <c r="J538" s="73"/>
      <c r="K538" s="122"/>
      <c r="L538" s="120"/>
      <c r="M538" s="121"/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/>
      <c r="B539" s="73"/>
      <c r="C539" s="73"/>
      <c r="D539" s="74"/>
      <c r="E539" s="79"/>
      <c r="F539" s="80"/>
      <c r="G539" s="81"/>
      <c r="H539" s="78"/>
      <c r="I539" s="118"/>
      <c r="J539" s="73"/>
      <c r="K539" s="122"/>
      <c r="L539" s="120"/>
      <c r="M539" s="121"/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/>
      <c r="B540" s="73"/>
      <c r="C540" s="73"/>
      <c r="D540" s="74"/>
      <c r="E540" s="79"/>
      <c r="F540" s="80"/>
      <c r="G540" s="81"/>
      <c r="H540" s="78"/>
      <c r="I540" s="118"/>
      <c r="J540" s="73"/>
      <c r="K540" s="122"/>
      <c r="L540" s="120"/>
      <c r="M540" s="121"/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/>
      <c r="B541" s="73"/>
      <c r="C541" s="73"/>
      <c r="D541" s="74"/>
      <c r="E541" s="79"/>
      <c r="F541" s="80"/>
      <c r="G541" s="81"/>
      <c r="H541" s="78"/>
      <c r="I541" s="118"/>
      <c r="J541" s="73"/>
      <c r="K541" s="122"/>
      <c r="L541" s="120"/>
      <c r="M541" s="121"/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/>
      <c r="B542" s="73"/>
      <c r="C542" s="73"/>
      <c r="D542" s="74"/>
      <c r="E542" s="79"/>
      <c r="F542" s="80"/>
      <c r="G542" s="81"/>
      <c r="H542" s="78"/>
      <c r="I542" s="118"/>
      <c r="J542" s="73"/>
      <c r="K542" s="122"/>
      <c r="L542" s="120"/>
      <c r="M542" s="121"/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/>
      <c r="B543" s="73"/>
      <c r="C543" s="73"/>
      <c r="D543" s="74"/>
      <c r="E543" s="79"/>
      <c r="F543" s="80"/>
      <c r="G543" s="81"/>
      <c r="H543" s="78"/>
      <c r="I543" s="118"/>
      <c r="J543" s="73"/>
      <c r="K543" s="122"/>
      <c r="L543" s="120"/>
      <c r="M543" s="121"/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/>
      <c r="B544" s="73"/>
      <c r="C544" s="73"/>
      <c r="D544" s="74"/>
      <c r="E544" s="79"/>
      <c r="F544" s="80"/>
      <c r="G544" s="81"/>
      <c r="H544" s="78"/>
      <c r="I544" s="118"/>
      <c r="J544" s="73"/>
      <c r="K544" s="122"/>
      <c r="L544" s="120"/>
      <c r="M544" s="121"/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/>
      <c r="B545" s="73"/>
      <c r="C545" s="73"/>
      <c r="D545" s="74"/>
      <c r="E545" s="79"/>
      <c r="F545" s="80"/>
      <c r="G545" s="81"/>
      <c r="H545" s="78"/>
      <c r="I545" s="118"/>
      <c r="J545" s="73"/>
      <c r="K545" s="122"/>
      <c r="L545" s="120"/>
      <c r="M545" s="121"/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/>
      <c r="B546" s="73"/>
      <c r="C546" s="73"/>
      <c r="D546" s="74"/>
      <c r="E546" s="79"/>
      <c r="F546" s="80"/>
      <c r="G546" s="81"/>
      <c r="H546" s="78"/>
      <c r="I546" s="118"/>
      <c r="J546" s="73"/>
      <c r="K546" s="122"/>
      <c r="L546" s="120"/>
      <c r="M546" s="121"/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/>
      <c r="B547" s="73"/>
      <c r="C547" s="73"/>
      <c r="D547" s="74"/>
      <c r="E547" s="79"/>
      <c r="F547" s="80"/>
      <c r="G547" s="81"/>
      <c r="H547" s="78"/>
      <c r="I547" s="118"/>
      <c r="J547" s="73"/>
      <c r="K547" s="122"/>
      <c r="L547" s="120"/>
      <c r="M547" s="121"/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/>
      <c r="B548" s="73"/>
      <c r="C548" s="73"/>
      <c r="D548" s="74"/>
      <c r="E548" s="79"/>
      <c r="F548" s="80"/>
      <c r="G548" s="81"/>
      <c r="H548" s="78"/>
      <c r="I548" s="118"/>
      <c r="J548" s="73"/>
      <c r="K548" s="122"/>
      <c r="L548" s="120"/>
      <c r="M548" s="121"/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/>
      <c r="B549" s="73"/>
      <c r="C549" s="73"/>
      <c r="D549" s="74"/>
      <c r="E549" s="79"/>
      <c r="F549" s="80"/>
      <c r="G549" s="81"/>
      <c r="H549" s="78"/>
      <c r="I549" s="118"/>
      <c r="J549" s="73"/>
      <c r="K549" s="122"/>
      <c r="L549" s="120"/>
      <c r="M549" s="121"/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/>
      <c r="B550" s="73"/>
      <c r="C550" s="73"/>
      <c r="D550" s="74"/>
      <c r="E550" s="79"/>
      <c r="F550" s="80"/>
      <c r="G550" s="81"/>
      <c r="H550" s="89"/>
      <c r="I550" s="118"/>
      <c r="J550" s="73"/>
      <c r="K550" s="122"/>
      <c r="L550" s="120"/>
      <c r="M550" s="121"/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/>
      <c r="B551" s="73"/>
      <c r="C551" s="73"/>
      <c r="D551" s="74"/>
      <c r="E551" s="79"/>
      <c r="F551" s="80"/>
      <c r="G551" s="81"/>
      <c r="H551" s="89"/>
      <c r="I551" s="118"/>
      <c r="J551" s="73"/>
      <c r="K551" s="122"/>
      <c r="L551" s="120"/>
      <c r="M551" s="121"/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/>
      <c r="B552" s="73"/>
      <c r="C552" s="73"/>
      <c r="D552" s="74"/>
      <c r="E552" s="79"/>
      <c r="F552" s="80"/>
      <c r="G552" s="81"/>
      <c r="H552" s="89"/>
      <c r="I552" s="118"/>
      <c r="J552" s="73"/>
      <c r="K552" s="122"/>
      <c r="L552" s="120"/>
      <c r="M552" s="121"/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8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8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/>
      <c r="B553" s="73"/>
      <c r="C553" s="73"/>
      <c r="D553" s="74"/>
      <c r="E553" s="79"/>
      <c r="F553" s="80"/>
      <c r="G553" s="81"/>
      <c r="H553" s="89"/>
      <c r="I553" s="118"/>
      <c r="J553" s="73"/>
      <c r="K553" s="122"/>
      <c r="L553" s="120"/>
      <c r="M553" s="121"/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8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8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/>
      <c r="B554" s="73"/>
      <c r="C554" s="73"/>
      <c r="D554" s="74"/>
      <c r="E554" s="79"/>
      <c r="F554" s="80"/>
      <c r="G554" s="81"/>
      <c r="H554" s="89"/>
      <c r="I554" s="118"/>
      <c r="J554" s="73"/>
      <c r="K554" s="122"/>
      <c r="L554" s="120"/>
      <c r="M554" s="121"/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/>
      <c r="B555" s="73"/>
      <c r="C555" s="73"/>
      <c r="D555" s="74"/>
      <c r="E555" s="79"/>
      <c r="F555" s="80"/>
      <c r="G555" s="81"/>
      <c r="H555" s="78"/>
      <c r="I555" s="118"/>
      <c r="J555" s="73"/>
      <c r="K555" s="122"/>
      <c r="L555" s="120"/>
      <c r="M555" s="121"/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/>
      <c r="B556" s="73"/>
      <c r="C556" s="73"/>
      <c r="D556" s="74"/>
      <c r="E556" s="79"/>
      <c r="F556" s="80"/>
      <c r="G556" s="81"/>
      <c r="H556" s="78"/>
      <c r="I556" s="118"/>
      <c r="J556" s="73"/>
      <c r="K556" s="122"/>
      <c r="L556" s="120"/>
      <c r="M556" s="121"/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/>
      <c r="B557" s="73"/>
      <c r="C557" s="73"/>
      <c r="D557" s="74"/>
      <c r="E557" s="79"/>
      <c r="F557" s="80"/>
      <c r="G557" s="81"/>
      <c r="H557" s="78"/>
      <c r="I557" s="118"/>
      <c r="J557" s="73"/>
      <c r="K557" s="122"/>
      <c r="L557" s="120"/>
      <c r="M557" s="121"/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/>
      <c r="B558" s="73"/>
      <c r="C558" s="73"/>
      <c r="D558" s="74"/>
      <c r="E558" s="79"/>
      <c r="F558" s="80"/>
      <c r="G558" s="81"/>
      <c r="H558" s="78"/>
      <c r="I558" s="118"/>
      <c r="J558" s="73"/>
      <c r="K558" s="122"/>
      <c r="L558" s="120"/>
      <c r="M558" s="121"/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/>
      <c r="B559" s="73"/>
      <c r="C559" s="73"/>
      <c r="D559" s="74"/>
      <c r="E559" s="79"/>
      <c r="F559" s="80"/>
      <c r="G559" s="81"/>
      <c r="H559" s="78"/>
      <c r="I559" s="118"/>
      <c r="J559" s="73"/>
      <c r="K559" s="122"/>
      <c r="L559" s="120"/>
      <c r="M559" s="121"/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/>
      <c r="B560" s="73"/>
      <c r="C560" s="73"/>
      <c r="D560" s="74"/>
      <c r="E560" s="79"/>
      <c r="F560" s="80"/>
      <c r="G560" s="81"/>
      <c r="H560" s="130"/>
      <c r="I560" s="118"/>
      <c r="J560" s="73"/>
      <c r="K560" s="122"/>
      <c r="L560" s="120"/>
      <c r="M560" s="121"/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/>
      <c r="B561" s="73"/>
      <c r="C561" s="73"/>
      <c r="D561" s="74"/>
      <c r="E561" s="79"/>
      <c r="F561" s="80"/>
      <c r="G561" s="81"/>
      <c r="H561" s="130"/>
      <c r="I561" s="118"/>
      <c r="J561" s="73"/>
      <c r="K561" s="122"/>
      <c r="L561" s="120"/>
      <c r="M561" s="121"/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/>
      <c r="B562" s="73"/>
      <c r="C562" s="73"/>
      <c r="D562" s="74"/>
      <c r="E562" s="79"/>
      <c r="F562" s="80"/>
      <c r="G562" s="81"/>
      <c r="H562" s="78"/>
      <c r="I562" s="118"/>
      <c r="J562" s="73"/>
      <c r="K562" s="122"/>
      <c r="L562" s="120"/>
      <c r="M562" s="121"/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/>
      <c r="B563" s="73"/>
      <c r="C563" s="73"/>
      <c r="D563" s="74"/>
      <c r="E563" s="79"/>
      <c r="F563" s="80"/>
      <c r="G563" s="81"/>
      <c r="H563" s="78"/>
      <c r="I563" s="118"/>
      <c r="J563" s="73"/>
      <c r="K563" s="122"/>
      <c r="L563" s="120"/>
      <c r="M563" s="121"/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/>
      <c r="B564" s="73"/>
      <c r="C564" s="73"/>
      <c r="D564" s="74"/>
      <c r="E564" s="79"/>
      <c r="F564" s="80"/>
      <c r="G564" s="81"/>
      <c r="H564" s="130"/>
      <c r="I564" s="118"/>
      <c r="J564" s="73"/>
      <c r="K564" s="122"/>
      <c r="L564" s="120"/>
      <c r="M564" s="121"/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/>
      <c r="B565" s="73"/>
      <c r="C565" s="73"/>
      <c r="D565" s="74"/>
      <c r="E565" s="79"/>
      <c r="F565" s="80"/>
      <c r="G565" s="81"/>
      <c r="H565" s="130"/>
      <c r="I565" s="118"/>
      <c r="J565" s="73"/>
      <c r="K565" s="122"/>
      <c r="L565" s="120"/>
      <c r="M565" s="121"/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/>
      <c r="B566" s="73"/>
      <c r="C566" s="73"/>
      <c r="D566" s="74"/>
      <c r="E566" s="79"/>
      <c r="F566" s="80"/>
      <c r="G566" s="81"/>
      <c r="H566" s="89"/>
      <c r="I566" s="118"/>
      <c r="J566" s="73"/>
      <c r="K566" s="122"/>
      <c r="L566" s="120"/>
      <c r="M566" s="121"/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/>
      <c r="B567" s="73"/>
      <c r="C567" s="73"/>
      <c r="D567" s="74"/>
      <c r="E567" s="79"/>
      <c r="F567" s="80"/>
      <c r="G567" s="81"/>
      <c r="H567" s="89"/>
      <c r="I567" s="118"/>
      <c r="J567" s="73"/>
      <c r="K567" s="122"/>
      <c r="L567" s="120"/>
      <c r="M567" s="121"/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/>
      <c r="B568" s="73"/>
      <c r="C568" s="73"/>
      <c r="D568" s="74"/>
      <c r="E568" s="79"/>
      <c r="F568" s="80"/>
      <c r="G568" s="81"/>
      <c r="H568" s="89"/>
      <c r="I568" s="118"/>
      <c r="J568" s="73"/>
      <c r="K568" s="122"/>
      <c r="L568" s="120"/>
      <c r="M568" s="121"/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/>
      <c r="B569" s="73"/>
      <c r="C569" s="73"/>
      <c r="D569" s="74"/>
      <c r="E569" s="79"/>
      <c r="F569" s="80"/>
      <c r="G569" s="81"/>
      <c r="H569" s="89"/>
      <c r="I569" s="118"/>
      <c r="J569" s="73"/>
      <c r="K569" s="122"/>
      <c r="L569" s="120"/>
      <c r="M569" s="121"/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/>
      <c r="B570" s="73"/>
      <c r="C570" s="73"/>
      <c r="D570" s="74"/>
      <c r="E570" s="79"/>
      <c r="F570" s="80"/>
      <c r="G570" s="81"/>
      <c r="H570" s="89"/>
      <c r="I570" s="118"/>
      <c r="J570" s="73"/>
      <c r="K570" s="122"/>
      <c r="L570" s="120"/>
      <c r="M570" s="121"/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/>
      <c r="B571" s="73"/>
      <c r="C571" s="73"/>
      <c r="D571" s="74"/>
      <c r="E571" s="79"/>
      <c r="F571" s="80"/>
      <c r="G571" s="81"/>
      <c r="H571" s="89"/>
      <c r="I571" s="118"/>
      <c r="J571" s="73"/>
      <c r="K571" s="122"/>
      <c r="L571" s="120"/>
      <c r="M571" s="121"/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/>
      <c r="B572" s="73"/>
      <c r="C572" s="73"/>
      <c r="D572" s="74"/>
      <c r="E572" s="79"/>
      <c r="F572" s="80"/>
      <c r="G572" s="81"/>
      <c r="H572" s="89"/>
      <c r="I572" s="118"/>
      <c r="J572" s="73"/>
      <c r="K572" s="122"/>
      <c r="L572" s="120"/>
      <c r="M572" s="121"/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/>
      <c r="B573" s="73"/>
      <c r="C573" s="73"/>
      <c r="D573" s="74"/>
      <c r="E573" s="79"/>
      <c r="F573" s="80"/>
      <c r="G573" s="81"/>
      <c r="H573" s="78"/>
      <c r="I573" s="118"/>
      <c r="J573" s="73"/>
      <c r="K573" s="122"/>
      <c r="L573" s="120"/>
      <c r="M573" s="121"/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/>
      <c r="B574" s="73"/>
      <c r="C574" s="73"/>
      <c r="D574" s="74"/>
      <c r="E574" s="79"/>
      <c r="F574" s="80"/>
      <c r="G574" s="81"/>
      <c r="H574" s="78"/>
      <c r="I574" s="118"/>
      <c r="J574" s="73"/>
      <c r="K574" s="122"/>
      <c r="L574" s="120"/>
      <c r="M574" s="121"/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/>
      <c r="B575" s="73"/>
      <c r="C575" s="73"/>
      <c r="D575" s="74"/>
      <c r="E575" s="79"/>
      <c r="F575" s="80"/>
      <c r="G575" s="81"/>
      <c r="H575" s="89"/>
      <c r="I575" s="118"/>
      <c r="J575" s="73"/>
      <c r="K575" s="122"/>
      <c r="L575" s="120"/>
      <c r="M575" s="121"/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/>
      <c r="B576" s="73"/>
      <c r="C576" s="73"/>
      <c r="D576" s="74"/>
      <c r="E576" s="79"/>
      <c r="F576" s="80"/>
      <c r="G576" s="81"/>
      <c r="H576" s="89"/>
      <c r="I576" s="118"/>
      <c r="J576" s="73"/>
      <c r="K576" s="122"/>
      <c r="L576" s="120"/>
      <c r="M576" s="121"/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/>
      <c r="B577" s="73"/>
      <c r="C577" s="73"/>
      <c r="D577" s="74"/>
      <c r="E577" s="79"/>
      <c r="F577" s="80"/>
      <c r="G577" s="81"/>
      <c r="H577" s="89"/>
      <c r="I577" s="118"/>
      <c r="J577" s="73"/>
      <c r="K577" s="122"/>
      <c r="L577" s="120"/>
      <c r="M577" s="121"/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/>
      <c r="B578" s="73"/>
      <c r="C578" s="73"/>
      <c r="D578" s="74"/>
      <c r="E578" s="79"/>
      <c r="F578" s="80"/>
      <c r="G578" s="81"/>
      <c r="H578" s="89"/>
      <c r="I578" s="118"/>
      <c r="J578" s="73"/>
      <c r="K578" s="122"/>
      <c r="L578" s="120"/>
      <c r="M578" s="121"/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/>
      <c r="B579" s="73"/>
      <c r="C579" s="73"/>
      <c r="D579" s="74"/>
      <c r="E579" s="79"/>
      <c r="F579" s="80"/>
      <c r="G579" s="81"/>
      <c r="H579" s="89"/>
      <c r="I579" s="118"/>
      <c r="J579" s="73"/>
      <c r="K579" s="122"/>
      <c r="L579" s="120"/>
      <c r="M579" s="121"/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/>
      <c r="B580" s="73"/>
      <c r="C580" s="73"/>
      <c r="D580" s="74"/>
      <c r="E580" s="79"/>
      <c r="F580" s="80"/>
      <c r="G580" s="81"/>
      <c r="H580" s="130"/>
      <c r="I580" s="118"/>
      <c r="J580" s="73"/>
      <c r="K580" s="122"/>
      <c r="L580" s="120"/>
      <c r="M580" s="121"/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/>
      <c r="B581" s="73"/>
      <c r="C581" s="73"/>
      <c r="D581" s="74"/>
      <c r="E581" s="79"/>
      <c r="F581" s="80"/>
      <c r="G581" s="81"/>
      <c r="H581" s="130"/>
      <c r="I581" s="118"/>
      <c r="J581" s="73"/>
      <c r="K581" s="122"/>
      <c r="L581" s="120"/>
      <c r="M581" s="121"/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/>
      <c r="B582" s="73"/>
      <c r="C582" s="73"/>
      <c r="D582" s="74"/>
      <c r="E582" s="79"/>
      <c r="F582" s="80"/>
      <c r="G582" s="81"/>
      <c r="H582" s="89"/>
      <c r="I582" s="118"/>
      <c r="J582" s="73"/>
      <c r="K582" s="122"/>
      <c r="L582" s="120"/>
      <c r="M582" s="121"/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/>
      <c r="B583" s="73"/>
      <c r="C583" s="73"/>
      <c r="D583" s="74"/>
      <c r="E583" s="79"/>
      <c r="F583" s="80"/>
      <c r="G583" s="81"/>
      <c r="H583" s="89"/>
      <c r="I583" s="118"/>
      <c r="J583" s="73"/>
      <c r="K583" s="122"/>
      <c r="L583" s="120"/>
      <c r="M583" s="121"/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/>
      <c r="B584" s="73"/>
      <c r="C584" s="73"/>
      <c r="D584" s="74"/>
      <c r="E584" s="79"/>
      <c r="F584" s="80"/>
      <c r="G584" s="81"/>
      <c r="H584" s="89"/>
      <c r="I584" s="118"/>
      <c r="J584" s="73"/>
      <c r="K584" s="122"/>
      <c r="L584" s="120"/>
      <c r="M584" s="121"/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15" customHeight="1" spans="1:52">
      <c r="A585" s="73"/>
      <c r="B585" s="73"/>
      <c r="C585" s="73"/>
      <c r="D585" s="74"/>
      <c r="E585" s="79"/>
      <c r="F585" s="80"/>
      <c r="G585" s="81"/>
      <c r="H585" s="89"/>
      <c r="I585" s="118"/>
      <c r="J585" s="73"/>
      <c r="K585" s="122"/>
      <c r="L585" s="120"/>
      <c r="M585" s="121"/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/>
      <c r="B586" s="73"/>
      <c r="C586" s="73"/>
      <c r="D586" s="74"/>
      <c r="E586" s="79"/>
      <c r="F586" s="80"/>
      <c r="G586" s="81"/>
      <c r="H586" s="89"/>
      <c r="I586" s="118"/>
      <c r="J586" s="73"/>
      <c r="K586" s="122"/>
      <c r="L586" s="120"/>
      <c r="M586" s="121"/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/>
      <c r="B587" s="73"/>
      <c r="C587" s="73"/>
      <c r="D587" s="74"/>
      <c r="E587" s="79"/>
      <c r="F587" s="80"/>
      <c r="G587" s="81"/>
      <c r="H587" s="89"/>
      <c r="I587" s="118"/>
      <c r="J587" s="73"/>
      <c r="K587" s="122"/>
      <c r="L587" s="120"/>
      <c r="M587" s="121"/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/>
      <c r="B588" s="73"/>
      <c r="C588" s="73"/>
      <c r="D588" s="74"/>
      <c r="E588" s="79"/>
      <c r="F588" s="80"/>
      <c r="G588" s="81"/>
      <c r="H588" s="78"/>
      <c r="I588" s="118"/>
      <c r="J588" s="73"/>
      <c r="K588" s="122"/>
      <c r="L588" s="120"/>
      <c r="M588" s="121"/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/>
      <c r="B589" s="73"/>
      <c r="C589" s="73"/>
      <c r="D589" s="74"/>
      <c r="E589" s="79"/>
      <c r="F589" s="80"/>
      <c r="G589" s="81"/>
      <c r="H589" s="78"/>
      <c r="I589" s="118"/>
      <c r="J589" s="73"/>
      <c r="K589" s="122"/>
      <c r="L589" s="120"/>
      <c r="M589" s="121"/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spans="1:52">
      <c r="A591" s="73"/>
      <c r="B591" s="73"/>
      <c r="C591" s="73"/>
      <c r="D591" s="74"/>
      <c r="E591" s="79"/>
      <c r="F591" s="80"/>
      <c r="G591" s="81"/>
      <c r="H591" s="78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spans="1:52">
      <c r="A592" s="73"/>
      <c r="B592" s="73"/>
      <c r="C592" s="73"/>
      <c r="D592" s="74"/>
      <c r="E592" s="79"/>
      <c r="F592" s="80"/>
      <c r="G592" s="81"/>
      <c r="H592" s="78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79" customHeight="1" spans="1:52">
      <c r="A593" s="73"/>
      <c r="B593" s="73"/>
      <c r="C593" s="73"/>
      <c r="D593" s="74"/>
      <c r="E593" s="79"/>
      <c r="F593" s="80"/>
      <c r="G593" s="81"/>
      <c r="H593" s="130"/>
      <c r="I593" s="118"/>
      <c r="J593" s="73"/>
      <c r="K593" s="122"/>
      <c r="L593" s="120"/>
      <c r="M593" s="121"/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/>
      <c r="B594" s="73"/>
      <c r="C594" s="73"/>
      <c r="D594" s="74"/>
      <c r="E594" s="79"/>
      <c r="F594" s="80"/>
      <c r="G594" s="81"/>
      <c r="H594" s="130"/>
      <c r="I594" s="118"/>
      <c r="J594" s="73"/>
      <c r="K594" s="122"/>
      <c r="L594" s="120"/>
      <c r="M594" s="121"/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/>
      <c r="B595" s="73"/>
      <c r="C595" s="73"/>
      <c r="D595" s="25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/>
      <c r="B601" s="73"/>
      <c r="C601" s="73"/>
      <c r="D601" s="74"/>
      <c r="E601" s="79"/>
      <c r="F601" s="80"/>
      <c r="G601" s="81"/>
      <c r="H601" s="89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/>
      <c r="B602" s="73"/>
      <c r="C602" s="73"/>
      <c r="D602" s="74"/>
      <c r="E602" s="79"/>
      <c r="F602" s="80"/>
      <c r="G602" s="81"/>
      <c r="H602" s="89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147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147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89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89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78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78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89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2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/>
      <c r="B625" s="73"/>
      <c r="C625" s="73"/>
      <c r="D625" s="74"/>
      <c r="E625" s="79"/>
      <c r="F625" s="80"/>
      <c r="G625" s="81"/>
      <c r="H625" s="78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spans="1:52">
      <c r="A626" s="73"/>
      <c r="B626" s="73"/>
      <c r="C626" s="73"/>
      <c r="D626" s="74"/>
      <c r="E626" s="79"/>
      <c r="F626" s="80"/>
      <c r="G626" s="81"/>
      <c r="H626" s="78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1" customHeight="1" spans="1:52">
      <c r="A627" s="73"/>
      <c r="B627" s="73"/>
      <c r="C627" s="73"/>
      <c r="D627" s="74"/>
      <c r="E627" s="79"/>
      <c r="F627" s="80"/>
      <c r="G627" s="81"/>
      <c r="H627" s="89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5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1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89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89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89"/>
      <c r="AV629" s="158"/>
      <c r="AW629" s="152"/>
      <c r="AX629" s="122"/>
      <c r="AY629" s="120"/>
      <c r="AZ629" s="121"/>
    </row>
    <row r="630" ht="24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/>
      <c r="B631" s="73"/>
      <c r="C631" s="73"/>
      <c r="D631" s="74"/>
      <c r="E631" s="79"/>
      <c r="F631" s="80"/>
      <c r="G631" s="81"/>
      <c r="H631" s="78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/>
      <c r="B632" s="73"/>
      <c r="C632" s="73"/>
      <c r="D632" s="74"/>
      <c r="E632" s="79"/>
      <c r="F632" s="80"/>
      <c r="G632" s="81"/>
      <c r="H632" s="7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/>
      <c r="B633" s="73"/>
      <c r="C633" s="73"/>
      <c r="D633" s="74"/>
      <c r="E633" s="79"/>
      <c r="F633" s="80"/>
      <c r="G633" s="81"/>
      <c r="H633" s="269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/>
      <c r="B635" s="73"/>
      <c r="C635" s="73"/>
      <c r="D635" s="74"/>
      <c r="E635" s="79"/>
      <c r="F635" s="80"/>
      <c r="G635" s="81"/>
      <c r="H635" s="15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15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78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270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158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89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89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78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78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89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78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/>
      <c r="B653" s="73"/>
      <c r="C653" s="73"/>
      <c r="D653" s="74"/>
      <c r="E653" s="79"/>
      <c r="F653" s="80"/>
      <c r="G653" s="81"/>
      <c r="H653" s="78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/>
      <c r="B654" s="73"/>
      <c r="C654" s="73"/>
      <c r="D654" s="74"/>
      <c r="E654" s="79"/>
      <c r="F654" s="80"/>
      <c r="G654" s="81"/>
      <c r="H654" s="130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53" customHeight="1" spans="1:52">
      <c r="A655" s="73"/>
      <c r="B655" s="73"/>
      <c r="C655" s="73"/>
      <c r="D655" s="74"/>
      <c r="E655" s="79"/>
      <c r="F655" s="80"/>
      <c r="G655" s="81"/>
      <c r="H655" s="130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5" customHeight="1" spans="1:52">
      <c r="A657" s="73"/>
      <c r="B657" s="73"/>
      <c r="C657" s="73"/>
      <c r="D657" s="74"/>
      <c r="E657" s="79"/>
      <c r="F657" s="80"/>
      <c r="G657" s="81"/>
      <c r="H657" s="89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/>
      <c r="B658" s="73"/>
      <c r="C658" s="73"/>
      <c r="D658" s="74"/>
      <c r="E658" s="79"/>
      <c r="F658" s="80"/>
      <c r="G658" s="81"/>
      <c r="H658" s="89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71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78"/>
      <c r="I671" s="118"/>
      <c r="J671" s="73"/>
      <c r="K671" s="122"/>
      <c r="L671" s="120"/>
      <c r="M671" s="121"/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/>
      <c r="B672" s="73"/>
      <c r="C672" s="73"/>
      <c r="D672" s="74"/>
      <c r="E672" s="79"/>
      <c r="F672" s="80"/>
      <c r="G672" s="81"/>
      <c r="H672" s="89"/>
      <c r="I672" s="118"/>
      <c r="J672" s="73"/>
      <c r="K672" s="122"/>
      <c r="L672" s="120"/>
      <c r="M672" s="121"/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/>
      <c r="B673" s="73"/>
      <c r="C673" s="73"/>
      <c r="D673" s="254"/>
      <c r="E673" s="79"/>
      <c r="F673" s="80"/>
      <c r="G673" s="81"/>
      <c r="H673" s="130"/>
      <c r="I673" s="118"/>
      <c r="J673" s="73"/>
      <c r="K673" s="122"/>
      <c r="L673" s="120"/>
      <c r="M673" s="121"/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78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78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24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22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78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89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130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79"/>
      <c r="S687" s="80"/>
      <c r="T687" s="81"/>
      <c r="U687" s="89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130"/>
      <c r="I688" s="118"/>
      <c r="J688" s="73"/>
      <c r="K688" s="122"/>
      <c r="L688" s="120"/>
      <c r="M688" s="121"/>
      <c r="N688" s="73"/>
      <c r="O688" s="73"/>
      <c r="P688" s="73"/>
      <c r="Q688" s="74"/>
      <c r="R688" s="183"/>
      <c r="S688" s="134"/>
      <c r="T688" s="135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/>
      <c r="B689" s="73"/>
      <c r="C689" s="73"/>
      <c r="D689" s="74"/>
      <c r="E689" s="79"/>
      <c r="F689" s="80"/>
      <c r="G689" s="81"/>
      <c r="H689" s="89"/>
      <c r="I689" s="118"/>
      <c r="J689" s="73"/>
      <c r="K689" s="122"/>
      <c r="L689" s="120"/>
      <c r="M689" s="121"/>
      <c r="N689" s="73"/>
      <c r="O689" s="73"/>
      <c r="P689" s="73"/>
      <c r="Q689" s="74"/>
      <c r="R689" s="121"/>
      <c r="S689" s="121"/>
      <c r="T689" s="121"/>
      <c r="U689" s="108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89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ht="78" customHeight="1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218"/>
      <c r="S690" s="219"/>
      <c r="T690" s="220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218"/>
      <c r="AF690" s="219"/>
      <c r="AG690" s="220"/>
      <c r="AH690" s="82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130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130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78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89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78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/>
      <c r="B698" s="73"/>
      <c r="C698" s="73"/>
      <c r="D698" s="74"/>
      <c r="E698" s="79"/>
      <c r="F698" s="80"/>
      <c r="G698" s="81"/>
      <c r="H698" s="78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ht="31" customHeight="1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256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78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89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89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89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250"/>
      <c r="V702" s="250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25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13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ht="70" customHeight="1" spans="1:52">
      <c r="A704" s="73"/>
      <c r="B704" s="73"/>
      <c r="C704" s="73"/>
      <c r="D704" s="74"/>
      <c r="E704" s="79"/>
      <c r="F704" s="80"/>
      <c r="G704" s="81"/>
      <c r="H704" s="130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3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89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130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130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250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22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78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78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147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130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130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89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2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130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89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89"/>
      <c r="AI744" s="118"/>
      <c r="AJ744" s="73"/>
      <c r="AK744" s="119"/>
      <c r="AL744" s="120"/>
      <c r="AM744" s="121"/>
      <c r="AN744" s="152"/>
      <c r="AO744" s="73"/>
      <c r="AP744" s="73"/>
      <c r="AQ744" s="74"/>
      <c r="AR744" s="79"/>
      <c r="AS744" s="80"/>
      <c r="AT744" s="81"/>
      <c r="AU744" s="82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78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27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ht="25" customHeight="1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106"/>
      <c r="F754" s="107"/>
      <c r="G754" s="108"/>
      <c r="H754" s="130"/>
      <c r="I754" s="118"/>
      <c r="J754" s="73"/>
      <c r="K754" s="122"/>
      <c r="L754" s="120"/>
      <c r="M754" s="121"/>
      <c r="N754" s="73"/>
      <c r="O754" s="73"/>
      <c r="P754" s="73"/>
      <c r="Q754" s="74"/>
      <c r="R754" s="106"/>
      <c r="S754" s="107"/>
      <c r="T754" s="108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106"/>
      <c r="AF754" s="107"/>
      <c r="AG754" s="108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2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22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89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273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78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78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73"/>
      <c r="AP771" s="73"/>
      <c r="AQ771" s="74"/>
      <c r="AR771" s="79"/>
      <c r="AS771" s="80"/>
      <c r="AT771" s="81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89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130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78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78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89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79"/>
      <c r="F778" s="80"/>
      <c r="G778" s="81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79"/>
      <c r="S778" s="80"/>
      <c r="T778" s="81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4"/>
      <c r="F779" s="275"/>
      <c r="G779" s="276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4"/>
      <c r="S779" s="275"/>
      <c r="T779" s="276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274"/>
      <c r="F780" s="275"/>
      <c r="G780" s="276"/>
      <c r="H780" s="78"/>
      <c r="I780" s="118"/>
      <c r="J780" s="73"/>
      <c r="K780" s="122"/>
      <c r="L780" s="120"/>
      <c r="M780" s="121"/>
      <c r="N780" s="73"/>
      <c r="O780" s="73"/>
      <c r="P780" s="73"/>
      <c r="Q780" s="74"/>
      <c r="R780" s="274"/>
      <c r="S780" s="275"/>
      <c r="T780" s="276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274"/>
      <c r="AF780" s="275"/>
      <c r="AG780" s="276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89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78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130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78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78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89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78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78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ht="22.5" spans="1:52">
      <c r="A800" s="73"/>
      <c r="B800" s="73"/>
      <c r="C800" s="73"/>
      <c r="D800" s="258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258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258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130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2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2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89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130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78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78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78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106"/>
      <c r="F836" s="107"/>
      <c r="G836" s="108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106"/>
      <c r="F839" s="107"/>
      <c r="G839" s="108"/>
      <c r="H839" s="130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73"/>
      <c r="AP843" s="73"/>
      <c r="AQ843" s="74"/>
      <c r="AR843" s="79"/>
      <c r="AS843" s="80"/>
      <c r="AT843" s="81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89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130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78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78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89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27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130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78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78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130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130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78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2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89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89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68" customHeight="1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130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130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7" customHeight="1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78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78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130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78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89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73"/>
      <c r="AP889" s="73"/>
      <c r="AQ889" s="74"/>
      <c r="AR889" s="106"/>
      <c r="AS889" s="107"/>
      <c r="AT889" s="108"/>
      <c r="AU889" s="82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130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130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78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78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89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130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78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78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78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3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130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130"/>
      <c r="AI901" s="118"/>
      <c r="AJ901" s="73"/>
      <c r="AK901" s="119"/>
      <c r="AL901" s="120"/>
      <c r="AM901" s="121"/>
      <c r="AN901" s="152"/>
      <c r="AO901" s="73"/>
      <c r="AP901" s="73"/>
      <c r="AQ901" s="74"/>
      <c r="AR901" s="79"/>
      <c r="AS901" s="80"/>
      <c r="AT901" s="81"/>
      <c r="AU901" s="82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89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78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78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78"/>
      <c r="AI905" s="118"/>
      <c r="AJ905" s="73"/>
      <c r="AK905" s="119"/>
      <c r="AL905" s="120"/>
      <c r="AM905" s="121"/>
      <c r="AN905" s="152"/>
      <c r="AO905" s="73"/>
      <c r="AP905" s="73"/>
      <c r="AQ905" s="74"/>
      <c r="AR905" s="79"/>
      <c r="AS905" s="80"/>
      <c r="AT905" s="81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130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250"/>
      <c r="V906" s="229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130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89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89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78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78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130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130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130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78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106"/>
      <c r="F926" s="107"/>
      <c r="G926" s="108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89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78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89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78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89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130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78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ht="52" customHeight="1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130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78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89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130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130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130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78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78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277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130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ht="21" customHeight="1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ht="53" customHeight="1" spans="1:52">
      <c r="A975" s="73"/>
      <c r="B975" s="73"/>
      <c r="C975" s="73"/>
      <c r="D975" s="74"/>
      <c r="E975" s="79"/>
      <c r="F975" s="80"/>
      <c r="G975" s="81"/>
      <c r="H975" s="130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130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130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78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89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278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130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78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130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130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89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78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78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78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2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130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130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89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130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130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130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89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78"/>
      <c r="V1011" s="15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130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2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78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78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89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130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78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130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130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130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89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130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130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89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89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89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ht="50" customHeight="1" spans="1:52">
      <c r="A1047" s="73"/>
      <c r="B1047" s="73"/>
      <c r="C1047" s="73"/>
      <c r="D1047" s="74"/>
      <c r="E1047" s="79"/>
      <c r="F1047" s="80"/>
      <c r="G1047" s="81"/>
      <c r="H1047" s="130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130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147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78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78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2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89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78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130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78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78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130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130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04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89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256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256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256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106"/>
      <c r="F1068" s="107"/>
      <c r="G1068" s="108"/>
      <c r="H1068" s="89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106"/>
      <c r="S1068" s="107"/>
      <c r="T1068" s="108"/>
      <c r="U1068" s="89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78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78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89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78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89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82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130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89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78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78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2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89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9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130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130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130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2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89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2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89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78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78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74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9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279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279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9"/>
      <c r="E1120" s="79"/>
      <c r="F1120" s="80"/>
      <c r="G1120" s="81"/>
      <c r="H1120" s="89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152"/>
      <c r="C1121" s="194"/>
      <c r="D1121" s="190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9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9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9"/>
      <c r="E1124" s="79"/>
      <c r="F1124" s="80"/>
      <c r="G1124" s="81"/>
      <c r="H1124" s="130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9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279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279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279"/>
      <c r="AE1126" s="79"/>
      <c r="AF1126" s="80"/>
      <c r="AG1126" s="81"/>
      <c r="AH1126" s="82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78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89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78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78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130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89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89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89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78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78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78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256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147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89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130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147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2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78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78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130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78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78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78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89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78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78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89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78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89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130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147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78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130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130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82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89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78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130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89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78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2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78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2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2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11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2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130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78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78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89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2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78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2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89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78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89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89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78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2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78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280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280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89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78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0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19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47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78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130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89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38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ht="42" customHeight="1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130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89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89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78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78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147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89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78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78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78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89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89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78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89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78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78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78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78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78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2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89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78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89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89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130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78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89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78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78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130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78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9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130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2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78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106"/>
      <c r="F1459" s="107"/>
      <c r="G1459" s="108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78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2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78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89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78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78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78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130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2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89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2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89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130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2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9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78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2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130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2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89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89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89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82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30" customHeight="1" spans="1:52">
      <c r="A1552" s="73"/>
      <c r="B1552" s="73"/>
      <c r="C1552" s="73"/>
      <c r="D1552" s="74"/>
      <c r="E1552" s="79"/>
      <c r="F1552" s="80"/>
      <c r="G1552" s="81"/>
      <c r="H1552" s="89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ht="29" customHeight="1" spans="1:52">
      <c r="A1553" s="73"/>
      <c r="B1553" s="73"/>
      <c r="C1553" s="73"/>
      <c r="D1553" s="74"/>
      <c r="E1553" s="79"/>
      <c r="F1553" s="80"/>
      <c r="G1553" s="81"/>
      <c r="H1553" s="130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130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89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2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2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89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89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78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89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78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130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3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89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106"/>
      <c r="F1603" s="107"/>
      <c r="G1603" s="108"/>
      <c r="H1603" s="89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78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130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89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130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130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78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78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1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89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130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120"/>
      <c r="Z1669" s="121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71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81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71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81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71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81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71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89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81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71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81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71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81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71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81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71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81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71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81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1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3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81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89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81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71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81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89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71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81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1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81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83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81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71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78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81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71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11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81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71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81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89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71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81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71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81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71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81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1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81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81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71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2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81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71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81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71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81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71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89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81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71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81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130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71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81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71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81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71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81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71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81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71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81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71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81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71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81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71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81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71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81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1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81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1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81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71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81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71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81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9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71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81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71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81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71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81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71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81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71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81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71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81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71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81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71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81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71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81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9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1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81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81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71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81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1"/>
      <c r="Z1771" s="79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81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1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1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1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1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1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1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1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1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1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1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1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78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1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1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1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1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1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82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1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1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1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1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1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1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1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1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1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1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1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1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1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1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1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1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1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1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1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1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1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1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1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82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1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1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1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82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1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1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1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1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1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1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1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1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1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1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82"/>
      <c r="I1825" s="118"/>
      <c r="J1825" s="73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1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213"/>
      <c r="I1826" s="282"/>
      <c r="J1826" s="123"/>
      <c r="K1826" s="283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1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98"/>
      <c r="I1827" s="284"/>
      <c r="J1827" s="285"/>
      <c r="K1827" s="286"/>
      <c r="L1827" s="287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1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4"/>
      <c r="J1828" s="285"/>
      <c r="K1828" s="288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1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0"/>
      <c r="H1829" s="104"/>
      <c r="I1829" s="284"/>
      <c r="J1829" s="285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1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284"/>
      <c r="J1830" s="285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1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4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1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4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1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9"/>
      <c r="I1833" s="284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1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4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1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78"/>
      <c r="I1835" s="284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1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4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1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4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1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4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1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4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1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84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1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4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1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284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1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4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1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4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1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4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1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4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1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4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1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4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1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82"/>
      <c r="I1849" s="284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1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1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1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1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1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1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1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1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1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1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1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1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1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1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1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1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1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1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1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1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1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1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1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1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1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1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1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1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1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1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1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1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1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1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1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1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1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1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1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1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1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1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1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1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1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1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1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1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1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1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1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1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1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1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1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1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1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1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1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1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1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1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1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1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1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1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1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1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1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1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1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1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1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1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1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1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1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1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1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1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1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1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1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1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1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1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1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1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1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1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1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1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1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1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1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1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1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1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1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1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1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1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1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1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1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1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1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1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1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1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1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1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1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1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1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1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1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1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1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1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1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1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1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1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1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1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1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1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1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1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1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1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1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1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1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1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81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8"/>
      <c r="J1986" s="73"/>
      <c r="K1986" s="122"/>
      <c r="L1986" s="120"/>
      <c r="M1986" s="121"/>
      <c r="N1986" s="73"/>
      <c r="O1986" s="73"/>
      <c r="P1986" s="73"/>
      <c r="Q1986" s="74"/>
      <c r="R1986" s="79"/>
      <c r="S1986" s="80"/>
      <c r="T1986" s="81"/>
      <c r="U1986" s="89"/>
      <c r="V1986" s="118"/>
      <c r="W1986" s="73"/>
      <c r="X1986" s="119"/>
      <c r="Y1986" s="281"/>
      <c r="Z1986" s="183"/>
      <c r="AA1986" s="73"/>
      <c r="AB1986" s="73"/>
      <c r="AC1986" s="73"/>
      <c r="AD1986" s="74"/>
      <c r="AE1986" s="79"/>
      <c r="AF1986" s="80"/>
      <c r="AG1986" s="81"/>
      <c r="AH1986" s="89"/>
      <c r="AI1986" s="118"/>
      <c r="AJ1986" s="73"/>
      <c r="AK1986" s="119"/>
      <c r="AL1986" s="120"/>
      <c r="AM1986" s="121"/>
      <c r="AN1986" s="152"/>
      <c r="AO1986" s="152"/>
      <c r="AP1986" s="152"/>
      <c r="AQ1986" s="105"/>
      <c r="AR1986" s="106"/>
      <c r="AS1986" s="107"/>
      <c r="AT1986" s="108"/>
      <c r="AU1986" s="89"/>
      <c r="AV1986" s="158"/>
      <c r="AW1986" s="152"/>
      <c r="AX1986" s="122"/>
      <c r="AY1986" s="120"/>
      <c r="AZ1986" s="121"/>
    </row>
  </sheetData>
  <autoFilter ref="A2:AZ501">
    <extLst/>
  </autoFilter>
  <mergeCells count="750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E702:G702"/>
    <mergeCell ref="R702:T702"/>
    <mergeCell ref="AE702:AG702"/>
    <mergeCell ref="AR702:AT702"/>
    <mergeCell ref="E703:G703"/>
    <mergeCell ref="R703:T703"/>
    <mergeCell ref="AE703:AG703"/>
    <mergeCell ref="AR703:AT703"/>
    <mergeCell ref="E704:G704"/>
    <mergeCell ref="R704:T704"/>
    <mergeCell ref="AE704:AG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E773:G773"/>
    <mergeCell ref="R773: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R1064:T1064"/>
    <mergeCell ref="AE1064:AG1064"/>
    <mergeCell ref="AR1064:AT1064"/>
    <mergeCell ref="E1065:G1065"/>
    <mergeCell ref="E1066:G1066"/>
    <mergeCell ref="E1067:G1067"/>
    <mergeCell ref="R1067:T1067"/>
    <mergeCell ref="E1068:G1068"/>
    <mergeCell ref="R1068:T1068"/>
    <mergeCell ref="E1069:G1069"/>
    <mergeCell ref="R1069:T1069"/>
    <mergeCell ref="E1070:G1070"/>
    <mergeCell ref="R1070:T1070"/>
    <mergeCell ref="AE1070:A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E1084:G1084"/>
    <mergeCell ref="R1084:T1084"/>
    <mergeCell ref="E1085:G1085"/>
    <mergeCell ref="R1085:T1085"/>
    <mergeCell ref="E1086:G1086"/>
    <mergeCell ref="R1086:T1086"/>
    <mergeCell ref="AE1086:AG1086"/>
    <mergeCell ref="E1087:G1087"/>
    <mergeCell ref="R1087:T1087"/>
    <mergeCell ref="E1088:G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E1093:G1093"/>
    <mergeCell ref="R1093:T1093"/>
    <mergeCell ref="AE1093:AG1093"/>
    <mergeCell ref="E1094:G1094"/>
    <mergeCell ref="E1095:G1095"/>
    <mergeCell ref="R1095:T1095"/>
    <mergeCell ref="E1096:G1096"/>
    <mergeCell ref="E1097:G1097"/>
    <mergeCell ref="E1098:G1098"/>
    <mergeCell ref="E1099:G1099"/>
    <mergeCell ref="R1099:T1099"/>
    <mergeCell ref="AE1099:AG1099"/>
    <mergeCell ref="AR1099:AT1099"/>
    <mergeCell ref="E1100:G1100"/>
    <mergeCell ref="R1100:T1100"/>
    <mergeCell ref="E1101:G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R1104:T1104"/>
    <mergeCell ref="AE1104:AG1104"/>
    <mergeCell ref="AR1104:AT1104"/>
    <mergeCell ref="E1105:G1105"/>
    <mergeCell ref="E1107:G1107"/>
    <mergeCell ref="R1107:T1107"/>
    <mergeCell ref="AE1107:AG1107"/>
    <mergeCell ref="AR1107:AT1107"/>
    <mergeCell ref="E1108:G1108"/>
    <mergeCell ref="E1109:G1109"/>
    <mergeCell ref="E1110:G1110"/>
    <mergeCell ref="E1111:G1111"/>
    <mergeCell ref="E1112:G1112"/>
    <mergeCell ref="E1113:G1113"/>
    <mergeCell ref="R1113:T1113"/>
    <mergeCell ref="E1114:G1114"/>
    <mergeCell ref="R1114:T1114"/>
    <mergeCell ref="E1115:G1115"/>
    <mergeCell ref="E1116:G1116"/>
    <mergeCell ref="R1116:T1116"/>
    <mergeCell ref="E1117:G1117"/>
    <mergeCell ref="E1118:G1118"/>
    <mergeCell ref="E1119:G1119"/>
    <mergeCell ref="R1119:T1119"/>
    <mergeCell ref="AE1119:AG1119"/>
    <mergeCell ref="E1120:G1120"/>
    <mergeCell ref="E1121:G1121"/>
    <mergeCell ref="E1122:G1122"/>
    <mergeCell ref="E1123:G1123"/>
    <mergeCell ref="E1124:G1124"/>
    <mergeCell ref="E1125:G1125"/>
    <mergeCell ref="E1126:G1126"/>
    <mergeCell ref="R1126:T1126"/>
    <mergeCell ref="AE1126:AG1126"/>
    <mergeCell ref="E1127:G1127"/>
    <mergeCell ref="E1128:G1128"/>
    <mergeCell ref="E1129:G1129"/>
    <mergeCell ref="R1129:T1129"/>
    <mergeCell ref="E1130:G1130"/>
    <mergeCell ref="E1131:G1131"/>
    <mergeCell ref="E1132:G1132"/>
    <mergeCell ref="E1133:G1133"/>
    <mergeCell ref="E1134:G1134"/>
    <mergeCell ref="E1135:G1135"/>
    <mergeCell ref="E1136:G1136"/>
    <mergeCell ref="R1136:T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E1146:G1146"/>
    <mergeCell ref="R1146:T1146"/>
    <mergeCell ref="E1147:G1147"/>
    <mergeCell ref="E1148:G1148"/>
    <mergeCell ref="E1149:G1149"/>
    <mergeCell ref="E1150:G1150"/>
    <mergeCell ref="E1151:G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E1155:G1155"/>
    <mergeCell ref="R1155: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E1158:G1158"/>
    <mergeCell ref="R1158:T1158"/>
    <mergeCell ref="AE1158:A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Z588">
    <cfRule type="cellIs" dxfId="0" priority="21" operator="lessThan">
      <formula>30</formula>
    </cfRule>
  </conditionalFormatting>
  <conditionalFormatting sqref="M681">
    <cfRule type="cellIs" dxfId="0" priority="67" operator="lessThan">
      <formula>30</formula>
    </cfRule>
  </conditionalFormatting>
  <conditionalFormatting sqref="M710">
    <cfRule type="cellIs" dxfId="0" priority="77" operator="lessThan">
      <formula>30</formula>
    </cfRule>
  </conditionalFormatting>
  <conditionalFormatting sqref="M713">
    <cfRule type="cellIs" dxfId="0" priority="50" operator="lessThan">
      <formula>30</formula>
    </cfRule>
  </conditionalFormatting>
  <conditionalFormatting sqref="M715">
    <cfRule type="cellIs" dxfId="0" priority="62" operator="lessThan">
      <formula>30</formula>
    </cfRule>
  </conditionalFormatting>
  <conditionalFormatting sqref="M729">
    <cfRule type="cellIs" dxfId="0" priority="72" operator="lessThan">
      <formula>30</formula>
    </cfRule>
  </conditionalFormatting>
  <conditionalFormatting sqref="M1572">
    <cfRule type="cellIs" dxfId="0" priority="20" operator="lessThan">
      <formula>30</formula>
    </cfRule>
  </conditionalFormatting>
  <conditionalFormatting sqref="M3:M501">
    <cfRule type="cellIs" dxfId="0" priority="5" operator="lessThan">
      <formula>30</formula>
    </cfRule>
  </conditionalFormatting>
  <conditionalFormatting sqref="M687:M688">
    <cfRule type="cellIs" dxfId="0" priority="73" operator="lessThan">
      <formula>30</formula>
    </cfRule>
  </conditionalFormatting>
  <conditionalFormatting sqref="M1005:M1015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70:Z1986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6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6">
    <cfRule type="cellIs" dxfId="0" priority="18" operator="lessThan">
      <formula>30</formula>
    </cfRule>
  </conditionalFormatting>
  <conditionalFormatting sqref="Z9:Z42 Z45:Z255 Z258:Z587 Z589:Z1669">
    <cfRule type="cellIs" dxfId="0" priority="33" operator="lessThan">
      <formula>30</formula>
    </cfRule>
  </conditionalFormatting>
  <conditionalFormatting sqref="M502:M680 M1573:M1986 M1016:M1571 M714 M711:M712 M682:M686 M730:M1004 M716:M728 M689:M709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7" max="51" man="1"/>
  </rowBreaks>
  <colBreaks count="2" manualBreakCount="2">
    <brk id="22" max="1945" man="1"/>
    <brk id="25" max="194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941</v>
      </c>
      <c r="B1" s="2"/>
      <c r="C1" s="3"/>
      <c r="D1" s="4" t="s">
        <v>942</v>
      </c>
      <c r="E1" s="5"/>
      <c r="F1" s="6" t="s">
        <v>943</v>
      </c>
      <c r="G1" s="6"/>
      <c r="H1" s="6"/>
      <c r="I1" s="35"/>
      <c r="J1" s="35"/>
      <c r="K1" s="35"/>
      <c r="L1" s="35"/>
      <c r="M1" s="3"/>
      <c r="N1" s="3"/>
      <c r="O1" s="36" t="s">
        <v>944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945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946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947</v>
      </c>
      <c r="D4" s="20"/>
      <c r="E4" s="21"/>
      <c r="F4" s="18" t="s">
        <v>948</v>
      </c>
      <c r="G4" s="19" t="s">
        <v>949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950</v>
      </c>
      <c r="Q4" s="18" t="s">
        <v>951</v>
      </c>
      <c r="R4" s="18" t="s">
        <v>10</v>
      </c>
      <c r="S4" s="18" t="s">
        <v>952</v>
      </c>
    </row>
    <row r="5" spans="1:19">
      <c r="A5" s="22">
        <v>1</v>
      </c>
      <c r="B5" s="23" t="s">
        <v>27</v>
      </c>
      <c r="C5" s="24" t="s">
        <v>953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954</v>
      </c>
      <c r="Q5" s="52" t="s">
        <v>955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956</v>
      </c>
      <c r="C6" s="24" t="s">
        <v>957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958</v>
      </c>
      <c r="Q6" s="52" t="s">
        <v>959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960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958</v>
      </c>
      <c r="Q7" s="52" t="s">
        <v>961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962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958</v>
      </c>
      <c r="Q8" s="52" t="s">
        <v>955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958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958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958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958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958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2026-01-27T00:45:26Z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