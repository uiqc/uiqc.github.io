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总览表!$A$2:$AZ$566</definedName>
    <definedName name="_xlnm.Print_Area" localSheetId="0">总览表!$A$1:$AZ$1946</definedName>
  </definedNames>
  <calcPr calcId="144525"/>
</workbook>
</file>

<file path=xl/sharedStrings.xml><?xml version="1.0" encoding="utf-8"?>
<sst xmlns="http://schemas.openxmlformats.org/spreadsheetml/2006/main" count="3120" uniqueCount="1222">
  <si>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</si>
  <si>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</si>
  <si>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</si>
  <si>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</si>
  <si>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</si>
  <si>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</si>
  <si>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</si>
  <si>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</si>
  <si>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</si>
  <si>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</si>
  <si>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</si>
  <si>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</si>
  <si>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</si>
  <si>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</si>
  <si>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</si>
  <si>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</si>
  <si>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</si>
  <si>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</si>
  <si>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</si>
  <si>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</si>
  <si>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</si>
  <si>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</si>
  <si>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</si>
  <si>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</si>
  <si>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</si>
  <si>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</si>
  <si>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</si>
  <si>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</si>
  <si>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</si>
  <si>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</si>
  <si>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</si>
  <si>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</si>
  <si>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</si>
  <si>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</si>
  <si>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</si>
  <si>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</si>
  <si>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</si>
  <si>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</si>
  <si>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</si>
  <si>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</si>
  <si>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</si>
  <si>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</si>
  <si>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</si>
  <si>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</si>
  <si>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</si>
  <si>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</si>
  <si>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</si>
  <si>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</si>
  <si>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</si>
  <si>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</si>
  <si>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</si>
  <si>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</si>
  <si>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</si>
  <si>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</si>
  <si>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</si>
  <si>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</si>
  <si>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</si>
  <si>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</si>
  <si>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</si>
  <si>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</si>
  <si>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</si>
  <si>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</si>
  <si>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</si>
  <si>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</si>
  <si>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</si>
  <si>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</si>
  <si>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</si>
  <si>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</si>
  <si>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</si>
  <si>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</si>
  <si>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</si>
  <si>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</si>
  <si>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</si>
  <si>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</si>
  <si>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</si>
  <si>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</si>
  <si>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</si>
  <si>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</si>
  <si>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</si>
  <si>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</si>
  <si>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</si>
  <si>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</si>
  <si>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</si>
  <si>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</si>
  <si>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</si>
  <si>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</si>
  <si>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</si>
  <si>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</si>
  <si>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</si>
  <si>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</si>
  <si>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</si>
  <si>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</si>
  <si>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</si>
  <si>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</si>
  <si>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</si>
  <si>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</si>
  <si>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</si>
  <si>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</si>
  <si>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</si>
  <si>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</si>
  <si>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</si>
  <si>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</si>
  <si>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</si>
  <si>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</si>
  <si>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</si>
  <si>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</si>
  <si>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</si>
  <si>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</si>
  <si>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</si>
  <si>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</si>
  <si>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</si>
  <si>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</si>
  <si>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</si>
  <si>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</si>
  <si>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</si>
  <si>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</si>
  <si>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</si>
  <si>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</si>
  <si>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</si>
  <si>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</si>
  <si>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</si>
  <si>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</si>
  <si>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</si>
  <si>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</si>
  <si>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</si>
  <si>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</si>
  <si>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</si>
  <si>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</si>
  <si>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</si>
  <si>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</si>
  <si>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</si>
  <si>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</si>
  <si>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</si>
  <si>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</si>
  <si>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</si>
  <si>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</si>
  <si>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</si>
  <si>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</si>
  <si>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</si>
  <si>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</si>
  <si>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</si>
  <si>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</si>
  <si>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</si>
  <si>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</si>
  <si>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</si>
  <si>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</si>
  <si>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</si>
  <si>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</si>
  <si>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</si>
  <si>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</si>
  <si>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</si>
  <si>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</si>
  <si>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</si>
  <si>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</si>
  <si>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</si>
  <si>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</si>
  <si>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</si>
  <si>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</si>
  <si>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</si>
  <si>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</si>
  <si>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</si>
  <si>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</si>
  <si>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</si>
  <si>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</si>
  <si>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</si>
  <si>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</si>
  <si>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</si>
  <si>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</si>
  <si>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</si>
  <si>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</si>
  <si>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</si>
  <si>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</si>
  <si>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</si>
  <si>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</si>
  <si>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</si>
  <si>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</si>
  <si>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</si>
  <si>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</si>
  <si>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</si>
  <si>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</si>
  <si>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</si>
  <si>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</si>
  <si>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</si>
  <si>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</si>
  <si>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</si>
  <si>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</si>
  <si>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</si>
  <si>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</si>
  <si>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</si>
  <si>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</si>
  <si>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</si>
  <si>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</si>
  <si>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</si>
  <si>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</si>
  <si>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</si>
  <si>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</si>
  <si>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</si>
  <si>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</si>
  <si>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</si>
  <si>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</si>
  <si>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</si>
  <si>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</si>
  <si>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</si>
  <si>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</si>
  <si>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</si>
  <si>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</si>
  <si>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</si>
  <si>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</si>
  <si>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</si>
  <si>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</si>
  <si>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</si>
  <si>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</si>
  <si>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</si>
  <si>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</si>
  <si>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</si>
  <si>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</si>
  <si>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</si>
  <si>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</si>
  <si>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</si>
  <si>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</si>
  <si>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</si>
  <si>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</si>
  <si>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</si>
  <si>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</si>
  <si>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</si>
  <si>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</si>
  <si>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</si>
  <si>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</si>
  <si>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</si>
  <si>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</si>
  <si>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</si>
  <si>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</si>
  <si>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</si>
  <si>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</si>
  <si>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</si>
  <si>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</si>
  <si>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</si>
  <si>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</si>
  <si>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</si>
  <si>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</si>
  <si>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</si>
  <si>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</si>
  <si>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</si>
  <si>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</si>
  <si>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</si>
  <si>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</si>
  <si>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</si>
  <si>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</si>
  <si>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</si>
  <si>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</si>
  <si>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</si>
  <si>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</si>
  <si>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</si>
  <si>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</si>
  <si>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</si>
  <si>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</si>
  <si>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</si>
  <si>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</si>
  <si>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</si>
  <si>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</si>
  <si>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</si>
  <si>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</si>
  <si>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</si>
  <si>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</si>
  <si>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</si>
  <si>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</si>
  <si>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</si>
  <si>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</si>
  <si>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</si>
  <si>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</si>
  <si>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</si>
  <si>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</si>
  <si>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</si>
  <si>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</si>
  <si>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</si>
  <si>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</si>
  <si>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</si>
  <si>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</si>
  <si>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</si>
  <si>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</si>
  <si>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</si>
  <si>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</si>
  <si>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</si>
  <si>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</si>
  <si>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</si>
  <si>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</si>
  <si>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</si>
  <si>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</si>
  <si>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</si>
  <si>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</si>
  <si>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</si>
  <si>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</si>
  <si>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</si>
  <si>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</si>
  <si>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</si>
  <si>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</si>
  <si>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</si>
  <si>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</si>
  <si>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</si>
  <si>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</si>
  <si>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</si>
  <si>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</si>
  <si>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</si>
  <si>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</si>
  <si>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</si>
  <si>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</si>
  <si>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</si>
  <si>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</si>
  <si>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</si>
  <si>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</si>
  <si>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</si>
  <si>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</si>
  <si>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</si>
  <si>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</si>
  <si>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</si>
  <si>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</si>
  <si>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</si>
  <si>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</si>
  <si>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</si>
  <si>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</si>
  <si>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</si>
  <si>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</si>
  <si>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</si>
  <si>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</si>
  <si>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</si>
  <si>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</si>
  <si>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</si>
  <si>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</si>
  <si>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</si>
  <si>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</si>
  <si>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</si>
  <si>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</si>
  <si>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</si>
  <si>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</si>
  <si>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</si>
  <si>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</si>
  <si>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</si>
  <si>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</si>
  <si>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</si>
  <si>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</si>
  <si>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</si>
  <si>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</si>
  <si>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</si>
  <si>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</si>
  <si>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</si>
  <si>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</si>
  <si>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</si>
  <si>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</si>
  <si>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</si>
  <si>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</si>
  <si>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</si>
  <si>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</si>
  <si>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</si>
  <si>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</si>
  <si>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</si>
  <si>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</si>
  <si>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</si>
  <si>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</si>
  <si>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</si>
  <si>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</si>
  <si>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</si>
  <si>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</si>
  <si>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</si>
  <si>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</si>
  <si>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</si>
  <si>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</si>
  <si>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</si>
  <si>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</si>
  <si>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</si>
  <si>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</si>
  <si>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</si>
  <si>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</si>
  <si>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</si>
  <si>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</si>
  <si>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</si>
  <si>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</si>
  <si>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</si>
  <si>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</si>
  <si>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</si>
  <si>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</si>
  <si>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</si>
  <si>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</si>
  <si>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</si>
  <si>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</si>
  <si>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</si>
  <si>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</si>
  <si>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</si>
  <si>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</si>
  <si>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</si>
  <si>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</si>
  <si>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</si>
  <si>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</si>
  <si>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</si>
  <si>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</si>
  <si>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</si>
  <si>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</si>
  <si>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</si>
  <si>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</si>
  <si>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</si>
  <si>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</si>
  <si>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</si>
  <si>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</si>
  <si>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</si>
  <si>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</si>
  <si>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</si>
  <si>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</si>
  <si>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</si>
  <si>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</si>
  <si>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</si>
  <si>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</si>
  <si>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</si>
  <si>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</si>
  <si>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</si>
  <si>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</si>
  <si>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</si>
  <si>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</si>
  <si>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</si>
  <si>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</si>
  <si>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</si>
  <si>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</si>
  <si>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</si>
  <si>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</si>
  <si>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</si>
  <si>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</si>
  <si>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</si>
  <si>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</si>
  <si>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</si>
  <si>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</si>
  <si>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</si>
  <si>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</si>
  <si>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</si>
  <si>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</si>
  <si>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</si>
  <si>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</si>
  <si>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</si>
  <si>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</si>
  <si>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</si>
  <si>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</si>
  <si>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</si>
  <si>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</si>
  <si>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</si>
  <si>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</si>
  <si>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</si>
  <si>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</si>
  <si>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</si>
  <si>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</si>
  <si>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</si>
  <si>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</si>
  <si>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</si>
  <si>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</si>
  <si>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</si>
  <si>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</si>
  <si>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</si>
  <si>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</si>
  <si>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</si>
  <si>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</si>
  <si>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</si>
  <si>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</si>
  <si>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</si>
  <si>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</si>
  <si>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</si>
  <si>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</si>
  <si>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</si>
  <si>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</si>
  <si>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</si>
  <si>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</si>
  <si>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</si>
  <si>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</si>
  <si>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</si>
  <si>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</si>
  <si>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</si>
  <si>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</si>
  <si>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</si>
  <si>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/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</si>
  <si>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</si>
  <si>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</si>
  <si>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</si>
  <si>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</si>
  <si>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</si>
  <si>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</si>
  <si>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</si>
  <si>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</si>
  <si>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</si>
  <si>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</si>
  <si>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</si>
  <si>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</si>
  <si>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</si>
  <si>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</si>
  <si>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</si>
  <si>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</si>
  <si>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</si>
  <si>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</si>
  <si>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</si>
  <si>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</si>
  <si>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</si>
  <si>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</si>
  <si>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</si>
  <si>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</si>
  <si>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</si>
  <si>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</si>
  <si>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</si>
  <si>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223030400061A</t>
  </si>
  <si>
    <t>H20260112004</t>
  </si>
  <si>
    <t>H20260112005-009</t>
  </si>
  <si>
    <t>223050000011A</t>
  </si>
  <si>
    <t>H20260112010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</si>
  <si>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</si>
  <si>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</si>
  <si>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</si>
  <si>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</si>
  <si>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</si>
  <si>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</si>
  <si>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</si>
  <si>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</si>
  <si>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</si>
  <si>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</si>
  <si>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</si>
  <si>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</si>
  <si>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</si>
  <si>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</si>
  <si>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</si>
  <si>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</si>
  <si>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</si>
  <si>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</si>
  <si>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</si>
  <si>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</si>
  <si>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</si>
  <si>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</si>
  <si>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</si>
  <si>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</si>
  <si>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</si>
  <si>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</si>
  <si>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</si>
  <si>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</si>
  <si>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</si>
  <si>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</si>
  <si>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</si>
  <si>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</si>
  <si>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</si>
  <si>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</si>
  <si>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</si>
  <si>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</si>
  <si>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</si>
  <si>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</si>
  <si>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</si>
  <si>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</si>
  <si>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</si>
  <si>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</si>
  <si>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</si>
  <si>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</si>
  <si>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</si>
  <si>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</si>
  <si>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</si>
  <si>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</si>
  <si>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</si>
  <si>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</si>
  <si>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</si>
  <si>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</si>
  <si>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</si>
  <si>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</si>
  <si>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</si>
  <si>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</si>
  <si>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</si>
  <si>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</si>
  <si>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</si>
  <si>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</si>
  <si>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</si>
  <si>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</si>
  <si>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</si>
  <si>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</si>
  <si>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</si>
  <si>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</si>
  <si>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</si>
  <si>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</si>
  <si>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</si>
  <si>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</si>
  <si>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</si>
  <si>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</si>
  <si>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</si>
  <si>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</si>
  <si>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</si>
  <si>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</si>
  <si>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</si>
  <si>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</si>
  <si>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</si>
  <si>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</si>
  <si>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</si>
  <si>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</si>
  <si>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</si>
  <si>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</si>
  <si>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</si>
  <si>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</si>
  <si>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</si>
  <si>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</si>
  <si>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</si>
  <si>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</si>
  <si>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</si>
  <si>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</si>
  <si>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</si>
  <si>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</si>
  <si>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</si>
  <si>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307135100011A</t>
  </si>
  <si>
    <t>H20260113039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</si>
  <si>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</si>
  <si>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</si>
  <si>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</si>
  <si>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</si>
  <si>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</si>
  <si>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</si>
  <si>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</si>
  <si>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</si>
  <si>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</si>
  <si>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</si>
  <si>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</si>
  <si>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</si>
  <si>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</si>
  <si>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</si>
  <si>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</si>
  <si>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</si>
  <si>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</si>
  <si>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</si>
  <si>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</si>
  <si>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</si>
  <si>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</si>
  <si>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</si>
  <si>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</si>
  <si>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</si>
  <si>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</si>
  <si>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</si>
  <si>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</si>
  <si>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</si>
  <si>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</si>
  <si>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</si>
  <si>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</si>
  <si>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801A04010021A</t>
  </si>
  <si>
    <t>H20260114067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</si>
  <si>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</si>
  <si>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</si>
  <si>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</si>
  <si>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</si>
  <si>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</si>
  <si>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</si>
  <si>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</si>
  <si>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</si>
  <si>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</si>
  <si>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</si>
  <si>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</si>
  <si>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</si>
  <si>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</si>
  <si>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</si>
  <si>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</si>
  <si>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</si>
  <si>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</si>
  <si>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</si>
  <si>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</si>
  <si>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</si>
  <si>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</si>
  <si>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</si>
  <si>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</si>
  <si>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</si>
  <si>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</si>
  <si>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</si>
  <si>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</si>
  <si>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</si>
  <si>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</si>
  <si>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</si>
  <si>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</si>
  <si>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</si>
  <si>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</si>
  <si>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</si>
  <si>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</si>
  <si>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</si>
  <si>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</si>
  <si>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</si>
  <si>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</si>
  <si>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</si>
  <si>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</si>
  <si>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</si>
  <si>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</si>
  <si>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</si>
  <si>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</si>
  <si>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</si>
  <si>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</si>
  <si>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</si>
  <si>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</si>
  <si>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</si>
  <si>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</si>
  <si>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</si>
  <si>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</si>
  <si>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</si>
  <si>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</si>
  <si>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</si>
  <si>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</si>
  <si>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</si>
  <si>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</si>
  <si>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</si>
  <si>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</si>
  <si>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</si>
  <si>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</si>
  <si>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</si>
  <si>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</si>
  <si>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</si>
  <si>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</si>
  <si>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</si>
  <si>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</si>
  <si>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</si>
  <si>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</si>
  <si>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</si>
  <si>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</si>
  <si>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</si>
  <si>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</si>
  <si>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</si>
  <si>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</si>
  <si>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2230200J0011A</t>
  </si>
  <si>
    <t>H20260116001</t>
  </si>
  <si>
    <t>223020020141A</t>
  </si>
  <si>
    <t>H20260116002</t>
  </si>
  <si>
    <t>223020060181A</t>
  </si>
  <si>
    <t>H20260116003</t>
  </si>
  <si>
    <t>223070490021A</t>
  </si>
  <si>
    <t>H20260116004</t>
  </si>
  <si>
    <t>223030400031A</t>
  </si>
  <si>
    <t>H20260116005</t>
  </si>
  <si>
    <t>223030490011A</t>
  </si>
  <si>
    <t>H20260116006</t>
  </si>
  <si>
    <t>223020010091A</t>
  </si>
  <si>
    <t>H20260116007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</si>
  <si>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</si>
  <si>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</si>
  <si>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</si>
  <si>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</si>
  <si>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</si>
  <si>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</si>
  <si>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</si>
  <si>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</si>
  <si>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</si>
  <si>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</si>
  <si>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</si>
  <si>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</si>
  <si>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</si>
  <si>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</si>
  <si>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</si>
  <si>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衡越</t>
  </si>
  <si>
    <t>206151060031A</t>
  </si>
  <si>
    <t>TYPC</t>
  </si>
  <si>
    <t>H20260116021-025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</si>
  <si>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</si>
  <si>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</si>
  <si>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</si>
  <si>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</si>
  <si>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</si>
  <si>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</si>
  <si>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</si>
  <si>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</si>
  <si>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</si>
  <si>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</si>
  <si>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</si>
  <si>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</si>
  <si>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</si>
  <si>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</si>
  <si>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</si>
  <si>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</si>
  <si>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</si>
  <si>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</si>
  <si>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</si>
  <si>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</si>
  <si>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</si>
  <si>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</si>
  <si>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</si>
  <si>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</si>
  <si>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</si>
  <si>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</si>
  <si>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</si>
  <si>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</si>
  <si>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</si>
  <si>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</si>
  <si>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</si>
  <si>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</si>
  <si>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</si>
  <si>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</si>
  <si>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</si>
  <si>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</si>
  <si>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</si>
  <si>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</si>
  <si>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</si>
  <si>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</si>
  <si>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</si>
  <si>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</si>
  <si>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</si>
  <si>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</si>
  <si>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</si>
  <si>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</si>
  <si>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</si>
  <si>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</si>
  <si>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</si>
  <si>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</si>
  <si>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</si>
  <si>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</si>
  <si>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</si>
  <si>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</si>
  <si>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</si>
  <si>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</si>
  <si>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</si>
  <si>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</si>
  <si>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</si>
  <si>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</si>
  <si>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</si>
  <si>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</si>
  <si>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</si>
  <si>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</si>
  <si>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</si>
  <si>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</si>
  <si>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</si>
  <si>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</si>
  <si>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</si>
  <si>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</si>
  <si>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</si>
  <si>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</si>
  <si>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</si>
  <si>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</si>
  <si>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</si>
  <si>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U00AMU200021A</t>
  </si>
  <si>
    <t>黑色单体母座</t>
  </si>
  <si>
    <t>H20260119016-020</t>
  </si>
  <si>
    <t>H20260119021</t>
  </si>
  <si>
    <t>H20260119022</t>
  </si>
  <si>
    <t>H20260119023-024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</si>
  <si>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</si>
  <si>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</si>
  <si>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</si>
  <si>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</si>
  <si>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</si>
  <si>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</si>
  <si>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</si>
  <si>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</si>
  <si>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</si>
  <si>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</si>
  <si>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</si>
  <si>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</si>
  <si>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</si>
  <si>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</si>
  <si>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</si>
  <si>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</si>
  <si>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</si>
  <si>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</si>
  <si>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</si>
  <si>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</si>
  <si>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</si>
  <si>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</si>
  <si>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</si>
  <si>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</si>
  <si>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</si>
  <si>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</si>
  <si>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</si>
  <si>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</si>
  <si>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</si>
  <si>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</si>
  <si>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</si>
  <si>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</si>
  <si>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</si>
  <si>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</si>
  <si>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</si>
  <si>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</si>
  <si>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</si>
  <si>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</si>
  <si>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</si>
  <si>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</si>
  <si>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</si>
  <si>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</si>
  <si>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</si>
  <si>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</si>
  <si>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</si>
  <si>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</si>
  <si>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</si>
  <si>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</si>
  <si>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</si>
  <si>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</si>
  <si>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</si>
  <si>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301040090111A</t>
  </si>
  <si>
    <t>H20260119050</t>
  </si>
  <si>
    <t>223180090201A</t>
  </si>
  <si>
    <t>H20260119051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</si>
  <si>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</si>
  <si>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</si>
  <si>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</si>
  <si>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</si>
  <si>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</si>
  <si>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</si>
  <si>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</si>
  <si>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</si>
  <si>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</si>
  <si>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</si>
  <si>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</si>
  <si>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</si>
  <si>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223030000181A</t>
  </si>
  <si>
    <t>H20260120002</t>
  </si>
  <si>
    <t>221071030021A</t>
  </si>
  <si>
    <t>H20260120003-004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</si>
  <si>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</si>
  <si>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</si>
  <si>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</si>
  <si>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</si>
  <si>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</si>
  <si>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</si>
  <si>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</si>
  <si>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</si>
  <si>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</si>
  <si>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</si>
  <si>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</si>
  <si>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</si>
  <si>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</si>
  <si>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</si>
  <si>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</si>
  <si>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</si>
  <si>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</si>
  <si>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</si>
  <si>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</si>
  <si>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</si>
  <si>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</si>
  <si>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</si>
  <si>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</si>
  <si>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</si>
  <si>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</si>
  <si>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</si>
  <si>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</si>
  <si>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</si>
  <si>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223040100011A</t>
  </si>
  <si>
    <t>223040200011A</t>
  </si>
  <si>
    <t>401001010021A</t>
  </si>
  <si>
    <t>上壳</t>
  </si>
  <si>
    <t>401001020021A</t>
  </si>
  <si>
    <t>下壳</t>
  </si>
  <si>
    <t>223130050011A</t>
  </si>
  <si>
    <t>前防水圈</t>
  </si>
  <si>
    <t>223130040011A</t>
  </si>
  <si>
    <t>后防水圈</t>
  </si>
  <si>
    <t>224640200041A</t>
  </si>
  <si>
    <t>221079120081A</t>
  </si>
  <si>
    <t>219252030011A</t>
  </si>
  <si>
    <t>220221030021A</t>
  </si>
  <si>
    <t>219221040011A</t>
  </si>
  <si>
    <t>220202030031A</t>
  </si>
  <si>
    <t>219131100011A</t>
  </si>
  <si>
    <t>219201030031A</t>
  </si>
  <si>
    <t>219201050021A</t>
  </si>
  <si>
    <t>南流江</t>
  </si>
  <si>
    <t>2130221A0011A</t>
  </si>
  <si>
    <t>莲花头</t>
  </si>
  <si>
    <t>101220200141A</t>
  </si>
  <si>
    <t>101201000021A</t>
  </si>
  <si>
    <t>307160100011A</t>
  </si>
  <si>
    <t>710A76500011R</t>
  </si>
  <si>
    <t>珍珠棉袋</t>
  </si>
  <si>
    <t>701N4L2D0011A</t>
  </si>
  <si>
    <t>701A8A6D0021R</t>
  </si>
  <si>
    <t>701A8A6D0031R</t>
  </si>
  <si>
    <t>701A7B3D0011A</t>
  </si>
  <si>
    <t>7174822H0011A</t>
  </si>
  <si>
    <t>223020060021A</t>
  </si>
  <si>
    <t>蓝色卡扣</t>
  </si>
  <si>
    <t>206002990011A</t>
  </si>
  <si>
    <t>USB A/F</t>
  </si>
  <si>
    <t>223020090311A</t>
  </si>
  <si>
    <t>221071010021A</t>
  </si>
  <si>
    <t>公头铜芯</t>
  </si>
  <si>
    <t>402442800011A</t>
  </si>
  <si>
    <t>225020600021A</t>
  </si>
  <si>
    <t>HSL连接器</t>
  </si>
  <si>
    <t>223070090031A</t>
  </si>
  <si>
    <t>223070490011A</t>
  </si>
  <si>
    <t>223080000261A</t>
  </si>
  <si>
    <t>223080000251A</t>
  </si>
  <si>
    <t>223180020041A</t>
  </si>
  <si>
    <t>223020080281A</t>
  </si>
  <si>
    <t>223030070071A</t>
  </si>
  <si>
    <t>219302030011A</t>
  </si>
  <si>
    <t>103282680011A</t>
  </si>
  <si>
    <t>3M排线</t>
  </si>
  <si>
    <t>101280200011A</t>
  </si>
  <si>
    <t>101260900021A</t>
  </si>
  <si>
    <t>801115020011A</t>
  </si>
  <si>
    <t>醋酸胶布</t>
  </si>
  <si>
    <t>223130020031A</t>
  </si>
  <si>
    <t>223020060191A</t>
  </si>
  <si>
    <t>220302030011A</t>
  </si>
  <si>
    <t>104221320021A</t>
  </si>
  <si>
    <t>0.35平方红色</t>
  </si>
  <si>
    <t>104181340031A</t>
  </si>
  <si>
    <t>0.35平方黄色</t>
  </si>
  <si>
    <t>104181300041A</t>
  </si>
  <si>
    <t>0.35平方黑色</t>
  </si>
  <si>
    <t>717701280011R</t>
  </si>
  <si>
    <t>717701280041R</t>
  </si>
  <si>
    <t>717701280051R</t>
  </si>
  <si>
    <t>717701280331R</t>
  </si>
  <si>
    <t>717701280341R</t>
  </si>
  <si>
    <t>717701280351R</t>
  </si>
  <si>
    <t>717701280371R</t>
  </si>
  <si>
    <t>717751280011R</t>
  </si>
  <si>
    <t>717A25580071R</t>
  </si>
  <si>
    <t>717801080011R</t>
  </si>
  <si>
    <t>717500680011R</t>
  </si>
  <si>
    <t>717A25580151R</t>
  </si>
  <si>
    <t>千岛</t>
  </si>
  <si>
    <t>805006010011A</t>
  </si>
  <si>
    <t>0.6MM锡丝</t>
  </si>
  <si>
    <t>威图</t>
  </si>
  <si>
    <t>801915010041A</t>
  </si>
  <si>
    <t>牛皮纸带</t>
  </si>
  <si>
    <t>801915010011A</t>
  </si>
  <si>
    <t>308185190031A</t>
  </si>
  <si>
    <t>308185190021A</t>
  </si>
  <si>
    <t>308185190041A</t>
  </si>
  <si>
    <t>201012930011A</t>
  </si>
  <si>
    <t>223110000041A</t>
  </si>
  <si>
    <t>223020000241A</t>
  </si>
  <si>
    <t>长体防水胶壳</t>
  </si>
  <si>
    <t>223100020021A</t>
  </si>
  <si>
    <t>2010129Z0021A</t>
  </si>
  <si>
    <t>223020090161A</t>
  </si>
  <si>
    <t>223020060231A</t>
  </si>
  <si>
    <t>223030000121A</t>
  </si>
  <si>
    <t>223020000231A</t>
  </si>
  <si>
    <t>223030000131A</t>
  </si>
  <si>
    <t>223030010011A</t>
  </si>
  <si>
    <t>棕色胶壳</t>
  </si>
  <si>
    <t>224600000011A</t>
  </si>
  <si>
    <t>201012920011A</t>
  </si>
  <si>
    <t>母头铜芯</t>
  </si>
  <si>
    <t>1012501D0011A</t>
  </si>
  <si>
    <t>RG316</t>
  </si>
  <si>
    <t>224542100071A</t>
  </si>
  <si>
    <t>221075010021A</t>
  </si>
  <si>
    <t>223110490011A</t>
  </si>
  <si>
    <t>224042200011A</t>
  </si>
  <si>
    <t>224542200151A</t>
  </si>
  <si>
    <t>223180070011A</t>
  </si>
  <si>
    <t>223020000651A</t>
  </si>
  <si>
    <t>正瑞华鑫</t>
  </si>
  <si>
    <t>206182690021A</t>
  </si>
  <si>
    <t>221079010021A</t>
  </si>
  <si>
    <t>223030060271A</t>
  </si>
  <si>
    <t>224000010051A</t>
  </si>
  <si>
    <t>齐鑫</t>
  </si>
  <si>
    <t>220201050021A</t>
  </si>
  <si>
    <t>401031200021A</t>
  </si>
  <si>
    <t>401031200031A</t>
  </si>
  <si>
    <t>223080000291A</t>
  </si>
  <si>
    <t>内胶壳</t>
  </si>
  <si>
    <t>306020020011A</t>
  </si>
  <si>
    <t>红色锁扣</t>
  </si>
  <si>
    <t>306060000011A</t>
  </si>
  <si>
    <t>223080000281A</t>
  </si>
  <si>
    <t>红色胶壳</t>
  </si>
  <si>
    <t>协升</t>
  </si>
  <si>
    <t>303090000011A</t>
  </si>
  <si>
    <t>硅胶垫</t>
  </si>
  <si>
    <t>亿昌达</t>
  </si>
  <si>
    <t>202022050011A</t>
  </si>
  <si>
    <t>BNC插头</t>
  </si>
  <si>
    <t>金信诺</t>
  </si>
  <si>
    <t>101210100071A</t>
  </si>
  <si>
    <t>艾威尔</t>
  </si>
  <si>
    <t>601180000031A</t>
  </si>
  <si>
    <t>PCB板</t>
  </si>
  <si>
    <t>5010ZZ000021A</t>
  </si>
  <si>
    <t>PE料</t>
  </si>
  <si>
    <t>5010ZZ0D0011A</t>
  </si>
  <si>
    <t>凯洛威</t>
  </si>
  <si>
    <t>801915010031A</t>
  </si>
  <si>
    <t>纸带</t>
  </si>
  <si>
    <t>和兴创新</t>
  </si>
  <si>
    <t>801P05020012A</t>
  </si>
  <si>
    <t>EVA泡棉</t>
  </si>
  <si>
    <t>704A976G0011A</t>
  </si>
  <si>
    <t>705G8G820011A</t>
  </si>
  <si>
    <t>703C0B500011R</t>
  </si>
  <si>
    <t>703D7B900031R</t>
  </si>
  <si>
    <t>703C5B900011R</t>
  </si>
  <si>
    <t>703H8H800011A</t>
  </si>
  <si>
    <t>2010129Z0031A</t>
  </si>
  <si>
    <t>223100000031A</t>
  </si>
  <si>
    <t>221072100061A</t>
  </si>
  <si>
    <t>221072100051A</t>
  </si>
  <si>
    <t>221072100071A</t>
  </si>
  <si>
    <t>2060020A0021A</t>
  </si>
  <si>
    <t>半包式母座</t>
  </si>
  <si>
    <t>2060020A0011A</t>
  </si>
  <si>
    <t>221071010181A</t>
  </si>
  <si>
    <t>223020000561A</t>
  </si>
  <si>
    <t>223030460021A</t>
  </si>
  <si>
    <t>220202030051A</t>
  </si>
  <si>
    <t>220252030051A</t>
  </si>
  <si>
    <t>219251020061A</t>
  </si>
  <si>
    <t>219201070011A</t>
  </si>
  <si>
    <t>223030000531A</t>
  </si>
  <si>
    <t>223030000521A</t>
  </si>
  <si>
    <t>223020000151A</t>
  </si>
  <si>
    <t>223020060011A</t>
  </si>
  <si>
    <t>221071030011A</t>
  </si>
  <si>
    <t>223080060051A</t>
  </si>
  <si>
    <t>221071010171A</t>
  </si>
  <si>
    <t>博戈斯</t>
  </si>
  <si>
    <t>202061090031A</t>
  </si>
  <si>
    <t>长垣方元</t>
  </si>
  <si>
    <t>302120000051A</t>
  </si>
  <si>
    <t>护套</t>
  </si>
  <si>
    <t>玮帝</t>
  </si>
  <si>
    <t>102260280011A</t>
  </si>
  <si>
    <t>101240500031A</t>
  </si>
  <si>
    <t>101220200151A</t>
  </si>
  <si>
    <t>104200260011A</t>
  </si>
  <si>
    <t>蓝色 UL1007</t>
  </si>
  <si>
    <t>海佳顺</t>
  </si>
  <si>
    <t>501425000011A</t>
  </si>
  <si>
    <t>TPU胶料</t>
  </si>
  <si>
    <t>307220100011A</t>
  </si>
  <si>
    <t>2.0超薄套管</t>
  </si>
  <si>
    <t>710A87000011R</t>
  </si>
  <si>
    <t>71036G000011R</t>
  </si>
  <si>
    <t>223080090011A</t>
  </si>
  <si>
    <t>防水长体白色胶壳</t>
  </si>
  <si>
    <t>221072100181A</t>
  </si>
  <si>
    <t>2230700E0031A</t>
  </si>
  <si>
    <t>223030000191A</t>
  </si>
  <si>
    <t>223020001101A</t>
  </si>
  <si>
    <t>223080000331A</t>
  </si>
  <si>
    <t>223130060031A</t>
  </si>
  <si>
    <t>防水圈</t>
  </si>
  <si>
    <t>223130060041A</t>
  </si>
  <si>
    <t>后防水塞</t>
  </si>
  <si>
    <t>223130050021A</t>
  </si>
  <si>
    <t>后密封圈</t>
  </si>
  <si>
    <t>恒飞越</t>
  </si>
  <si>
    <t>600340150011A</t>
  </si>
  <si>
    <t>PC BA</t>
  </si>
  <si>
    <t>223020000831A</t>
  </si>
  <si>
    <t>三元特</t>
  </si>
  <si>
    <t>501250080041A</t>
  </si>
  <si>
    <t>TPE</t>
  </si>
  <si>
    <t>501240000011A</t>
  </si>
  <si>
    <t>801A05010011A</t>
  </si>
  <si>
    <t>801A05010021A</t>
  </si>
  <si>
    <t>717A02060011A</t>
  </si>
  <si>
    <t>22454Y200041A</t>
  </si>
  <si>
    <t>221079120091A</t>
  </si>
  <si>
    <t>223080070021A</t>
  </si>
  <si>
    <t>223110390011A</t>
  </si>
  <si>
    <t>绝缘片</t>
  </si>
  <si>
    <t>224041120011A</t>
  </si>
  <si>
    <t>201052950011A</t>
  </si>
  <si>
    <t>223070060081A</t>
  </si>
  <si>
    <t>223070440011A</t>
  </si>
  <si>
    <t>221079120021A</t>
  </si>
  <si>
    <t>221079200021A</t>
  </si>
  <si>
    <t>206151060051A</t>
  </si>
  <si>
    <t>精鸿艺</t>
  </si>
  <si>
    <t>601188650051A</t>
  </si>
  <si>
    <t>宏钧</t>
  </si>
  <si>
    <t>221067030011A</t>
  </si>
  <si>
    <t>M4端子</t>
  </si>
  <si>
    <t>丰达</t>
  </si>
  <si>
    <t>202017100011A</t>
  </si>
  <si>
    <t>天线杆</t>
  </si>
  <si>
    <t>202017100101A</t>
  </si>
  <si>
    <t>派纳维森</t>
  </si>
  <si>
    <t>223030070021A</t>
  </si>
  <si>
    <t>223080000011A</t>
  </si>
  <si>
    <t>221072010231A</t>
  </si>
  <si>
    <t>223030000541A</t>
  </si>
  <si>
    <t>224640200111A</t>
  </si>
  <si>
    <t>223020040011A</t>
  </si>
  <si>
    <t>黄色二次锁扣</t>
  </si>
  <si>
    <t>2231800Z0051A</t>
  </si>
  <si>
    <t>2231800Z0061A</t>
  </si>
  <si>
    <t>223020000591A</t>
  </si>
  <si>
    <t>307140100011A</t>
  </si>
  <si>
    <t>套管4.0MM</t>
  </si>
  <si>
    <t>801319010131A</t>
  </si>
  <si>
    <t>PVC胶带</t>
  </si>
  <si>
    <t>223030000161A</t>
  </si>
  <si>
    <t>221072030091A</t>
  </si>
  <si>
    <t>223030590011A</t>
  </si>
  <si>
    <t>223030500011A</t>
  </si>
  <si>
    <t>223020000571A</t>
  </si>
  <si>
    <t>223030090051A</t>
  </si>
  <si>
    <t>223070020011A</t>
  </si>
  <si>
    <t>223070090051A</t>
  </si>
  <si>
    <t>223070060061A</t>
  </si>
  <si>
    <t>2010129Z0041A</t>
  </si>
  <si>
    <t>224500000011A</t>
  </si>
  <si>
    <t>221072110041A</t>
  </si>
  <si>
    <t>224040100051A</t>
  </si>
  <si>
    <t>223180090151A</t>
  </si>
  <si>
    <t>310152200021A</t>
  </si>
  <si>
    <t>310050200131A</t>
  </si>
  <si>
    <t>308130100021A</t>
  </si>
  <si>
    <t>701F0C5D0011R</t>
  </si>
  <si>
    <t>717151550011H</t>
  </si>
  <si>
    <t>716A0A0D0011A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</si>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</sst>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176" formatCode="yyyy/m/d;@"/>
    <numFmt numFmtId="43" formatCode="_ * #,##0.00_ ;_ * \-#,##0.00_ ;_ 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7" formatCode="0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0"/>
      <name val="Times New Roman"/>
      <charset val="134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2" fontId="52" fillId="0" borderId="0" applyFont="0" applyFill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51" fillId="11" borderId="23" applyNumberFormat="0" applyAlignment="0" applyProtection="0">
      <alignment vertical="center"/>
    </xf>
    <xf numFmtId="44" fontId="52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54" fillId="14" borderId="0" applyNumberFormat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top"/>
      <protection locked="0"/>
    </xf>
    <xf numFmtId="9" fontId="52" fillId="0" borderId="0" applyFon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52" fillId="27" borderId="30" applyNumberFormat="0" applyFont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6" fillId="0" borderId="29" applyNumberFormat="0" applyFill="0" applyAlignment="0" applyProtection="0">
      <alignment vertical="center"/>
    </xf>
    <xf numFmtId="0" fontId="67" fillId="0" borderId="29" applyNumberFormat="0" applyFill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53" fillId="0" borderId="24" applyNumberFormat="0" applyFill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55" fillId="15" borderId="25" applyNumberFormat="0" applyAlignment="0" applyProtection="0">
      <alignment vertical="center"/>
    </xf>
    <xf numFmtId="0" fontId="60" fillId="15" borderId="23" applyNumberFormat="0" applyAlignment="0" applyProtection="0">
      <alignment vertical="center"/>
    </xf>
    <xf numFmtId="0" fontId="57" fillId="20" borderId="27" applyNumberFormat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58" fillId="0" borderId="28" applyNumberFormat="0" applyFill="0" applyAlignment="0" applyProtection="0">
      <alignment vertical="center"/>
    </xf>
    <xf numFmtId="0" fontId="56" fillId="0" borderId="26" applyNumberFormat="0" applyFill="0" applyAlignment="0" applyProtection="0">
      <alignment vertical="center"/>
    </xf>
    <xf numFmtId="0" fontId="50" fillId="10" borderId="0" applyNumberFormat="0" applyBorder="0" applyAlignment="0" applyProtection="0">
      <alignment vertical="center"/>
    </xf>
    <xf numFmtId="0" fontId="59" fillId="26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9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68" fillId="0" borderId="0"/>
  </cellStyleXfs>
  <cellXfs count="287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0" fillId="5" borderId="1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 wrapText="1"/>
    </xf>
    <xf numFmtId="176" fontId="35" fillId="5" borderId="1" xfId="0" applyNumberFormat="1" applyFont="1" applyFill="1" applyBorder="1" applyAlignment="1">
      <alignment horizontal="center" vertical="center" wrapText="1"/>
    </xf>
    <xf numFmtId="14" fontId="35" fillId="2" borderId="1" xfId="0" applyNumberFormat="1" applyFont="1" applyFill="1" applyBorder="1" applyAlignment="1">
      <alignment horizontal="center" vertical="center"/>
    </xf>
    <xf numFmtId="14" fontId="35" fillId="5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6"/>
  <sheetViews>
    <sheetView tabSelected="1" view="pageBreakPreview" zoomScaleNormal="100" zoomScaleSheetLayoutView="100" workbookViewId="0">
      <pane ySplit="2" topLeftCell="A568" activePane="bottomLeft" state="frozen"/>
      <selection/>
      <selection pane="bottomLeft" activeCell="K592" sqref="K592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>EDATE(I3,J3)</f>
        <v>46115</v>
      </c>
      <c r="M3" s="121">
        <f ca="1" t="shared" ref="M3:M12" si="0">L3-TODAY()</f>
        <v>62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-46053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-46053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-46053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ref="L3:L12" si="1">EDATE(I4,J4)</f>
        <v>46115</v>
      </c>
      <c r="M4" s="121">
        <f ca="1" t="shared" si="0"/>
        <v>62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-46053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-46053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-46053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1"/>
        <v>46115</v>
      </c>
      <c r="M5" s="121">
        <f ca="1" t="shared" si="0"/>
        <v>62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1"/>
        <v>46115</v>
      </c>
      <c r="M6" s="121">
        <f ca="1" t="shared" si="0"/>
        <v>62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1"/>
        <v>46115</v>
      </c>
      <c r="M7" s="121">
        <f ca="1" t="shared" si="0"/>
        <v>62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1"/>
        <v>46115</v>
      </c>
      <c r="M8" s="121">
        <f ca="1" t="shared" si="0"/>
        <v>62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1"/>
        <v>46115</v>
      </c>
      <c r="M9" s="121">
        <f ca="1" t="shared" si="0"/>
        <v>62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1"/>
        <v>46115</v>
      </c>
      <c r="M10" s="121">
        <f ca="1" t="shared" si="0"/>
        <v>62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1"/>
        <v>46115</v>
      </c>
      <c r="M11" s="121">
        <f ca="1" t="shared" si="0"/>
        <v>62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1"/>
        <v>46115</v>
      </c>
      <c r="M12" s="121">
        <f ca="1" t="shared" si="0"/>
        <v>62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ref="L13:L37" si="2">EDATE(I13,J13)</f>
        <v>46116</v>
      </c>
      <c r="M13" s="121">
        <f ca="1" t="shared" ref="M13:M37" si="3">L13-TODAY()</f>
        <v>63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2"/>
        <v>46116</v>
      </c>
      <c r="M14" s="121">
        <f ca="1" t="shared" si="3"/>
        <v>63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2"/>
        <v>46116</v>
      </c>
      <c r="M15" s="121">
        <f ca="1" t="shared" si="3"/>
        <v>63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2"/>
        <v>46116</v>
      </c>
      <c r="M16" s="121">
        <f ca="1" t="shared" si="3"/>
        <v>63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2"/>
        <v>46116</v>
      </c>
      <c r="M17" s="121">
        <f ca="1" t="shared" si="3"/>
        <v>63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2"/>
        <v>46116</v>
      </c>
      <c r="M18" s="121">
        <f ca="1" t="shared" si="3"/>
        <v>63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2"/>
        <v>46116</v>
      </c>
      <c r="M19" s="121">
        <f ca="1" t="shared" si="3"/>
        <v>63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2"/>
        <v>46116</v>
      </c>
      <c r="M20" s="121">
        <f ca="1" t="shared" si="3"/>
        <v>63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2"/>
        <v>46116</v>
      </c>
      <c r="M21" s="121">
        <f ca="1" t="shared" si="3"/>
        <v>63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2"/>
        <v>46116</v>
      </c>
      <c r="M22" s="121">
        <f ca="1" t="shared" si="3"/>
        <v>63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2"/>
        <v>46116</v>
      </c>
      <c r="M23" s="121">
        <f ca="1" t="shared" si="3"/>
        <v>63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2"/>
        <v>46116</v>
      </c>
      <c r="M24" s="121">
        <f ca="1" t="shared" si="3"/>
        <v>63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2"/>
        <v>46116</v>
      </c>
      <c r="M25" s="121">
        <f ca="1" t="shared" si="3"/>
        <v>63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2"/>
        <v>46116</v>
      </c>
      <c r="M26" s="121">
        <f ca="1" t="shared" si="3"/>
        <v>63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2"/>
        <v>46116</v>
      </c>
      <c r="M27" s="121">
        <f ca="1" t="shared" si="3"/>
        <v>63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2"/>
        <v>46116</v>
      </c>
      <c r="M28" s="121">
        <f ca="1" t="shared" si="3"/>
        <v>63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2"/>
        <v>46116</v>
      </c>
      <c r="M29" s="121">
        <f ca="1" t="shared" si="3"/>
        <v>63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2"/>
        <v>46116</v>
      </c>
      <c r="M30" s="121">
        <f ca="1" t="shared" si="3"/>
        <v>63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2"/>
        <v>46116</v>
      </c>
      <c r="M31" s="121">
        <f ca="1" t="shared" si="3"/>
        <v>63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2"/>
        <v>46116</v>
      </c>
      <c r="M32" s="121">
        <f ca="1" t="shared" si="3"/>
        <v>63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2"/>
        <v>46116</v>
      </c>
      <c r="M33" s="121">
        <f ca="1" t="shared" si="3"/>
        <v>63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2"/>
        <v>46116</v>
      </c>
      <c r="M34" s="121">
        <f ca="1" t="shared" si="3"/>
        <v>63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2"/>
        <v>46116</v>
      </c>
      <c r="M35" s="121">
        <f ca="1" t="shared" si="3"/>
        <v>63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2"/>
        <v>46116</v>
      </c>
      <c r="M36" s="121">
        <f ca="1" t="shared" si="3"/>
        <v>63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2"/>
        <v>46116</v>
      </c>
      <c r="M37" s="121">
        <f ca="1" t="shared" si="3"/>
        <v>63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ref="L38:L61" si="4">EDATE(I38,J38)</f>
        <v>46117</v>
      </c>
      <c r="M38" s="121">
        <f ca="1" t="shared" ref="M38:M61" si="5">L38-TODAY()</f>
        <v>64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4"/>
        <v>46117</v>
      </c>
      <c r="M39" s="121">
        <f ca="1" t="shared" si="5"/>
        <v>64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4"/>
        <v>46117</v>
      </c>
      <c r="M40" s="121">
        <f ca="1" t="shared" si="5"/>
        <v>64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4"/>
        <v>46117</v>
      </c>
      <c r="M41" s="121">
        <f ca="1" t="shared" si="5"/>
        <v>64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4"/>
        <v>46117</v>
      </c>
      <c r="M42" s="121">
        <f ca="1" t="shared" si="5"/>
        <v>64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4"/>
        <v>46117</v>
      </c>
      <c r="M43" s="121">
        <f ca="1" t="shared" si="5"/>
        <v>64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4"/>
        <v>46117</v>
      </c>
      <c r="M44" s="121">
        <f ca="1" t="shared" si="5"/>
        <v>64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4"/>
        <v>46117</v>
      </c>
      <c r="M45" s="121">
        <f ca="1" t="shared" si="5"/>
        <v>64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4"/>
        <v>46117</v>
      </c>
      <c r="M46" s="121">
        <f ca="1" t="shared" si="5"/>
        <v>64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4"/>
        <v>46117</v>
      </c>
      <c r="M47" s="121">
        <f ca="1" t="shared" si="5"/>
        <v>64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4"/>
        <v>46117</v>
      </c>
      <c r="M48" s="121">
        <f ca="1" t="shared" si="5"/>
        <v>64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4"/>
        <v>46117</v>
      </c>
      <c r="M49" s="121">
        <f ca="1" t="shared" si="5"/>
        <v>64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4"/>
        <v>46117</v>
      </c>
      <c r="M50" s="121">
        <f ca="1" t="shared" si="5"/>
        <v>64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4"/>
        <v>46117</v>
      </c>
      <c r="M51" s="121">
        <f ca="1" t="shared" si="5"/>
        <v>64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4"/>
        <v>46117</v>
      </c>
      <c r="M52" s="121">
        <f ca="1" t="shared" si="5"/>
        <v>64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4"/>
        <v>46117</v>
      </c>
      <c r="M53" s="121">
        <f ca="1" t="shared" si="5"/>
        <v>64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4"/>
        <v>46117</v>
      </c>
      <c r="M54" s="121">
        <f ca="1" t="shared" si="5"/>
        <v>64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4"/>
        <v>46117</v>
      </c>
      <c r="M55" s="121">
        <f ca="1" t="shared" si="5"/>
        <v>64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4"/>
        <v>46117</v>
      </c>
      <c r="M56" s="121">
        <f ca="1" t="shared" si="5"/>
        <v>64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4"/>
        <v>46117</v>
      </c>
      <c r="M57" s="121">
        <f ca="1" t="shared" si="5"/>
        <v>64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4"/>
        <v>46117</v>
      </c>
      <c r="M58" s="121">
        <f ca="1" t="shared" si="5"/>
        <v>64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4"/>
        <v>46117</v>
      </c>
      <c r="M59" s="121">
        <f ca="1" t="shared" si="5"/>
        <v>64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4"/>
        <v>46117</v>
      </c>
      <c r="M60" s="121">
        <f ca="1" t="shared" si="5"/>
        <v>64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4"/>
        <v>46117</v>
      </c>
      <c r="M61" s="121">
        <f ca="1" t="shared" si="5"/>
        <v>64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ref="L62:L73" si="6">EDATE(I62,J62)</f>
        <v>46118</v>
      </c>
      <c r="M62" s="121">
        <f ca="1" t="shared" ref="M62:M73" si="7">L62-TODAY()</f>
        <v>65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6"/>
        <v>46118</v>
      </c>
      <c r="M63" s="121">
        <f ca="1" t="shared" si="7"/>
        <v>65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6"/>
        <v>46118</v>
      </c>
      <c r="M64" s="121">
        <f ca="1" t="shared" si="7"/>
        <v>65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6"/>
        <v>46118</v>
      </c>
      <c r="M65" s="121">
        <f ca="1" t="shared" si="7"/>
        <v>65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6"/>
        <v>46118</v>
      </c>
      <c r="M66" s="121">
        <f ca="1" t="shared" si="7"/>
        <v>65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si="6"/>
        <v>46118</v>
      </c>
      <c r="M67" s="121">
        <f ca="1" t="shared" si="7"/>
        <v>65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6"/>
        <v>46118</v>
      </c>
      <c r="M68" s="121">
        <f ca="1" t="shared" si="7"/>
        <v>65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6"/>
        <v>46118</v>
      </c>
      <c r="M69" s="121">
        <f ca="1" t="shared" si="7"/>
        <v>65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6"/>
        <v>46118</v>
      </c>
      <c r="M70" s="121">
        <f ca="1" t="shared" si="7"/>
        <v>65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6"/>
        <v>46118</v>
      </c>
      <c r="M71" s="121">
        <f ca="1" t="shared" si="7"/>
        <v>65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6"/>
        <v>46118</v>
      </c>
      <c r="M72" s="121">
        <f ca="1" t="shared" si="7"/>
        <v>65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6"/>
        <v>46118</v>
      </c>
      <c r="M73" s="121">
        <f ca="1" t="shared" si="7"/>
        <v>65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ref="L74:L79" si="8">EDATE(I74,J74)</f>
        <v>46118</v>
      </c>
      <c r="M74" s="121">
        <f ca="1" t="shared" ref="M74:M79" si="9">L74-TODAY()</f>
        <v>65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8"/>
        <v>46118</v>
      </c>
      <c r="M75" s="121">
        <f ca="1" t="shared" si="9"/>
        <v>65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8"/>
        <v>46118</v>
      </c>
      <c r="M76" s="121">
        <f ca="1" t="shared" si="9"/>
        <v>65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8"/>
        <v>46118</v>
      </c>
      <c r="M77" s="121">
        <f ca="1" t="shared" si="9"/>
        <v>65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8"/>
        <v>46118</v>
      </c>
      <c r="M78" s="121">
        <f ca="1" t="shared" si="9"/>
        <v>65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8"/>
        <v>46118</v>
      </c>
      <c r="M79" s="121">
        <f ca="1" t="shared" si="9"/>
        <v>65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ref="L80:L111" si="10">EDATE(I80,J80)</f>
        <v>46118</v>
      </c>
      <c r="M80" s="121">
        <f ca="1" t="shared" ref="M80:M111" si="11">L80-TODAY()</f>
        <v>65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10"/>
        <v>46118</v>
      </c>
      <c r="M81" s="121">
        <f ca="1" t="shared" si="11"/>
        <v>65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10"/>
        <v>46118</v>
      </c>
      <c r="M82" s="121">
        <f ca="1" t="shared" si="11"/>
        <v>65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10"/>
        <v>46118</v>
      </c>
      <c r="M83" s="121">
        <f ca="1" t="shared" si="11"/>
        <v>65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10"/>
        <v>46118</v>
      </c>
      <c r="M84" s="121">
        <f ca="1" t="shared" si="11"/>
        <v>65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10"/>
        <v>46118</v>
      </c>
      <c r="M85" s="121">
        <f ca="1" t="shared" si="11"/>
        <v>65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10"/>
        <v>46118</v>
      </c>
      <c r="M86" s="121">
        <f ca="1" t="shared" si="11"/>
        <v>65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10"/>
        <v>46118</v>
      </c>
      <c r="M87" s="121">
        <f ca="1" t="shared" si="11"/>
        <v>65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10"/>
        <v>46118</v>
      </c>
      <c r="M88" s="121">
        <f ca="1" t="shared" si="11"/>
        <v>65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10"/>
        <v>46118</v>
      </c>
      <c r="M89" s="121">
        <f ca="1" t="shared" si="11"/>
        <v>65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10"/>
        <v>46118</v>
      </c>
      <c r="M90" s="121">
        <f ca="1" t="shared" si="11"/>
        <v>65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10"/>
        <v>46119</v>
      </c>
      <c r="M91" s="121">
        <f ca="1" t="shared" si="11"/>
        <v>66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/>
      <c r="I92" s="118">
        <v>46029</v>
      </c>
      <c r="J92" s="192">
        <v>3</v>
      </c>
      <c r="K92" s="122" t="s">
        <v>266</v>
      </c>
      <c r="L92" s="120">
        <f t="shared" si="10"/>
        <v>46119</v>
      </c>
      <c r="M92" s="121">
        <f ca="1" t="shared" si="11"/>
        <v>66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267</v>
      </c>
      <c r="E93" s="79" t="s">
        <v>268</v>
      </c>
      <c r="F93" s="80"/>
      <c r="G93" s="81"/>
      <c r="H93" s="104"/>
      <c r="I93" s="118">
        <v>46029</v>
      </c>
      <c r="J93" s="192">
        <v>3</v>
      </c>
      <c r="K93" s="122" t="s">
        <v>269</v>
      </c>
      <c r="L93" s="120">
        <f t="shared" si="10"/>
        <v>46119</v>
      </c>
      <c r="M93" s="121">
        <f ca="1" t="shared" si="11"/>
        <v>66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270</v>
      </c>
      <c r="E94" s="79" t="s">
        <v>271</v>
      </c>
      <c r="F94" s="80"/>
      <c r="G94" s="81"/>
      <c r="H94" s="104"/>
      <c r="I94" s="118">
        <v>46029</v>
      </c>
      <c r="J94" s="192">
        <v>3</v>
      </c>
      <c r="K94" s="122" t="s">
        <v>272</v>
      </c>
      <c r="L94" s="120">
        <f t="shared" si="10"/>
        <v>46119</v>
      </c>
      <c r="M94" s="121">
        <f ca="1" t="shared" si="11"/>
        <v>66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273</v>
      </c>
      <c r="E95" s="79" t="s">
        <v>118</v>
      </c>
      <c r="F95" s="80"/>
      <c r="G95" s="81"/>
      <c r="H95" s="104"/>
      <c r="I95" s="118">
        <v>46029</v>
      </c>
      <c r="J95" s="192">
        <v>3</v>
      </c>
      <c r="K95" s="122" t="s">
        <v>274</v>
      </c>
      <c r="L95" s="120">
        <f t="shared" si="10"/>
        <v>46119</v>
      </c>
      <c r="M95" s="121">
        <f ca="1" t="shared" si="11"/>
        <v>66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275</v>
      </c>
      <c r="E96" s="79" t="s">
        <v>276</v>
      </c>
      <c r="F96" s="80"/>
      <c r="G96" s="81"/>
      <c r="H96" s="104"/>
      <c r="I96" s="118">
        <v>46029</v>
      </c>
      <c r="J96" s="192">
        <v>3</v>
      </c>
      <c r="K96" s="122" t="s">
        <v>277</v>
      </c>
      <c r="L96" s="120">
        <f t="shared" si="10"/>
        <v>46119</v>
      </c>
      <c r="M96" s="121">
        <f ca="1" t="shared" si="11"/>
        <v>66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278</v>
      </c>
      <c r="E97" s="176" t="s">
        <v>279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280</v>
      </c>
      <c r="L97" s="120">
        <f t="shared" si="10"/>
        <v>46119</v>
      </c>
      <c r="M97" s="121">
        <f ca="1" t="shared" si="11"/>
        <v>66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281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282</v>
      </c>
      <c r="L98" s="120">
        <f t="shared" si="10"/>
        <v>46119</v>
      </c>
      <c r="M98" s="121">
        <f ca="1" t="shared" si="11"/>
        <v>66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283</v>
      </c>
      <c r="C99" s="113" t="s">
        <v>27</v>
      </c>
      <c r="D99" s="105" t="s">
        <v>284</v>
      </c>
      <c r="E99" s="176" t="s">
        <v>285</v>
      </c>
      <c r="F99" s="177"/>
      <c r="G99" s="178"/>
      <c r="H99" s="109"/>
      <c r="I99" s="118">
        <v>46029</v>
      </c>
      <c r="J99" s="192">
        <v>3</v>
      </c>
      <c r="K99" s="122" t="s">
        <v>286</v>
      </c>
      <c r="L99" s="120">
        <f t="shared" si="10"/>
        <v>46119</v>
      </c>
      <c r="M99" s="121">
        <f ca="1" t="shared" si="11"/>
        <v>66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287</v>
      </c>
      <c r="C100" s="113" t="s">
        <v>13</v>
      </c>
      <c r="D100" s="105" t="s">
        <v>288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289</v>
      </c>
      <c r="L100" s="120">
        <f t="shared" si="10"/>
        <v>46119</v>
      </c>
      <c r="M100" s="121">
        <f ca="1" t="shared" si="11"/>
        <v>66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287</v>
      </c>
      <c r="C101" s="113" t="s">
        <v>13</v>
      </c>
      <c r="D101" s="105" t="s">
        <v>290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291</v>
      </c>
      <c r="L101" s="120">
        <f t="shared" si="10"/>
        <v>46119</v>
      </c>
      <c r="M101" s="121">
        <f ca="1" t="shared" si="11"/>
        <v>66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7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287</v>
      </c>
      <c r="C102" s="113" t="s">
        <v>13</v>
      </c>
      <c r="D102" s="105" t="s">
        <v>292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293</v>
      </c>
      <c r="L102" s="120">
        <f t="shared" si="10"/>
        <v>46119</v>
      </c>
      <c r="M102" s="121">
        <f ca="1" t="shared" si="11"/>
        <v>66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7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294</v>
      </c>
      <c r="E103" s="106" t="s">
        <v>295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296</v>
      </c>
      <c r="L103" s="120">
        <f t="shared" si="10"/>
        <v>46119</v>
      </c>
      <c r="M103" s="121">
        <f ca="1" t="shared" si="11"/>
        <v>66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297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298</v>
      </c>
      <c r="L104" s="120">
        <f t="shared" si="10"/>
        <v>46119</v>
      </c>
      <c r="M104" s="121">
        <f ca="1" t="shared" si="11"/>
        <v>66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299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300</v>
      </c>
      <c r="L105" s="120">
        <f t="shared" si="10"/>
        <v>46119</v>
      </c>
      <c r="M105" s="121">
        <f ca="1" t="shared" si="11"/>
        <v>66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301</v>
      </c>
      <c r="E106" s="106" t="s">
        <v>302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303</v>
      </c>
      <c r="L106" s="120">
        <f t="shared" si="10"/>
        <v>46119</v>
      </c>
      <c r="M106" s="121">
        <f ca="1" t="shared" si="11"/>
        <v>66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304</v>
      </c>
      <c r="E107" s="176" t="s">
        <v>305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306</v>
      </c>
      <c r="L107" s="120">
        <f t="shared" si="10"/>
        <v>46119</v>
      </c>
      <c r="M107" s="121">
        <f ca="1" t="shared" si="11"/>
        <v>66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307</v>
      </c>
      <c r="E108" s="176" t="s">
        <v>308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309</v>
      </c>
      <c r="L108" s="120">
        <f t="shared" si="10"/>
        <v>46119</v>
      </c>
      <c r="M108" s="121">
        <f ca="1" t="shared" si="11"/>
        <v>66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310</v>
      </c>
      <c r="E109" s="176" t="s">
        <v>311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312</v>
      </c>
      <c r="L109" s="120">
        <f t="shared" si="10"/>
        <v>46119</v>
      </c>
      <c r="M109" s="121">
        <f ca="1" t="shared" si="11"/>
        <v>66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313</v>
      </c>
      <c r="C110" s="152" t="s">
        <v>27</v>
      </c>
      <c r="D110" s="105" t="s">
        <v>314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315</v>
      </c>
      <c r="L110" s="120">
        <f t="shared" si="10"/>
        <v>46119</v>
      </c>
      <c r="M110" s="121">
        <f ca="1" t="shared" si="11"/>
        <v>66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313</v>
      </c>
      <c r="C111" s="152" t="s">
        <v>27</v>
      </c>
      <c r="D111" s="105" t="s">
        <v>316</v>
      </c>
      <c r="E111" s="106" t="s">
        <v>317</v>
      </c>
      <c r="F111" s="107"/>
      <c r="G111" s="108"/>
      <c r="H111" s="109"/>
      <c r="I111" s="118">
        <v>46029</v>
      </c>
      <c r="J111" s="192">
        <v>3</v>
      </c>
      <c r="K111" s="122" t="s">
        <v>318</v>
      </c>
      <c r="L111" s="120">
        <f t="shared" si="10"/>
        <v>46119</v>
      </c>
      <c r="M111" s="121">
        <f ca="1" t="shared" si="11"/>
        <v>66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319</v>
      </c>
      <c r="C112" s="152" t="s">
        <v>158</v>
      </c>
      <c r="D112" s="105" t="s">
        <v>320</v>
      </c>
      <c r="E112" s="106" t="s">
        <v>321</v>
      </c>
      <c r="F112" s="107"/>
      <c r="G112" s="108"/>
      <c r="H112" s="109"/>
      <c r="I112" s="118">
        <v>46029</v>
      </c>
      <c r="J112" s="192">
        <v>3</v>
      </c>
      <c r="K112" s="122" t="s">
        <v>322</v>
      </c>
      <c r="L112" s="120">
        <f t="shared" ref="L112:L147" si="12">EDATE(I112,J112)</f>
        <v>46119</v>
      </c>
      <c r="M112" s="121">
        <f ca="1" t="shared" ref="M112:M147" si="13">L112-TODAY()</f>
        <v>66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323</v>
      </c>
      <c r="C113" s="152" t="s">
        <v>13</v>
      </c>
      <c r="D113" s="105" t="s">
        <v>324</v>
      </c>
      <c r="E113" s="106" t="s">
        <v>325</v>
      </c>
      <c r="F113" s="107"/>
      <c r="G113" s="108"/>
      <c r="H113" s="109"/>
      <c r="I113" s="118">
        <v>46029</v>
      </c>
      <c r="J113" s="192">
        <v>3</v>
      </c>
      <c r="K113" s="122" t="s">
        <v>326</v>
      </c>
      <c r="L113" s="120">
        <f t="shared" si="12"/>
        <v>46119</v>
      </c>
      <c r="M113" s="121">
        <f ca="1" t="shared" si="13"/>
        <v>66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327</v>
      </c>
      <c r="C114" s="152" t="s">
        <v>228</v>
      </c>
      <c r="D114" s="105" t="s">
        <v>328</v>
      </c>
      <c r="E114" s="106" t="s">
        <v>329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330</v>
      </c>
      <c r="L114" s="120">
        <f t="shared" si="12"/>
        <v>46119</v>
      </c>
      <c r="M114" s="121">
        <f ca="1" t="shared" si="13"/>
        <v>66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331</v>
      </c>
      <c r="C115" s="152" t="s">
        <v>228</v>
      </c>
      <c r="D115" s="105" t="s">
        <v>332</v>
      </c>
      <c r="E115" s="106" t="s">
        <v>333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334</v>
      </c>
      <c r="L115" s="120">
        <f t="shared" si="12"/>
        <v>46119</v>
      </c>
      <c r="M115" s="121">
        <f ca="1" t="shared" si="13"/>
        <v>66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331</v>
      </c>
      <c r="C116" s="152" t="s">
        <v>228</v>
      </c>
      <c r="D116" s="170" t="s">
        <v>335</v>
      </c>
      <c r="E116" s="106" t="s">
        <v>333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336</v>
      </c>
      <c r="L116" s="120">
        <f t="shared" si="12"/>
        <v>46119</v>
      </c>
      <c r="M116" s="121">
        <f ca="1" t="shared" si="13"/>
        <v>66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337</v>
      </c>
      <c r="C117" s="152" t="s">
        <v>228</v>
      </c>
      <c r="D117" s="189" t="s">
        <v>338</v>
      </c>
      <c r="E117" s="106" t="s">
        <v>339</v>
      </c>
      <c r="F117" s="107"/>
      <c r="G117" s="108"/>
      <c r="H117" s="82"/>
      <c r="I117" s="118">
        <v>46029</v>
      </c>
      <c r="J117" s="192">
        <v>3</v>
      </c>
      <c r="K117" s="122" t="s">
        <v>340</v>
      </c>
      <c r="L117" s="120">
        <f t="shared" si="12"/>
        <v>46119</v>
      </c>
      <c r="M117" s="121">
        <f ca="1" t="shared" si="13"/>
        <v>66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341</v>
      </c>
      <c r="C118" s="152" t="s">
        <v>228</v>
      </c>
      <c r="D118" s="165" t="s">
        <v>342</v>
      </c>
      <c r="E118" s="106" t="s">
        <v>343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344</v>
      </c>
      <c r="L118" s="120">
        <f t="shared" si="12"/>
        <v>46119</v>
      </c>
      <c r="M118" s="121">
        <f ca="1" t="shared" si="13"/>
        <v>66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341</v>
      </c>
      <c r="C119" s="152" t="s">
        <v>228</v>
      </c>
      <c r="D119" s="165" t="s">
        <v>345</v>
      </c>
      <c r="E119" s="106" t="s">
        <v>346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347</v>
      </c>
      <c r="L119" s="120">
        <f t="shared" si="12"/>
        <v>46119</v>
      </c>
      <c r="M119" s="121">
        <f ca="1" t="shared" si="13"/>
        <v>66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348</v>
      </c>
      <c r="C120" s="152" t="s">
        <v>27</v>
      </c>
      <c r="D120" s="189" t="s">
        <v>349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350</v>
      </c>
      <c r="L120" s="120">
        <f t="shared" si="12"/>
        <v>46120</v>
      </c>
      <c r="M120" s="121">
        <f ca="1" t="shared" si="13"/>
        <v>67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351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352</v>
      </c>
      <c r="L121" s="120">
        <f t="shared" si="12"/>
        <v>46120</v>
      </c>
      <c r="M121" s="121">
        <f ca="1" t="shared" si="13"/>
        <v>67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353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354</v>
      </c>
      <c r="L122" s="120">
        <f t="shared" si="12"/>
        <v>46120</v>
      </c>
      <c r="M122" s="121">
        <f ca="1" t="shared" si="13"/>
        <v>67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355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356</v>
      </c>
      <c r="L123" s="120">
        <f t="shared" si="12"/>
        <v>46120</v>
      </c>
      <c r="M123" s="121">
        <f ca="1" t="shared" si="13"/>
        <v>67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357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358</v>
      </c>
      <c r="L124" s="120">
        <f t="shared" si="12"/>
        <v>46120</v>
      </c>
      <c r="M124" s="121">
        <f ca="1" t="shared" si="13"/>
        <v>67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359</v>
      </c>
      <c r="E125" s="155" t="s">
        <v>360</v>
      </c>
      <c r="F125" s="156"/>
      <c r="G125" s="157"/>
      <c r="H125" s="82"/>
      <c r="I125" s="118">
        <v>46030</v>
      </c>
      <c r="J125" s="193">
        <v>3</v>
      </c>
      <c r="K125" s="127" t="s">
        <v>361</v>
      </c>
      <c r="L125" s="120">
        <f t="shared" si="12"/>
        <v>46120</v>
      </c>
      <c r="M125" s="121">
        <f ca="1" t="shared" si="13"/>
        <v>67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362</v>
      </c>
      <c r="E126" s="155" t="s">
        <v>363</v>
      </c>
      <c r="F126" s="156"/>
      <c r="G126" s="157"/>
      <c r="H126" s="82"/>
      <c r="I126" s="118">
        <v>46030</v>
      </c>
      <c r="J126" s="193">
        <v>3</v>
      </c>
      <c r="K126" s="127" t="s">
        <v>364</v>
      </c>
      <c r="L126" s="120">
        <f t="shared" si="12"/>
        <v>46120</v>
      </c>
      <c r="M126" s="121">
        <f ca="1" t="shared" si="13"/>
        <v>67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365</v>
      </c>
      <c r="E127" s="79" t="s">
        <v>366</v>
      </c>
      <c r="F127" s="80"/>
      <c r="G127" s="81"/>
      <c r="H127" s="82"/>
      <c r="I127" s="118">
        <v>46030</v>
      </c>
      <c r="J127" s="193">
        <v>3</v>
      </c>
      <c r="K127" s="127" t="s">
        <v>367</v>
      </c>
      <c r="L127" s="120">
        <f t="shared" si="12"/>
        <v>46120</v>
      </c>
      <c r="M127" s="121">
        <f ca="1" t="shared" si="13"/>
        <v>67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368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369</v>
      </c>
      <c r="L128" s="120">
        <f t="shared" si="12"/>
        <v>46120</v>
      </c>
      <c r="M128" s="121">
        <f ca="1" t="shared" si="13"/>
        <v>67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370</v>
      </c>
      <c r="E129" s="79" t="s">
        <v>371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372</v>
      </c>
      <c r="L129" s="120">
        <f t="shared" si="12"/>
        <v>46120</v>
      </c>
      <c r="M129" s="121">
        <f ca="1" t="shared" si="13"/>
        <v>67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373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374</v>
      </c>
      <c r="L130" s="120">
        <f t="shared" si="12"/>
        <v>46120</v>
      </c>
      <c r="M130" s="121">
        <f ca="1" t="shared" si="13"/>
        <v>67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375</v>
      </c>
      <c r="C131" s="201" t="s">
        <v>13</v>
      </c>
      <c r="D131" s="191" t="s">
        <v>376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377</v>
      </c>
      <c r="L131" s="120">
        <f t="shared" si="12"/>
        <v>46120</v>
      </c>
      <c r="M131" s="121">
        <f ca="1" t="shared" si="13"/>
        <v>67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378</v>
      </c>
      <c r="C132" s="201" t="s">
        <v>13</v>
      </c>
      <c r="D132" s="191" t="s">
        <v>379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380</v>
      </c>
      <c r="L132" s="120">
        <f t="shared" si="12"/>
        <v>46120</v>
      </c>
      <c r="M132" s="121">
        <f ca="1" t="shared" si="13"/>
        <v>67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381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382</v>
      </c>
      <c r="L133" s="120">
        <f t="shared" si="12"/>
        <v>46120</v>
      </c>
      <c r="M133" s="121">
        <f ca="1" t="shared" si="13"/>
        <v>67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383</v>
      </c>
      <c r="E134" s="79" t="s">
        <v>384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385</v>
      </c>
      <c r="L134" s="120">
        <f t="shared" si="12"/>
        <v>46120</v>
      </c>
      <c r="M134" s="121">
        <f ca="1" t="shared" si="13"/>
        <v>67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7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386</v>
      </c>
      <c r="E135" s="79" t="s">
        <v>384</v>
      </c>
      <c r="F135" s="80"/>
      <c r="G135" s="81"/>
      <c r="H135" s="82"/>
      <c r="I135" s="118">
        <v>46030</v>
      </c>
      <c r="J135" s="193">
        <v>3</v>
      </c>
      <c r="K135" s="127" t="s">
        <v>387</v>
      </c>
      <c r="L135" s="120">
        <f t="shared" si="12"/>
        <v>46120</v>
      </c>
      <c r="M135" s="121">
        <f ca="1" t="shared" si="13"/>
        <v>67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388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389</v>
      </c>
      <c r="L136" s="120">
        <f t="shared" si="12"/>
        <v>46120</v>
      </c>
      <c r="M136" s="121">
        <f ca="1" t="shared" si="13"/>
        <v>67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390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391</v>
      </c>
      <c r="L137" s="120">
        <f t="shared" si="12"/>
        <v>46120</v>
      </c>
      <c r="M137" s="121">
        <f ca="1" t="shared" si="13"/>
        <v>67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392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393</v>
      </c>
      <c r="L138" s="120">
        <f t="shared" si="12"/>
        <v>46120</v>
      </c>
      <c r="M138" s="121">
        <f ca="1" t="shared" si="13"/>
        <v>67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394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395</v>
      </c>
      <c r="L139" s="120">
        <f t="shared" si="12"/>
        <v>46120</v>
      </c>
      <c r="M139" s="121">
        <f ca="1" t="shared" si="13"/>
        <v>67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396</v>
      </c>
      <c r="C140" s="211" t="s">
        <v>158</v>
      </c>
      <c r="D140" s="210" t="s">
        <v>397</v>
      </c>
      <c r="E140" s="183" t="s">
        <v>398</v>
      </c>
      <c r="F140" s="134"/>
      <c r="G140" s="135"/>
      <c r="H140" s="213"/>
      <c r="I140" s="118">
        <v>46030</v>
      </c>
      <c r="J140" s="193">
        <v>3</v>
      </c>
      <c r="K140" s="127" t="s">
        <v>399</v>
      </c>
      <c r="L140" s="120">
        <f t="shared" si="12"/>
        <v>46120</v>
      </c>
      <c r="M140" s="121">
        <f ca="1" t="shared" si="13"/>
        <v>67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400</v>
      </c>
      <c r="C141" s="211" t="s">
        <v>228</v>
      </c>
      <c r="D141" s="214" t="s">
        <v>401</v>
      </c>
      <c r="E141" s="183" t="s">
        <v>402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403</v>
      </c>
      <c r="L141" s="120">
        <f t="shared" si="12"/>
        <v>46120</v>
      </c>
      <c r="M141" s="121">
        <f ca="1" t="shared" si="13"/>
        <v>67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337</v>
      </c>
      <c r="C142" s="211" t="s">
        <v>228</v>
      </c>
      <c r="D142" s="74" t="s">
        <v>404</v>
      </c>
      <c r="E142" s="183" t="s">
        <v>405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406</v>
      </c>
      <c r="L142" s="120">
        <f t="shared" si="12"/>
        <v>46120</v>
      </c>
      <c r="M142" s="121">
        <f ca="1" t="shared" si="13"/>
        <v>67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337</v>
      </c>
      <c r="C143" s="211" t="s">
        <v>228</v>
      </c>
      <c r="D143" s="74" t="s">
        <v>407</v>
      </c>
      <c r="E143" s="179" t="s">
        <v>408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409</v>
      </c>
      <c r="L143" s="120">
        <f t="shared" si="12"/>
        <v>46120</v>
      </c>
      <c r="M143" s="121">
        <f ca="1" t="shared" si="13"/>
        <v>67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337</v>
      </c>
      <c r="C144" s="211" t="s">
        <v>228</v>
      </c>
      <c r="D144" s="74" t="s">
        <v>410</v>
      </c>
      <c r="E144" s="183" t="s">
        <v>405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411</v>
      </c>
      <c r="L144" s="120">
        <f t="shared" si="12"/>
        <v>46120</v>
      </c>
      <c r="M144" s="121">
        <f ca="1" t="shared" si="13"/>
        <v>67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412</v>
      </c>
      <c r="C145" s="211" t="s">
        <v>228</v>
      </c>
      <c r="D145" s="74" t="s">
        <v>413</v>
      </c>
      <c r="E145" s="179" t="s">
        <v>414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415</v>
      </c>
      <c r="L145" s="120">
        <f t="shared" si="12"/>
        <v>46120</v>
      </c>
      <c r="M145" s="121">
        <f ca="1" t="shared" si="13"/>
        <v>67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416</v>
      </c>
      <c r="C146" s="211" t="s">
        <v>228</v>
      </c>
      <c r="D146" s="74" t="s">
        <v>417</v>
      </c>
      <c r="E146" s="215" t="s">
        <v>418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419</v>
      </c>
      <c r="L146" s="120">
        <f t="shared" si="12"/>
        <v>46120</v>
      </c>
      <c r="M146" s="121">
        <f ca="1" t="shared" si="13"/>
        <v>67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420</v>
      </c>
      <c r="C147" s="73" t="s">
        <v>13</v>
      </c>
      <c r="D147" s="74" t="s">
        <v>421</v>
      </c>
      <c r="E147" s="121" t="s">
        <v>422</v>
      </c>
      <c r="F147" s="121"/>
      <c r="G147" s="121"/>
      <c r="H147" s="104"/>
      <c r="I147" s="118">
        <v>46031</v>
      </c>
      <c r="J147" s="192">
        <v>3</v>
      </c>
      <c r="K147" s="128" t="s">
        <v>423</v>
      </c>
      <c r="L147" s="120">
        <f t="shared" si="12"/>
        <v>46121</v>
      </c>
      <c r="M147" s="121">
        <f ca="1" t="shared" si="13"/>
        <v>68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424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425</v>
      </c>
      <c r="L148" s="120">
        <f t="shared" ref="L148:L174" si="14">EDATE(I148,J148)</f>
        <v>46121</v>
      </c>
      <c r="M148" s="121">
        <f ca="1" t="shared" ref="M148:M174" si="15">L148-TODAY()</f>
        <v>68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426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427</v>
      </c>
      <c r="L149" s="120">
        <f t="shared" si="14"/>
        <v>46121</v>
      </c>
      <c r="M149" s="121">
        <f ca="1" t="shared" si="15"/>
        <v>68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428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429</v>
      </c>
      <c r="L150" s="120">
        <f t="shared" si="14"/>
        <v>46121</v>
      </c>
      <c r="M150" s="121">
        <f ca="1" t="shared" si="15"/>
        <v>68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430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431</v>
      </c>
      <c r="L151" s="120">
        <f t="shared" si="14"/>
        <v>46121</v>
      </c>
      <c r="M151" s="121">
        <f ca="1" t="shared" si="15"/>
        <v>68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432</v>
      </c>
      <c r="E152" s="79" t="s">
        <v>433</v>
      </c>
      <c r="F152" s="80"/>
      <c r="G152" s="81"/>
      <c r="H152" s="82"/>
      <c r="I152" s="118">
        <v>46031</v>
      </c>
      <c r="J152" s="192">
        <v>3</v>
      </c>
      <c r="K152" s="128" t="s">
        <v>434</v>
      </c>
      <c r="L152" s="120">
        <f t="shared" si="14"/>
        <v>46121</v>
      </c>
      <c r="M152" s="121">
        <f ca="1" t="shared" si="15"/>
        <v>68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435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436</v>
      </c>
      <c r="L153" s="120">
        <f t="shared" si="14"/>
        <v>46121</v>
      </c>
      <c r="M153" s="121">
        <f ca="1" t="shared" si="15"/>
        <v>68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437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438</v>
      </c>
      <c r="L154" s="120">
        <f t="shared" si="14"/>
        <v>46121</v>
      </c>
      <c r="M154" s="121">
        <f ca="1" t="shared" si="15"/>
        <v>68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439</v>
      </c>
      <c r="C155" s="73" t="s">
        <v>13</v>
      </c>
      <c r="D155" s="74" t="s">
        <v>440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441</v>
      </c>
      <c r="L155" s="120">
        <f t="shared" si="14"/>
        <v>46121</v>
      </c>
      <c r="M155" s="121">
        <f ca="1" t="shared" si="15"/>
        <v>68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442</v>
      </c>
      <c r="C156" s="73" t="s">
        <v>27</v>
      </c>
      <c r="D156" s="74" t="s">
        <v>443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444</v>
      </c>
      <c r="L156" s="120">
        <f t="shared" si="14"/>
        <v>46121</v>
      </c>
      <c r="M156" s="121">
        <f ca="1" t="shared" si="15"/>
        <v>68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313</v>
      </c>
      <c r="C157" s="73" t="s">
        <v>27</v>
      </c>
      <c r="D157" s="74" t="s">
        <v>445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446</v>
      </c>
      <c r="L157" s="120">
        <f t="shared" si="14"/>
        <v>46121</v>
      </c>
      <c r="M157" s="121">
        <f ca="1" t="shared" si="15"/>
        <v>68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447</v>
      </c>
      <c r="C158" s="73" t="s">
        <v>13</v>
      </c>
      <c r="D158" s="74" t="s">
        <v>448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449</v>
      </c>
      <c r="L158" s="120">
        <f t="shared" si="14"/>
        <v>46121</v>
      </c>
      <c r="M158" s="121">
        <f ca="1" t="shared" si="15"/>
        <v>68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447</v>
      </c>
      <c r="C159" s="73" t="s">
        <v>27</v>
      </c>
      <c r="D159" s="74" t="s">
        <v>450</v>
      </c>
      <c r="E159" s="218" t="s">
        <v>451</v>
      </c>
      <c r="F159" s="219"/>
      <c r="G159" s="220"/>
      <c r="H159" s="82"/>
      <c r="I159" s="118">
        <v>46031</v>
      </c>
      <c r="J159" s="192">
        <v>3</v>
      </c>
      <c r="K159" s="128" t="s">
        <v>452</v>
      </c>
      <c r="L159" s="120">
        <f t="shared" si="14"/>
        <v>46121</v>
      </c>
      <c r="M159" s="121">
        <f ca="1" t="shared" si="15"/>
        <v>68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447</v>
      </c>
      <c r="C160" s="73" t="s">
        <v>27</v>
      </c>
      <c r="D160" s="74" t="s">
        <v>453</v>
      </c>
      <c r="E160" s="218" t="s">
        <v>451</v>
      </c>
      <c r="F160" s="219"/>
      <c r="G160" s="220"/>
      <c r="H160" s="82"/>
      <c r="I160" s="118">
        <v>46031</v>
      </c>
      <c r="J160" s="192">
        <v>3</v>
      </c>
      <c r="K160" s="128" t="s">
        <v>454</v>
      </c>
      <c r="L160" s="120">
        <f t="shared" si="14"/>
        <v>46121</v>
      </c>
      <c r="M160" s="121">
        <f ca="1" t="shared" si="15"/>
        <v>68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455</v>
      </c>
      <c r="C161" s="73" t="s">
        <v>27</v>
      </c>
      <c r="D161" s="74" t="s">
        <v>456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457</v>
      </c>
      <c r="L161" s="120">
        <f t="shared" si="14"/>
        <v>46121</v>
      </c>
      <c r="M161" s="121">
        <f ca="1" t="shared" si="15"/>
        <v>68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394</v>
      </c>
      <c r="C162" s="73" t="s">
        <v>158</v>
      </c>
      <c r="D162" s="74" t="s">
        <v>458</v>
      </c>
      <c r="E162" s="79" t="s">
        <v>459</v>
      </c>
      <c r="F162" s="80"/>
      <c r="G162" s="81"/>
      <c r="H162" s="82"/>
      <c r="I162" s="118">
        <v>46031</v>
      </c>
      <c r="J162" s="192">
        <v>3</v>
      </c>
      <c r="K162" s="128" t="s">
        <v>460</v>
      </c>
      <c r="L162" s="120">
        <f t="shared" si="14"/>
        <v>46121</v>
      </c>
      <c r="M162" s="121">
        <f ca="1" t="shared" si="15"/>
        <v>68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461</v>
      </c>
      <c r="C163" s="73" t="s">
        <v>158</v>
      </c>
      <c r="D163" s="74" t="s">
        <v>462</v>
      </c>
      <c r="E163" s="179" t="s">
        <v>463</v>
      </c>
      <c r="F163" s="180"/>
      <c r="G163" s="181"/>
      <c r="H163" s="82"/>
      <c r="I163" s="118">
        <v>46031</v>
      </c>
      <c r="J163" s="192">
        <v>3</v>
      </c>
      <c r="K163" s="128" t="s">
        <v>464</v>
      </c>
      <c r="L163" s="120">
        <f t="shared" si="14"/>
        <v>46121</v>
      </c>
      <c r="M163" s="121">
        <f ca="1" t="shared" si="15"/>
        <v>68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465</v>
      </c>
      <c r="C164" s="73" t="s">
        <v>158</v>
      </c>
      <c r="D164" s="74" t="s">
        <v>466</v>
      </c>
      <c r="E164" s="179" t="s">
        <v>467</v>
      </c>
      <c r="F164" s="180"/>
      <c r="G164" s="181"/>
      <c r="H164" s="82"/>
      <c r="I164" s="118">
        <v>46031</v>
      </c>
      <c r="J164" s="192">
        <v>3</v>
      </c>
      <c r="K164" s="128" t="s">
        <v>468</v>
      </c>
      <c r="L164" s="120">
        <f t="shared" si="14"/>
        <v>46121</v>
      </c>
      <c r="M164" s="121">
        <f ca="1" t="shared" si="15"/>
        <v>68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469</v>
      </c>
      <c r="E165" s="179" t="s">
        <v>470</v>
      </c>
      <c r="F165" s="180"/>
      <c r="G165" s="181"/>
      <c r="H165" s="82"/>
      <c r="I165" s="118">
        <v>46031</v>
      </c>
      <c r="J165" s="192">
        <v>3</v>
      </c>
      <c r="K165" s="128" t="s">
        <v>471</v>
      </c>
      <c r="L165" s="120">
        <f t="shared" si="14"/>
        <v>46121</v>
      </c>
      <c r="M165" s="121">
        <f ca="1" t="shared" si="15"/>
        <v>68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223" t="s">
        <v>472</v>
      </c>
      <c r="J166" s="192"/>
      <c r="K166" s="127" t="s">
        <v>473</v>
      </c>
      <c r="L166" s="120" t="e">
        <f t="shared" si="14"/>
        <v>#VALUE!</v>
      </c>
      <c r="M166" s="121" t="e">
        <f ca="1" t="shared" si="15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14"/>
        <v>46121</v>
      </c>
      <c r="M167" s="121">
        <f ca="1" t="shared" si="15"/>
        <v>68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14"/>
        <v>46121</v>
      </c>
      <c r="M168" s="121">
        <f ca="1" t="shared" si="15"/>
        <v>68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14"/>
        <v>46121</v>
      </c>
      <c r="M169" s="121">
        <f ca="1" t="shared" si="15"/>
        <v>68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333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14"/>
        <v>46121</v>
      </c>
      <c r="M170" s="121">
        <f ca="1" t="shared" si="15"/>
        <v>68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333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14"/>
        <v>46121</v>
      </c>
      <c r="M171" s="121">
        <f ca="1" t="shared" si="15"/>
        <v>68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14"/>
        <v>46121</v>
      </c>
      <c r="M172" s="121">
        <f ca="1" t="shared" si="15"/>
        <v>68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14"/>
        <v>46121</v>
      </c>
      <c r="M173" s="121">
        <f ca="1" t="shared" si="15"/>
        <v>68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14"/>
        <v>46121</v>
      </c>
      <c r="M174" s="121">
        <f ca="1" t="shared" si="15"/>
        <v>68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 t="s">
        <v>500</v>
      </c>
      <c r="L175" s="120">
        <f t="shared" ref="L175:L199" si="16">EDATE(I175,J175)</f>
        <v>46122</v>
      </c>
      <c r="M175" s="121">
        <f ca="1" t="shared" ref="M175:M199" si="17">L175-TODAY()</f>
        <v>69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501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 t="s">
        <v>502</v>
      </c>
      <c r="L176" s="120">
        <f t="shared" si="16"/>
        <v>46122</v>
      </c>
      <c r="M176" s="121">
        <f ca="1" t="shared" si="17"/>
        <v>69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 t="s">
        <v>503</v>
      </c>
      <c r="L177" s="120">
        <f t="shared" si="16"/>
        <v>46122</v>
      </c>
      <c r="M177" s="121">
        <f ca="1" t="shared" si="17"/>
        <v>69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504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 t="s">
        <v>505</v>
      </c>
      <c r="L178" s="120">
        <f t="shared" si="16"/>
        <v>46122</v>
      </c>
      <c r="M178" s="121">
        <f ca="1" t="shared" si="17"/>
        <v>69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506</v>
      </c>
      <c r="E179" s="176" t="s">
        <v>507</v>
      </c>
      <c r="F179" s="177"/>
      <c r="G179" s="178"/>
      <c r="H179" s="82"/>
      <c r="I179" s="118">
        <v>46032</v>
      </c>
      <c r="J179" s="192">
        <v>3</v>
      </c>
      <c r="K179" s="127" t="s">
        <v>508</v>
      </c>
      <c r="L179" s="120">
        <f t="shared" si="16"/>
        <v>46122</v>
      </c>
      <c r="M179" s="121">
        <f ca="1" t="shared" si="17"/>
        <v>69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 t="s">
        <v>509</v>
      </c>
      <c r="L180" s="120">
        <f t="shared" si="16"/>
        <v>46122</v>
      </c>
      <c r="M180" s="121">
        <f ca="1" t="shared" si="17"/>
        <v>69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 t="s">
        <v>510</v>
      </c>
      <c r="L181" s="120">
        <f t="shared" si="16"/>
        <v>46122</v>
      </c>
      <c r="M181" s="121">
        <f ca="1" t="shared" si="17"/>
        <v>69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511</v>
      </c>
      <c r="E182" s="179" t="s">
        <v>363</v>
      </c>
      <c r="F182" s="180"/>
      <c r="G182" s="181"/>
      <c r="H182" s="82"/>
      <c r="I182" s="118">
        <v>46032</v>
      </c>
      <c r="J182" s="192">
        <v>3</v>
      </c>
      <c r="K182" s="127" t="s">
        <v>512</v>
      </c>
      <c r="L182" s="120">
        <f t="shared" si="16"/>
        <v>46122</v>
      </c>
      <c r="M182" s="121">
        <f ca="1" t="shared" si="17"/>
        <v>69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513</v>
      </c>
      <c r="E183" s="179" t="s">
        <v>360</v>
      </c>
      <c r="F183" s="180"/>
      <c r="G183" s="181"/>
      <c r="H183" s="82"/>
      <c r="I183" s="118">
        <v>46032</v>
      </c>
      <c r="J183" s="192">
        <v>3</v>
      </c>
      <c r="K183" s="127" t="s">
        <v>514</v>
      </c>
      <c r="L183" s="120">
        <f t="shared" si="16"/>
        <v>46122</v>
      </c>
      <c r="M183" s="121">
        <f ca="1" t="shared" si="17"/>
        <v>69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 t="s">
        <v>515</v>
      </c>
      <c r="L184" s="120">
        <f t="shared" si="16"/>
        <v>46122</v>
      </c>
      <c r="M184" s="121">
        <f ca="1" t="shared" si="17"/>
        <v>69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516</v>
      </c>
      <c r="E185" s="179" t="s">
        <v>517</v>
      </c>
      <c r="F185" s="180"/>
      <c r="G185" s="181"/>
      <c r="H185" s="89" t="s">
        <v>16</v>
      </c>
      <c r="I185" s="118">
        <v>46032</v>
      </c>
      <c r="J185" s="192">
        <v>3</v>
      </c>
      <c r="K185" s="127" t="s">
        <v>518</v>
      </c>
      <c r="L185" s="120">
        <f t="shared" si="16"/>
        <v>46122</v>
      </c>
      <c r="M185" s="121">
        <f ca="1" t="shared" si="17"/>
        <v>69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283</v>
      </c>
      <c r="C186" s="73" t="s">
        <v>13</v>
      </c>
      <c r="D186" s="74" t="s">
        <v>519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 t="s">
        <v>520</v>
      </c>
      <c r="L186" s="120">
        <f t="shared" si="16"/>
        <v>46122</v>
      </c>
      <c r="M186" s="121">
        <f ca="1" t="shared" si="17"/>
        <v>69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442</v>
      </c>
      <c r="C187" s="73" t="s">
        <v>13</v>
      </c>
      <c r="D187" s="74" t="s">
        <v>521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 t="s">
        <v>522</v>
      </c>
      <c r="L187" s="120">
        <f t="shared" si="16"/>
        <v>46122</v>
      </c>
      <c r="M187" s="121">
        <f ca="1" t="shared" si="17"/>
        <v>69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442</v>
      </c>
      <c r="C188" s="73" t="s">
        <v>13</v>
      </c>
      <c r="D188" s="74" t="s">
        <v>523</v>
      </c>
      <c r="E188" s="179" t="s">
        <v>524</v>
      </c>
      <c r="F188" s="180"/>
      <c r="G188" s="181"/>
      <c r="H188" s="83" t="s">
        <v>16</v>
      </c>
      <c r="I188" s="118">
        <v>46032</v>
      </c>
      <c r="J188" s="192">
        <v>3</v>
      </c>
      <c r="K188" s="127" t="s">
        <v>525</v>
      </c>
      <c r="L188" s="120">
        <f t="shared" si="16"/>
        <v>46122</v>
      </c>
      <c r="M188" s="121">
        <f ca="1" t="shared" si="17"/>
        <v>69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526</v>
      </c>
      <c r="C189" s="73" t="s">
        <v>27</v>
      </c>
      <c r="D189" s="74" t="s">
        <v>527</v>
      </c>
      <c r="E189" s="179" t="s">
        <v>528</v>
      </c>
      <c r="F189" s="180"/>
      <c r="G189" s="181"/>
      <c r="H189" s="82"/>
      <c r="I189" s="118">
        <v>46032</v>
      </c>
      <c r="J189" s="192">
        <v>3</v>
      </c>
      <c r="K189" s="127" t="s">
        <v>529</v>
      </c>
      <c r="L189" s="120">
        <f t="shared" si="16"/>
        <v>46122</v>
      </c>
      <c r="M189" s="121">
        <f ca="1" t="shared" si="17"/>
        <v>69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283</v>
      </c>
      <c r="C190" s="73" t="s">
        <v>27</v>
      </c>
      <c r="D190" s="74" t="s">
        <v>530</v>
      </c>
      <c r="E190" s="179" t="s">
        <v>285</v>
      </c>
      <c r="F190" s="180"/>
      <c r="G190" s="181"/>
      <c r="H190" s="82"/>
      <c r="I190" s="118">
        <v>46032</v>
      </c>
      <c r="J190" s="192">
        <v>3</v>
      </c>
      <c r="K190" s="127" t="s">
        <v>531</v>
      </c>
      <c r="L190" s="120">
        <f t="shared" si="16"/>
        <v>46122</v>
      </c>
      <c r="M190" s="121">
        <f ca="1" t="shared" si="17"/>
        <v>69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394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223" t="s">
        <v>472</v>
      </c>
      <c r="J191" s="192"/>
      <c r="K191" s="127"/>
      <c r="L191" s="120" t="e">
        <f t="shared" si="16"/>
        <v>#VALUE!</v>
      </c>
      <c r="M191" s="121" t="e">
        <f ca="1" t="shared" si="17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532</v>
      </c>
      <c r="F192" s="180"/>
      <c r="G192" s="181"/>
      <c r="H192" s="82"/>
      <c r="I192" s="223" t="s">
        <v>472</v>
      </c>
      <c r="J192" s="192"/>
      <c r="K192" s="127"/>
      <c r="L192" s="120" t="e">
        <f t="shared" si="16"/>
        <v>#VALUE!</v>
      </c>
      <c r="M192" s="121" t="e">
        <f ca="1" t="shared" si="17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533</v>
      </c>
      <c r="C193" s="73" t="s">
        <v>158</v>
      </c>
      <c r="D193" s="74" t="s">
        <v>534</v>
      </c>
      <c r="E193" s="179" t="s">
        <v>535</v>
      </c>
      <c r="F193" s="180"/>
      <c r="G193" s="181"/>
      <c r="H193" s="82"/>
      <c r="I193" s="223">
        <v>46032</v>
      </c>
      <c r="J193" s="192">
        <v>3</v>
      </c>
      <c r="K193" s="127" t="s">
        <v>536</v>
      </c>
      <c r="L193" s="120">
        <f t="shared" si="16"/>
        <v>46122</v>
      </c>
      <c r="M193" s="121">
        <f ca="1" t="shared" si="17"/>
        <v>69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537</v>
      </c>
      <c r="C194" s="73" t="s">
        <v>228</v>
      </c>
      <c r="D194" s="74" t="s">
        <v>538</v>
      </c>
      <c r="E194" s="179" t="s">
        <v>539</v>
      </c>
      <c r="F194" s="180"/>
      <c r="G194" s="181"/>
      <c r="H194" s="89" t="s">
        <v>16</v>
      </c>
      <c r="I194" s="223">
        <v>46032</v>
      </c>
      <c r="J194" s="192">
        <v>3</v>
      </c>
      <c r="K194" s="127" t="s">
        <v>540</v>
      </c>
      <c r="L194" s="120">
        <f t="shared" si="16"/>
        <v>46122</v>
      </c>
      <c r="M194" s="121">
        <f ca="1" t="shared" si="17"/>
        <v>69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537</v>
      </c>
      <c r="C195" s="73" t="s">
        <v>228</v>
      </c>
      <c r="D195" s="74" t="s">
        <v>541</v>
      </c>
      <c r="E195" s="179" t="s">
        <v>542</v>
      </c>
      <c r="F195" s="180"/>
      <c r="G195" s="181"/>
      <c r="H195" s="82"/>
      <c r="I195" s="223">
        <v>46032</v>
      </c>
      <c r="J195" s="192">
        <v>3</v>
      </c>
      <c r="K195" s="127" t="s">
        <v>543</v>
      </c>
      <c r="L195" s="120">
        <f t="shared" si="16"/>
        <v>46122</v>
      </c>
      <c r="M195" s="121">
        <f ca="1" t="shared" si="17"/>
        <v>69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544</v>
      </c>
      <c r="C196" s="73" t="s">
        <v>228</v>
      </c>
      <c r="D196" s="74" t="s">
        <v>545</v>
      </c>
      <c r="E196" s="179" t="s">
        <v>546</v>
      </c>
      <c r="F196" s="180"/>
      <c r="G196" s="181"/>
      <c r="H196" s="89" t="s">
        <v>16</v>
      </c>
      <c r="I196" s="223">
        <v>46032</v>
      </c>
      <c r="J196" s="192">
        <v>3</v>
      </c>
      <c r="K196" s="127" t="s">
        <v>547</v>
      </c>
      <c r="L196" s="120">
        <f t="shared" si="16"/>
        <v>46122</v>
      </c>
      <c r="M196" s="121">
        <f ca="1" t="shared" si="17"/>
        <v>69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548</v>
      </c>
      <c r="C197" s="73" t="s">
        <v>228</v>
      </c>
      <c r="D197" s="74" t="s">
        <v>549</v>
      </c>
      <c r="E197" s="179" t="s">
        <v>550</v>
      </c>
      <c r="F197" s="180"/>
      <c r="G197" s="181"/>
      <c r="H197" s="89" t="s">
        <v>16</v>
      </c>
      <c r="I197" s="223">
        <v>46032</v>
      </c>
      <c r="J197" s="192">
        <v>3</v>
      </c>
      <c r="K197" s="127" t="s">
        <v>551</v>
      </c>
      <c r="L197" s="120">
        <f t="shared" si="16"/>
        <v>46122</v>
      </c>
      <c r="M197" s="121">
        <f ca="1" t="shared" si="17"/>
        <v>69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548</v>
      </c>
      <c r="C198" s="73" t="s">
        <v>228</v>
      </c>
      <c r="D198" s="74" t="s">
        <v>552</v>
      </c>
      <c r="E198" s="179" t="s">
        <v>346</v>
      </c>
      <c r="F198" s="180"/>
      <c r="G198" s="181"/>
      <c r="H198" s="89" t="s">
        <v>16</v>
      </c>
      <c r="I198" s="223">
        <v>46032</v>
      </c>
      <c r="J198" s="192">
        <v>3</v>
      </c>
      <c r="K198" s="127" t="s">
        <v>553</v>
      </c>
      <c r="L198" s="120">
        <f t="shared" si="16"/>
        <v>46122</v>
      </c>
      <c r="M198" s="121">
        <f ca="1" t="shared" si="17"/>
        <v>69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554</v>
      </c>
      <c r="E199" s="179" t="s">
        <v>333</v>
      </c>
      <c r="F199" s="180"/>
      <c r="G199" s="181"/>
      <c r="H199" s="89" t="s">
        <v>16</v>
      </c>
      <c r="I199" s="223">
        <v>46032</v>
      </c>
      <c r="J199" s="192">
        <v>3</v>
      </c>
      <c r="K199" s="127" t="s">
        <v>555</v>
      </c>
      <c r="L199" s="120">
        <f t="shared" si="16"/>
        <v>46122</v>
      </c>
      <c r="M199" s="121">
        <f ca="1" t="shared" si="17"/>
        <v>69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556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 t="s">
        <v>557</v>
      </c>
      <c r="L200" s="120">
        <f t="shared" ref="L200:L207" si="18">EDATE(I200,J200)</f>
        <v>46123</v>
      </c>
      <c r="M200" s="121">
        <f ca="1" t="shared" ref="M200:M207" si="19">L200-TODAY()</f>
        <v>70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558</v>
      </c>
      <c r="E201" s="179" t="s">
        <v>559</v>
      </c>
      <c r="F201" s="180"/>
      <c r="G201" s="181"/>
      <c r="H201" s="89" t="s">
        <v>16</v>
      </c>
      <c r="I201" s="223">
        <v>46033</v>
      </c>
      <c r="J201" s="192">
        <v>3</v>
      </c>
      <c r="K201" s="127" t="s">
        <v>560</v>
      </c>
      <c r="L201" s="120">
        <f t="shared" si="18"/>
        <v>46123</v>
      </c>
      <c r="M201" s="121">
        <f ca="1" t="shared" si="19"/>
        <v>70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561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 t="s">
        <v>562</v>
      </c>
      <c r="L202" s="120">
        <f t="shared" si="18"/>
        <v>46123</v>
      </c>
      <c r="M202" s="121">
        <f ca="1" t="shared" si="19"/>
        <v>70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563</v>
      </c>
      <c r="E203" s="179" t="s">
        <v>564</v>
      </c>
      <c r="F203" s="180"/>
      <c r="G203" s="181"/>
      <c r="H203" s="89" t="s">
        <v>16</v>
      </c>
      <c r="I203" s="223">
        <v>46033</v>
      </c>
      <c r="J203" s="192">
        <v>3</v>
      </c>
      <c r="K203" s="127" t="s">
        <v>565</v>
      </c>
      <c r="L203" s="120">
        <f t="shared" si="18"/>
        <v>46123</v>
      </c>
      <c r="M203" s="121">
        <f ca="1" t="shared" si="19"/>
        <v>70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283</v>
      </c>
      <c r="C204" s="73" t="s">
        <v>13</v>
      </c>
      <c r="D204" s="74" t="s">
        <v>566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 t="s">
        <v>567</v>
      </c>
      <c r="L204" s="120">
        <f t="shared" si="18"/>
        <v>46123</v>
      </c>
      <c r="M204" s="121">
        <f ca="1" t="shared" si="19"/>
        <v>70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283</v>
      </c>
      <c r="C205" s="73" t="s">
        <v>13</v>
      </c>
      <c r="D205" s="74" t="s">
        <v>568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 t="s">
        <v>569</v>
      </c>
      <c r="L205" s="120">
        <f t="shared" si="18"/>
        <v>46123</v>
      </c>
      <c r="M205" s="121">
        <f ca="1" t="shared" si="19"/>
        <v>70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442</v>
      </c>
      <c r="C206" s="73" t="s">
        <v>27</v>
      </c>
      <c r="D206" s="74" t="s">
        <v>570</v>
      </c>
      <c r="E206" s="179" t="s">
        <v>317</v>
      </c>
      <c r="F206" s="180"/>
      <c r="G206" s="181"/>
      <c r="H206" s="83" t="s">
        <v>16</v>
      </c>
      <c r="I206" s="223">
        <v>46033</v>
      </c>
      <c r="J206" s="192">
        <v>3</v>
      </c>
      <c r="K206" s="127" t="s">
        <v>571</v>
      </c>
      <c r="L206" s="120">
        <f t="shared" si="18"/>
        <v>46123</v>
      </c>
      <c r="M206" s="121">
        <f ca="1" t="shared" si="19"/>
        <v>70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442</v>
      </c>
      <c r="C207" s="73" t="s">
        <v>27</v>
      </c>
      <c r="D207" s="74" t="s">
        <v>572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 t="s">
        <v>573</v>
      </c>
      <c r="L207" s="120">
        <f t="shared" si="18"/>
        <v>46123</v>
      </c>
      <c r="M207" s="121">
        <f ca="1" t="shared" si="19"/>
        <v>70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574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 t="s">
        <v>575</v>
      </c>
      <c r="L208" s="120">
        <f t="shared" ref="L208:L223" si="20">EDATE(I208,J208)</f>
        <v>46124</v>
      </c>
      <c r="M208" s="121">
        <f ca="1" t="shared" ref="M208:M223" si="21">L208-TODAY()</f>
        <v>71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576</v>
      </c>
      <c r="E209" s="179" t="s">
        <v>577</v>
      </c>
      <c r="F209" s="180"/>
      <c r="G209" s="181"/>
      <c r="H209" s="83" t="s">
        <v>16</v>
      </c>
      <c r="I209" s="223">
        <v>46034</v>
      </c>
      <c r="J209" s="192">
        <v>3</v>
      </c>
      <c r="K209" s="127" t="s">
        <v>578</v>
      </c>
      <c r="L209" s="120">
        <f t="shared" si="20"/>
        <v>46124</v>
      </c>
      <c r="M209" s="121">
        <f ca="1" t="shared" si="21"/>
        <v>71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579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 t="s">
        <v>580</v>
      </c>
      <c r="L210" s="120">
        <f t="shared" si="20"/>
        <v>46124</v>
      </c>
      <c r="M210" s="121">
        <f ca="1" t="shared" si="21"/>
        <v>71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581</v>
      </c>
      <c r="E211" s="179" t="s">
        <v>524</v>
      </c>
      <c r="F211" s="180"/>
      <c r="G211" s="181"/>
      <c r="H211" s="83" t="s">
        <v>16</v>
      </c>
      <c r="I211" s="223">
        <v>46034</v>
      </c>
      <c r="J211" s="192">
        <v>3</v>
      </c>
      <c r="K211" s="127" t="s">
        <v>582</v>
      </c>
      <c r="L211" s="120">
        <f t="shared" si="20"/>
        <v>46124</v>
      </c>
      <c r="M211" s="121">
        <f ca="1" t="shared" si="21"/>
        <v>71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583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 t="s">
        <v>584</v>
      </c>
      <c r="L212" s="120">
        <f t="shared" si="20"/>
        <v>46124</v>
      </c>
      <c r="M212" s="121">
        <f ca="1" t="shared" si="21"/>
        <v>71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585</v>
      </c>
      <c r="E213" s="179" t="s">
        <v>586</v>
      </c>
      <c r="F213" s="180"/>
      <c r="G213" s="181"/>
      <c r="H213" s="204"/>
      <c r="I213" s="223">
        <v>46034</v>
      </c>
      <c r="J213" s="192">
        <v>3</v>
      </c>
      <c r="K213" s="127" t="s">
        <v>587</v>
      </c>
      <c r="L213" s="120">
        <f t="shared" si="20"/>
        <v>46124</v>
      </c>
      <c r="M213" s="121">
        <f ca="1" t="shared" si="21"/>
        <v>71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 t="s">
        <v>588</v>
      </c>
      <c r="L214" s="120">
        <f t="shared" si="20"/>
        <v>46124</v>
      </c>
      <c r="M214" s="121">
        <f ca="1" t="shared" si="21"/>
        <v>71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589</v>
      </c>
      <c r="E215" s="179" t="s">
        <v>470</v>
      </c>
      <c r="F215" s="180"/>
      <c r="G215" s="181"/>
      <c r="H215" s="204"/>
      <c r="I215" s="223">
        <v>46034</v>
      </c>
      <c r="J215" s="192">
        <v>3</v>
      </c>
      <c r="K215" s="127" t="s">
        <v>590</v>
      </c>
      <c r="L215" s="120">
        <f t="shared" si="20"/>
        <v>46124</v>
      </c>
      <c r="M215" s="121">
        <f ca="1" t="shared" si="21"/>
        <v>71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 t="s">
        <v>472</v>
      </c>
      <c r="J216" s="192"/>
      <c r="K216" s="127"/>
      <c r="L216" s="120" t="e">
        <f t="shared" si="20"/>
        <v>#VALUE!</v>
      </c>
      <c r="M216" s="121" t="e">
        <f ca="1" t="shared" si="21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591</v>
      </c>
      <c r="E217" s="79" t="s">
        <v>467</v>
      </c>
      <c r="F217" s="80"/>
      <c r="G217" s="81"/>
      <c r="H217" s="204"/>
      <c r="I217" s="223">
        <v>46034</v>
      </c>
      <c r="J217" s="192">
        <v>3</v>
      </c>
      <c r="K217" s="127" t="s">
        <v>592</v>
      </c>
      <c r="L217" s="120">
        <f t="shared" si="20"/>
        <v>46124</v>
      </c>
      <c r="M217" s="121">
        <f ca="1" t="shared" si="21"/>
        <v>71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593</v>
      </c>
      <c r="C218" s="73" t="s">
        <v>13</v>
      </c>
      <c r="D218" s="74" t="s">
        <v>594</v>
      </c>
      <c r="E218" s="79" t="s">
        <v>15</v>
      </c>
      <c r="F218" s="80"/>
      <c r="G218" s="81"/>
      <c r="H218" s="82"/>
      <c r="I218" s="223">
        <v>46034</v>
      </c>
      <c r="J218" s="192">
        <v>3</v>
      </c>
      <c r="K218" s="127" t="s">
        <v>595</v>
      </c>
      <c r="L218" s="120">
        <f t="shared" si="20"/>
        <v>46124</v>
      </c>
      <c r="M218" s="121">
        <f ca="1" t="shared" si="21"/>
        <v>71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593</v>
      </c>
      <c r="C219" s="73" t="s">
        <v>13</v>
      </c>
      <c r="D219" s="74" t="s">
        <v>596</v>
      </c>
      <c r="E219" s="79" t="s">
        <v>597</v>
      </c>
      <c r="F219" s="80"/>
      <c r="G219" s="81"/>
      <c r="H219" s="82"/>
      <c r="I219" s="223">
        <v>46034</v>
      </c>
      <c r="J219" s="192">
        <v>3</v>
      </c>
      <c r="K219" s="127" t="s">
        <v>598</v>
      </c>
      <c r="L219" s="120">
        <f t="shared" si="20"/>
        <v>46124</v>
      </c>
      <c r="M219" s="121">
        <f ca="1" t="shared" si="21"/>
        <v>71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599</v>
      </c>
      <c r="E220" s="79" t="s">
        <v>333</v>
      </c>
      <c r="F220" s="80"/>
      <c r="G220" s="81"/>
      <c r="H220" s="78" t="s">
        <v>16</v>
      </c>
      <c r="I220" s="223">
        <v>46034</v>
      </c>
      <c r="J220" s="192">
        <v>3</v>
      </c>
      <c r="K220" s="127" t="s">
        <v>600</v>
      </c>
      <c r="L220" s="120">
        <f t="shared" si="20"/>
        <v>46124</v>
      </c>
      <c r="M220" s="121">
        <f ca="1" t="shared" si="21"/>
        <v>71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601</v>
      </c>
      <c r="E221" s="79" t="s">
        <v>333</v>
      </c>
      <c r="F221" s="80"/>
      <c r="G221" s="81"/>
      <c r="H221" s="78" t="s">
        <v>16</v>
      </c>
      <c r="I221" s="223">
        <v>46034</v>
      </c>
      <c r="J221" s="192">
        <v>3</v>
      </c>
      <c r="K221" s="127" t="s">
        <v>602</v>
      </c>
      <c r="L221" s="120">
        <f t="shared" si="20"/>
        <v>46124</v>
      </c>
      <c r="M221" s="121">
        <f ca="1" t="shared" si="21"/>
        <v>71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603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7" t="s">
        <v>604</v>
      </c>
      <c r="L222" s="120">
        <f t="shared" si="20"/>
        <v>46124</v>
      </c>
      <c r="M222" s="121">
        <f ca="1" t="shared" si="21"/>
        <v>71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605</v>
      </c>
      <c r="E223" s="79" t="s">
        <v>346</v>
      </c>
      <c r="F223" s="80"/>
      <c r="G223" s="81"/>
      <c r="H223" s="78" t="s">
        <v>16</v>
      </c>
      <c r="I223" s="223">
        <v>46034</v>
      </c>
      <c r="J223" s="192">
        <v>3</v>
      </c>
      <c r="K223" s="127" t="s">
        <v>606</v>
      </c>
      <c r="L223" s="120">
        <f t="shared" si="20"/>
        <v>46124</v>
      </c>
      <c r="M223" s="121">
        <f ca="1" t="shared" si="21"/>
        <v>71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607</v>
      </c>
      <c r="E224" s="79" t="s">
        <v>608</v>
      </c>
      <c r="F224" s="80"/>
      <c r="G224" s="81"/>
      <c r="H224" s="130" t="s">
        <v>16</v>
      </c>
      <c r="I224" s="223">
        <v>46035</v>
      </c>
      <c r="J224" s="192">
        <v>3</v>
      </c>
      <c r="K224" s="122" t="s">
        <v>609</v>
      </c>
      <c r="L224" s="120">
        <f t="shared" ref="L224:L237" si="22">EDATE(I224,J224)</f>
        <v>46125</v>
      </c>
      <c r="M224" s="121">
        <f ca="1" t="shared" ref="M224:M237" si="23">L224-TODAY()</f>
        <v>72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610</v>
      </c>
      <c r="E225" s="79" t="s">
        <v>608</v>
      </c>
      <c r="F225" s="80"/>
      <c r="G225" s="81"/>
      <c r="H225" s="130" t="s">
        <v>16</v>
      </c>
      <c r="I225" s="223">
        <v>46035</v>
      </c>
      <c r="J225" s="192">
        <v>3</v>
      </c>
      <c r="K225" s="122" t="s">
        <v>611</v>
      </c>
      <c r="L225" s="120">
        <f t="shared" si="22"/>
        <v>46125</v>
      </c>
      <c r="M225" s="121">
        <f ca="1" t="shared" si="23"/>
        <v>72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612</v>
      </c>
      <c r="E226" s="79" t="s">
        <v>608</v>
      </c>
      <c r="F226" s="80"/>
      <c r="G226" s="81"/>
      <c r="H226" s="130" t="s">
        <v>16</v>
      </c>
      <c r="I226" s="223">
        <v>46035</v>
      </c>
      <c r="J226" s="192">
        <v>3</v>
      </c>
      <c r="K226" s="122" t="s">
        <v>613</v>
      </c>
      <c r="L226" s="120">
        <f t="shared" si="22"/>
        <v>46125</v>
      </c>
      <c r="M226" s="121">
        <f ca="1" t="shared" si="23"/>
        <v>72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614</v>
      </c>
      <c r="E227" s="79" t="s">
        <v>615</v>
      </c>
      <c r="F227" s="80"/>
      <c r="G227" s="81"/>
      <c r="H227" s="130" t="s">
        <v>16</v>
      </c>
      <c r="I227" s="223">
        <v>46035</v>
      </c>
      <c r="J227" s="192">
        <v>3</v>
      </c>
      <c r="K227" s="122" t="s">
        <v>616</v>
      </c>
      <c r="L227" s="120">
        <f t="shared" si="22"/>
        <v>46125</v>
      </c>
      <c r="M227" s="121">
        <f ca="1" t="shared" si="23"/>
        <v>72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442</v>
      </c>
      <c r="C228" s="73" t="s">
        <v>27</v>
      </c>
      <c r="D228" s="74" t="s">
        <v>617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 t="s">
        <v>618</v>
      </c>
      <c r="L228" s="120">
        <f t="shared" si="22"/>
        <v>46125</v>
      </c>
      <c r="M228" s="121">
        <f ca="1" t="shared" si="23"/>
        <v>72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442</v>
      </c>
      <c r="C229" s="73" t="s">
        <v>228</v>
      </c>
      <c r="D229" s="74" t="s">
        <v>619</v>
      </c>
      <c r="E229" s="79" t="s">
        <v>333</v>
      </c>
      <c r="F229" s="80"/>
      <c r="G229" s="81"/>
      <c r="H229" s="130" t="s">
        <v>16</v>
      </c>
      <c r="I229" s="223">
        <v>46035</v>
      </c>
      <c r="J229" s="192">
        <v>3</v>
      </c>
      <c r="K229" s="122" t="s">
        <v>620</v>
      </c>
      <c r="L229" s="120">
        <f t="shared" si="22"/>
        <v>46125</v>
      </c>
      <c r="M229" s="121">
        <f ca="1" t="shared" si="23"/>
        <v>72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442</v>
      </c>
      <c r="C230" s="73" t="s">
        <v>27</v>
      </c>
      <c r="D230" s="74" t="s">
        <v>621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 t="s">
        <v>622</v>
      </c>
      <c r="L230" s="120">
        <f t="shared" si="22"/>
        <v>46125</v>
      </c>
      <c r="M230" s="121">
        <f ca="1" t="shared" si="23"/>
        <v>72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442</v>
      </c>
      <c r="C231" s="73" t="s">
        <v>13</v>
      </c>
      <c r="D231" s="74" t="s">
        <v>623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 t="s">
        <v>624</v>
      </c>
      <c r="L231" s="120">
        <f t="shared" si="22"/>
        <v>46125</v>
      </c>
      <c r="M231" s="121">
        <f ca="1" t="shared" si="23"/>
        <v>72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442</v>
      </c>
      <c r="C232" s="73" t="s">
        <v>27</v>
      </c>
      <c r="D232" s="74" t="s">
        <v>625</v>
      </c>
      <c r="E232" s="79" t="s">
        <v>626</v>
      </c>
      <c r="F232" s="80"/>
      <c r="G232" s="81"/>
      <c r="H232" s="130" t="s">
        <v>16</v>
      </c>
      <c r="I232" s="223">
        <v>46035</v>
      </c>
      <c r="J232" s="192">
        <v>3</v>
      </c>
      <c r="K232" s="122" t="s">
        <v>627</v>
      </c>
      <c r="L232" s="120">
        <f t="shared" si="22"/>
        <v>46125</v>
      </c>
      <c r="M232" s="121">
        <f ca="1" t="shared" si="23"/>
        <v>72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442</v>
      </c>
      <c r="C233" s="73" t="s">
        <v>13</v>
      </c>
      <c r="D233" s="74" t="s">
        <v>628</v>
      </c>
      <c r="E233" s="79" t="s">
        <v>311</v>
      </c>
      <c r="F233" s="80"/>
      <c r="G233" s="81"/>
      <c r="H233" s="130" t="s">
        <v>16</v>
      </c>
      <c r="I233" s="223">
        <v>46035</v>
      </c>
      <c r="J233" s="192">
        <v>3</v>
      </c>
      <c r="K233" s="122" t="s">
        <v>629</v>
      </c>
      <c r="L233" s="120">
        <f t="shared" si="22"/>
        <v>46125</v>
      </c>
      <c r="M233" s="121">
        <f ca="1" t="shared" si="23"/>
        <v>72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394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 t="s">
        <v>472</v>
      </c>
      <c r="J234" s="192"/>
      <c r="K234" s="122"/>
      <c r="L234" s="120" t="e">
        <f t="shared" si="22"/>
        <v>#VALUE!</v>
      </c>
      <c r="M234" s="121" t="e">
        <f ca="1" t="shared" si="23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630</v>
      </c>
      <c r="C235" s="73" t="s">
        <v>228</v>
      </c>
      <c r="D235" s="74" t="s">
        <v>631</v>
      </c>
      <c r="E235" s="79" t="s">
        <v>632</v>
      </c>
      <c r="F235" s="80"/>
      <c r="G235" s="81"/>
      <c r="H235" s="130" t="s">
        <v>16</v>
      </c>
      <c r="I235" s="223">
        <v>46035</v>
      </c>
      <c r="J235" s="192">
        <v>3</v>
      </c>
      <c r="K235" s="122" t="s">
        <v>633</v>
      </c>
      <c r="L235" s="120">
        <f t="shared" si="22"/>
        <v>46125</v>
      </c>
      <c r="M235" s="121">
        <f ca="1" t="shared" si="23"/>
        <v>72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630</v>
      </c>
      <c r="C236" s="73" t="s">
        <v>228</v>
      </c>
      <c r="D236" s="74" t="s">
        <v>634</v>
      </c>
      <c r="E236" s="79" t="s">
        <v>632</v>
      </c>
      <c r="F236" s="80"/>
      <c r="G236" s="81"/>
      <c r="H236" s="130" t="s">
        <v>16</v>
      </c>
      <c r="I236" s="223">
        <v>46035</v>
      </c>
      <c r="J236" s="192">
        <v>3</v>
      </c>
      <c r="K236" s="122" t="s">
        <v>635</v>
      </c>
      <c r="L236" s="120">
        <f t="shared" si="22"/>
        <v>46125</v>
      </c>
      <c r="M236" s="121">
        <f ca="1" t="shared" si="23"/>
        <v>72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636</v>
      </c>
      <c r="C237" s="73" t="s">
        <v>228</v>
      </c>
      <c r="D237" s="74" t="s">
        <v>637</v>
      </c>
      <c r="E237" s="79" t="s">
        <v>638</v>
      </c>
      <c r="F237" s="80"/>
      <c r="G237" s="81"/>
      <c r="H237" s="204"/>
      <c r="I237" s="223">
        <v>46035</v>
      </c>
      <c r="J237" s="192">
        <v>3</v>
      </c>
      <c r="K237" s="122" t="s">
        <v>639</v>
      </c>
      <c r="L237" s="120">
        <f t="shared" si="22"/>
        <v>46125</v>
      </c>
      <c r="M237" s="121">
        <f ca="1" t="shared" si="23"/>
        <v>72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420</v>
      </c>
      <c r="C238" s="73" t="s">
        <v>13</v>
      </c>
      <c r="D238" s="74" t="s">
        <v>640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 t="s">
        <v>641</v>
      </c>
      <c r="L238" s="120">
        <f t="shared" ref="L238:L266" si="24">EDATE(I238,J238)</f>
        <v>46126</v>
      </c>
      <c r="M238" s="121">
        <f ca="1" t="shared" ref="M238:M266" si="25">L238-TODAY()</f>
        <v>73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420</v>
      </c>
      <c r="C239" s="73" t="s">
        <v>27</v>
      </c>
      <c r="D239" s="74" t="s">
        <v>642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 t="s">
        <v>643</v>
      </c>
      <c r="L239" s="120">
        <f t="shared" si="24"/>
        <v>46126</v>
      </c>
      <c r="M239" s="121">
        <f ca="1" t="shared" si="25"/>
        <v>73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420</v>
      </c>
      <c r="C240" s="73" t="s">
        <v>27</v>
      </c>
      <c r="D240" s="74" t="s">
        <v>644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 t="s">
        <v>645</v>
      </c>
      <c r="L240" s="120">
        <f t="shared" si="24"/>
        <v>46126</v>
      </c>
      <c r="M240" s="121">
        <f ca="1" t="shared" si="25"/>
        <v>73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420</v>
      </c>
      <c r="C241" s="73" t="s">
        <v>13</v>
      </c>
      <c r="D241" s="74" t="s">
        <v>646</v>
      </c>
      <c r="E241" s="79" t="s">
        <v>647</v>
      </c>
      <c r="F241" s="80"/>
      <c r="G241" s="81"/>
      <c r="H241" s="130" t="s">
        <v>16</v>
      </c>
      <c r="I241" s="223">
        <v>46036</v>
      </c>
      <c r="J241" s="192">
        <v>3</v>
      </c>
      <c r="K241" s="122" t="s">
        <v>648</v>
      </c>
      <c r="L241" s="120">
        <f t="shared" si="24"/>
        <v>46126</v>
      </c>
      <c r="M241" s="121">
        <f ca="1" t="shared" si="25"/>
        <v>73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420</v>
      </c>
      <c r="C242" s="73" t="s">
        <v>13</v>
      </c>
      <c r="D242" s="74" t="s">
        <v>649</v>
      </c>
      <c r="E242" s="79" t="s">
        <v>650</v>
      </c>
      <c r="F242" s="80"/>
      <c r="G242" s="81"/>
      <c r="H242" s="130" t="s">
        <v>16</v>
      </c>
      <c r="I242" s="223">
        <v>46036</v>
      </c>
      <c r="J242" s="192">
        <v>3</v>
      </c>
      <c r="K242" s="122" t="s">
        <v>651</v>
      </c>
      <c r="L242" s="120">
        <f t="shared" si="24"/>
        <v>46126</v>
      </c>
      <c r="M242" s="121">
        <f ca="1" t="shared" si="25"/>
        <v>73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420</v>
      </c>
      <c r="C243" s="73" t="s">
        <v>13</v>
      </c>
      <c r="D243" s="94" t="s">
        <v>652</v>
      </c>
      <c r="E243" s="79" t="s">
        <v>371</v>
      </c>
      <c r="F243" s="80"/>
      <c r="G243" s="81"/>
      <c r="H243" s="130" t="s">
        <v>16</v>
      </c>
      <c r="I243" s="223">
        <v>46036</v>
      </c>
      <c r="J243" s="192">
        <v>3</v>
      </c>
      <c r="K243" s="122" t="s">
        <v>653</v>
      </c>
      <c r="L243" s="120">
        <f t="shared" si="24"/>
        <v>46126</v>
      </c>
      <c r="M243" s="121">
        <f ca="1" t="shared" si="25"/>
        <v>73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420</v>
      </c>
      <c r="C244" s="73" t="s">
        <v>27</v>
      </c>
      <c r="D244" s="74" t="s">
        <v>654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 t="s">
        <v>655</v>
      </c>
      <c r="L244" s="120">
        <f t="shared" si="24"/>
        <v>46126</v>
      </c>
      <c r="M244" s="121">
        <f ca="1" t="shared" si="25"/>
        <v>73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420</v>
      </c>
      <c r="C245" s="73" t="s">
        <v>27</v>
      </c>
      <c r="D245" s="74" t="s">
        <v>656</v>
      </c>
      <c r="E245" s="79" t="s">
        <v>363</v>
      </c>
      <c r="F245" s="80"/>
      <c r="G245" s="81"/>
      <c r="H245" s="130" t="s">
        <v>16</v>
      </c>
      <c r="I245" s="223">
        <v>46036</v>
      </c>
      <c r="J245" s="192">
        <v>3</v>
      </c>
      <c r="K245" s="122" t="s">
        <v>657</v>
      </c>
      <c r="L245" s="120">
        <f t="shared" si="24"/>
        <v>46126</v>
      </c>
      <c r="M245" s="121">
        <f ca="1" t="shared" si="25"/>
        <v>73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420</v>
      </c>
      <c r="C246" s="73" t="s">
        <v>27</v>
      </c>
      <c r="D246" s="74" t="s">
        <v>658</v>
      </c>
      <c r="E246" s="79" t="s">
        <v>659</v>
      </c>
      <c r="F246" s="80"/>
      <c r="G246" s="81"/>
      <c r="H246" s="130" t="s">
        <v>16</v>
      </c>
      <c r="I246" s="223">
        <v>46036</v>
      </c>
      <c r="J246" s="192">
        <v>3</v>
      </c>
      <c r="K246" s="122" t="s">
        <v>660</v>
      </c>
      <c r="L246" s="120">
        <f t="shared" si="24"/>
        <v>46126</v>
      </c>
      <c r="M246" s="121">
        <f ca="1" t="shared" si="25"/>
        <v>73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420</v>
      </c>
      <c r="C247" s="73" t="s">
        <v>13</v>
      </c>
      <c r="D247" s="74" t="s">
        <v>661</v>
      </c>
      <c r="E247" s="79" t="s">
        <v>662</v>
      </c>
      <c r="F247" s="80"/>
      <c r="G247" s="81"/>
      <c r="H247" s="130" t="s">
        <v>16</v>
      </c>
      <c r="I247" s="223">
        <v>46036</v>
      </c>
      <c r="J247" s="192">
        <v>3</v>
      </c>
      <c r="K247" s="122" t="s">
        <v>663</v>
      </c>
      <c r="L247" s="120">
        <f t="shared" si="24"/>
        <v>46126</v>
      </c>
      <c r="M247" s="121">
        <f ca="1" t="shared" si="25"/>
        <v>73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420</v>
      </c>
      <c r="C248" s="73" t="s">
        <v>13</v>
      </c>
      <c r="D248" s="74" t="s">
        <v>664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 t="s">
        <v>665</v>
      </c>
      <c r="L248" s="120">
        <f t="shared" si="24"/>
        <v>46126</v>
      </c>
      <c r="M248" s="121">
        <f ca="1" t="shared" si="25"/>
        <v>73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420</v>
      </c>
      <c r="C249" s="73" t="s">
        <v>27</v>
      </c>
      <c r="D249" s="74" t="s">
        <v>666</v>
      </c>
      <c r="E249" s="79" t="s">
        <v>360</v>
      </c>
      <c r="F249" s="80"/>
      <c r="G249" s="81"/>
      <c r="H249" s="204"/>
      <c r="I249" s="223">
        <v>46036</v>
      </c>
      <c r="J249" s="192">
        <v>3</v>
      </c>
      <c r="K249" s="122" t="s">
        <v>667</v>
      </c>
      <c r="L249" s="120">
        <f t="shared" si="24"/>
        <v>46126</v>
      </c>
      <c r="M249" s="121">
        <f ca="1" t="shared" si="25"/>
        <v>73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420</v>
      </c>
      <c r="C250" s="73" t="s">
        <v>27</v>
      </c>
      <c r="D250" s="74" t="s">
        <v>668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 t="s">
        <v>669</v>
      </c>
      <c r="L250" s="120">
        <f t="shared" si="24"/>
        <v>46126</v>
      </c>
      <c r="M250" s="121">
        <f ca="1" t="shared" si="25"/>
        <v>73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670</v>
      </c>
      <c r="E251" s="79" t="s">
        <v>671</v>
      </c>
      <c r="F251" s="80"/>
      <c r="G251" s="81"/>
      <c r="H251" s="78" t="s">
        <v>16</v>
      </c>
      <c r="I251" s="223">
        <v>46036</v>
      </c>
      <c r="J251" s="192">
        <v>3</v>
      </c>
      <c r="K251" s="122" t="s">
        <v>672</v>
      </c>
      <c r="L251" s="120">
        <f t="shared" si="24"/>
        <v>46126</v>
      </c>
      <c r="M251" s="121">
        <f ca="1" t="shared" si="25"/>
        <v>73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673</v>
      </c>
      <c r="E252" s="79" t="s">
        <v>674</v>
      </c>
      <c r="F252" s="80"/>
      <c r="G252" s="81"/>
      <c r="H252" s="78" t="s">
        <v>16</v>
      </c>
      <c r="I252" s="223">
        <v>46036</v>
      </c>
      <c r="J252" s="192">
        <v>3</v>
      </c>
      <c r="K252" s="122" t="s">
        <v>675</v>
      </c>
      <c r="L252" s="120">
        <f t="shared" si="24"/>
        <v>46126</v>
      </c>
      <c r="M252" s="121">
        <f ca="1" t="shared" si="25"/>
        <v>73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676</v>
      </c>
      <c r="E253" s="79" t="s">
        <v>577</v>
      </c>
      <c r="F253" s="80"/>
      <c r="G253" s="81"/>
      <c r="H253" s="78" t="s">
        <v>16</v>
      </c>
      <c r="I253" s="223">
        <v>46036</v>
      </c>
      <c r="J253" s="192">
        <v>3</v>
      </c>
      <c r="K253" s="122" t="s">
        <v>677</v>
      </c>
      <c r="L253" s="120">
        <f t="shared" si="24"/>
        <v>46126</v>
      </c>
      <c r="M253" s="121">
        <f ca="1" t="shared" si="25"/>
        <v>73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678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 t="s">
        <v>679</v>
      </c>
      <c r="L254" s="120">
        <f t="shared" si="24"/>
        <v>46126</v>
      </c>
      <c r="M254" s="121">
        <f ca="1" t="shared" si="25"/>
        <v>73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680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 t="s">
        <v>681</v>
      </c>
      <c r="L255" s="120">
        <f t="shared" si="24"/>
        <v>46126</v>
      </c>
      <c r="M255" s="121">
        <f ca="1" t="shared" si="25"/>
        <v>73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ht="27" customHeight="1" spans="1:52">
      <c r="A256" s="73">
        <v>254</v>
      </c>
      <c r="B256" s="73" t="s">
        <v>140</v>
      </c>
      <c r="C256" s="73" t="s">
        <v>13</v>
      </c>
      <c r="D256" s="74" t="s">
        <v>682</v>
      </c>
      <c r="E256" s="79" t="s">
        <v>507</v>
      </c>
      <c r="F256" s="80"/>
      <c r="G256" s="81"/>
      <c r="H256" s="130" t="s">
        <v>16</v>
      </c>
      <c r="I256" s="223">
        <v>46036</v>
      </c>
      <c r="J256" s="192">
        <v>3</v>
      </c>
      <c r="K256" s="122" t="s">
        <v>683</v>
      </c>
      <c r="L256" s="120">
        <f t="shared" si="24"/>
        <v>46126</v>
      </c>
      <c r="M256" s="121">
        <f ca="1" t="shared" si="25"/>
        <v>73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684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 t="s">
        <v>685</v>
      </c>
      <c r="L257" s="120">
        <f t="shared" si="24"/>
        <v>46126</v>
      </c>
      <c r="M257" s="121">
        <f ca="1" t="shared" si="25"/>
        <v>73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686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 t="s">
        <v>687</v>
      </c>
      <c r="L258" s="120">
        <f t="shared" si="24"/>
        <v>46126</v>
      </c>
      <c r="M258" s="121">
        <f ca="1" t="shared" si="25"/>
        <v>73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688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 t="s">
        <v>689</v>
      </c>
      <c r="L259" s="120">
        <f t="shared" si="24"/>
        <v>46126</v>
      </c>
      <c r="M259" s="121">
        <f ca="1" t="shared" si="25"/>
        <v>73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690</v>
      </c>
      <c r="E260" s="79" t="s">
        <v>691</v>
      </c>
      <c r="F260" s="80"/>
      <c r="G260" s="81"/>
      <c r="H260" s="89" t="s">
        <v>16</v>
      </c>
      <c r="I260" s="223">
        <v>46036</v>
      </c>
      <c r="J260" s="192">
        <v>3</v>
      </c>
      <c r="K260" s="122" t="s">
        <v>692</v>
      </c>
      <c r="L260" s="120">
        <f t="shared" si="24"/>
        <v>46126</v>
      </c>
      <c r="M260" s="121">
        <f ca="1" t="shared" si="25"/>
        <v>73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693</v>
      </c>
      <c r="E261" s="79" t="s">
        <v>694</v>
      </c>
      <c r="F261" s="80"/>
      <c r="G261" s="81"/>
      <c r="H261" s="89" t="s">
        <v>16</v>
      </c>
      <c r="I261" s="223">
        <v>46036</v>
      </c>
      <c r="J261" s="192">
        <v>3</v>
      </c>
      <c r="K261" s="122" t="s">
        <v>695</v>
      </c>
      <c r="L261" s="120">
        <f t="shared" si="24"/>
        <v>46126</v>
      </c>
      <c r="M261" s="121">
        <f ca="1" t="shared" si="25"/>
        <v>73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696</v>
      </c>
      <c r="E262" s="79" t="s">
        <v>507</v>
      </c>
      <c r="F262" s="80"/>
      <c r="G262" s="81"/>
      <c r="H262" s="89" t="s">
        <v>16</v>
      </c>
      <c r="I262" s="223">
        <v>46036</v>
      </c>
      <c r="J262" s="192">
        <v>3</v>
      </c>
      <c r="K262" s="122" t="s">
        <v>697</v>
      </c>
      <c r="L262" s="120">
        <f t="shared" si="24"/>
        <v>46126</v>
      </c>
      <c r="M262" s="121">
        <f ca="1" t="shared" si="25"/>
        <v>73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698</v>
      </c>
      <c r="E263" s="79" t="s">
        <v>371</v>
      </c>
      <c r="F263" s="80"/>
      <c r="G263" s="81"/>
      <c r="H263" s="82"/>
      <c r="I263" s="223">
        <v>46036</v>
      </c>
      <c r="J263" s="192">
        <v>3</v>
      </c>
      <c r="K263" s="122" t="s">
        <v>699</v>
      </c>
      <c r="L263" s="120">
        <f t="shared" si="24"/>
        <v>46126</v>
      </c>
      <c r="M263" s="121">
        <f ca="1" t="shared" si="25"/>
        <v>73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700</v>
      </c>
      <c r="C264" s="73" t="s">
        <v>13</v>
      </c>
      <c r="D264" s="74" t="s">
        <v>701</v>
      </c>
      <c r="E264" s="79" t="s">
        <v>702</v>
      </c>
      <c r="F264" s="80"/>
      <c r="G264" s="81"/>
      <c r="H264" s="89" t="s">
        <v>16</v>
      </c>
      <c r="I264" s="223">
        <v>46036</v>
      </c>
      <c r="J264" s="192">
        <v>3</v>
      </c>
      <c r="K264" s="122" t="s">
        <v>703</v>
      </c>
      <c r="L264" s="120">
        <f t="shared" si="24"/>
        <v>46126</v>
      </c>
      <c r="M264" s="121">
        <f ca="1" t="shared" si="25"/>
        <v>73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700</v>
      </c>
      <c r="C265" s="73" t="s">
        <v>13</v>
      </c>
      <c r="D265" s="74" t="s">
        <v>704</v>
      </c>
      <c r="E265" s="79" t="s">
        <v>705</v>
      </c>
      <c r="F265" s="80"/>
      <c r="G265" s="81"/>
      <c r="H265" s="89" t="s">
        <v>16</v>
      </c>
      <c r="I265" s="223">
        <v>46036</v>
      </c>
      <c r="J265" s="192">
        <v>3</v>
      </c>
      <c r="K265" s="122" t="s">
        <v>706</v>
      </c>
      <c r="L265" s="120">
        <f t="shared" si="24"/>
        <v>46126</v>
      </c>
      <c r="M265" s="121">
        <f ca="1" t="shared" si="25"/>
        <v>73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707</v>
      </c>
      <c r="C266" s="73" t="s">
        <v>228</v>
      </c>
      <c r="D266" s="74" t="s">
        <v>708</v>
      </c>
      <c r="E266" s="79" t="s">
        <v>709</v>
      </c>
      <c r="F266" s="80"/>
      <c r="G266" s="81"/>
      <c r="H266" s="89" t="s">
        <v>16</v>
      </c>
      <c r="I266" s="223">
        <v>46036</v>
      </c>
      <c r="J266" s="192">
        <v>3</v>
      </c>
      <c r="K266" s="122" t="s">
        <v>710</v>
      </c>
      <c r="L266" s="120">
        <f t="shared" si="24"/>
        <v>46126</v>
      </c>
      <c r="M266" s="121">
        <f ca="1" t="shared" si="25"/>
        <v>73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711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 t="s">
        <v>712</v>
      </c>
      <c r="L267" s="120">
        <f t="shared" ref="L267:L291" si="26">EDATE(I267,J267)</f>
        <v>46126</v>
      </c>
      <c r="M267" s="121">
        <f ca="1" t="shared" ref="M267:M291" si="27">L267-TODAY()</f>
        <v>73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713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 t="s">
        <v>714</v>
      </c>
      <c r="L268" s="120">
        <f t="shared" si="26"/>
        <v>46127</v>
      </c>
      <c r="M268" s="121">
        <f ca="1" t="shared" si="27"/>
        <v>74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715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 t="s">
        <v>716</v>
      </c>
      <c r="L269" s="120">
        <f t="shared" si="26"/>
        <v>46127</v>
      </c>
      <c r="M269" s="121">
        <f ca="1" t="shared" si="27"/>
        <v>74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717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 t="s">
        <v>718</v>
      </c>
      <c r="L270" s="120">
        <f t="shared" si="26"/>
        <v>46127</v>
      </c>
      <c r="M270" s="121">
        <f ca="1" t="shared" si="27"/>
        <v>74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719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 t="s">
        <v>720</v>
      </c>
      <c r="L271" s="120">
        <f t="shared" si="26"/>
        <v>46127</v>
      </c>
      <c r="M271" s="121">
        <f ca="1" t="shared" si="27"/>
        <v>74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721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 t="s">
        <v>722</v>
      </c>
      <c r="L272" s="120">
        <f t="shared" si="26"/>
        <v>46127</v>
      </c>
      <c r="M272" s="121">
        <f ca="1" t="shared" si="27"/>
        <v>74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723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 t="s">
        <v>724</v>
      </c>
      <c r="L273" s="120">
        <f t="shared" si="26"/>
        <v>46127</v>
      </c>
      <c r="M273" s="121">
        <f ca="1" t="shared" si="27"/>
        <v>74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725</v>
      </c>
      <c r="E274" s="79" t="s">
        <v>507</v>
      </c>
      <c r="F274" s="80"/>
      <c r="G274" s="81"/>
      <c r="H274" s="89" t="s">
        <v>16</v>
      </c>
      <c r="I274" s="223">
        <v>46037</v>
      </c>
      <c r="J274" s="73">
        <v>3</v>
      </c>
      <c r="K274" s="122" t="s">
        <v>726</v>
      </c>
      <c r="L274" s="120">
        <f t="shared" si="26"/>
        <v>46127</v>
      </c>
      <c r="M274" s="121">
        <f ca="1" t="shared" si="27"/>
        <v>74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727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 t="s">
        <v>728</v>
      </c>
      <c r="L275" s="120">
        <f t="shared" si="26"/>
        <v>46127</v>
      </c>
      <c r="M275" s="121">
        <f ca="1" t="shared" si="27"/>
        <v>74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729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 t="s">
        <v>730</v>
      </c>
      <c r="L276" s="120">
        <f t="shared" si="26"/>
        <v>46127</v>
      </c>
      <c r="M276" s="121">
        <f ca="1" t="shared" si="27"/>
        <v>74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731</v>
      </c>
      <c r="C277" s="73" t="s">
        <v>13</v>
      </c>
      <c r="D277" s="74" t="s">
        <v>732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 t="s">
        <v>733</v>
      </c>
      <c r="L277" s="120">
        <f t="shared" si="26"/>
        <v>46127</v>
      </c>
      <c r="M277" s="121">
        <f ca="1" t="shared" si="27"/>
        <v>74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731</v>
      </c>
      <c r="C278" s="73" t="s">
        <v>13</v>
      </c>
      <c r="D278" s="74" t="s">
        <v>734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 t="s">
        <v>735</v>
      </c>
      <c r="L278" s="120">
        <f t="shared" si="26"/>
        <v>46127</v>
      </c>
      <c r="M278" s="121">
        <f ca="1" t="shared" si="27"/>
        <v>74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731</v>
      </c>
      <c r="C279" s="73" t="s">
        <v>13</v>
      </c>
      <c r="D279" s="74" t="s">
        <v>736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 t="s">
        <v>737</v>
      </c>
      <c r="L279" s="120">
        <f t="shared" si="26"/>
        <v>46127</v>
      </c>
      <c r="M279" s="121">
        <f ca="1" t="shared" si="27"/>
        <v>74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738</v>
      </c>
      <c r="C280" s="73" t="s">
        <v>27</v>
      </c>
      <c r="D280" s="74" t="s">
        <v>739</v>
      </c>
      <c r="E280" s="79" t="s">
        <v>740</v>
      </c>
      <c r="F280" s="80"/>
      <c r="G280" s="81"/>
      <c r="H280" s="82"/>
      <c r="I280" s="223">
        <v>46037</v>
      </c>
      <c r="J280" s="73">
        <v>3</v>
      </c>
      <c r="K280" s="122" t="s">
        <v>741</v>
      </c>
      <c r="L280" s="120">
        <f t="shared" si="26"/>
        <v>46127</v>
      </c>
      <c r="M280" s="121">
        <f ca="1" t="shared" si="27"/>
        <v>74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742</v>
      </c>
      <c r="C281" s="73" t="s">
        <v>27</v>
      </c>
      <c r="D281" s="74" t="s">
        <v>743</v>
      </c>
      <c r="E281" s="79" t="s">
        <v>744</v>
      </c>
      <c r="F281" s="80"/>
      <c r="G281" s="81"/>
      <c r="H281" s="82"/>
      <c r="I281" s="223">
        <v>46037</v>
      </c>
      <c r="J281" s="73">
        <v>3</v>
      </c>
      <c r="K281" s="122" t="s">
        <v>745</v>
      </c>
      <c r="L281" s="120">
        <f t="shared" si="26"/>
        <v>46127</v>
      </c>
      <c r="M281" s="121">
        <f ca="1" t="shared" si="27"/>
        <v>74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746</v>
      </c>
      <c r="E282" s="79" t="s">
        <v>747</v>
      </c>
      <c r="F282" s="80"/>
      <c r="G282" s="81"/>
      <c r="H282" s="82"/>
      <c r="I282" s="223">
        <v>46037</v>
      </c>
      <c r="J282" s="73">
        <v>3</v>
      </c>
      <c r="K282" s="122" t="s">
        <v>748</v>
      </c>
      <c r="L282" s="120">
        <f t="shared" si="26"/>
        <v>46127</v>
      </c>
      <c r="M282" s="121">
        <f ca="1" t="shared" si="27"/>
        <v>74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749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 t="s">
        <v>750</v>
      </c>
      <c r="L283" s="120">
        <f t="shared" si="26"/>
        <v>46127</v>
      </c>
      <c r="M283" s="121">
        <f ca="1" t="shared" si="27"/>
        <v>74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751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 t="s">
        <v>752</v>
      </c>
      <c r="L284" s="120">
        <f t="shared" si="26"/>
        <v>46127</v>
      </c>
      <c r="M284" s="121">
        <f ca="1" t="shared" si="27"/>
        <v>74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753</v>
      </c>
      <c r="C285" s="73" t="s">
        <v>158</v>
      </c>
      <c r="D285" s="74" t="s">
        <v>754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 t="s">
        <v>755</v>
      </c>
      <c r="L285" s="120">
        <f t="shared" si="26"/>
        <v>46127</v>
      </c>
      <c r="M285" s="121">
        <f ca="1" t="shared" si="27"/>
        <v>74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756</v>
      </c>
      <c r="C286" s="73" t="s">
        <v>158</v>
      </c>
      <c r="D286" s="74" t="s">
        <v>757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 t="s">
        <v>758</v>
      </c>
      <c r="L286" s="120">
        <f t="shared" si="26"/>
        <v>46127</v>
      </c>
      <c r="M286" s="121">
        <f ca="1" t="shared" si="27"/>
        <v>74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 t="s">
        <v>472</v>
      </c>
      <c r="J287" s="73"/>
      <c r="K287" s="122"/>
      <c r="L287" s="120" t="e">
        <f t="shared" si="26"/>
        <v>#VALUE!</v>
      </c>
      <c r="M287" s="121" t="e">
        <f ca="1" t="shared" si="27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323</v>
      </c>
      <c r="C288" s="73" t="s">
        <v>13</v>
      </c>
      <c r="D288" s="74" t="s">
        <v>759</v>
      </c>
      <c r="E288" s="79" t="s">
        <v>760</v>
      </c>
      <c r="F288" s="80"/>
      <c r="G288" s="81"/>
      <c r="H288" s="89" t="s">
        <v>16</v>
      </c>
      <c r="I288" s="223">
        <v>46037</v>
      </c>
      <c r="J288" s="73">
        <v>3</v>
      </c>
      <c r="K288" s="122" t="s">
        <v>761</v>
      </c>
      <c r="L288" s="120">
        <f t="shared" si="26"/>
        <v>46127</v>
      </c>
      <c r="M288" s="121">
        <f ca="1" t="shared" si="27"/>
        <v>74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630</v>
      </c>
      <c r="C289" s="73" t="s">
        <v>228</v>
      </c>
      <c r="D289" s="74" t="s">
        <v>762</v>
      </c>
      <c r="E289" s="79" t="s">
        <v>405</v>
      </c>
      <c r="F289" s="80"/>
      <c r="G289" s="81"/>
      <c r="H289" s="89" t="s">
        <v>16</v>
      </c>
      <c r="I289" s="223">
        <v>46037</v>
      </c>
      <c r="J289" s="73">
        <v>3</v>
      </c>
      <c r="K289" s="122" t="s">
        <v>763</v>
      </c>
      <c r="L289" s="120">
        <f t="shared" si="26"/>
        <v>46127</v>
      </c>
      <c r="M289" s="121">
        <f ca="1" t="shared" si="27"/>
        <v>74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764</v>
      </c>
      <c r="E290" s="79" t="s">
        <v>765</v>
      </c>
      <c r="F290" s="80"/>
      <c r="G290" s="81"/>
      <c r="H290" s="89" t="s">
        <v>16</v>
      </c>
      <c r="I290" s="223">
        <v>46037</v>
      </c>
      <c r="J290" s="73">
        <v>3</v>
      </c>
      <c r="K290" s="122" t="s">
        <v>766</v>
      </c>
      <c r="L290" s="120">
        <f t="shared" si="26"/>
        <v>46127</v>
      </c>
      <c r="M290" s="121">
        <f ca="1" t="shared" si="27"/>
        <v>74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767</v>
      </c>
      <c r="E291" s="79" t="s">
        <v>333</v>
      </c>
      <c r="F291" s="80"/>
      <c r="G291" s="81"/>
      <c r="H291" s="89" t="s">
        <v>16</v>
      </c>
      <c r="I291" s="223">
        <v>46037</v>
      </c>
      <c r="J291" s="73">
        <v>3</v>
      </c>
      <c r="K291" s="122" t="s">
        <v>768</v>
      </c>
      <c r="L291" s="120">
        <f t="shared" si="26"/>
        <v>46127</v>
      </c>
      <c r="M291" s="121">
        <f ca="1" t="shared" si="27"/>
        <v>74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769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 t="s">
        <v>770</v>
      </c>
      <c r="L292" s="120">
        <f t="shared" ref="L292:L306" si="28">EDATE(I292,J292)</f>
        <v>46128</v>
      </c>
      <c r="M292" s="121">
        <f ca="1" t="shared" ref="M292:M306" si="29">L292-TODAY()</f>
        <v>75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375</v>
      </c>
      <c r="C293" s="73" t="s">
        <v>27</v>
      </c>
      <c r="D293" s="74" t="s">
        <v>771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 t="s">
        <v>772</v>
      </c>
      <c r="L293" s="120">
        <f t="shared" si="28"/>
        <v>46128</v>
      </c>
      <c r="M293" s="121">
        <f ca="1" t="shared" si="29"/>
        <v>75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773</v>
      </c>
      <c r="E294" s="79" t="s">
        <v>774</v>
      </c>
      <c r="F294" s="80"/>
      <c r="G294" s="81"/>
      <c r="H294" s="204"/>
      <c r="I294" s="223">
        <v>46038</v>
      </c>
      <c r="J294" s="73">
        <v>3</v>
      </c>
      <c r="K294" s="122" t="s">
        <v>775</v>
      </c>
      <c r="L294" s="120">
        <f t="shared" si="28"/>
        <v>46128</v>
      </c>
      <c r="M294" s="121">
        <f ca="1" t="shared" si="29"/>
        <v>75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731</v>
      </c>
      <c r="C295" s="73" t="s">
        <v>27</v>
      </c>
      <c r="D295" s="74" t="s">
        <v>776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 t="s">
        <v>777</v>
      </c>
      <c r="L295" s="120">
        <f t="shared" si="28"/>
        <v>46128</v>
      </c>
      <c r="M295" s="121">
        <f ca="1" t="shared" si="29"/>
        <v>75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731</v>
      </c>
      <c r="C296" s="73" t="s">
        <v>27</v>
      </c>
      <c r="D296" s="74" t="s">
        <v>778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 t="s">
        <v>779</v>
      </c>
      <c r="L296" s="120">
        <f t="shared" si="28"/>
        <v>46128</v>
      </c>
      <c r="M296" s="121">
        <f ca="1" t="shared" si="29"/>
        <v>75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780</v>
      </c>
      <c r="C297" s="73" t="s">
        <v>13</v>
      </c>
      <c r="D297" s="74" t="s">
        <v>781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 t="s">
        <v>782</v>
      </c>
      <c r="L297" s="120">
        <f t="shared" si="28"/>
        <v>46128</v>
      </c>
      <c r="M297" s="121">
        <f ca="1" t="shared" si="29"/>
        <v>75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780</v>
      </c>
      <c r="C298" s="73" t="s">
        <v>13</v>
      </c>
      <c r="D298" s="74" t="s">
        <v>783</v>
      </c>
      <c r="E298" s="79" t="s">
        <v>784</v>
      </c>
      <c r="F298" s="80"/>
      <c r="G298" s="81"/>
      <c r="H298" s="130" t="s">
        <v>16</v>
      </c>
      <c r="I298" s="223">
        <v>46038</v>
      </c>
      <c r="J298" s="73">
        <v>3</v>
      </c>
      <c r="K298" s="122" t="s">
        <v>785</v>
      </c>
      <c r="L298" s="120">
        <f t="shared" si="28"/>
        <v>46128</v>
      </c>
      <c r="M298" s="121">
        <f ca="1" t="shared" si="29"/>
        <v>75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786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 t="s">
        <v>787</v>
      </c>
      <c r="L299" s="120">
        <f t="shared" si="28"/>
        <v>46128</v>
      </c>
      <c r="M299" s="121">
        <f ca="1" t="shared" si="29"/>
        <v>75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788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 t="s">
        <v>789</v>
      </c>
      <c r="L300" s="120">
        <f t="shared" si="28"/>
        <v>46128</v>
      </c>
      <c r="M300" s="121">
        <f ca="1" t="shared" si="29"/>
        <v>75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790</v>
      </c>
      <c r="E301" s="79" t="s">
        <v>791</v>
      </c>
      <c r="F301" s="80"/>
      <c r="G301" s="81"/>
      <c r="H301" s="130" t="s">
        <v>16</v>
      </c>
      <c r="I301" s="223">
        <v>46038</v>
      </c>
      <c r="J301" s="73">
        <v>3</v>
      </c>
      <c r="K301" s="122" t="s">
        <v>792</v>
      </c>
      <c r="L301" s="120">
        <f t="shared" si="28"/>
        <v>46128</v>
      </c>
      <c r="M301" s="121">
        <f ca="1" t="shared" si="29"/>
        <v>75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793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 t="s">
        <v>794</v>
      </c>
      <c r="L302" s="120">
        <f t="shared" si="28"/>
        <v>46128</v>
      </c>
      <c r="M302" s="121">
        <f ca="1" t="shared" si="29"/>
        <v>75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795</v>
      </c>
      <c r="E303" s="79" t="s">
        <v>333</v>
      </c>
      <c r="F303" s="80"/>
      <c r="G303" s="81"/>
      <c r="H303" s="130" t="s">
        <v>16</v>
      </c>
      <c r="I303" s="223">
        <v>46038</v>
      </c>
      <c r="J303" s="73">
        <v>3</v>
      </c>
      <c r="K303" s="122" t="s">
        <v>796</v>
      </c>
      <c r="L303" s="120">
        <f t="shared" si="28"/>
        <v>46128</v>
      </c>
      <c r="M303" s="121">
        <f ca="1" t="shared" si="29"/>
        <v>75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797</v>
      </c>
      <c r="E304" s="79" t="s">
        <v>333</v>
      </c>
      <c r="F304" s="80"/>
      <c r="G304" s="81"/>
      <c r="H304" s="130" t="s">
        <v>16</v>
      </c>
      <c r="I304" s="223">
        <v>46038</v>
      </c>
      <c r="J304" s="73">
        <v>3</v>
      </c>
      <c r="K304" s="122" t="s">
        <v>798</v>
      </c>
      <c r="L304" s="120">
        <f t="shared" si="28"/>
        <v>46128</v>
      </c>
      <c r="M304" s="121">
        <f ca="1" t="shared" si="29"/>
        <v>75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799</v>
      </c>
      <c r="E305" s="79" t="s">
        <v>333</v>
      </c>
      <c r="F305" s="80"/>
      <c r="G305" s="81"/>
      <c r="H305" s="130" t="s">
        <v>16</v>
      </c>
      <c r="I305" s="223">
        <v>46038</v>
      </c>
      <c r="J305" s="73">
        <v>3</v>
      </c>
      <c r="K305" s="122" t="s">
        <v>800</v>
      </c>
      <c r="L305" s="120">
        <f t="shared" si="28"/>
        <v>46128</v>
      </c>
      <c r="M305" s="121">
        <f ca="1" t="shared" si="29"/>
        <v>75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636</v>
      </c>
      <c r="C306" s="73" t="s">
        <v>228</v>
      </c>
      <c r="D306" s="74" t="s">
        <v>801</v>
      </c>
      <c r="E306" s="79" t="s">
        <v>802</v>
      </c>
      <c r="F306" s="80"/>
      <c r="G306" s="81"/>
      <c r="H306" s="130" t="s">
        <v>16</v>
      </c>
      <c r="I306" s="223">
        <v>46038</v>
      </c>
      <c r="J306" s="73">
        <v>3</v>
      </c>
      <c r="K306" s="122" t="s">
        <v>803</v>
      </c>
      <c r="L306" s="120">
        <f t="shared" si="28"/>
        <v>46128</v>
      </c>
      <c r="M306" s="121">
        <f ca="1" t="shared" si="29"/>
        <v>75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804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 t="s">
        <v>805</v>
      </c>
      <c r="L307" s="120">
        <f t="shared" ref="L307:L337" si="30">EDATE(I307,J307)</f>
        <v>46129</v>
      </c>
      <c r="M307" s="121">
        <f ca="1" t="shared" ref="M307:M337" si="31">L307-TODAY()</f>
        <v>76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806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 t="s">
        <v>807</v>
      </c>
      <c r="L308" s="120">
        <f t="shared" si="30"/>
        <v>46129</v>
      </c>
      <c r="M308" s="121">
        <f ca="1" t="shared" si="31"/>
        <v>76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420</v>
      </c>
      <c r="C309" s="73" t="s">
        <v>13</v>
      </c>
      <c r="D309" s="74" t="s">
        <v>808</v>
      </c>
      <c r="E309" s="79" t="s">
        <v>809</v>
      </c>
      <c r="F309" s="80"/>
      <c r="G309" s="81"/>
      <c r="H309" s="204"/>
      <c r="I309" s="223">
        <v>46039</v>
      </c>
      <c r="J309" s="73">
        <v>3</v>
      </c>
      <c r="K309" s="122" t="s">
        <v>810</v>
      </c>
      <c r="L309" s="120">
        <f t="shared" si="30"/>
        <v>46129</v>
      </c>
      <c r="M309" s="121">
        <f ca="1" t="shared" si="31"/>
        <v>76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420</v>
      </c>
      <c r="C310" s="73" t="s">
        <v>27</v>
      </c>
      <c r="D310" s="74" t="s">
        <v>811</v>
      </c>
      <c r="E310" s="79" t="s">
        <v>812</v>
      </c>
      <c r="F310" s="80"/>
      <c r="G310" s="81"/>
      <c r="H310" s="130" t="s">
        <v>16</v>
      </c>
      <c r="I310" s="223">
        <v>46039</v>
      </c>
      <c r="J310" s="73">
        <v>3</v>
      </c>
      <c r="K310" s="122" t="s">
        <v>813</v>
      </c>
      <c r="L310" s="120">
        <f t="shared" si="30"/>
        <v>46129</v>
      </c>
      <c r="M310" s="121">
        <f ca="1" t="shared" si="31"/>
        <v>76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420</v>
      </c>
      <c r="C311" s="73" t="s">
        <v>13</v>
      </c>
      <c r="D311" s="74" t="s">
        <v>814</v>
      </c>
      <c r="E311" s="79" t="s">
        <v>815</v>
      </c>
      <c r="F311" s="80"/>
      <c r="G311" s="81"/>
      <c r="H311" s="130" t="s">
        <v>16</v>
      </c>
      <c r="I311" s="223">
        <v>46039</v>
      </c>
      <c r="J311" s="73">
        <v>3</v>
      </c>
      <c r="K311" s="122" t="s">
        <v>816</v>
      </c>
      <c r="L311" s="120">
        <f t="shared" si="30"/>
        <v>46129</v>
      </c>
      <c r="M311" s="121">
        <f ca="1" t="shared" si="31"/>
        <v>76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420</v>
      </c>
      <c r="C312" s="73" t="s">
        <v>27</v>
      </c>
      <c r="D312" s="74" t="s">
        <v>817</v>
      </c>
      <c r="E312" s="79" t="s">
        <v>818</v>
      </c>
      <c r="F312" s="80"/>
      <c r="G312" s="81"/>
      <c r="H312" s="204"/>
      <c r="I312" s="223">
        <v>46039</v>
      </c>
      <c r="J312" s="73">
        <v>3</v>
      </c>
      <c r="K312" s="122" t="s">
        <v>819</v>
      </c>
      <c r="L312" s="120">
        <f t="shared" si="30"/>
        <v>46129</v>
      </c>
      <c r="M312" s="121">
        <f ca="1" t="shared" si="31"/>
        <v>76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 t="s">
        <v>820</v>
      </c>
      <c r="L313" s="120">
        <f t="shared" si="30"/>
        <v>46129</v>
      </c>
      <c r="M313" s="121">
        <f ca="1" t="shared" si="31"/>
        <v>76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821</v>
      </c>
      <c r="E314" s="79" t="s">
        <v>822</v>
      </c>
      <c r="F314" s="80"/>
      <c r="G314" s="81"/>
      <c r="H314" s="204"/>
      <c r="I314" s="223">
        <v>46039</v>
      </c>
      <c r="J314" s="73">
        <v>3</v>
      </c>
      <c r="K314" s="122" t="s">
        <v>823</v>
      </c>
      <c r="L314" s="120">
        <f t="shared" si="30"/>
        <v>46129</v>
      </c>
      <c r="M314" s="121">
        <f ca="1" t="shared" si="31"/>
        <v>76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513</v>
      </c>
      <c r="E315" s="79" t="s">
        <v>360</v>
      </c>
      <c r="F315" s="80"/>
      <c r="G315" s="81"/>
      <c r="H315" s="204"/>
      <c r="I315" s="223">
        <v>46039</v>
      </c>
      <c r="J315" s="73">
        <v>3</v>
      </c>
      <c r="K315" s="122" t="s">
        <v>824</v>
      </c>
      <c r="L315" s="120">
        <f t="shared" si="30"/>
        <v>46129</v>
      </c>
      <c r="M315" s="121">
        <f ca="1" t="shared" si="31"/>
        <v>76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511</v>
      </c>
      <c r="E316" s="79" t="s">
        <v>363</v>
      </c>
      <c r="F316" s="80"/>
      <c r="G316" s="81"/>
      <c r="H316" s="204"/>
      <c r="I316" s="223">
        <v>46039</v>
      </c>
      <c r="J316" s="73">
        <v>3</v>
      </c>
      <c r="K316" s="122" t="s">
        <v>825</v>
      </c>
      <c r="L316" s="120">
        <f t="shared" si="30"/>
        <v>46129</v>
      </c>
      <c r="M316" s="121">
        <f ca="1" t="shared" si="31"/>
        <v>76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 t="s">
        <v>472</v>
      </c>
      <c r="J317" s="73"/>
      <c r="K317" s="122" t="s">
        <v>826</v>
      </c>
      <c r="L317" s="120" t="e">
        <f t="shared" si="30"/>
        <v>#VALUE!</v>
      </c>
      <c r="M317" s="121" t="e">
        <f ca="1" t="shared" si="31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827</v>
      </c>
      <c r="C318" s="73" t="s">
        <v>13</v>
      </c>
      <c r="D318" s="74" t="s">
        <v>828</v>
      </c>
      <c r="E318" s="79" t="s">
        <v>829</v>
      </c>
      <c r="F318" s="80"/>
      <c r="G318" s="81"/>
      <c r="H318" s="130" t="s">
        <v>16</v>
      </c>
      <c r="I318" s="223">
        <v>46039</v>
      </c>
      <c r="J318" s="73">
        <v>3</v>
      </c>
      <c r="K318" s="122" t="s">
        <v>830</v>
      </c>
      <c r="L318" s="120">
        <f t="shared" si="30"/>
        <v>46129</v>
      </c>
      <c r="M318" s="121">
        <f ca="1" t="shared" si="31"/>
        <v>76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827</v>
      </c>
      <c r="C319" s="73" t="s">
        <v>13</v>
      </c>
      <c r="D319" s="74" t="s">
        <v>831</v>
      </c>
      <c r="E319" s="79" t="s">
        <v>832</v>
      </c>
      <c r="F319" s="80"/>
      <c r="G319" s="81"/>
      <c r="H319" s="130" t="s">
        <v>16</v>
      </c>
      <c r="I319" s="223">
        <v>46039</v>
      </c>
      <c r="J319" s="73">
        <v>3</v>
      </c>
      <c r="K319" s="122" t="s">
        <v>833</v>
      </c>
      <c r="L319" s="120">
        <f t="shared" si="30"/>
        <v>46129</v>
      </c>
      <c r="M319" s="121">
        <f ca="1" t="shared" si="31"/>
        <v>76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834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 t="s">
        <v>835</v>
      </c>
      <c r="L320" s="120">
        <f t="shared" si="30"/>
        <v>46129</v>
      </c>
      <c r="M320" s="121">
        <f ca="1" t="shared" si="31"/>
        <v>76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836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 t="s">
        <v>837</v>
      </c>
      <c r="L321" s="120">
        <f t="shared" si="30"/>
        <v>46129</v>
      </c>
      <c r="M321" s="121">
        <f ca="1" t="shared" si="31"/>
        <v>76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780</v>
      </c>
      <c r="C322" s="73" t="s">
        <v>27</v>
      </c>
      <c r="D322" s="74" t="s">
        <v>838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 t="s">
        <v>839</v>
      </c>
      <c r="L322" s="120">
        <f t="shared" si="30"/>
        <v>46129</v>
      </c>
      <c r="M322" s="121">
        <f ca="1" t="shared" si="31"/>
        <v>76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780</v>
      </c>
      <c r="C323" s="73" t="s">
        <v>27</v>
      </c>
      <c r="D323" s="74" t="s">
        <v>840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 t="s">
        <v>841</v>
      </c>
      <c r="L323" s="120">
        <f t="shared" si="30"/>
        <v>46129</v>
      </c>
      <c r="M323" s="121">
        <f ca="1" t="shared" si="31"/>
        <v>76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780</v>
      </c>
      <c r="C324" s="73" t="s">
        <v>27</v>
      </c>
      <c r="D324" s="74" t="s">
        <v>842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 t="s">
        <v>843</v>
      </c>
      <c r="L324" s="120">
        <f t="shared" si="30"/>
        <v>46129</v>
      </c>
      <c r="M324" s="121">
        <f ca="1" t="shared" si="31"/>
        <v>76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780</v>
      </c>
      <c r="C325" s="73" t="s">
        <v>27</v>
      </c>
      <c r="D325" s="74" t="s">
        <v>844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 t="s">
        <v>845</v>
      </c>
      <c r="L325" s="120">
        <f t="shared" si="30"/>
        <v>46129</v>
      </c>
      <c r="M325" s="121">
        <f ca="1" t="shared" si="31"/>
        <v>76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780</v>
      </c>
      <c r="C326" s="73" t="s">
        <v>27</v>
      </c>
      <c r="D326" s="74" t="s">
        <v>846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 t="s">
        <v>847</v>
      </c>
      <c r="L326" s="120">
        <f t="shared" si="30"/>
        <v>46129</v>
      </c>
      <c r="M326" s="121">
        <f ca="1" t="shared" si="31"/>
        <v>76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780</v>
      </c>
      <c r="C327" s="73" t="s">
        <v>13</v>
      </c>
      <c r="D327" s="74" t="s">
        <v>848</v>
      </c>
      <c r="E327" s="79" t="s">
        <v>784</v>
      </c>
      <c r="F327" s="80"/>
      <c r="G327" s="81"/>
      <c r="H327" s="130" t="s">
        <v>16</v>
      </c>
      <c r="I327" s="223">
        <v>46039</v>
      </c>
      <c r="J327" s="73">
        <v>3</v>
      </c>
      <c r="K327" s="122" t="s">
        <v>849</v>
      </c>
      <c r="L327" s="120">
        <f t="shared" si="30"/>
        <v>46129</v>
      </c>
      <c r="M327" s="121">
        <f ca="1" t="shared" si="31"/>
        <v>76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780</v>
      </c>
      <c r="C328" s="73" t="s">
        <v>13</v>
      </c>
      <c r="D328" s="74" t="s">
        <v>850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 t="s">
        <v>851</v>
      </c>
      <c r="L328" s="120">
        <f t="shared" si="30"/>
        <v>46129</v>
      </c>
      <c r="M328" s="121">
        <f ca="1" t="shared" si="31"/>
        <v>76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852</v>
      </c>
      <c r="C329" s="73" t="s">
        <v>27</v>
      </c>
      <c r="D329" s="74" t="s">
        <v>853</v>
      </c>
      <c r="E329" s="79" t="s">
        <v>854</v>
      </c>
      <c r="F329" s="80"/>
      <c r="G329" s="81"/>
      <c r="H329" s="204"/>
      <c r="I329" s="223">
        <v>46039</v>
      </c>
      <c r="J329" s="73">
        <v>3</v>
      </c>
      <c r="K329" s="122" t="s">
        <v>855</v>
      </c>
      <c r="L329" s="120">
        <f t="shared" si="30"/>
        <v>46129</v>
      </c>
      <c r="M329" s="121">
        <f ca="1" t="shared" si="31"/>
        <v>76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394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 t="s">
        <v>472</v>
      </c>
      <c r="J330" s="73"/>
      <c r="K330" s="122"/>
      <c r="L330" s="120" t="e">
        <f t="shared" si="30"/>
        <v>#VALUE!</v>
      </c>
      <c r="M330" s="121" t="e">
        <f ca="1" t="shared" si="31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856</v>
      </c>
      <c r="C331" s="73" t="s">
        <v>228</v>
      </c>
      <c r="D331" s="74" t="s">
        <v>857</v>
      </c>
      <c r="E331" s="79" t="s">
        <v>858</v>
      </c>
      <c r="F331" s="80"/>
      <c r="G331" s="81"/>
      <c r="H331" s="130" t="s">
        <v>16</v>
      </c>
      <c r="I331" s="223">
        <v>46039</v>
      </c>
      <c r="J331" s="73">
        <v>3</v>
      </c>
      <c r="K331" s="122" t="s">
        <v>859</v>
      </c>
      <c r="L331" s="120">
        <f t="shared" si="30"/>
        <v>46129</v>
      </c>
      <c r="M331" s="121">
        <f ca="1" t="shared" si="31"/>
        <v>76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860</v>
      </c>
      <c r="C332" s="73" t="s">
        <v>228</v>
      </c>
      <c r="D332" s="74" t="s">
        <v>861</v>
      </c>
      <c r="E332" s="79" t="s">
        <v>862</v>
      </c>
      <c r="F332" s="80"/>
      <c r="G332" s="81"/>
      <c r="H332" s="82"/>
      <c r="I332" s="223">
        <v>46039</v>
      </c>
      <c r="J332" s="73">
        <v>3</v>
      </c>
      <c r="K332" s="122" t="s">
        <v>863</v>
      </c>
      <c r="L332" s="120">
        <f t="shared" si="30"/>
        <v>46129</v>
      </c>
      <c r="M332" s="121">
        <f ca="1" t="shared" si="31"/>
        <v>76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864</v>
      </c>
      <c r="C333" s="73" t="s">
        <v>228</v>
      </c>
      <c r="D333" s="74" t="s">
        <v>865</v>
      </c>
      <c r="E333" s="79" t="s">
        <v>333</v>
      </c>
      <c r="F333" s="80"/>
      <c r="G333" s="81"/>
      <c r="H333" s="89" t="s">
        <v>16</v>
      </c>
      <c r="I333" s="223">
        <v>46039</v>
      </c>
      <c r="J333" s="73">
        <v>3</v>
      </c>
      <c r="K333" s="122" t="s">
        <v>866</v>
      </c>
      <c r="L333" s="120">
        <f t="shared" si="30"/>
        <v>46129</v>
      </c>
      <c r="M333" s="121">
        <f ca="1" t="shared" si="31"/>
        <v>76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864</v>
      </c>
      <c r="C334" s="73" t="s">
        <v>228</v>
      </c>
      <c r="D334" s="74" t="s">
        <v>867</v>
      </c>
      <c r="E334" s="79" t="s">
        <v>333</v>
      </c>
      <c r="F334" s="80"/>
      <c r="G334" s="81"/>
      <c r="H334" s="89" t="s">
        <v>16</v>
      </c>
      <c r="I334" s="223">
        <v>46039</v>
      </c>
      <c r="J334" s="73">
        <v>3</v>
      </c>
      <c r="K334" s="122" t="s">
        <v>868</v>
      </c>
      <c r="L334" s="120">
        <f t="shared" si="30"/>
        <v>46129</v>
      </c>
      <c r="M334" s="121">
        <f ca="1" t="shared" si="31"/>
        <v>76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341</v>
      </c>
      <c r="C335" s="73" t="s">
        <v>228</v>
      </c>
      <c r="D335" s="74" t="s">
        <v>869</v>
      </c>
      <c r="E335" s="79" t="s">
        <v>870</v>
      </c>
      <c r="F335" s="80"/>
      <c r="G335" s="81"/>
      <c r="H335" s="89" t="s">
        <v>16</v>
      </c>
      <c r="I335" s="223">
        <v>46039</v>
      </c>
      <c r="J335" s="73">
        <v>3</v>
      </c>
      <c r="K335" s="122" t="s">
        <v>871</v>
      </c>
      <c r="L335" s="120">
        <f t="shared" si="30"/>
        <v>46129</v>
      </c>
      <c r="M335" s="121">
        <f ca="1" t="shared" si="31"/>
        <v>76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341</v>
      </c>
      <c r="C336" s="73" t="s">
        <v>228</v>
      </c>
      <c r="D336" s="74" t="s">
        <v>872</v>
      </c>
      <c r="E336" s="79" t="s">
        <v>346</v>
      </c>
      <c r="F336" s="80"/>
      <c r="G336" s="81"/>
      <c r="H336" s="89" t="s">
        <v>16</v>
      </c>
      <c r="I336" s="223">
        <v>46039</v>
      </c>
      <c r="J336" s="73">
        <v>3</v>
      </c>
      <c r="K336" s="122" t="s">
        <v>873</v>
      </c>
      <c r="L336" s="120">
        <f t="shared" si="30"/>
        <v>46129</v>
      </c>
      <c r="M336" s="121">
        <f ca="1" t="shared" si="31"/>
        <v>76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341</v>
      </c>
      <c r="C337" s="73" t="s">
        <v>228</v>
      </c>
      <c r="D337" s="74" t="s">
        <v>874</v>
      </c>
      <c r="E337" s="79" t="s">
        <v>870</v>
      </c>
      <c r="F337" s="80"/>
      <c r="G337" s="81"/>
      <c r="H337" s="89" t="s">
        <v>16</v>
      </c>
      <c r="I337" s="223">
        <v>46039</v>
      </c>
      <c r="J337" s="73">
        <v>3</v>
      </c>
      <c r="K337" s="122" t="s">
        <v>875</v>
      </c>
      <c r="L337" s="120">
        <f t="shared" si="30"/>
        <v>46129</v>
      </c>
      <c r="M337" s="121">
        <f ca="1" t="shared" si="31"/>
        <v>76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876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 t="s">
        <v>877</v>
      </c>
      <c r="L338" s="120">
        <f t="shared" ref="L338:L346" si="32">EDATE(I338,J338)</f>
        <v>46130</v>
      </c>
      <c r="M338" s="121">
        <f ca="1" t="shared" ref="M338:M346" si="33">L338-TODAY()</f>
        <v>77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878</v>
      </c>
      <c r="E339" s="79" t="s">
        <v>615</v>
      </c>
      <c r="F339" s="80"/>
      <c r="G339" s="81"/>
      <c r="H339" s="82"/>
      <c r="I339" s="223">
        <v>46040</v>
      </c>
      <c r="J339" s="73">
        <v>3</v>
      </c>
      <c r="K339" s="122" t="s">
        <v>879</v>
      </c>
      <c r="L339" s="120">
        <f t="shared" si="32"/>
        <v>46130</v>
      </c>
      <c r="M339" s="121">
        <f ca="1" t="shared" si="33"/>
        <v>77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880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 t="s">
        <v>881</v>
      </c>
      <c r="L340" s="120">
        <f t="shared" si="32"/>
        <v>46130</v>
      </c>
      <c r="M340" s="121">
        <f ca="1" t="shared" si="33"/>
        <v>77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882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 t="s">
        <v>883</v>
      </c>
      <c r="L341" s="120">
        <f t="shared" si="32"/>
        <v>46130</v>
      </c>
      <c r="M341" s="121">
        <f ca="1" t="shared" si="33"/>
        <v>77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884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 t="s">
        <v>885</v>
      </c>
      <c r="L342" s="120">
        <f t="shared" si="32"/>
        <v>46130</v>
      </c>
      <c r="M342" s="121">
        <f ca="1" t="shared" si="33"/>
        <v>77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886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 t="s">
        <v>887</v>
      </c>
      <c r="L343" s="120">
        <f t="shared" si="32"/>
        <v>46130</v>
      </c>
      <c r="M343" s="121">
        <f ca="1" t="shared" si="33"/>
        <v>77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 t="s">
        <v>472</v>
      </c>
      <c r="J344" s="73"/>
      <c r="K344" s="122"/>
      <c r="L344" s="120" t="e">
        <f t="shared" si="32"/>
        <v>#VALUE!</v>
      </c>
      <c r="M344" s="121" t="e">
        <f ca="1" t="shared" si="33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888</v>
      </c>
      <c r="E345" s="79" t="s">
        <v>889</v>
      </c>
      <c r="F345" s="80"/>
      <c r="G345" s="81"/>
      <c r="H345" s="204"/>
      <c r="I345" s="223">
        <v>46040</v>
      </c>
      <c r="J345" s="73">
        <v>3</v>
      </c>
      <c r="K345" s="122" t="s">
        <v>890</v>
      </c>
      <c r="L345" s="120">
        <f t="shared" si="32"/>
        <v>46130</v>
      </c>
      <c r="M345" s="121">
        <f ca="1" t="shared" si="33"/>
        <v>77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544</v>
      </c>
      <c r="C346" s="73" t="s">
        <v>228</v>
      </c>
      <c r="D346" s="74" t="s">
        <v>857</v>
      </c>
      <c r="E346" s="79" t="s">
        <v>858</v>
      </c>
      <c r="F346" s="80"/>
      <c r="G346" s="81"/>
      <c r="H346" s="78" t="s">
        <v>16</v>
      </c>
      <c r="I346" s="223">
        <v>46040</v>
      </c>
      <c r="J346" s="73">
        <v>3</v>
      </c>
      <c r="K346" s="122" t="s">
        <v>891</v>
      </c>
      <c r="L346" s="120">
        <f t="shared" si="32"/>
        <v>46130</v>
      </c>
      <c r="M346" s="121">
        <f ca="1" t="shared" si="33"/>
        <v>77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>
        <v>345</v>
      </c>
      <c r="B347" s="73" t="s">
        <v>12</v>
      </c>
      <c r="C347" s="73" t="s">
        <v>27</v>
      </c>
      <c r="D347" s="74" t="s">
        <v>892</v>
      </c>
      <c r="E347" s="79" t="s">
        <v>559</v>
      </c>
      <c r="F347" s="80"/>
      <c r="G347" s="81"/>
      <c r="H347" s="78" t="s">
        <v>16</v>
      </c>
      <c r="I347" s="223">
        <v>46041</v>
      </c>
      <c r="J347" s="73">
        <v>3</v>
      </c>
      <c r="K347" s="122" t="s">
        <v>893</v>
      </c>
      <c r="L347" s="120">
        <f t="shared" ref="L347:L361" si="34">EDATE(I347,J347)</f>
        <v>46131</v>
      </c>
      <c r="M347" s="121">
        <f ca="1" t="shared" ref="M347:M361" si="35">L347-TODAY()</f>
        <v>78</v>
      </c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>
        <v>346</v>
      </c>
      <c r="B348" s="73" t="s">
        <v>140</v>
      </c>
      <c r="C348" s="73" t="s">
        <v>13</v>
      </c>
      <c r="D348" s="74" t="s">
        <v>894</v>
      </c>
      <c r="E348" s="79" t="s">
        <v>78</v>
      </c>
      <c r="F348" s="80"/>
      <c r="G348" s="81"/>
      <c r="H348" s="82"/>
      <c r="I348" s="223">
        <v>46041</v>
      </c>
      <c r="J348" s="73">
        <v>3</v>
      </c>
      <c r="K348" s="122" t="s">
        <v>895</v>
      </c>
      <c r="L348" s="120">
        <f t="shared" si="34"/>
        <v>46131</v>
      </c>
      <c r="M348" s="121">
        <f ca="1" t="shared" si="35"/>
        <v>78</v>
      </c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>
        <v>347</v>
      </c>
      <c r="B349" s="73" t="s">
        <v>140</v>
      </c>
      <c r="C349" s="73" t="s">
        <v>13</v>
      </c>
      <c r="D349" s="74" t="s">
        <v>896</v>
      </c>
      <c r="E349" s="79" t="s">
        <v>35</v>
      </c>
      <c r="F349" s="80"/>
      <c r="G349" s="81"/>
      <c r="H349" s="82"/>
      <c r="I349" s="223">
        <v>46041</v>
      </c>
      <c r="J349" s="73">
        <v>3</v>
      </c>
      <c r="K349" s="122" t="s">
        <v>897</v>
      </c>
      <c r="L349" s="120">
        <f t="shared" si="34"/>
        <v>46131</v>
      </c>
      <c r="M349" s="121">
        <f ca="1" t="shared" si="35"/>
        <v>78</v>
      </c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>
        <v>348</v>
      </c>
      <c r="B350" s="73" t="s">
        <v>140</v>
      </c>
      <c r="C350" s="73" t="s">
        <v>13</v>
      </c>
      <c r="D350" s="74" t="s">
        <v>898</v>
      </c>
      <c r="E350" s="79" t="s">
        <v>15</v>
      </c>
      <c r="F350" s="80"/>
      <c r="G350" s="81"/>
      <c r="H350" s="78" t="s">
        <v>16</v>
      </c>
      <c r="I350" s="223">
        <v>46041</v>
      </c>
      <c r="J350" s="73">
        <v>3</v>
      </c>
      <c r="K350" s="122" t="s">
        <v>899</v>
      </c>
      <c r="L350" s="120">
        <f t="shared" si="34"/>
        <v>46131</v>
      </c>
      <c r="M350" s="121">
        <f ca="1" t="shared" si="35"/>
        <v>78</v>
      </c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>
        <v>349</v>
      </c>
      <c r="B351" s="73" t="s">
        <v>140</v>
      </c>
      <c r="C351" s="73" t="s">
        <v>27</v>
      </c>
      <c r="D351" s="74" t="s">
        <v>900</v>
      </c>
      <c r="E351" s="79" t="s">
        <v>29</v>
      </c>
      <c r="F351" s="80"/>
      <c r="G351" s="81"/>
      <c r="H351" s="82"/>
      <c r="I351" s="223">
        <v>46041</v>
      </c>
      <c r="J351" s="73">
        <v>3</v>
      </c>
      <c r="K351" s="122" t="s">
        <v>901</v>
      </c>
      <c r="L351" s="120">
        <f t="shared" si="34"/>
        <v>46131</v>
      </c>
      <c r="M351" s="121">
        <f ca="1" t="shared" si="35"/>
        <v>78</v>
      </c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>
        <v>350</v>
      </c>
      <c r="B352" s="73" t="s">
        <v>140</v>
      </c>
      <c r="C352" s="73" t="s">
        <v>13</v>
      </c>
      <c r="D352" s="74" t="s">
        <v>902</v>
      </c>
      <c r="E352" s="79" t="s">
        <v>25</v>
      </c>
      <c r="F352" s="80"/>
      <c r="G352" s="81"/>
      <c r="H352" s="82"/>
      <c r="I352" s="223">
        <v>46041</v>
      </c>
      <c r="J352" s="73">
        <v>3</v>
      </c>
      <c r="K352" s="122" t="s">
        <v>903</v>
      </c>
      <c r="L352" s="120">
        <f t="shared" si="34"/>
        <v>46131</v>
      </c>
      <c r="M352" s="121">
        <f ca="1" t="shared" si="35"/>
        <v>78</v>
      </c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>
        <v>351</v>
      </c>
      <c r="B353" s="73" t="s">
        <v>442</v>
      </c>
      <c r="C353" s="73" t="s">
        <v>27</v>
      </c>
      <c r="D353" s="74" t="s">
        <v>904</v>
      </c>
      <c r="E353" s="79" t="s">
        <v>295</v>
      </c>
      <c r="F353" s="80"/>
      <c r="G353" s="81"/>
      <c r="H353" s="130" t="s">
        <v>16</v>
      </c>
      <c r="I353" s="223">
        <v>46041</v>
      </c>
      <c r="J353" s="73">
        <v>3</v>
      </c>
      <c r="K353" s="122" t="s">
        <v>905</v>
      </c>
      <c r="L353" s="120">
        <f t="shared" si="34"/>
        <v>46131</v>
      </c>
      <c r="M353" s="121">
        <f ca="1" t="shared" si="35"/>
        <v>78</v>
      </c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>
        <v>352</v>
      </c>
      <c r="B354" s="73" t="s">
        <v>442</v>
      </c>
      <c r="C354" s="73" t="s">
        <v>13</v>
      </c>
      <c r="D354" s="74" t="s">
        <v>906</v>
      </c>
      <c r="E354" s="79" t="s">
        <v>25</v>
      </c>
      <c r="F354" s="80"/>
      <c r="G354" s="81"/>
      <c r="H354" s="130" t="s">
        <v>16</v>
      </c>
      <c r="I354" s="223">
        <v>46041</v>
      </c>
      <c r="J354" s="73">
        <v>3</v>
      </c>
      <c r="K354" s="122" t="s">
        <v>907</v>
      </c>
      <c r="L354" s="120">
        <f t="shared" si="34"/>
        <v>46131</v>
      </c>
      <c r="M354" s="121">
        <f ca="1" t="shared" si="35"/>
        <v>78</v>
      </c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>
        <v>353</v>
      </c>
      <c r="B355" s="73" t="s">
        <v>442</v>
      </c>
      <c r="C355" s="73" t="s">
        <v>29</v>
      </c>
      <c r="D355" s="74" t="s">
        <v>908</v>
      </c>
      <c r="E355" s="79" t="s">
        <v>29</v>
      </c>
      <c r="F355" s="80"/>
      <c r="G355" s="81"/>
      <c r="H355" s="130" t="s">
        <v>16</v>
      </c>
      <c r="I355" s="223">
        <v>46041</v>
      </c>
      <c r="J355" s="73">
        <v>3</v>
      </c>
      <c r="K355" s="122" t="s">
        <v>909</v>
      </c>
      <c r="L355" s="120">
        <f t="shared" si="34"/>
        <v>46131</v>
      </c>
      <c r="M355" s="121">
        <f ca="1" t="shared" si="35"/>
        <v>78</v>
      </c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>
        <v>354</v>
      </c>
      <c r="B356" s="73" t="s">
        <v>852</v>
      </c>
      <c r="C356" s="73" t="s">
        <v>27</v>
      </c>
      <c r="D356" s="74" t="s">
        <v>910</v>
      </c>
      <c r="E356" s="79" t="s">
        <v>854</v>
      </c>
      <c r="F356" s="80"/>
      <c r="G356" s="81"/>
      <c r="H356" s="82"/>
      <c r="I356" s="223">
        <v>46041</v>
      </c>
      <c r="J356" s="73">
        <v>3</v>
      </c>
      <c r="K356" s="122" t="s">
        <v>911</v>
      </c>
      <c r="L356" s="120">
        <f t="shared" si="34"/>
        <v>46131</v>
      </c>
      <c r="M356" s="121">
        <f ca="1" t="shared" si="35"/>
        <v>78</v>
      </c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>
        <v>355</v>
      </c>
      <c r="B357" s="73" t="s">
        <v>912</v>
      </c>
      <c r="C357" s="73" t="s">
        <v>27</v>
      </c>
      <c r="D357" s="74" t="s">
        <v>913</v>
      </c>
      <c r="E357" s="79" t="s">
        <v>914</v>
      </c>
      <c r="F357" s="80"/>
      <c r="G357" s="81"/>
      <c r="H357" s="130" t="s">
        <v>16</v>
      </c>
      <c r="I357" s="223">
        <v>46041</v>
      </c>
      <c r="J357" s="73">
        <v>3</v>
      </c>
      <c r="K357" s="122" t="s">
        <v>915</v>
      </c>
      <c r="L357" s="120">
        <f t="shared" si="34"/>
        <v>46131</v>
      </c>
      <c r="M357" s="121">
        <f ca="1" t="shared" si="35"/>
        <v>78</v>
      </c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>
        <v>356</v>
      </c>
      <c r="B358" s="73" t="s">
        <v>455</v>
      </c>
      <c r="C358" s="73" t="s">
        <v>27</v>
      </c>
      <c r="D358" s="74" t="s">
        <v>916</v>
      </c>
      <c r="E358" s="79" t="s">
        <v>451</v>
      </c>
      <c r="F358" s="80"/>
      <c r="G358" s="81"/>
      <c r="H358" s="82"/>
      <c r="I358" s="223">
        <v>46041</v>
      </c>
      <c r="J358" s="73">
        <v>3</v>
      </c>
      <c r="K358" s="122" t="s">
        <v>917</v>
      </c>
      <c r="L358" s="120">
        <f t="shared" si="34"/>
        <v>46131</v>
      </c>
      <c r="M358" s="121">
        <f ca="1" t="shared" si="35"/>
        <v>78</v>
      </c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>
        <v>357</v>
      </c>
      <c r="B359" s="73" t="s">
        <v>169</v>
      </c>
      <c r="C359" s="73" t="s">
        <v>158</v>
      </c>
      <c r="D359" s="74" t="s">
        <v>918</v>
      </c>
      <c r="E359" s="79" t="s">
        <v>167</v>
      </c>
      <c r="F359" s="80"/>
      <c r="G359" s="81"/>
      <c r="H359" s="82"/>
      <c r="I359" s="223">
        <v>46041</v>
      </c>
      <c r="J359" s="73">
        <v>3</v>
      </c>
      <c r="K359" s="122" t="s">
        <v>919</v>
      </c>
      <c r="L359" s="120">
        <f t="shared" si="34"/>
        <v>46131</v>
      </c>
      <c r="M359" s="121">
        <f ca="1" t="shared" si="35"/>
        <v>78</v>
      </c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>
        <v>358</v>
      </c>
      <c r="B360" s="73" t="s">
        <v>920</v>
      </c>
      <c r="C360" s="73" t="s">
        <v>228</v>
      </c>
      <c r="D360" s="74" t="s">
        <v>921</v>
      </c>
      <c r="E360" s="79" t="s">
        <v>922</v>
      </c>
      <c r="F360" s="80"/>
      <c r="G360" s="81"/>
      <c r="H360" s="78" t="s">
        <v>16</v>
      </c>
      <c r="I360" s="223">
        <v>46041</v>
      </c>
      <c r="J360" s="73">
        <v>3</v>
      </c>
      <c r="K360" s="122" t="s">
        <v>923</v>
      </c>
      <c r="L360" s="120">
        <f t="shared" si="34"/>
        <v>46131</v>
      </c>
      <c r="M360" s="121">
        <f ca="1" t="shared" si="35"/>
        <v>78</v>
      </c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>
        <v>359</v>
      </c>
      <c r="B361" s="73" t="s">
        <v>12</v>
      </c>
      <c r="C361" s="73" t="s">
        <v>13</v>
      </c>
      <c r="D361" s="74" t="s">
        <v>924</v>
      </c>
      <c r="E361" s="79" t="s">
        <v>925</v>
      </c>
      <c r="F361" s="80"/>
      <c r="G361" s="81"/>
      <c r="H361" s="78" t="s">
        <v>16</v>
      </c>
      <c r="I361" s="223">
        <v>46042</v>
      </c>
      <c r="J361" s="73">
        <v>3</v>
      </c>
      <c r="K361" s="122"/>
      <c r="L361" s="120">
        <f t="shared" si="34"/>
        <v>46132</v>
      </c>
      <c r="M361" s="121">
        <f ca="1" t="shared" si="35"/>
        <v>79</v>
      </c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>
        <v>360</v>
      </c>
      <c r="B362" s="73" t="s">
        <v>140</v>
      </c>
      <c r="C362" s="73" t="s">
        <v>13</v>
      </c>
      <c r="D362" s="74" t="s">
        <v>926</v>
      </c>
      <c r="E362" s="79" t="s">
        <v>194</v>
      </c>
      <c r="F362" s="80"/>
      <c r="G362" s="81"/>
      <c r="H362" s="78" t="s">
        <v>16</v>
      </c>
      <c r="I362" s="223">
        <v>46042</v>
      </c>
      <c r="J362" s="73">
        <v>3</v>
      </c>
      <c r="K362" s="122"/>
      <c r="L362" s="120">
        <f t="shared" ref="L362:L389" si="36">EDATE(I362,J362)</f>
        <v>46132</v>
      </c>
      <c r="M362" s="121">
        <f ca="1" t="shared" ref="M362:M389" si="37">L362-TODAY()</f>
        <v>79</v>
      </c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>
        <v>361</v>
      </c>
      <c r="B363" s="73" t="s">
        <v>140</v>
      </c>
      <c r="C363" s="73" t="s">
        <v>13</v>
      </c>
      <c r="D363" s="74" t="s">
        <v>927</v>
      </c>
      <c r="E363" s="79" t="s">
        <v>774</v>
      </c>
      <c r="F363" s="80"/>
      <c r="G363" s="81"/>
      <c r="H363" s="78"/>
      <c r="I363" s="223">
        <v>46042</v>
      </c>
      <c r="J363" s="73">
        <v>3</v>
      </c>
      <c r="K363" s="122"/>
      <c r="L363" s="120">
        <f t="shared" si="36"/>
        <v>46132</v>
      </c>
      <c r="M363" s="121">
        <f ca="1" t="shared" si="37"/>
        <v>79</v>
      </c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>
        <v>362</v>
      </c>
      <c r="B364" s="73" t="s">
        <v>140</v>
      </c>
      <c r="C364" s="73" t="s">
        <v>27</v>
      </c>
      <c r="D364" s="74" t="s">
        <v>928</v>
      </c>
      <c r="E364" s="79" t="s">
        <v>929</v>
      </c>
      <c r="F364" s="80"/>
      <c r="G364" s="81"/>
      <c r="H364" s="82"/>
      <c r="I364" s="223">
        <v>46042</v>
      </c>
      <c r="J364" s="73">
        <v>3</v>
      </c>
      <c r="K364" s="122"/>
      <c r="L364" s="120">
        <f t="shared" si="36"/>
        <v>46132</v>
      </c>
      <c r="M364" s="121">
        <f ca="1" t="shared" si="37"/>
        <v>79</v>
      </c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>
        <v>363</v>
      </c>
      <c r="B365" s="73" t="s">
        <v>140</v>
      </c>
      <c r="C365" s="73" t="s">
        <v>27</v>
      </c>
      <c r="D365" s="74" t="s">
        <v>930</v>
      </c>
      <c r="E365" s="79" t="s">
        <v>931</v>
      </c>
      <c r="F365" s="80"/>
      <c r="G365" s="81"/>
      <c r="H365" s="82"/>
      <c r="I365" s="223">
        <v>46042</v>
      </c>
      <c r="J365" s="73">
        <v>3</v>
      </c>
      <c r="K365" s="122"/>
      <c r="L365" s="120">
        <f t="shared" si="36"/>
        <v>46132</v>
      </c>
      <c r="M365" s="121">
        <f ca="1" t="shared" si="37"/>
        <v>79</v>
      </c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>
        <v>364</v>
      </c>
      <c r="B366" s="73" t="s">
        <v>140</v>
      </c>
      <c r="C366" s="73" t="s">
        <v>13</v>
      </c>
      <c r="D366" s="74" t="s">
        <v>932</v>
      </c>
      <c r="E366" s="79" t="s">
        <v>933</v>
      </c>
      <c r="F366" s="80"/>
      <c r="G366" s="81"/>
      <c r="H366" s="78" t="s">
        <v>16</v>
      </c>
      <c r="I366" s="223">
        <v>46042</v>
      </c>
      <c r="J366" s="73">
        <v>3</v>
      </c>
      <c r="K366" s="122"/>
      <c r="L366" s="120">
        <f t="shared" si="36"/>
        <v>46132</v>
      </c>
      <c r="M366" s="121">
        <f ca="1" t="shared" si="37"/>
        <v>79</v>
      </c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>
        <v>365</v>
      </c>
      <c r="B367" s="73" t="s">
        <v>140</v>
      </c>
      <c r="C367" s="73" t="s">
        <v>13</v>
      </c>
      <c r="D367" s="74" t="s">
        <v>934</v>
      </c>
      <c r="E367" s="79" t="s">
        <v>935</v>
      </c>
      <c r="F367" s="80"/>
      <c r="G367" s="81"/>
      <c r="H367" s="78" t="s">
        <v>16</v>
      </c>
      <c r="I367" s="223">
        <v>46042</v>
      </c>
      <c r="J367" s="73">
        <v>3</v>
      </c>
      <c r="K367" s="122"/>
      <c r="L367" s="120">
        <f t="shared" si="36"/>
        <v>46132</v>
      </c>
      <c r="M367" s="121">
        <f ca="1" t="shared" si="37"/>
        <v>79</v>
      </c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>
        <v>366</v>
      </c>
      <c r="B368" s="73" t="s">
        <v>140</v>
      </c>
      <c r="C368" s="73" t="s">
        <v>27</v>
      </c>
      <c r="D368" s="74" t="s">
        <v>936</v>
      </c>
      <c r="E368" s="79" t="s">
        <v>22</v>
      </c>
      <c r="F368" s="80"/>
      <c r="G368" s="81"/>
      <c r="H368" s="78" t="s">
        <v>16</v>
      </c>
      <c r="I368" s="223">
        <v>46042</v>
      </c>
      <c r="J368" s="73">
        <v>3</v>
      </c>
      <c r="K368" s="122"/>
      <c r="L368" s="120">
        <f t="shared" si="36"/>
        <v>46132</v>
      </c>
      <c r="M368" s="121">
        <f ca="1" t="shared" si="37"/>
        <v>79</v>
      </c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>
        <v>367</v>
      </c>
      <c r="B369" s="73" t="s">
        <v>442</v>
      </c>
      <c r="C369" s="73" t="s">
        <v>27</v>
      </c>
      <c r="D369" s="74" t="s">
        <v>937</v>
      </c>
      <c r="E369" s="79" t="s">
        <v>118</v>
      </c>
      <c r="F369" s="80"/>
      <c r="G369" s="81"/>
      <c r="H369" s="78" t="s">
        <v>16</v>
      </c>
      <c r="I369" s="223">
        <v>46042</v>
      </c>
      <c r="J369" s="73">
        <v>3</v>
      </c>
      <c r="K369" s="122"/>
      <c r="L369" s="120">
        <f t="shared" si="36"/>
        <v>46132</v>
      </c>
      <c r="M369" s="121">
        <f ca="1" t="shared" si="37"/>
        <v>79</v>
      </c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>
        <v>368</v>
      </c>
      <c r="B370" s="73" t="s">
        <v>780</v>
      </c>
      <c r="C370" s="73" t="s">
        <v>27</v>
      </c>
      <c r="D370" s="74" t="s">
        <v>938</v>
      </c>
      <c r="E370" s="79" t="s">
        <v>118</v>
      </c>
      <c r="F370" s="80"/>
      <c r="G370" s="81"/>
      <c r="H370" s="78" t="s">
        <v>16</v>
      </c>
      <c r="I370" s="223">
        <v>46042</v>
      </c>
      <c r="J370" s="73">
        <v>3</v>
      </c>
      <c r="K370" s="122"/>
      <c r="L370" s="120">
        <f t="shared" si="36"/>
        <v>46132</v>
      </c>
      <c r="M370" s="121">
        <f ca="1" t="shared" si="37"/>
        <v>79</v>
      </c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>
        <v>369</v>
      </c>
      <c r="B371" s="73" t="s">
        <v>439</v>
      </c>
      <c r="C371" s="73" t="s">
        <v>27</v>
      </c>
      <c r="D371" s="74" t="s">
        <v>939</v>
      </c>
      <c r="E371" s="79" t="s">
        <v>118</v>
      </c>
      <c r="F371" s="80"/>
      <c r="G371" s="81"/>
      <c r="H371" s="78" t="s">
        <v>16</v>
      </c>
      <c r="I371" s="223">
        <v>46042</v>
      </c>
      <c r="J371" s="73">
        <v>3</v>
      </c>
      <c r="K371" s="122"/>
      <c r="L371" s="120">
        <f t="shared" si="36"/>
        <v>46132</v>
      </c>
      <c r="M371" s="121">
        <f ca="1" t="shared" si="37"/>
        <v>79</v>
      </c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>
        <v>370</v>
      </c>
      <c r="B372" s="73" t="s">
        <v>439</v>
      </c>
      <c r="C372" s="73" t="s">
        <v>13</v>
      </c>
      <c r="D372" s="74" t="s">
        <v>940</v>
      </c>
      <c r="E372" s="79" t="s">
        <v>47</v>
      </c>
      <c r="F372" s="80"/>
      <c r="G372" s="81"/>
      <c r="H372" s="82"/>
      <c r="I372" s="223">
        <v>46042</v>
      </c>
      <c r="J372" s="73">
        <v>3</v>
      </c>
      <c r="K372" s="122"/>
      <c r="L372" s="120">
        <f t="shared" si="36"/>
        <v>46132</v>
      </c>
      <c r="M372" s="121">
        <f ca="1" t="shared" si="37"/>
        <v>79</v>
      </c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>
        <v>371</v>
      </c>
      <c r="B373" s="73" t="s">
        <v>731</v>
      </c>
      <c r="C373" s="73" t="s">
        <v>27</v>
      </c>
      <c r="D373" s="74" t="s">
        <v>941</v>
      </c>
      <c r="E373" s="79" t="s">
        <v>118</v>
      </c>
      <c r="F373" s="80"/>
      <c r="G373" s="81"/>
      <c r="H373" s="130" t="s">
        <v>16</v>
      </c>
      <c r="I373" s="223">
        <v>46042</v>
      </c>
      <c r="J373" s="73">
        <v>3</v>
      </c>
      <c r="K373" s="122"/>
      <c r="L373" s="120">
        <f t="shared" si="36"/>
        <v>46132</v>
      </c>
      <c r="M373" s="121">
        <f ca="1" t="shared" si="37"/>
        <v>79</v>
      </c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>
        <v>372</v>
      </c>
      <c r="B374" s="73" t="s">
        <v>731</v>
      </c>
      <c r="C374" s="73" t="s">
        <v>13</v>
      </c>
      <c r="D374" s="74" t="s">
        <v>942</v>
      </c>
      <c r="E374" s="79" t="s">
        <v>47</v>
      </c>
      <c r="F374" s="80"/>
      <c r="G374" s="81"/>
      <c r="H374" s="255"/>
      <c r="I374" s="223">
        <v>46042</v>
      </c>
      <c r="J374" s="73">
        <v>3</v>
      </c>
      <c r="K374" s="122"/>
      <c r="L374" s="120">
        <f t="shared" si="36"/>
        <v>46132</v>
      </c>
      <c r="M374" s="121">
        <f ca="1" t="shared" si="37"/>
        <v>79</v>
      </c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>
        <v>373</v>
      </c>
      <c r="B375" s="73" t="s">
        <v>731</v>
      </c>
      <c r="C375" s="73" t="s">
        <v>13</v>
      </c>
      <c r="D375" s="74" t="s">
        <v>943</v>
      </c>
      <c r="E375" s="79" t="s">
        <v>47</v>
      </c>
      <c r="F375" s="80"/>
      <c r="G375" s="81"/>
      <c r="H375" s="255"/>
      <c r="I375" s="223">
        <v>46042</v>
      </c>
      <c r="J375" s="73">
        <v>3</v>
      </c>
      <c r="K375" s="122"/>
      <c r="L375" s="120">
        <f t="shared" si="36"/>
        <v>46132</v>
      </c>
      <c r="M375" s="121">
        <f ca="1" t="shared" si="37"/>
        <v>79</v>
      </c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>
        <v>374</v>
      </c>
      <c r="B376" s="73" t="s">
        <v>731</v>
      </c>
      <c r="C376" s="73" t="s">
        <v>13</v>
      </c>
      <c r="D376" s="74" t="s">
        <v>944</v>
      </c>
      <c r="E376" s="79" t="s">
        <v>47</v>
      </c>
      <c r="F376" s="80"/>
      <c r="G376" s="81"/>
      <c r="H376" s="255"/>
      <c r="I376" s="223">
        <v>46042</v>
      </c>
      <c r="J376" s="73">
        <v>3</v>
      </c>
      <c r="K376" s="122"/>
      <c r="L376" s="120">
        <f t="shared" si="36"/>
        <v>46132</v>
      </c>
      <c r="M376" s="121">
        <f ca="1" t="shared" si="37"/>
        <v>79</v>
      </c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>
        <v>375</v>
      </c>
      <c r="B377" s="73" t="s">
        <v>945</v>
      </c>
      <c r="C377" s="73" t="s">
        <v>27</v>
      </c>
      <c r="D377" s="74" t="s">
        <v>946</v>
      </c>
      <c r="E377" s="79" t="s">
        <v>947</v>
      </c>
      <c r="F377" s="80"/>
      <c r="G377" s="81"/>
      <c r="H377" s="255"/>
      <c r="I377" s="223">
        <v>46042</v>
      </c>
      <c r="J377" s="73">
        <v>3</v>
      </c>
      <c r="K377" s="122"/>
      <c r="L377" s="120">
        <f t="shared" si="36"/>
        <v>46132</v>
      </c>
      <c r="M377" s="121">
        <f ca="1" t="shared" si="37"/>
        <v>79</v>
      </c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>
        <v>376</v>
      </c>
      <c r="B378" s="73" t="s">
        <v>162</v>
      </c>
      <c r="C378" s="73" t="s">
        <v>158</v>
      </c>
      <c r="D378" s="74" t="s">
        <v>948</v>
      </c>
      <c r="E378" s="79" t="s">
        <v>158</v>
      </c>
      <c r="F378" s="80"/>
      <c r="G378" s="81"/>
      <c r="H378" s="78" t="s">
        <v>16</v>
      </c>
      <c r="I378" s="223">
        <v>46042</v>
      </c>
      <c r="J378" s="73">
        <v>3</v>
      </c>
      <c r="K378" s="122"/>
      <c r="L378" s="120">
        <f t="shared" si="36"/>
        <v>46132</v>
      </c>
      <c r="M378" s="121">
        <f ca="1" t="shared" si="37"/>
        <v>79</v>
      </c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>
        <v>377</v>
      </c>
      <c r="B379" s="73" t="s">
        <v>162</v>
      </c>
      <c r="C379" s="73" t="s">
        <v>158</v>
      </c>
      <c r="D379" s="74" t="s">
        <v>949</v>
      </c>
      <c r="E379" s="79" t="s">
        <v>167</v>
      </c>
      <c r="F379" s="80"/>
      <c r="G379" s="81"/>
      <c r="H379" s="82"/>
      <c r="I379" s="223">
        <v>46042</v>
      </c>
      <c r="J379" s="73">
        <v>3</v>
      </c>
      <c r="K379" s="122"/>
      <c r="L379" s="120">
        <f t="shared" si="36"/>
        <v>46132</v>
      </c>
      <c r="M379" s="121">
        <f ca="1" t="shared" si="37"/>
        <v>79</v>
      </c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>
        <v>378</v>
      </c>
      <c r="B380" s="73" t="s">
        <v>162</v>
      </c>
      <c r="C380" s="73" t="s">
        <v>158</v>
      </c>
      <c r="D380" s="74" t="s">
        <v>591</v>
      </c>
      <c r="E380" s="79" t="s">
        <v>225</v>
      </c>
      <c r="F380" s="80"/>
      <c r="G380" s="81"/>
      <c r="H380" s="82"/>
      <c r="I380" s="223" t="s">
        <v>472</v>
      </c>
      <c r="J380" s="73"/>
      <c r="K380" s="122"/>
      <c r="L380" s="120" t="e">
        <f t="shared" si="36"/>
        <v>#VALUE!</v>
      </c>
      <c r="M380" s="121" t="e">
        <f ca="1" t="shared" si="37"/>
        <v>#VALUE!</v>
      </c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>
        <v>379</v>
      </c>
      <c r="B381" s="73" t="s">
        <v>162</v>
      </c>
      <c r="C381" s="73" t="s">
        <v>158</v>
      </c>
      <c r="D381" s="74" t="s">
        <v>224</v>
      </c>
      <c r="E381" s="79" t="s">
        <v>225</v>
      </c>
      <c r="F381" s="80"/>
      <c r="G381" s="81"/>
      <c r="H381" s="82"/>
      <c r="I381" s="223" t="s">
        <v>472</v>
      </c>
      <c r="J381" s="73"/>
      <c r="K381" s="122"/>
      <c r="L381" s="120" t="e">
        <f t="shared" si="36"/>
        <v>#VALUE!</v>
      </c>
      <c r="M381" s="121" t="e">
        <f ca="1" t="shared" si="37"/>
        <v>#VALUE!</v>
      </c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>
        <v>380</v>
      </c>
      <c r="B382" s="73" t="s">
        <v>157</v>
      </c>
      <c r="C382" s="73" t="s">
        <v>158</v>
      </c>
      <c r="D382" s="74" t="s">
        <v>159</v>
      </c>
      <c r="E382" s="79" t="s">
        <v>160</v>
      </c>
      <c r="F382" s="80"/>
      <c r="G382" s="81"/>
      <c r="H382" s="82"/>
      <c r="I382" s="223" t="s">
        <v>472</v>
      </c>
      <c r="J382" s="73"/>
      <c r="K382" s="122"/>
      <c r="L382" s="120" t="e">
        <f t="shared" si="36"/>
        <v>#VALUE!</v>
      </c>
      <c r="M382" s="121" t="e">
        <f ca="1" t="shared" si="37"/>
        <v>#VALUE!</v>
      </c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>
        <v>381</v>
      </c>
      <c r="B383" s="73" t="s">
        <v>484</v>
      </c>
      <c r="C383" s="73" t="s">
        <v>228</v>
      </c>
      <c r="D383" s="74" t="s">
        <v>950</v>
      </c>
      <c r="E383" s="79" t="s">
        <v>333</v>
      </c>
      <c r="F383" s="80"/>
      <c r="G383" s="81"/>
      <c r="H383" s="89" t="s">
        <v>16</v>
      </c>
      <c r="I383" s="223">
        <v>46042</v>
      </c>
      <c r="J383" s="73">
        <v>3</v>
      </c>
      <c r="K383" s="122"/>
      <c r="L383" s="120">
        <f t="shared" si="36"/>
        <v>46132</v>
      </c>
      <c r="M383" s="121">
        <f ca="1" t="shared" si="37"/>
        <v>79</v>
      </c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>
        <v>382</v>
      </c>
      <c r="B384" s="73" t="s">
        <v>548</v>
      </c>
      <c r="C384" s="73" t="s">
        <v>228</v>
      </c>
      <c r="D384" s="74" t="s">
        <v>951</v>
      </c>
      <c r="E384" s="79" t="s">
        <v>952</v>
      </c>
      <c r="F384" s="80"/>
      <c r="G384" s="81"/>
      <c r="H384" s="89" t="s">
        <v>16</v>
      </c>
      <c r="I384" s="223">
        <v>46042</v>
      </c>
      <c r="J384" s="73">
        <v>3</v>
      </c>
      <c r="K384" s="122"/>
      <c r="L384" s="120">
        <f t="shared" si="36"/>
        <v>46132</v>
      </c>
      <c r="M384" s="121">
        <f ca="1" t="shared" si="37"/>
        <v>79</v>
      </c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>
        <v>383</v>
      </c>
      <c r="B385" s="73" t="s">
        <v>548</v>
      </c>
      <c r="C385" s="73" t="s">
        <v>228</v>
      </c>
      <c r="D385" s="74" t="s">
        <v>953</v>
      </c>
      <c r="E385" s="79" t="s">
        <v>346</v>
      </c>
      <c r="F385" s="80"/>
      <c r="G385" s="81"/>
      <c r="H385" s="89" t="s">
        <v>16</v>
      </c>
      <c r="I385" s="223">
        <v>46042</v>
      </c>
      <c r="J385" s="73">
        <v>3</v>
      </c>
      <c r="K385" s="122"/>
      <c r="L385" s="120">
        <f t="shared" si="36"/>
        <v>46132</v>
      </c>
      <c r="M385" s="121">
        <f ca="1" t="shared" si="37"/>
        <v>79</v>
      </c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>
        <v>384</v>
      </c>
      <c r="B386" s="73" t="s">
        <v>548</v>
      </c>
      <c r="C386" s="73" t="s">
        <v>228</v>
      </c>
      <c r="D386" s="74" t="s">
        <v>954</v>
      </c>
      <c r="E386" s="79" t="s">
        <v>346</v>
      </c>
      <c r="F386" s="80"/>
      <c r="G386" s="81"/>
      <c r="H386" s="89" t="s">
        <v>16</v>
      </c>
      <c r="I386" s="223">
        <v>46042</v>
      </c>
      <c r="J386" s="73">
        <v>3</v>
      </c>
      <c r="K386" s="122"/>
      <c r="L386" s="120">
        <f t="shared" si="36"/>
        <v>46132</v>
      </c>
      <c r="M386" s="121">
        <f ca="1" t="shared" si="37"/>
        <v>79</v>
      </c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>
        <v>385</v>
      </c>
      <c r="B387" s="73" t="s">
        <v>548</v>
      </c>
      <c r="C387" s="73" t="s">
        <v>228</v>
      </c>
      <c r="D387" s="74" t="s">
        <v>955</v>
      </c>
      <c r="E387" s="79" t="s">
        <v>346</v>
      </c>
      <c r="F387" s="80"/>
      <c r="G387" s="81"/>
      <c r="H387" s="89" t="s">
        <v>16</v>
      </c>
      <c r="I387" s="223">
        <v>46042</v>
      </c>
      <c r="J387" s="73">
        <v>3</v>
      </c>
      <c r="K387" s="122"/>
      <c r="L387" s="120">
        <f t="shared" si="36"/>
        <v>46132</v>
      </c>
      <c r="M387" s="121">
        <f ca="1" t="shared" si="37"/>
        <v>79</v>
      </c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>
        <v>386</v>
      </c>
      <c r="B388" s="73" t="s">
        <v>548</v>
      </c>
      <c r="C388" s="73" t="s">
        <v>228</v>
      </c>
      <c r="D388" s="74" t="s">
        <v>956</v>
      </c>
      <c r="E388" s="79" t="s">
        <v>346</v>
      </c>
      <c r="F388" s="80"/>
      <c r="G388" s="81"/>
      <c r="H388" s="89" t="s">
        <v>16</v>
      </c>
      <c r="I388" s="223">
        <v>46042</v>
      </c>
      <c r="J388" s="73">
        <v>3</v>
      </c>
      <c r="K388" s="122"/>
      <c r="L388" s="120">
        <f t="shared" si="36"/>
        <v>46132</v>
      </c>
      <c r="M388" s="121">
        <f ca="1" t="shared" si="37"/>
        <v>79</v>
      </c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>
        <v>387</v>
      </c>
      <c r="B389" s="73" t="s">
        <v>707</v>
      </c>
      <c r="C389" s="73" t="s">
        <v>228</v>
      </c>
      <c r="D389" s="74" t="s">
        <v>957</v>
      </c>
      <c r="E389" s="79" t="s">
        <v>546</v>
      </c>
      <c r="F389" s="80"/>
      <c r="G389" s="81"/>
      <c r="H389" s="89" t="s">
        <v>16</v>
      </c>
      <c r="I389" s="223">
        <v>46042</v>
      </c>
      <c r="J389" s="73">
        <v>3</v>
      </c>
      <c r="K389" s="122"/>
      <c r="L389" s="120">
        <f t="shared" si="36"/>
        <v>46132</v>
      </c>
      <c r="M389" s="121">
        <f ca="1" t="shared" si="37"/>
        <v>79</v>
      </c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>
        <v>388</v>
      </c>
      <c r="B390" s="73" t="s">
        <v>12</v>
      </c>
      <c r="C390" s="73" t="s">
        <v>13</v>
      </c>
      <c r="D390" s="74" t="s">
        <v>958</v>
      </c>
      <c r="E390" s="79" t="s">
        <v>959</v>
      </c>
      <c r="F390" s="80"/>
      <c r="G390" s="81"/>
      <c r="H390" s="89" t="s">
        <v>16</v>
      </c>
      <c r="I390" s="223">
        <v>46043</v>
      </c>
      <c r="J390" s="73">
        <v>3</v>
      </c>
      <c r="K390" s="122"/>
      <c r="L390" s="120">
        <f t="shared" ref="L390:L408" si="38">EDATE(I390,J390)</f>
        <v>46133</v>
      </c>
      <c r="M390" s="121">
        <f ca="1" t="shared" ref="M390:M408" si="39">L390-TODAY()</f>
        <v>80</v>
      </c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>
        <v>389</v>
      </c>
      <c r="B391" s="73" t="s">
        <v>852</v>
      </c>
      <c r="C391" s="73" t="s">
        <v>27</v>
      </c>
      <c r="D391" s="74" t="s">
        <v>960</v>
      </c>
      <c r="E391" s="79" t="s">
        <v>961</v>
      </c>
      <c r="F391" s="80"/>
      <c r="G391" s="81"/>
      <c r="H391" s="204"/>
      <c r="I391" s="223">
        <v>46043</v>
      </c>
      <c r="J391" s="73">
        <v>3</v>
      </c>
      <c r="K391" s="122"/>
      <c r="L391" s="120">
        <f t="shared" si="38"/>
        <v>46133</v>
      </c>
      <c r="M391" s="121">
        <f ca="1" t="shared" si="39"/>
        <v>80</v>
      </c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>
        <v>390</v>
      </c>
      <c r="B392" s="73" t="s">
        <v>348</v>
      </c>
      <c r="C392" s="73" t="s">
        <v>13</v>
      </c>
      <c r="D392" s="74" t="s">
        <v>962</v>
      </c>
      <c r="E392" s="79" t="s">
        <v>47</v>
      </c>
      <c r="F392" s="80"/>
      <c r="G392" s="81"/>
      <c r="H392" s="83" t="s">
        <v>16</v>
      </c>
      <c r="I392" s="223">
        <v>46043</v>
      </c>
      <c r="J392" s="73">
        <v>3</v>
      </c>
      <c r="K392" s="122"/>
      <c r="L392" s="120">
        <f t="shared" si="38"/>
        <v>46133</v>
      </c>
      <c r="M392" s="121">
        <f ca="1" t="shared" si="39"/>
        <v>80</v>
      </c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>
        <v>391</v>
      </c>
      <c r="B393" s="73" t="s">
        <v>140</v>
      </c>
      <c r="C393" s="73" t="s">
        <v>27</v>
      </c>
      <c r="D393" s="74" t="s">
        <v>963</v>
      </c>
      <c r="E393" s="79" t="s">
        <v>964</v>
      </c>
      <c r="F393" s="80"/>
      <c r="G393" s="81"/>
      <c r="H393" s="204"/>
      <c r="I393" s="223">
        <v>46043</v>
      </c>
      <c r="J393" s="73">
        <v>3</v>
      </c>
      <c r="K393" s="122"/>
      <c r="L393" s="120">
        <f t="shared" si="38"/>
        <v>46133</v>
      </c>
      <c r="M393" s="121">
        <f ca="1" t="shared" si="39"/>
        <v>80</v>
      </c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>
        <v>392</v>
      </c>
      <c r="B394" s="73" t="s">
        <v>140</v>
      </c>
      <c r="C394" s="73" t="s">
        <v>27</v>
      </c>
      <c r="D394" s="74" t="s">
        <v>965</v>
      </c>
      <c r="E394" s="79" t="s">
        <v>29</v>
      </c>
      <c r="F394" s="80"/>
      <c r="G394" s="81"/>
      <c r="H394" s="204"/>
      <c r="I394" s="223">
        <v>46043</v>
      </c>
      <c r="J394" s="73">
        <v>3</v>
      </c>
      <c r="K394" s="122"/>
      <c r="L394" s="120">
        <f t="shared" si="38"/>
        <v>46133</v>
      </c>
      <c r="M394" s="121">
        <f ca="1" t="shared" si="39"/>
        <v>80</v>
      </c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>
        <v>393</v>
      </c>
      <c r="B395" s="73" t="s">
        <v>140</v>
      </c>
      <c r="C395" s="73" t="s">
        <v>27</v>
      </c>
      <c r="D395" s="74" t="s">
        <v>966</v>
      </c>
      <c r="E395" s="79" t="s">
        <v>967</v>
      </c>
      <c r="F395" s="80"/>
      <c r="G395" s="81"/>
      <c r="H395" s="204"/>
      <c r="I395" s="223">
        <v>46043</v>
      </c>
      <c r="J395" s="73">
        <v>3</v>
      </c>
      <c r="K395" s="122"/>
      <c r="L395" s="120">
        <f t="shared" si="38"/>
        <v>46133</v>
      </c>
      <c r="M395" s="121">
        <f ca="1" t="shared" si="39"/>
        <v>80</v>
      </c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>
        <v>394</v>
      </c>
      <c r="B396" s="73" t="s">
        <v>140</v>
      </c>
      <c r="C396" s="73" t="s">
        <v>13</v>
      </c>
      <c r="D396" s="74" t="s">
        <v>968</v>
      </c>
      <c r="E396" s="79" t="s">
        <v>32</v>
      </c>
      <c r="F396" s="80"/>
      <c r="G396" s="81"/>
      <c r="H396" s="82"/>
      <c r="I396" s="223">
        <v>46043</v>
      </c>
      <c r="J396" s="73">
        <v>3</v>
      </c>
      <c r="K396" s="122"/>
      <c r="L396" s="120">
        <f t="shared" si="38"/>
        <v>46133</v>
      </c>
      <c r="M396" s="121">
        <f ca="1" t="shared" si="39"/>
        <v>80</v>
      </c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>
        <v>395</v>
      </c>
      <c r="B397" s="73" t="s">
        <v>140</v>
      </c>
      <c r="C397" s="73" t="s">
        <v>13</v>
      </c>
      <c r="D397" s="74" t="s">
        <v>969</v>
      </c>
      <c r="E397" s="79" t="s">
        <v>47</v>
      </c>
      <c r="F397" s="80"/>
      <c r="G397" s="81"/>
      <c r="H397" s="82"/>
      <c r="I397" s="223">
        <v>46043</v>
      </c>
      <c r="J397" s="73">
        <v>3</v>
      </c>
      <c r="K397" s="122"/>
      <c r="L397" s="120">
        <f t="shared" si="38"/>
        <v>46133</v>
      </c>
      <c r="M397" s="121">
        <f ca="1" t="shared" si="39"/>
        <v>80</v>
      </c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>
        <v>396</v>
      </c>
      <c r="B398" s="73" t="s">
        <v>140</v>
      </c>
      <c r="C398" s="73" t="s">
        <v>13</v>
      </c>
      <c r="D398" s="94" t="s">
        <v>970</v>
      </c>
      <c r="E398" s="79" t="s">
        <v>774</v>
      </c>
      <c r="F398" s="80"/>
      <c r="G398" s="81"/>
      <c r="H398" s="82"/>
      <c r="I398" s="223">
        <v>46043</v>
      </c>
      <c r="J398" s="73">
        <v>3</v>
      </c>
      <c r="K398" s="122"/>
      <c r="L398" s="120">
        <f t="shared" si="38"/>
        <v>46133</v>
      </c>
      <c r="M398" s="121">
        <f ca="1" t="shared" si="39"/>
        <v>80</v>
      </c>
      <c r="N398" s="73"/>
      <c r="O398" s="73"/>
      <c r="P398" s="73"/>
      <c r="Q398" s="259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60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60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26" customHeight="1" spans="1:52">
      <c r="A399" s="73">
        <v>397</v>
      </c>
      <c r="B399" s="73" t="s">
        <v>140</v>
      </c>
      <c r="C399" s="73" t="s">
        <v>13</v>
      </c>
      <c r="D399" s="94" t="s">
        <v>971</v>
      </c>
      <c r="E399" s="79" t="s">
        <v>194</v>
      </c>
      <c r="F399" s="80"/>
      <c r="G399" s="81"/>
      <c r="H399" s="82"/>
      <c r="I399" s="223">
        <v>46043</v>
      </c>
      <c r="J399" s="73">
        <v>3</v>
      </c>
      <c r="K399" s="122"/>
      <c r="L399" s="120">
        <f t="shared" si="38"/>
        <v>46133</v>
      </c>
      <c r="M399" s="121">
        <f ca="1" t="shared" si="39"/>
        <v>80</v>
      </c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24" customHeight="1" spans="1:52">
      <c r="A400" s="73">
        <v>398</v>
      </c>
      <c r="B400" s="73" t="s">
        <v>82</v>
      </c>
      <c r="C400" s="73" t="s">
        <v>13</v>
      </c>
      <c r="D400" s="74" t="s">
        <v>972</v>
      </c>
      <c r="E400" s="79" t="s">
        <v>32</v>
      </c>
      <c r="F400" s="80"/>
      <c r="G400" s="81"/>
      <c r="H400" s="130" t="s">
        <v>16</v>
      </c>
      <c r="I400" s="223">
        <v>46043</v>
      </c>
      <c r="J400" s="73">
        <v>3</v>
      </c>
      <c r="K400" s="122"/>
      <c r="L400" s="120">
        <f t="shared" si="38"/>
        <v>46133</v>
      </c>
      <c r="M400" s="121">
        <f ca="1" t="shared" si="39"/>
        <v>80</v>
      </c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>
        <v>399</v>
      </c>
      <c r="B401" s="73" t="s">
        <v>82</v>
      </c>
      <c r="C401" s="73" t="s">
        <v>13</v>
      </c>
      <c r="D401" s="74" t="s">
        <v>973</v>
      </c>
      <c r="E401" s="79" t="s">
        <v>32</v>
      </c>
      <c r="F401" s="80"/>
      <c r="G401" s="81"/>
      <c r="H401" s="130" t="s">
        <v>16</v>
      </c>
      <c r="I401" s="223">
        <v>46043</v>
      </c>
      <c r="J401" s="73">
        <v>3</v>
      </c>
      <c r="K401" s="122"/>
      <c r="L401" s="120">
        <f t="shared" si="38"/>
        <v>46133</v>
      </c>
      <c r="M401" s="121">
        <f ca="1" t="shared" si="39"/>
        <v>80</v>
      </c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>
        <v>400</v>
      </c>
      <c r="B402" s="73" t="s">
        <v>82</v>
      </c>
      <c r="C402" s="73" t="s">
        <v>13</v>
      </c>
      <c r="D402" s="74" t="s">
        <v>974</v>
      </c>
      <c r="E402" s="79" t="s">
        <v>371</v>
      </c>
      <c r="F402" s="80"/>
      <c r="G402" s="81"/>
      <c r="H402" s="130" t="s">
        <v>16</v>
      </c>
      <c r="I402" s="223">
        <v>46043</v>
      </c>
      <c r="J402" s="73">
        <v>3</v>
      </c>
      <c r="K402" s="122"/>
      <c r="L402" s="120">
        <f t="shared" si="38"/>
        <v>46133</v>
      </c>
      <c r="M402" s="121">
        <f ca="1" t="shared" si="39"/>
        <v>80</v>
      </c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>
        <v>401</v>
      </c>
      <c r="B403" s="79" t="s">
        <v>283</v>
      </c>
      <c r="C403" s="73" t="s">
        <v>13</v>
      </c>
      <c r="D403" s="74" t="s">
        <v>975</v>
      </c>
      <c r="E403" s="79" t="s">
        <v>78</v>
      </c>
      <c r="F403" s="80"/>
      <c r="G403" s="81"/>
      <c r="H403" s="82"/>
      <c r="I403" s="223">
        <v>46043</v>
      </c>
      <c r="J403" s="73">
        <v>3</v>
      </c>
      <c r="K403" s="122"/>
      <c r="L403" s="120">
        <f t="shared" si="38"/>
        <v>46133</v>
      </c>
      <c r="M403" s="121">
        <f ca="1" t="shared" si="39"/>
        <v>80</v>
      </c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>
        <v>402</v>
      </c>
      <c r="B404" s="79" t="s">
        <v>283</v>
      </c>
      <c r="C404" s="73" t="s">
        <v>13</v>
      </c>
      <c r="D404" s="74" t="s">
        <v>976</v>
      </c>
      <c r="E404" s="79" t="s">
        <v>977</v>
      </c>
      <c r="F404" s="80"/>
      <c r="G404" s="81"/>
      <c r="H404" s="89" t="s">
        <v>16</v>
      </c>
      <c r="I404" s="223">
        <v>46043</v>
      </c>
      <c r="J404" s="73">
        <v>3</v>
      </c>
      <c r="K404" s="122"/>
      <c r="L404" s="120">
        <f t="shared" si="38"/>
        <v>46133</v>
      </c>
      <c r="M404" s="121">
        <f ca="1" t="shared" si="39"/>
        <v>80</v>
      </c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>
        <v>403</v>
      </c>
      <c r="B405" s="73" t="s">
        <v>465</v>
      </c>
      <c r="C405" s="73" t="s">
        <v>158</v>
      </c>
      <c r="D405" s="74" t="s">
        <v>978</v>
      </c>
      <c r="E405" s="79" t="s">
        <v>158</v>
      </c>
      <c r="F405" s="80"/>
      <c r="G405" s="81"/>
      <c r="H405" s="82"/>
      <c r="I405" s="223">
        <v>46043</v>
      </c>
      <c r="J405" s="73">
        <v>3</v>
      </c>
      <c r="K405" s="122"/>
      <c r="L405" s="120">
        <f t="shared" si="38"/>
        <v>46133</v>
      </c>
      <c r="M405" s="121">
        <f ca="1" t="shared" si="39"/>
        <v>80</v>
      </c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>
        <v>404</v>
      </c>
      <c r="B406" s="73" t="s">
        <v>169</v>
      </c>
      <c r="C406" s="73" t="s">
        <v>158</v>
      </c>
      <c r="D406" s="74" t="s">
        <v>979</v>
      </c>
      <c r="E406" s="79" t="s">
        <v>221</v>
      </c>
      <c r="F406" s="80"/>
      <c r="G406" s="81"/>
      <c r="H406" s="82"/>
      <c r="I406" s="223">
        <v>46043</v>
      </c>
      <c r="J406" s="73">
        <v>3</v>
      </c>
      <c r="K406" s="122"/>
      <c r="L406" s="120">
        <f t="shared" si="38"/>
        <v>46133</v>
      </c>
      <c r="M406" s="121">
        <f ca="1" t="shared" si="39"/>
        <v>80</v>
      </c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>
        <v>405</v>
      </c>
      <c r="B407" s="73" t="s">
        <v>394</v>
      </c>
      <c r="C407" s="73" t="s">
        <v>158</v>
      </c>
      <c r="D407" s="74" t="s">
        <v>159</v>
      </c>
      <c r="E407" s="79" t="s">
        <v>160</v>
      </c>
      <c r="F407" s="80"/>
      <c r="G407" s="81"/>
      <c r="H407" s="82"/>
      <c r="I407" s="223" t="s">
        <v>472</v>
      </c>
      <c r="J407" s="73"/>
      <c r="K407" s="122"/>
      <c r="L407" s="120" t="e">
        <f t="shared" si="38"/>
        <v>#VALUE!</v>
      </c>
      <c r="M407" s="121" t="e">
        <f ca="1" t="shared" si="39"/>
        <v>#VALUE!</v>
      </c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>
        <v>406</v>
      </c>
      <c r="B408" s="73" t="s">
        <v>489</v>
      </c>
      <c r="C408" s="73" t="s">
        <v>228</v>
      </c>
      <c r="D408" s="74" t="s">
        <v>980</v>
      </c>
      <c r="E408" s="79" t="s">
        <v>981</v>
      </c>
      <c r="F408" s="80"/>
      <c r="G408" s="81"/>
      <c r="H408" s="82"/>
      <c r="I408" s="223">
        <v>46043</v>
      </c>
      <c r="J408" s="73">
        <v>3</v>
      </c>
      <c r="K408" s="122"/>
      <c r="L408" s="120">
        <f t="shared" si="38"/>
        <v>46133</v>
      </c>
      <c r="M408" s="121">
        <f ca="1" t="shared" si="39"/>
        <v>80</v>
      </c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>
        <v>407</v>
      </c>
      <c r="B409" s="73" t="s">
        <v>82</v>
      </c>
      <c r="C409" s="73" t="s">
        <v>13</v>
      </c>
      <c r="D409" s="74" t="s">
        <v>982</v>
      </c>
      <c r="E409" s="79" t="s">
        <v>25</v>
      </c>
      <c r="F409" s="80"/>
      <c r="G409" s="81"/>
      <c r="H409" s="78" t="s">
        <v>16</v>
      </c>
      <c r="I409" s="223">
        <v>46044</v>
      </c>
      <c r="J409" s="73">
        <v>3</v>
      </c>
      <c r="K409" s="122"/>
      <c r="L409" s="120">
        <f t="shared" ref="L409:L435" si="40">EDATE(I409,J409)</f>
        <v>46134</v>
      </c>
      <c r="M409" s="121">
        <f ca="1" t="shared" ref="M409:M435" si="41">L409-TODAY()</f>
        <v>81</v>
      </c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>
        <v>408</v>
      </c>
      <c r="B410" s="73" t="s">
        <v>140</v>
      </c>
      <c r="C410" s="73" t="s">
        <v>13</v>
      </c>
      <c r="D410" s="74" t="s">
        <v>983</v>
      </c>
      <c r="E410" s="79" t="s">
        <v>25</v>
      </c>
      <c r="F410" s="80"/>
      <c r="G410" s="81"/>
      <c r="H410" s="82"/>
      <c r="I410" s="223">
        <v>46044</v>
      </c>
      <c r="J410" s="73">
        <v>3</v>
      </c>
      <c r="K410" s="122"/>
      <c r="L410" s="120">
        <f t="shared" si="40"/>
        <v>46134</v>
      </c>
      <c r="M410" s="121">
        <f ca="1" t="shared" si="41"/>
        <v>81</v>
      </c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1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1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>
        <v>409</v>
      </c>
      <c r="B411" s="73" t="s">
        <v>283</v>
      </c>
      <c r="C411" s="73" t="s">
        <v>27</v>
      </c>
      <c r="D411" s="254" t="s">
        <v>984</v>
      </c>
      <c r="E411" s="79" t="s">
        <v>118</v>
      </c>
      <c r="F411" s="80"/>
      <c r="G411" s="81"/>
      <c r="H411" s="78" t="s">
        <v>16</v>
      </c>
      <c r="I411" s="223">
        <v>46044</v>
      </c>
      <c r="J411" s="73">
        <v>3</v>
      </c>
      <c r="K411" s="122"/>
      <c r="L411" s="120">
        <f t="shared" si="40"/>
        <v>46134</v>
      </c>
      <c r="M411" s="121">
        <f ca="1" t="shared" si="41"/>
        <v>81</v>
      </c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2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ht="22.5" spans="1:52">
      <c r="A412" s="73">
        <v>410</v>
      </c>
      <c r="B412" s="73" t="s">
        <v>181</v>
      </c>
      <c r="C412" s="73" t="s">
        <v>158</v>
      </c>
      <c r="D412" s="258" t="s">
        <v>985</v>
      </c>
      <c r="E412" s="79" t="s">
        <v>986</v>
      </c>
      <c r="F412" s="80"/>
      <c r="G412" s="81"/>
      <c r="H412" s="82"/>
      <c r="I412" s="223">
        <v>46044</v>
      </c>
      <c r="J412" s="73">
        <v>3</v>
      </c>
      <c r="K412" s="122"/>
      <c r="L412" s="120">
        <f t="shared" si="40"/>
        <v>46134</v>
      </c>
      <c r="M412" s="121">
        <f ca="1" t="shared" si="41"/>
        <v>81</v>
      </c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3"/>
      <c r="AV412" s="158"/>
      <c r="AW412" s="152"/>
      <c r="AX412" s="122"/>
      <c r="AY412" s="120"/>
      <c r="AZ412" s="121"/>
    </row>
    <row r="413" ht="22.5" spans="1:52">
      <c r="A413" s="73">
        <v>411</v>
      </c>
      <c r="B413" s="73" t="s">
        <v>181</v>
      </c>
      <c r="C413" s="73" t="s">
        <v>158</v>
      </c>
      <c r="D413" s="254" t="s">
        <v>987</v>
      </c>
      <c r="E413" s="79" t="s">
        <v>988</v>
      </c>
      <c r="F413" s="80"/>
      <c r="G413" s="81"/>
      <c r="H413" s="82"/>
      <c r="I413" s="223">
        <v>46044</v>
      </c>
      <c r="J413" s="73">
        <v>3</v>
      </c>
      <c r="K413" s="122"/>
      <c r="L413" s="120">
        <f t="shared" si="40"/>
        <v>46134</v>
      </c>
      <c r="M413" s="121">
        <f ca="1" t="shared" si="41"/>
        <v>81</v>
      </c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>
        <v>412</v>
      </c>
      <c r="B414" s="73" t="s">
        <v>181</v>
      </c>
      <c r="C414" s="73" t="s">
        <v>158</v>
      </c>
      <c r="D414" s="74" t="s">
        <v>989</v>
      </c>
      <c r="E414" s="79" t="s">
        <v>990</v>
      </c>
      <c r="F414" s="80"/>
      <c r="G414" s="81"/>
      <c r="H414" s="82"/>
      <c r="I414" s="223">
        <v>46044</v>
      </c>
      <c r="J414" s="73">
        <v>3</v>
      </c>
      <c r="K414" s="122"/>
      <c r="L414" s="120">
        <f t="shared" si="40"/>
        <v>46134</v>
      </c>
      <c r="M414" s="121">
        <f ca="1" t="shared" si="41"/>
        <v>81</v>
      </c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>
        <v>413</v>
      </c>
      <c r="B415" s="73" t="s">
        <v>162</v>
      </c>
      <c r="C415" s="73" t="s">
        <v>158</v>
      </c>
      <c r="D415" s="74" t="s">
        <v>166</v>
      </c>
      <c r="E415" s="79" t="s">
        <v>167</v>
      </c>
      <c r="F415" s="80"/>
      <c r="G415" s="81"/>
      <c r="H415" s="82"/>
      <c r="I415" s="223" t="s">
        <v>472</v>
      </c>
      <c r="J415" s="73"/>
      <c r="K415" s="122"/>
      <c r="L415" s="120" t="e">
        <f t="shared" si="40"/>
        <v>#VALUE!</v>
      </c>
      <c r="M415" s="121" t="e">
        <f ca="1" t="shared" si="41"/>
        <v>#VALUE!</v>
      </c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>
        <v>414</v>
      </c>
      <c r="B416" s="73" t="s">
        <v>162</v>
      </c>
      <c r="C416" s="73" t="s">
        <v>158</v>
      </c>
      <c r="D416" s="74" t="s">
        <v>948</v>
      </c>
      <c r="E416" s="79" t="s">
        <v>990</v>
      </c>
      <c r="F416" s="80"/>
      <c r="G416" s="81"/>
      <c r="H416" s="82"/>
      <c r="I416" s="223" t="s">
        <v>472</v>
      </c>
      <c r="J416" s="73"/>
      <c r="K416" s="122"/>
      <c r="L416" s="120" t="e">
        <f t="shared" si="40"/>
        <v>#VALUE!</v>
      </c>
      <c r="M416" s="121" t="e">
        <f ca="1" t="shared" si="41"/>
        <v>#VALUE!</v>
      </c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>
        <v>415</v>
      </c>
      <c r="B417" s="73" t="s">
        <v>162</v>
      </c>
      <c r="C417" s="73" t="s">
        <v>158</v>
      </c>
      <c r="D417" s="74" t="s">
        <v>591</v>
      </c>
      <c r="E417" s="79" t="s">
        <v>225</v>
      </c>
      <c r="F417" s="80"/>
      <c r="G417" s="81"/>
      <c r="H417" s="82"/>
      <c r="I417" s="223" t="s">
        <v>472</v>
      </c>
      <c r="J417" s="73"/>
      <c r="K417" s="122"/>
      <c r="L417" s="120" t="e">
        <f t="shared" si="40"/>
        <v>#VALUE!</v>
      </c>
      <c r="M417" s="121" t="e">
        <f ca="1" t="shared" si="41"/>
        <v>#VALUE!</v>
      </c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>
        <v>416</v>
      </c>
      <c r="B418" s="73" t="s">
        <v>856</v>
      </c>
      <c r="C418" s="73" t="s">
        <v>228</v>
      </c>
      <c r="D418" s="74" t="s">
        <v>991</v>
      </c>
      <c r="E418" s="79" t="s">
        <v>546</v>
      </c>
      <c r="F418" s="80"/>
      <c r="G418" s="81"/>
      <c r="H418" s="82"/>
      <c r="I418" s="223">
        <v>46044</v>
      </c>
      <c r="J418" s="73">
        <v>3</v>
      </c>
      <c r="K418" s="122"/>
      <c r="L418" s="120">
        <f t="shared" si="40"/>
        <v>46134</v>
      </c>
      <c r="M418" s="121">
        <f ca="1" t="shared" si="41"/>
        <v>81</v>
      </c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>
        <v>417</v>
      </c>
      <c r="B419" s="73" t="s">
        <v>856</v>
      </c>
      <c r="C419" s="73" t="s">
        <v>228</v>
      </c>
      <c r="D419" s="74" t="s">
        <v>992</v>
      </c>
      <c r="E419" s="79" t="s">
        <v>546</v>
      </c>
      <c r="F419" s="80"/>
      <c r="G419" s="81"/>
      <c r="H419" s="82"/>
      <c r="I419" s="223">
        <v>46044</v>
      </c>
      <c r="J419" s="73">
        <v>3</v>
      </c>
      <c r="K419" s="122"/>
      <c r="L419" s="120">
        <f t="shared" si="40"/>
        <v>46134</v>
      </c>
      <c r="M419" s="121">
        <f ca="1" t="shared" si="41"/>
        <v>81</v>
      </c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>
        <v>418</v>
      </c>
      <c r="B420" s="73" t="s">
        <v>856</v>
      </c>
      <c r="C420" s="73" t="s">
        <v>228</v>
      </c>
      <c r="D420" s="74" t="s">
        <v>993</v>
      </c>
      <c r="E420" s="79" t="s">
        <v>546</v>
      </c>
      <c r="F420" s="80"/>
      <c r="G420" s="81"/>
      <c r="H420" s="82"/>
      <c r="I420" s="223">
        <v>46044</v>
      </c>
      <c r="J420" s="73">
        <v>3</v>
      </c>
      <c r="K420" s="122"/>
      <c r="L420" s="120">
        <f t="shared" si="40"/>
        <v>46134</v>
      </c>
      <c r="M420" s="121">
        <f ca="1" t="shared" si="41"/>
        <v>81</v>
      </c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>
        <v>419</v>
      </c>
      <c r="B421" s="73" t="s">
        <v>856</v>
      </c>
      <c r="C421" s="73" t="s">
        <v>228</v>
      </c>
      <c r="D421" s="74" t="s">
        <v>994</v>
      </c>
      <c r="E421" s="79" t="s">
        <v>546</v>
      </c>
      <c r="F421" s="80"/>
      <c r="G421" s="81"/>
      <c r="H421" s="82"/>
      <c r="I421" s="223">
        <v>46044</v>
      </c>
      <c r="J421" s="73">
        <v>3</v>
      </c>
      <c r="K421" s="122"/>
      <c r="L421" s="120">
        <f t="shared" si="40"/>
        <v>46134</v>
      </c>
      <c r="M421" s="121">
        <f ca="1" t="shared" si="41"/>
        <v>81</v>
      </c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>
        <v>420</v>
      </c>
      <c r="B422" s="73" t="s">
        <v>856</v>
      </c>
      <c r="C422" s="73" t="s">
        <v>228</v>
      </c>
      <c r="D422" s="74" t="s">
        <v>995</v>
      </c>
      <c r="E422" s="79" t="s">
        <v>546</v>
      </c>
      <c r="F422" s="80"/>
      <c r="G422" s="81"/>
      <c r="H422" s="82"/>
      <c r="I422" s="223">
        <v>46044</v>
      </c>
      <c r="J422" s="73">
        <v>3</v>
      </c>
      <c r="K422" s="122"/>
      <c r="L422" s="120">
        <f t="shared" si="40"/>
        <v>46134</v>
      </c>
      <c r="M422" s="121">
        <f ca="1" t="shared" si="41"/>
        <v>81</v>
      </c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>
        <v>421</v>
      </c>
      <c r="B423" s="73" t="s">
        <v>856</v>
      </c>
      <c r="C423" s="73" t="s">
        <v>228</v>
      </c>
      <c r="D423" s="74" t="s">
        <v>996</v>
      </c>
      <c r="E423" s="79" t="s">
        <v>546</v>
      </c>
      <c r="F423" s="80"/>
      <c r="G423" s="81"/>
      <c r="H423" s="82"/>
      <c r="I423" s="223">
        <v>46044</v>
      </c>
      <c r="J423" s="73">
        <v>3</v>
      </c>
      <c r="K423" s="122"/>
      <c r="L423" s="120">
        <f t="shared" si="40"/>
        <v>46134</v>
      </c>
      <c r="M423" s="121">
        <f ca="1" t="shared" si="41"/>
        <v>81</v>
      </c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>
        <v>422</v>
      </c>
      <c r="B424" s="73" t="s">
        <v>856</v>
      </c>
      <c r="C424" s="73" t="s">
        <v>228</v>
      </c>
      <c r="D424" s="74" t="s">
        <v>997</v>
      </c>
      <c r="E424" s="79" t="s">
        <v>546</v>
      </c>
      <c r="F424" s="80"/>
      <c r="G424" s="81"/>
      <c r="H424" s="82"/>
      <c r="I424" s="223">
        <v>46044</v>
      </c>
      <c r="J424" s="73">
        <v>3</v>
      </c>
      <c r="K424" s="122"/>
      <c r="L424" s="120">
        <f t="shared" si="40"/>
        <v>46134</v>
      </c>
      <c r="M424" s="121">
        <f ca="1" t="shared" si="41"/>
        <v>81</v>
      </c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>
        <v>423</v>
      </c>
      <c r="B425" s="73" t="s">
        <v>856</v>
      </c>
      <c r="C425" s="73" t="s">
        <v>228</v>
      </c>
      <c r="D425" s="74" t="s">
        <v>998</v>
      </c>
      <c r="E425" s="79" t="s">
        <v>546</v>
      </c>
      <c r="F425" s="80"/>
      <c r="G425" s="81"/>
      <c r="H425" s="82"/>
      <c r="I425" s="223">
        <v>46044</v>
      </c>
      <c r="J425" s="73">
        <v>3</v>
      </c>
      <c r="K425" s="122"/>
      <c r="L425" s="120">
        <f t="shared" si="40"/>
        <v>46134</v>
      </c>
      <c r="M425" s="121">
        <f ca="1" t="shared" si="41"/>
        <v>81</v>
      </c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>
        <v>424</v>
      </c>
      <c r="B426" s="73" t="s">
        <v>856</v>
      </c>
      <c r="C426" s="73" t="s">
        <v>228</v>
      </c>
      <c r="D426" s="74" t="s">
        <v>999</v>
      </c>
      <c r="E426" s="79" t="s">
        <v>546</v>
      </c>
      <c r="F426" s="80"/>
      <c r="G426" s="81"/>
      <c r="H426" s="82"/>
      <c r="I426" s="223">
        <v>46044</v>
      </c>
      <c r="J426" s="73">
        <v>3</v>
      </c>
      <c r="K426" s="122"/>
      <c r="L426" s="120">
        <f t="shared" si="40"/>
        <v>46134</v>
      </c>
      <c r="M426" s="121">
        <f ca="1" t="shared" si="41"/>
        <v>81</v>
      </c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>
        <v>425</v>
      </c>
      <c r="B427" s="73" t="s">
        <v>856</v>
      </c>
      <c r="C427" s="73" t="s">
        <v>228</v>
      </c>
      <c r="D427" s="74" t="s">
        <v>1000</v>
      </c>
      <c r="E427" s="79" t="s">
        <v>546</v>
      </c>
      <c r="F427" s="80"/>
      <c r="G427" s="81"/>
      <c r="H427" s="82"/>
      <c r="I427" s="223">
        <v>46044</v>
      </c>
      <c r="J427" s="73">
        <v>3</v>
      </c>
      <c r="K427" s="122"/>
      <c r="L427" s="120">
        <f t="shared" si="40"/>
        <v>46134</v>
      </c>
      <c r="M427" s="121">
        <f ca="1" t="shared" si="41"/>
        <v>81</v>
      </c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>
        <v>426</v>
      </c>
      <c r="B428" s="73" t="s">
        <v>856</v>
      </c>
      <c r="C428" s="73" t="s">
        <v>228</v>
      </c>
      <c r="D428" s="74" t="s">
        <v>1001</v>
      </c>
      <c r="E428" s="79" t="s">
        <v>546</v>
      </c>
      <c r="F428" s="80"/>
      <c r="G428" s="81"/>
      <c r="H428" s="82"/>
      <c r="I428" s="223">
        <v>46044</v>
      </c>
      <c r="J428" s="73">
        <v>3</v>
      </c>
      <c r="K428" s="122"/>
      <c r="L428" s="120">
        <f t="shared" si="40"/>
        <v>46134</v>
      </c>
      <c r="M428" s="121">
        <f ca="1" t="shared" si="41"/>
        <v>81</v>
      </c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>
        <v>427</v>
      </c>
      <c r="B429" s="73" t="s">
        <v>856</v>
      </c>
      <c r="C429" s="73" t="s">
        <v>228</v>
      </c>
      <c r="D429" s="74" t="s">
        <v>1002</v>
      </c>
      <c r="E429" s="79" t="s">
        <v>546</v>
      </c>
      <c r="F429" s="80"/>
      <c r="G429" s="81"/>
      <c r="H429" s="82"/>
      <c r="I429" s="223">
        <v>46044</v>
      </c>
      <c r="J429" s="73">
        <v>3</v>
      </c>
      <c r="K429" s="122"/>
      <c r="L429" s="120">
        <f t="shared" si="40"/>
        <v>46134</v>
      </c>
      <c r="M429" s="121">
        <f ca="1" t="shared" si="41"/>
        <v>81</v>
      </c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>
        <v>428</v>
      </c>
      <c r="B430" s="73" t="s">
        <v>1003</v>
      </c>
      <c r="C430" s="73" t="s">
        <v>228</v>
      </c>
      <c r="D430" s="74" t="s">
        <v>1004</v>
      </c>
      <c r="E430" s="79" t="s">
        <v>1005</v>
      </c>
      <c r="F430" s="80"/>
      <c r="G430" s="81"/>
      <c r="H430" s="82"/>
      <c r="I430" s="223">
        <v>46044</v>
      </c>
      <c r="J430" s="73">
        <v>3</v>
      </c>
      <c r="K430" s="122"/>
      <c r="L430" s="120">
        <f t="shared" si="40"/>
        <v>46134</v>
      </c>
      <c r="M430" s="121">
        <f ca="1" t="shared" si="41"/>
        <v>81</v>
      </c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>
        <v>429</v>
      </c>
      <c r="B431" s="73" t="s">
        <v>1006</v>
      </c>
      <c r="C431" s="73" t="s">
        <v>228</v>
      </c>
      <c r="D431" s="74" t="s">
        <v>1007</v>
      </c>
      <c r="E431" s="79" t="s">
        <v>1008</v>
      </c>
      <c r="F431" s="80"/>
      <c r="G431" s="81"/>
      <c r="H431" s="78" t="s">
        <v>16</v>
      </c>
      <c r="I431" s="223">
        <v>46044</v>
      </c>
      <c r="J431" s="73">
        <v>3</v>
      </c>
      <c r="K431" s="122"/>
      <c r="L431" s="120">
        <f t="shared" si="40"/>
        <v>46134</v>
      </c>
      <c r="M431" s="121">
        <f ca="1" t="shared" si="41"/>
        <v>81</v>
      </c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>
        <v>430</v>
      </c>
      <c r="B432" s="73" t="s">
        <v>1006</v>
      </c>
      <c r="C432" s="73" t="s">
        <v>228</v>
      </c>
      <c r="D432" s="74" t="s">
        <v>1009</v>
      </c>
      <c r="E432" s="79" t="s">
        <v>1008</v>
      </c>
      <c r="F432" s="80"/>
      <c r="G432" s="81"/>
      <c r="H432" s="78" t="s">
        <v>16</v>
      </c>
      <c r="I432" s="223">
        <v>46044</v>
      </c>
      <c r="J432" s="73">
        <v>3</v>
      </c>
      <c r="K432" s="122"/>
      <c r="L432" s="120">
        <f t="shared" si="40"/>
        <v>46134</v>
      </c>
      <c r="M432" s="121">
        <f ca="1" t="shared" si="41"/>
        <v>81</v>
      </c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>
        <v>431</v>
      </c>
      <c r="B433" s="73" t="s">
        <v>484</v>
      </c>
      <c r="C433" s="73" t="s">
        <v>228</v>
      </c>
      <c r="D433" s="74" t="s">
        <v>1010</v>
      </c>
      <c r="E433" s="79" t="s">
        <v>333</v>
      </c>
      <c r="F433" s="80"/>
      <c r="G433" s="81"/>
      <c r="H433" s="78" t="s">
        <v>16</v>
      </c>
      <c r="I433" s="223">
        <v>46044</v>
      </c>
      <c r="J433" s="73">
        <v>3</v>
      </c>
      <c r="K433" s="122"/>
      <c r="L433" s="120">
        <f t="shared" si="40"/>
        <v>46134</v>
      </c>
      <c r="M433" s="121">
        <f ca="1" t="shared" si="41"/>
        <v>81</v>
      </c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>
        <v>432</v>
      </c>
      <c r="B434" s="73" t="s">
        <v>484</v>
      </c>
      <c r="C434" s="73" t="s">
        <v>228</v>
      </c>
      <c r="D434" s="74" t="s">
        <v>1011</v>
      </c>
      <c r="E434" s="79" t="s">
        <v>333</v>
      </c>
      <c r="F434" s="80"/>
      <c r="G434" s="81"/>
      <c r="H434" s="78" t="s">
        <v>16</v>
      </c>
      <c r="I434" s="223">
        <v>46044</v>
      </c>
      <c r="J434" s="73">
        <v>3</v>
      </c>
      <c r="K434" s="122"/>
      <c r="L434" s="120">
        <f t="shared" si="40"/>
        <v>46134</v>
      </c>
      <c r="M434" s="121">
        <f ca="1" t="shared" si="41"/>
        <v>81</v>
      </c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>
        <v>433</v>
      </c>
      <c r="B435" s="73" t="s">
        <v>484</v>
      </c>
      <c r="C435" s="73" t="s">
        <v>228</v>
      </c>
      <c r="D435" s="74" t="s">
        <v>1012</v>
      </c>
      <c r="E435" s="79" t="s">
        <v>333</v>
      </c>
      <c r="F435" s="80"/>
      <c r="G435" s="81"/>
      <c r="H435" s="78" t="s">
        <v>16</v>
      </c>
      <c r="I435" s="223">
        <v>46044</v>
      </c>
      <c r="J435" s="73">
        <v>3</v>
      </c>
      <c r="K435" s="122"/>
      <c r="L435" s="120">
        <f t="shared" si="40"/>
        <v>46134</v>
      </c>
      <c r="M435" s="121">
        <f ca="1" t="shared" si="41"/>
        <v>81</v>
      </c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>
        <v>434</v>
      </c>
      <c r="B436" s="73" t="s">
        <v>140</v>
      </c>
      <c r="C436" s="73" t="s">
        <v>27</v>
      </c>
      <c r="D436" s="74" t="s">
        <v>1013</v>
      </c>
      <c r="E436" s="79" t="s">
        <v>43</v>
      </c>
      <c r="F436" s="80"/>
      <c r="G436" s="81"/>
      <c r="H436" s="82"/>
      <c r="I436" s="223">
        <v>46045</v>
      </c>
      <c r="J436" s="73">
        <v>3</v>
      </c>
      <c r="K436" s="122"/>
      <c r="L436" s="120">
        <f t="shared" ref="L436:L450" si="42">EDATE(I436,J436)</f>
        <v>46135</v>
      </c>
      <c r="M436" s="121">
        <f ca="1" t="shared" ref="M436:M450" si="43">L436-TODAY()</f>
        <v>82</v>
      </c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>
        <v>435</v>
      </c>
      <c r="B437" s="73" t="s">
        <v>140</v>
      </c>
      <c r="C437" s="73" t="s">
        <v>13</v>
      </c>
      <c r="D437" s="74" t="s">
        <v>1014</v>
      </c>
      <c r="E437" s="79" t="s">
        <v>507</v>
      </c>
      <c r="F437" s="80"/>
      <c r="G437" s="81"/>
      <c r="H437" s="78" t="s">
        <v>16</v>
      </c>
      <c r="I437" s="223">
        <v>46045</v>
      </c>
      <c r="J437" s="73">
        <v>3</v>
      </c>
      <c r="K437" s="122"/>
      <c r="L437" s="120">
        <f t="shared" si="42"/>
        <v>46135</v>
      </c>
      <c r="M437" s="121">
        <f ca="1" t="shared" si="43"/>
        <v>82</v>
      </c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>
        <v>436</v>
      </c>
      <c r="B438" s="73" t="s">
        <v>140</v>
      </c>
      <c r="C438" s="73" t="s">
        <v>13</v>
      </c>
      <c r="D438" s="74" t="s">
        <v>1015</v>
      </c>
      <c r="E438" s="79" t="s">
        <v>1016</v>
      </c>
      <c r="F438" s="80"/>
      <c r="G438" s="81"/>
      <c r="H438" s="82"/>
      <c r="I438" s="223">
        <v>46045</v>
      </c>
      <c r="J438" s="73">
        <v>3</v>
      </c>
      <c r="K438" s="122"/>
      <c r="L438" s="120">
        <f t="shared" si="42"/>
        <v>46135</v>
      </c>
      <c r="M438" s="121">
        <f ca="1" t="shared" si="43"/>
        <v>82</v>
      </c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>
        <v>437</v>
      </c>
      <c r="B439" s="73" t="s">
        <v>140</v>
      </c>
      <c r="C439" s="73" t="s">
        <v>13</v>
      </c>
      <c r="D439" s="74" t="s">
        <v>1017</v>
      </c>
      <c r="E439" s="79" t="s">
        <v>691</v>
      </c>
      <c r="F439" s="80"/>
      <c r="G439" s="81"/>
      <c r="H439" s="78" t="s">
        <v>16</v>
      </c>
      <c r="I439" s="223">
        <v>46045</v>
      </c>
      <c r="J439" s="73">
        <v>3</v>
      </c>
      <c r="K439" s="122"/>
      <c r="L439" s="120">
        <f t="shared" si="42"/>
        <v>46135</v>
      </c>
      <c r="M439" s="121">
        <f ca="1" t="shared" si="43"/>
        <v>82</v>
      </c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>
        <v>438</v>
      </c>
      <c r="B440" s="73" t="s">
        <v>140</v>
      </c>
      <c r="C440" s="73" t="s">
        <v>27</v>
      </c>
      <c r="D440" s="74" t="s">
        <v>1018</v>
      </c>
      <c r="E440" s="79" t="s">
        <v>43</v>
      </c>
      <c r="F440" s="80"/>
      <c r="G440" s="81"/>
      <c r="H440" s="82"/>
      <c r="I440" s="223">
        <v>46045</v>
      </c>
      <c r="J440" s="73">
        <v>3</v>
      </c>
      <c r="K440" s="122"/>
      <c r="L440" s="120">
        <f t="shared" si="42"/>
        <v>46135</v>
      </c>
      <c r="M440" s="121">
        <f ca="1" t="shared" si="43"/>
        <v>82</v>
      </c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>
        <v>439</v>
      </c>
      <c r="B441" s="73" t="s">
        <v>37</v>
      </c>
      <c r="C441" s="73" t="s">
        <v>13</v>
      </c>
      <c r="D441" s="74" t="s">
        <v>1019</v>
      </c>
      <c r="E441" s="79" t="s">
        <v>47</v>
      </c>
      <c r="F441" s="80"/>
      <c r="G441" s="81"/>
      <c r="H441" s="78" t="s">
        <v>16</v>
      </c>
      <c r="I441" s="223">
        <v>46045</v>
      </c>
      <c r="J441" s="73">
        <v>3</v>
      </c>
      <c r="K441" s="122"/>
      <c r="L441" s="120">
        <f t="shared" si="42"/>
        <v>46135</v>
      </c>
      <c r="M441" s="121">
        <f ca="1" t="shared" si="43"/>
        <v>82</v>
      </c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>
        <v>440</v>
      </c>
      <c r="B442" s="73" t="s">
        <v>37</v>
      </c>
      <c r="C442" s="73" t="s">
        <v>13</v>
      </c>
      <c r="D442" s="74" t="s">
        <v>1020</v>
      </c>
      <c r="E442" s="79" t="s">
        <v>25</v>
      </c>
      <c r="F442" s="80"/>
      <c r="G442" s="81"/>
      <c r="H442" s="78" t="s">
        <v>16</v>
      </c>
      <c r="I442" s="223">
        <v>46045</v>
      </c>
      <c r="J442" s="73">
        <v>3</v>
      </c>
      <c r="K442" s="122"/>
      <c r="L442" s="120">
        <f t="shared" si="42"/>
        <v>46135</v>
      </c>
      <c r="M442" s="121">
        <f ca="1" t="shared" si="43"/>
        <v>82</v>
      </c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>
        <v>441</v>
      </c>
      <c r="B443" s="73" t="s">
        <v>37</v>
      </c>
      <c r="C443" s="73" t="s">
        <v>13</v>
      </c>
      <c r="D443" s="74" t="s">
        <v>1021</v>
      </c>
      <c r="E443" s="79" t="s">
        <v>78</v>
      </c>
      <c r="F443" s="80"/>
      <c r="G443" s="81"/>
      <c r="H443" s="78" t="s">
        <v>16</v>
      </c>
      <c r="I443" s="223">
        <v>46045</v>
      </c>
      <c r="J443" s="73">
        <v>3</v>
      </c>
      <c r="K443" s="122"/>
      <c r="L443" s="120">
        <f t="shared" si="42"/>
        <v>46135</v>
      </c>
      <c r="M443" s="121">
        <f ca="1" t="shared" si="43"/>
        <v>82</v>
      </c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>
        <v>442</v>
      </c>
      <c r="B444" s="73" t="s">
        <v>37</v>
      </c>
      <c r="C444" s="73" t="s">
        <v>13</v>
      </c>
      <c r="D444" s="74" t="s">
        <v>1022</v>
      </c>
      <c r="E444" s="79" t="s">
        <v>78</v>
      </c>
      <c r="F444" s="80"/>
      <c r="G444" s="81"/>
      <c r="H444" s="82"/>
      <c r="I444" s="223">
        <v>46045</v>
      </c>
      <c r="J444" s="73">
        <v>3</v>
      </c>
      <c r="K444" s="122"/>
      <c r="L444" s="120">
        <f t="shared" si="42"/>
        <v>46135</v>
      </c>
      <c r="M444" s="121">
        <f ca="1" t="shared" si="43"/>
        <v>82</v>
      </c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>
        <v>443</v>
      </c>
      <c r="B445" s="73" t="s">
        <v>37</v>
      </c>
      <c r="C445" s="73" t="s">
        <v>13</v>
      </c>
      <c r="D445" s="74" t="s">
        <v>1023</v>
      </c>
      <c r="E445" s="79" t="s">
        <v>78</v>
      </c>
      <c r="F445" s="80"/>
      <c r="G445" s="81"/>
      <c r="H445" s="78" t="s">
        <v>16</v>
      </c>
      <c r="I445" s="223">
        <v>46045</v>
      </c>
      <c r="J445" s="73">
        <v>3</v>
      </c>
      <c r="K445" s="122"/>
      <c r="L445" s="120">
        <f t="shared" si="42"/>
        <v>46135</v>
      </c>
      <c r="M445" s="121">
        <f ca="1" t="shared" si="43"/>
        <v>82</v>
      </c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>
        <v>444</v>
      </c>
      <c r="B446" s="73" t="s">
        <v>37</v>
      </c>
      <c r="C446" s="73" t="s">
        <v>13</v>
      </c>
      <c r="D446" s="74" t="s">
        <v>1024</v>
      </c>
      <c r="E446" s="79" t="s">
        <v>1025</v>
      </c>
      <c r="F446" s="80"/>
      <c r="G446" s="81"/>
      <c r="H446" s="78" t="s">
        <v>16</v>
      </c>
      <c r="I446" s="223">
        <v>46045</v>
      </c>
      <c r="J446" s="73">
        <v>3</v>
      </c>
      <c r="K446" s="122"/>
      <c r="L446" s="120">
        <f t="shared" si="42"/>
        <v>46135</v>
      </c>
      <c r="M446" s="121">
        <f ca="1" t="shared" si="43"/>
        <v>82</v>
      </c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>
        <v>445</v>
      </c>
      <c r="B447" s="73" t="s">
        <v>37</v>
      </c>
      <c r="C447" s="73" t="s">
        <v>27</v>
      </c>
      <c r="D447" s="74" t="s">
        <v>1026</v>
      </c>
      <c r="E447" s="79" t="s">
        <v>22</v>
      </c>
      <c r="F447" s="80"/>
      <c r="G447" s="81"/>
      <c r="H447" s="78" t="s">
        <v>16</v>
      </c>
      <c r="I447" s="223">
        <v>46045</v>
      </c>
      <c r="J447" s="73">
        <v>3</v>
      </c>
      <c r="K447" s="122"/>
      <c r="L447" s="120">
        <f t="shared" si="42"/>
        <v>46135</v>
      </c>
      <c r="M447" s="121">
        <f ca="1" t="shared" si="43"/>
        <v>82</v>
      </c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>
        <v>446</v>
      </c>
      <c r="B448" s="73" t="s">
        <v>37</v>
      </c>
      <c r="C448" s="73" t="s">
        <v>27</v>
      </c>
      <c r="D448" s="74" t="s">
        <v>1027</v>
      </c>
      <c r="E448" s="79" t="s">
        <v>1028</v>
      </c>
      <c r="F448" s="80"/>
      <c r="G448" s="81"/>
      <c r="H448" s="78" t="s">
        <v>16</v>
      </c>
      <c r="I448" s="223">
        <v>46045</v>
      </c>
      <c r="J448" s="73">
        <v>3</v>
      </c>
      <c r="K448" s="122"/>
      <c r="L448" s="120">
        <f t="shared" si="42"/>
        <v>46135</v>
      </c>
      <c r="M448" s="121">
        <f ca="1" t="shared" si="43"/>
        <v>82</v>
      </c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>
        <v>447</v>
      </c>
      <c r="B449" s="73" t="s">
        <v>157</v>
      </c>
      <c r="C449" s="73" t="s">
        <v>158</v>
      </c>
      <c r="D449" s="74" t="s">
        <v>1029</v>
      </c>
      <c r="E449" s="79" t="s">
        <v>1030</v>
      </c>
      <c r="F449" s="80"/>
      <c r="G449" s="81"/>
      <c r="H449" s="204"/>
      <c r="I449" s="223">
        <v>46045</v>
      </c>
      <c r="J449" s="73">
        <v>3</v>
      </c>
      <c r="K449" s="122"/>
      <c r="L449" s="120">
        <f t="shared" si="42"/>
        <v>46135</v>
      </c>
      <c r="M449" s="121">
        <f ca="1" t="shared" si="43"/>
        <v>82</v>
      </c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>
        <v>448</v>
      </c>
      <c r="B450" s="73" t="s">
        <v>157</v>
      </c>
      <c r="C450" s="73" t="s">
        <v>158</v>
      </c>
      <c r="D450" s="74" t="s">
        <v>589</v>
      </c>
      <c r="E450" s="79" t="s">
        <v>470</v>
      </c>
      <c r="F450" s="80"/>
      <c r="G450" s="81"/>
      <c r="H450" s="204"/>
      <c r="I450" s="83" t="s">
        <v>472</v>
      </c>
      <c r="J450" s="73"/>
      <c r="K450" s="122"/>
      <c r="L450" s="120" t="e">
        <f t="shared" ref="L450:L469" si="44">EDATE(I450,J450)</f>
        <v>#VALUE!</v>
      </c>
      <c r="M450" s="121" t="e">
        <f ca="1" t="shared" ref="M450:M469" si="45">L450-TODAY()</f>
        <v>#VALUE!</v>
      </c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>
        <v>449</v>
      </c>
      <c r="B451" s="73" t="s">
        <v>420</v>
      </c>
      <c r="C451" s="73" t="s">
        <v>27</v>
      </c>
      <c r="D451" s="74" t="s">
        <v>1031</v>
      </c>
      <c r="E451" s="79" t="s">
        <v>29</v>
      </c>
      <c r="F451" s="80"/>
      <c r="G451" s="81"/>
      <c r="H451" s="89" t="s">
        <v>16</v>
      </c>
      <c r="I451" s="223">
        <v>46046</v>
      </c>
      <c r="J451" s="73">
        <v>3</v>
      </c>
      <c r="K451" s="122"/>
      <c r="L451" s="120">
        <f t="shared" si="44"/>
        <v>46136</v>
      </c>
      <c r="M451" s="121">
        <f ca="1" t="shared" si="45"/>
        <v>83</v>
      </c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>
        <v>450</v>
      </c>
      <c r="B452" s="73" t="s">
        <v>12</v>
      </c>
      <c r="C452" s="73" t="s">
        <v>27</v>
      </c>
      <c r="D452" s="74" t="s">
        <v>1032</v>
      </c>
      <c r="E452" s="79" t="s">
        <v>43</v>
      </c>
      <c r="F452" s="80"/>
      <c r="G452" s="81"/>
      <c r="H452" s="223">
        <v>46046</v>
      </c>
      <c r="I452" s="223">
        <v>46046</v>
      </c>
      <c r="J452" s="73">
        <v>3</v>
      </c>
      <c r="K452" s="122"/>
      <c r="L452" s="120">
        <f t="shared" si="44"/>
        <v>46136</v>
      </c>
      <c r="M452" s="121">
        <f ca="1" t="shared" si="45"/>
        <v>83</v>
      </c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>
        <v>451</v>
      </c>
      <c r="B453" s="73" t="s">
        <v>12</v>
      </c>
      <c r="C453" s="73" t="s">
        <v>13</v>
      </c>
      <c r="D453" s="74" t="s">
        <v>1033</v>
      </c>
      <c r="E453" s="79" t="s">
        <v>47</v>
      </c>
      <c r="F453" s="80"/>
      <c r="G453" s="81"/>
      <c r="H453" s="89" t="s">
        <v>16</v>
      </c>
      <c r="I453" s="223">
        <v>46046</v>
      </c>
      <c r="J453" s="73">
        <v>3</v>
      </c>
      <c r="K453" s="122"/>
      <c r="L453" s="120">
        <f t="shared" si="44"/>
        <v>46136</v>
      </c>
      <c r="M453" s="121">
        <f ca="1" t="shared" si="45"/>
        <v>83</v>
      </c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>
        <v>452</v>
      </c>
      <c r="B454" s="73" t="s">
        <v>140</v>
      </c>
      <c r="C454" s="73" t="s">
        <v>27</v>
      </c>
      <c r="D454" s="74" t="s">
        <v>1034</v>
      </c>
      <c r="E454" s="79" t="s">
        <v>564</v>
      </c>
      <c r="F454" s="80"/>
      <c r="G454" s="81"/>
      <c r="H454" s="204"/>
      <c r="I454" s="223">
        <v>46046</v>
      </c>
      <c r="J454" s="73">
        <v>3</v>
      </c>
      <c r="K454" s="122"/>
      <c r="L454" s="120">
        <f t="shared" si="44"/>
        <v>46136</v>
      </c>
      <c r="M454" s="121">
        <f ca="1" t="shared" si="45"/>
        <v>83</v>
      </c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>
        <v>453</v>
      </c>
      <c r="B455" s="73" t="s">
        <v>140</v>
      </c>
      <c r="C455" s="73" t="s">
        <v>27</v>
      </c>
      <c r="D455" s="74" t="s">
        <v>1035</v>
      </c>
      <c r="E455" s="79" t="s">
        <v>29</v>
      </c>
      <c r="F455" s="80"/>
      <c r="G455" s="81"/>
      <c r="H455" s="89" t="s">
        <v>16</v>
      </c>
      <c r="I455" s="223">
        <v>46046</v>
      </c>
      <c r="J455" s="73">
        <v>3</v>
      </c>
      <c r="K455" s="122"/>
      <c r="L455" s="120">
        <f t="shared" si="44"/>
        <v>46136</v>
      </c>
      <c r="M455" s="121">
        <f ca="1" t="shared" si="45"/>
        <v>83</v>
      </c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>
        <v>454</v>
      </c>
      <c r="B456" s="73" t="s">
        <v>82</v>
      </c>
      <c r="C456" s="73" t="s">
        <v>13</v>
      </c>
      <c r="D456" s="74" t="s">
        <v>1036</v>
      </c>
      <c r="E456" s="79" t="s">
        <v>32</v>
      </c>
      <c r="F456" s="80"/>
      <c r="G456" s="81"/>
      <c r="H456" s="89" t="s">
        <v>16</v>
      </c>
      <c r="I456" s="223">
        <v>46046</v>
      </c>
      <c r="J456" s="73">
        <v>3</v>
      </c>
      <c r="K456" s="122"/>
      <c r="L456" s="120">
        <f t="shared" si="44"/>
        <v>46136</v>
      </c>
      <c r="M456" s="121">
        <f ca="1" t="shared" si="45"/>
        <v>83</v>
      </c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ht="25" customHeight="1" spans="1:52">
      <c r="A457" s="73">
        <v>455</v>
      </c>
      <c r="B457" s="73" t="s">
        <v>37</v>
      </c>
      <c r="C457" s="73" t="s">
        <v>13</v>
      </c>
      <c r="D457" s="74" t="s">
        <v>1037</v>
      </c>
      <c r="E457" s="79" t="s">
        <v>78</v>
      </c>
      <c r="F457" s="80"/>
      <c r="G457" s="81"/>
      <c r="H457" s="89" t="s">
        <v>16</v>
      </c>
      <c r="I457" s="223">
        <v>46046</v>
      </c>
      <c r="J457" s="73">
        <v>3</v>
      </c>
      <c r="K457" s="122"/>
      <c r="L457" s="120">
        <f t="shared" si="44"/>
        <v>46136</v>
      </c>
      <c r="M457" s="121">
        <f ca="1" t="shared" si="45"/>
        <v>83</v>
      </c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25" customHeight="1" spans="1:52">
      <c r="A458" s="73">
        <v>456</v>
      </c>
      <c r="B458" s="73" t="s">
        <v>1038</v>
      </c>
      <c r="C458" s="73" t="s">
        <v>27</v>
      </c>
      <c r="D458" s="74" t="s">
        <v>1039</v>
      </c>
      <c r="E458" s="79" t="s">
        <v>205</v>
      </c>
      <c r="F458" s="80"/>
      <c r="G458" s="81"/>
      <c r="H458" s="82"/>
      <c r="I458" s="223">
        <v>46046</v>
      </c>
      <c r="J458" s="73">
        <v>3</v>
      </c>
      <c r="K458" s="122"/>
      <c r="L458" s="120">
        <f t="shared" si="44"/>
        <v>46136</v>
      </c>
      <c r="M458" s="121">
        <f ca="1" t="shared" si="45"/>
        <v>83</v>
      </c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>
        <v>457</v>
      </c>
      <c r="B459" s="73" t="s">
        <v>442</v>
      </c>
      <c r="C459" s="73" t="s">
        <v>27</v>
      </c>
      <c r="D459" s="74" t="s">
        <v>1040</v>
      </c>
      <c r="E459" s="79" t="s">
        <v>35</v>
      </c>
      <c r="F459" s="80"/>
      <c r="G459" s="81"/>
      <c r="H459" s="78" t="s">
        <v>16</v>
      </c>
      <c r="I459" s="223">
        <v>46046</v>
      </c>
      <c r="J459" s="73">
        <v>3</v>
      </c>
      <c r="K459" s="122"/>
      <c r="L459" s="120">
        <f t="shared" si="44"/>
        <v>46136</v>
      </c>
      <c r="M459" s="121">
        <f ca="1" t="shared" si="45"/>
        <v>83</v>
      </c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>
        <v>458</v>
      </c>
      <c r="B460" s="73" t="s">
        <v>442</v>
      </c>
      <c r="C460" s="73" t="s">
        <v>13</v>
      </c>
      <c r="D460" s="74" t="s">
        <v>1041</v>
      </c>
      <c r="E460" s="79" t="s">
        <v>25</v>
      </c>
      <c r="F460" s="80"/>
      <c r="G460" s="81"/>
      <c r="H460" s="78" t="s">
        <v>16</v>
      </c>
      <c r="I460" s="223">
        <v>46046</v>
      </c>
      <c r="J460" s="73">
        <v>3</v>
      </c>
      <c r="K460" s="122"/>
      <c r="L460" s="120">
        <f t="shared" si="44"/>
        <v>46136</v>
      </c>
      <c r="M460" s="121">
        <f ca="1" t="shared" si="45"/>
        <v>83</v>
      </c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>
        <v>459</v>
      </c>
      <c r="B461" s="73" t="s">
        <v>442</v>
      </c>
      <c r="C461" s="73" t="s">
        <v>27</v>
      </c>
      <c r="D461" s="74" t="s">
        <v>1042</v>
      </c>
      <c r="E461" s="79" t="s">
        <v>317</v>
      </c>
      <c r="F461" s="80"/>
      <c r="G461" s="81"/>
      <c r="H461" s="89" t="s">
        <v>16</v>
      </c>
      <c r="I461" s="223">
        <v>46046</v>
      </c>
      <c r="J461" s="73">
        <v>3</v>
      </c>
      <c r="K461" s="122"/>
      <c r="L461" s="120">
        <f t="shared" si="44"/>
        <v>46136</v>
      </c>
      <c r="M461" s="121">
        <f ca="1" t="shared" si="45"/>
        <v>83</v>
      </c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>
        <v>460</v>
      </c>
      <c r="B462" s="73" t="s">
        <v>1043</v>
      </c>
      <c r="C462" s="73" t="s">
        <v>27</v>
      </c>
      <c r="D462" s="74" t="s">
        <v>1044</v>
      </c>
      <c r="E462" s="79" t="s">
        <v>118</v>
      </c>
      <c r="F462" s="80"/>
      <c r="G462" s="81"/>
      <c r="H462" s="78" t="s">
        <v>16</v>
      </c>
      <c r="I462" s="223">
        <v>46046</v>
      </c>
      <c r="J462" s="73">
        <v>3</v>
      </c>
      <c r="K462" s="122"/>
      <c r="L462" s="120">
        <f t="shared" si="44"/>
        <v>46136</v>
      </c>
      <c r="M462" s="121">
        <f ca="1" t="shared" si="45"/>
        <v>83</v>
      </c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>
        <v>461</v>
      </c>
      <c r="B463" s="73" t="s">
        <v>1043</v>
      </c>
      <c r="C463" s="73" t="s">
        <v>27</v>
      </c>
      <c r="D463" s="74" t="s">
        <v>1045</v>
      </c>
      <c r="E463" s="79" t="s">
        <v>931</v>
      </c>
      <c r="F463" s="80"/>
      <c r="G463" s="81"/>
      <c r="H463" s="78" t="s">
        <v>16</v>
      </c>
      <c r="I463" s="223">
        <v>46046</v>
      </c>
      <c r="J463" s="73">
        <v>3</v>
      </c>
      <c r="K463" s="122"/>
      <c r="L463" s="120">
        <f t="shared" si="44"/>
        <v>46136</v>
      </c>
      <c r="M463" s="121">
        <f ca="1" t="shared" si="45"/>
        <v>83</v>
      </c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>
        <v>462</v>
      </c>
      <c r="B464" s="73" t="s">
        <v>1043</v>
      </c>
      <c r="C464" s="73" t="s">
        <v>27</v>
      </c>
      <c r="D464" s="74" t="s">
        <v>1046</v>
      </c>
      <c r="E464" s="79" t="s">
        <v>929</v>
      </c>
      <c r="F464" s="80"/>
      <c r="G464" s="81"/>
      <c r="H464" s="78" t="s">
        <v>16</v>
      </c>
      <c r="I464" s="223">
        <v>46046</v>
      </c>
      <c r="J464" s="73">
        <v>3</v>
      </c>
      <c r="K464" s="122"/>
      <c r="L464" s="120">
        <f t="shared" si="44"/>
        <v>46136</v>
      </c>
      <c r="M464" s="121">
        <f ca="1" t="shared" si="45"/>
        <v>83</v>
      </c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>
        <v>463</v>
      </c>
      <c r="B465" s="73" t="s">
        <v>1043</v>
      </c>
      <c r="C465" s="73" t="s">
        <v>13</v>
      </c>
      <c r="D465" s="74" t="s">
        <v>1047</v>
      </c>
      <c r="E465" s="79" t="s">
        <v>1048</v>
      </c>
      <c r="F465" s="80"/>
      <c r="G465" s="81"/>
      <c r="H465" s="78" t="s">
        <v>16</v>
      </c>
      <c r="I465" s="223">
        <v>46046</v>
      </c>
      <c r="J465" s="73">
        <v>3</v>
      </c>
      <c r="K465" s="122"/>
      <c r="L465" s="120">
        <f t="shared" si="44"/>
        <v>46136</v>
      </c>
      <c r="M465" s="121">
        <f ca="1" t="shared" si="45"/>
        <v>83</v>
      </c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>
        <v>464</v>
      </c>
      <c r="B466" s="73" t="s">
        <v>1043</v>
      </c>
      <c r="C466" s="73" t="s">
        <v>13</v>
      </c>
      <c r="D466" s="74" t="s">
        <v>1049</v>
      </c>
      <c r="E466" s="79" t="s">
        <v>1050</v>
      </c>
      <c r="F466" s="80"/>
      <c r="G466" s="81"/>
      <c r="H466" s="78" t="s">
        <v>16</v>
      </c>
      <c r="I466" s="223">
        <v>46046</v>
      </c>
      <c r="J466" s="73">
        <v>3</v>
      </c>
      <c r="K466" s="122"/>
      <c r="L466" s="120">
        <f t="shared" si="44"/>
        <v>46136</v>
      </c>
      <c r="M466" s="121">
        <f ca="1" t="shared" si="45"/>
        <v>83</v>
      </c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>
        <v>465</v>
      </c>
      <c r="B467" s="73" t="s">
        <v>1043</v>
      </c>
      <c r="C467" s="73" t="s">
        <v>13</v>
      </c>
      <c r="D467" s="74" t="s">
        <v>1051</v>
      </c>
      <c r="E467" s="79" t="s">
        <v>22</v>
      </c>
      <c r="F467" s="80"/>
      <c r="G467" s="81"/>
      <c r="H467" s="78" t="s">
        <v>16</v>
      </c>
      <c r="I467" s="223">
        <v>46046</v>
      </c>
      <c r="J467" s="73">
        <v>3</v>
      </c>
      <c r="K467" s="122"/>
      <c r="L467" s="120">
        <f t="shared" si="44"/>
        <v>46136</v>
      </c>
      <c r="M467" s="121">
        <f ca="1" t="shared" si="45"/>
        <v>83</v>
      </c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>
        <v>466</v>
      </c>
      <c r="B468" s="73" t="s">
        <v>1043</v>
      </c>
      <c r="C468" s="73" t="s">
        <v>13</v>
      </c>
      <c r="D468" s="74" t="s">
        <v>1052</v>
      </c>
      <c r="E468" s="79" t="s">
        <v>1053</v>
      </c>
      <c r="F468" s="80"/>
      <c r="G468" s="81"/>
      <c r="H468" s="78" t="s">
        <v>16</v>
      </c>
      <c r="I468" s="223">
        <v>46046</v>
      </c>
      <c r="J468" s="73">
        <v>3</v>
      </c>
      <c r="K468" s="122"/>
      <c r="L468" s="120">
        <f t="shared" si="44"/>
        <v>46136</v>
      </c>
      <c r="M468" s="121">
        <f ca="1" t="shared" si="45"/>
        <v>83</v>
      </c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>
        <v>467</v>
      </c>
      <c r="B469" s="73" t="s">
        <v>1054</v>
      </c>
      <c r="C469" s="73" t="s">
        <v>13</v>
      </c>
      <c r="D469" s="74" t="s">
        <v>1055</v>
      </c>
      <c r="E469" s="79" t="s">
        <v>1056</v>
      </c>
      <c r="F469" s="80"/>
      <c r="G469" s="81"/>
      <c r="H469" s="78" t="s">
        <v>16</v>
      </c>
      <c r="I469" s="223">
        <v>46046</v>
      </c>
      <c r="J469" s="73">
        <v>3</v>
      </c>
      <c r="K469" s="122"/>
      <c r="L469" s="120">
        <f t="shared" si="44"/>
        <v>46136</v>
      </c>
      <c r="M469" s="121">
        <f ca="1" t="shared" si="45"/>
        <v>83</v>
      </c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>
        <v>468</v>
      </c>
      <c r="B470" s="73" t="s">
        <v>1057</v>
      </c>
      <c r="C470" s="73" t="s">
        <v>27</v>
      </c>
      <c r="D470" s="74" t="s">
        <v>1058</v>
      </c>
      <c r="E470" s="79" t="s">
        <v>1059</v>
      </c>
      <c r="F470" s="80"/>
      <c r="G470" s="81"/>
      <c r="H470" s="89" t="s">
        <v>16</v>
      </c>
      <c r="I470" s="223">
        <v>46046</v>
      </c>
      <c r="J470" s="73">
        <v>3</v>
      </c>
      <c r="K470" s="122"/>
      <c r="L470" s="120">
        <f t="shared" ref="L470:L484" si="46">EDATE(I470,J470)</f>
        <v>46136</v>
      </c>
      <c r="M470" s="121">
        <f ca="1" t="shared" ref="M470:M484" si="47">L470-TODAY()</f>
        <v>83</v>
      </c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>
        <v>469</v>
      </c>
      <c r="B471" s="73" t="s">
        <v>1060</v>
      </c>
      <c r="C471" s="73" t="s">
        <v>158</v>
      </c>
      <c r="D471" s="74" t="s">
        <v>589</v>
      </c>
      <c r="E471" s="79" t="s">
        <v>470</v>
      </c>
      <c r="F471" s="80"/>
      <c r="G471" s="81"/>
      <c r="H471" s="204"/>
      <c r="I471" s="223">
        <v>46046</v>
      </c>
      <c r="J471" s="73">
        <v>3</v>
      </c>
      <c r="K471" s="122"/>
      <c r="L471" s="120">
        <f t="shared" si="46"/>
        <v>46136</v>
      </c>
      <c r="M471" s="121">
        <f ca="1" t="shared" si="47"/>
        <v>83</v>
      </c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>
        <v>470</v>
      </c>
      <c r="B472" s="73" t="s">
        <v>394</v>
      </c>
      <c r="C472" s="73" t="s">
        <v>158</v>
      </c>
      <c r="D472" s="74" t="s">
        <v>159</v>
      </c>
      <c r="E472" s="79" t="s">
        <v>160</v>
      </c>
      <c r="F472" s="80"/>
      <c r="G472" s="81"/>
      <c r="H472" s="204"/>
      <c r="I472" s="223" t="s">
        <v>472</v>
      </c>
      <c r="J472" s="73"/>
      <c r="K472" s="122"/>
      <c r="L472" s="120" t="e">
        <f t="shared" si="46"/>
        <v>#VALUE!</v>
      </c>
      <c r="M472" s="121" t="e">
        <f ca="1" t="shared" si="47"/>
        <v>#VALUE!</v>
      </c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>
        <v>471</v>
      </c>
      <c r="B473" s="73" t="s">
        <v>394</v>
      </c>
      <c r="C473" s="73" t="s">
        <v>158</v>
      </c>
      <c r="D473" s="74" t="s">
        <v>1061</v>
      </c>
      <c r="E473" s="79" t="s">
        <v>160</v>
      </c>
      <c r="F473" s="80"/>
      <c r="G473" s="81"/>
      <c r="H473" s="204"/>
      <c r="I473" s="223">
        <v>46046</v>
      </c>
      <c r="J473" s="73">
        <v>3</v>
      </c>
      <c r="K473" s="122"/>
      <c r="L473" s="120">
        <f t="shared" si="46"/>
        <v>46136</v>
      </c>
      <c r="M473" s="121">
        <f ca="1" t="shared" si="47"/>
        <v>83</v>
      </c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>
        <v>472</v>
      </c>
      <c r="B474" s="73" t="s">
        <v>1062</v>
      </c>
      <c r="C474" s="73" t="s">
        <v>27</v>
      </c>
      <c r="D474" s="74" t="s">
        <v>1063</v>
      </c>
      <c r="E474" s="79" t="s">
        <v>1064</v>
      </c>
      <c r="F474" s="80"/>
      <c r="G474" s="81"/>
      <c r="H474" s="78" t="s">
        <v>16</v>
      </c>
      <c r="I474" s="223">
        <v>46046</v>
      </c>
      <c r="J474" s="73">
        <v>3</v>
      </c>
      <c r="K474" s="122"/>
      <c r="L474" s="120">
        <f t="shared" si="46"/>
        <v>46136</v>
      </c>
      <c r="M474" s="121">
        <f ca="1" t="shared" si="47"/>
        <v>83</v>
      </c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>
        <v>473</v>
      </c>
      <c r="B475" s="73" t="s">
        <v>700</v>
      </c>
      <c r="C475" s="73" t="s">
        <v>13</v>
      </c>
      <c r="D475" s="74" t="s">
        <v>1065</v>
      </c>
      <c r="E475" s="79" t="s">
        <v>1066</v>
      </c>
      <c r="F475" s="80"/>
      <c r="G475" s="81"/>
      <c r="H475" s="78" t="s">
        <v>16</v>
      </c>
      <c r="I475" s="223">
        <v>46046</v>
      </c>
      <c r="J475" s="73">
        <v>3</v>
      </c>
      <c r="K475" s="122"/>
      <c r="L475" s="120">
        <f t="shared" si="46"/>
        <v>46136</v>
      </c>
      <c r="M475" s="121">
        <f ca="1" t="shared" si="47"/>
        <v>83</v>
      </c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>
        <v>474</v>
      </c>
      <c r="B476" s="73" t="s">
        <v>700</v>
      </c>
      <c r="C476" s="73" t="s">
        <v>13</v>
      </c>
      <c r="D476" s="74" t="s">
        <v>1067</v>
      </c>
      <c r="E476" s="79" t="s">
        <v>1066</v>
      </c>
      <c r="F476" s="80"/>
      <c r="G476" s="81"/>
      <c r="H476" s="78" t="s">
        <v>16</v>
      </c>
      <c r="I476" s="223">
        <v>46046</v>
      </c>
      <c r="J476" s="73">
        <v>3</v>
      </c>
      <c r="K476" s="122"/>
      <c r="L476" s="120">
        <f t="shared" si="46"/>
        <v>46136</v>
      </c>
      <c r="M476" s="121">
        <f ca="1" t="shared" si="47"/>
        <v>83</v>
      </c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>
        <v>475</v>
      </c>
      <c r="B477" s="73" t="s">
        <v>1068</v>
      </c>
      <c r="C477" s="73" t="s">
        <v>228</v>
      </c>
      <c r="D477" s="74" t="s">
        <v>1069</v>
      </c>
      <c r="E477" s="79" t="s">
        <v>1070</v>
      </c>
      <c r="F477" s="80"/>
      <c r="G477" s="81"/>
      <c r="H477" s="78" t="s">
        <v>16</v>
      </c>
      <c r="I477" s="223">
        <v>46046</v>
      </c>
      <c r="J477" s="73">
        <v>3</v>
      </c>
      <c r="K477" s="122"/>
      <c r="L477" s="120">
        <f t="shared" si="46"/>
        <v>46136</v>
      </c>
      <c r="M477" s="121">
        <f ca="1" t="shared" si="47"/>
        <v>83</v>
      </c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>
        <v>476</v>
      </c>
      <c r="B478" s="73" t="s">
        <v>1071</v>
      </c>
      <c r="C478" s="73" t="s">
        <v>228</v>
      </c>
      <c r="D478" s="74" t="s">
        <v>1072</v>
      </c>
      <c r="E478" s="79" t="s">
        <v>1073</v>
      </c>
      <c r="F478" s="80"/>
      <c r="G478" s="81"/>
      <c r="H478" s="78" t="s">
        <v>16</v>
      </c>
      <c r="I478" s="223">
        <v>46046</v>
      </c>
      <c r="J478" s="73">
        <v>3</v>
      </c>
      <c r="K478" s="122"/>
      <c r="L478" s="120">
        <f t="shared" si="46"/>
        <v>46136</v>
      </c>
      <c r="M478" s="121">
        <f ca="1" t="shared" si="47"/>
        <v>83</v>
      </c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>
        <v>477</v>
      </c>
      <c r="B479" s="73" t="s">
        <v>412</v>
      </c>
      <c r="C479" s="73" t="s">
        <v>228</v>
      </c>
      <c r="D479" s="74" t="s">
        <v>1074</v>
      </c>
      <c r="E479" s="79" t="s">
        <v>414</v>
      </c>
      <c r="F479" s="80"/>
      <c r="G479" s="81"/>
      <c r="H479" s="78" t="s">
        <v>16</v>
      </c>
      <c r="I479" s="223">
        <v>46046</v>
      </c>
      <c r="J479" s="73">
        <v>3</v>
      </c>
      <c r="K479" s="122"/>
      <c r="L479" s="120">
        <f t="shared" si="46"/>
        <v>46136</v>
      </c>
      <c r="M479" s="121">
        <f ca="1" t="shared" si="47"/>
        <v>83</v>
      </c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>
        <v>478</v>
      </c>
      <c r="B480" s="73" t="s">
        <v>227</v>
      </c>
      <c r="C480" s="73" t="s">
        <v>228</v>
      </c>
      <c r="D480" s="74" t="s">
        <v>1075</v>
      </c>
      <c r="E480" s="79" t="s">
        <v>233</v>
      </c>
      <c r="F480" s="80"/>
      <c r="G480" s="81"/>
      <c r="H480" s="78" t="s">
        <v>16</v>
      </c>
      <c r="I480" s="223">
        <v>46046</v>
      </c>
      <c r="J480" s="73">
        <v>3</v>
      </c>
      <c r="K480" s="122"/>
      <c r="L480" s="120">
        <f t="shared" si="46"/>
        <v>46136</v>
      </c>
      <c r="M480" s="121">
        <f ca="1" t="shared" si="47"/>
        <v>83</v>
      </c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>
        <v>479</v>
      </c>
      <c r="B481" s="73" t="s">
        <v>227</v>
      </c>
      <c r="C481" s="73" t="s">
        <v>228</v>
      </c>
      <c r="D481" s="74" t="s">
        <v>1076</v>
      </c>
      <c r="E481" s="79" t="s">
        <v>230</v>
      </c>
      <c r="F481" s="80"/>
      <c r="G481" s="81"/>
      <c r="H481" s="82"/>
      <c r="I481" s="223">
        <v>46046</v>
      </c>
      <c r="J481" s="73">
        <v>3</v>
      </c>
      <c r="K481" s="122"/>
      <c r="L481" s="120">
        <f t="shared" si="46"/>
        <v>46136</v>
      </c>
      <c r="M481" s="121">
        <f ca="1" t="shared" si="47"/>
        <v>83</v>
      </c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>
        <v>480</v>
      </c>
      <c r="B482" s="73" t="s">
        <v>227</v>
      </c>
      <c r="C482" s="73" t="s">
        <v>228</v>
      </c>
      <c r="D482" s="74" t="s">
        <v>1077</v>
      </c>
      <c r="E482" s="79" t="s">
        <v>230</v>
      </c>
      <c r="F482" s="80"/>
      <c r="G482" s="81"/>
      <c r="H482" s="82"/>
      <c r="I482" s="223">
        <v>46046</v>
      </c>
      <c r="J482" s="73">
        <v>3</v>
      </c>
      <c r="K482" s="122"/>
      <c r="L482" s="120">
        <f t="shared" si="46"/>
        <v>46136</v>
      </c>
      <c r="M482" s="121">
        <f ca="1" t="shared" si="47"/>
        <v>83</v>
      </c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>
        <v>481</v>
      </c>
      <c r="B483" s="73" t="s">
        <v>227</v>
      </c>
      <c r="C483" s="73" t="s">
        <v>228</v>
      </c>
      <c r="D483" s="74" t="s">
        <v>1078</v>
      </c>
      <c r="E483" s="79" t="s">
        <v>230</v>
      </c>
      <c r="F483" s="80"/>
      <c r="G483" s="81"/>
      <c r="H483" s="82"/>
      <c r="I483" s="223">
        <v>46046</v>
      </c>
      <c r="J483" s="73">
        <v>3</v>
      </c>
      <c r="K483" s="122"/>
      <c r="L483" s="120">
        <f t="shared" si="46"/>
        <v>46136</v>
      </c>
      <c r="M483" s="121">
        <f ca="1" t="shared" si="47"/>
        <v>83</v>
      </c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>
        <v>482</v>
      </c>
      <c r="B484" s="73" t="s">
        <v>227</v>
      </c>
      <c r="C484" s="73" t="s">
        <v>228</v>
      </c>
      <c r="D484" s="74" t="s">
        <v>1079</v>
      </c>
      <c r="E484" s="79" t="s">
        <v>230</v>
      </c>
      <c r="F484" s="80"/>
      <c r="G484" s="81"/>
      <c r="H484" s="82"/>
      <c r="I484" s="223">
        <v>46046</v>
      </c>
      <c r="J484" s="73">
        <v>3</v>
      </c>
      <c r="K484" s="122"/>
      <c r="L484" s="120">
        <f t="shared" si="46"/>
        <v>46136</v>
      </c>
      <c r="M484" s="121">
        <f ca="1" t="shared" si="47"/>
        <v>83</v>
      </c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>
        <v>483</v>
      </c>
      <c r="B485" s="73" t="s">
        <v>140</v>
      </c>
      <c r="C485" s="73" t="s">
        <v>27</v>
      </c>
      <c r="D485" s="74" t="s">
        <v>1080</v>
      </c>
      <c r="E485" s="79" t="s">
        <v>35</v>
      </c>
      <c r="F485" s="80"/>
      <c r="G485" s="81"/>
      <c r="H485" s="82"/>
      <c r="I485" s="223">
        <v>46047</v>
      </c>
      <c r="J485" s="73">
        <v>3</v>
      </c>
      <c r="K485" s="122"/>
      <c r="L485" s="120">
        <f t="shared" ref="L485:L501" si="48">EDATE(I485,J485)</f>
        <v>46137</v>
      </c>
      <c r="M485" s="121">
        <f ca="1" t="shared" ref="M485:M501" si="49">L485-TODAY()</f>
        <v>84</v>
      </c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>
        <v>484</v>
      </c>
      <c r="B486" s="73" t="s">
        <v>140</v>
      </c>
      <c r="C486" s="73" t="s">
        <v>13</v>
      </c>
      <c r="D486" s="74" t="s">
        <v>1081</v>
      </c>
      <c r="E486" s="79" t="s">
        <v>691</v>
      </c>
      <c r="F486" s="80"/>
      <c r="G486" s="81"/>
      <c r="H486" s="78" t="s">
        <v>16</v>
      </c>
      <c r="I486" s="223">
        <v>46047</v>
      </c>
      <c r="J486" s="73">
        <v>3</v>
      </c>
      <c r="K486" s="122"/>
      <c r="L486" s="120">
        <f t="shared" si="48"/>
        <v>46137</v>
      </c>
      <c r="M486" s="121">
        <f ca="1" t="shared" si="49"/>
        <v>84</v>
      </c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>
        <v>485</v>
      </c>
      <c r="B487" s="73" t="s">
        <v>136</v>
      </c>
      <c r="C487" s="73" t="s">
        <v>27</v>
      </c>
      <c r="D487" s="74" t="s">
        <v>1082</v>
      </c>
      <c r="E487" s="79" t="s">
        <v>197</v>
      </c>
      <c r="F487" s="80"/>
      <c r="G487" s="81"/>
      <c r="H487" s="82"/>
      <c r="I487" s="223">
        <v>46047</v>
      </c>
      <c r="J487" s="73">
        <v>3</v>
      </c>
      <c r="K487" s="122"/>
      <c r="L487" s="120">
        <f t="shared" si="48"/>
        <v>46137</v>
      </c>
      <c r="M487" s="121">
        <f ca="1" t="shared" si="49"/>
        <v>84</v>
      </c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>
        <v>486</v>
      </c>
      <c r="B488" s="73" t="s">
        <v>136</v>
      </c>
      <c r="C488" s="73" t="s">
        <v>27</v>
      </c>
      <c r="D488" s="74" t="s">
        <v>1083</v>
      </c>
      <c r="E488" s="79" t="s">
        <v>197</v>
      </c>
      <c r="F488" s="80"/>
      <c r="G488" s="81"/>
      <c r="H488" s="82"/>
      <c r="I488" s="223">
        <v>46047</v>
      </c>
      <c r="J488" s="73">
        <v>3</v>
      </c>
      <c r="K488" s="122"/>
      <c r="L488" s="120">
        <f t="shared" si="48"/>
        <v>46137</v>
      </c>
      <c r="M488" s="121">
        <f ca="1" t="shared" si="49"/>
        <v>84</v>
      </c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>
        <v>487</v>
      </c>
      <c r="B489" s="73" t="s">
        <v>136</v>
      </c>
      <c r="C489" s="73" t="s">
        <v>27</v>
      </c>
      <c r="D489" s="74" t="s">
        <v>1084</v>
      </c>
      <c r="E489" s="79" t="s">
        <v>197</v>
      </c>
      <c r="F489" s="80"/>
      <c r="G489" s="81"/>
      <c r="H489" s="82"/>
      <c r="I489" s="223">
        <v>46047</v>
      </c>
      <c r="J489" s="73">
        <v>3</v>
      </c>
      <c r="K489" s="122"/>
      <c r="L489" s="120">
        <f t="shared" si="48"/>
        <v>46137</v>
      </c>
      <c r="M489" s="121">
        <f ca="1" t="shared" si="49"/>
        <v>84</v>
      </c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>
        <v>488</v>
      </c>
      <c r="B490" s="73" t="s">
        <v>852</v>
      </c>
      <c r="C490" s="73" t="s">
        <v>27</v>
      </c>
      <c r="D490" s="74" t="s">
        <v>1085</v>
      </c>
      <c r="E490" s="79" t="s">
        <v>1086</v>
      </c>
      <c r="F490" s="80"/>
      <c r="G490" s="81"/>
      <c r="H490" s="82"/>
      <c r="I490" s="223">
        <v>46047</v>
      </c>
      <c r="J490" s="73">
        <v>3</v>
      </c>
      <c r="K490" s="122"/>
      <c r="L490" s="120">
        <f t="shared" si="48"/>
        <v>46137</v>
      </c>
      <c r="M490" s="121">
        <f ca="1" t="shared" si="49"/>
        <v>84</v>
      </c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>
        <v>489</v>
      </c>
      <c r="B491" s="73" t="s">
        <v>852</v>
      </c>
      <c r="C491" s="73" t="s">
        <v>27</v>
      </c>
      <c r="D491" s="74" t="s">
        <v>1087</v>
      </c>
      <c r="E491" s="79" t="s">
        <v>961</v>
      </c>
      <c r="F491" s="80"/>
      <c r="G491" s="81"/>
      <c r="H491" s="82"/>
      <c r="I491" s="223">
        <v>46047</v>
      </c>
      <c r="J491" s="73">
        <v>3</v>
      </c>
      <c r="K491" s="122"/>
      <c r="L491" s="120">
        <f t="shared" si="48"/>
        <v>46137</v>
      </c>
      <c r="M491" s="121">
        <f ca="1" t="shared" si="49"/>
        <v>84</v>
      </c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>
        <v>490</v>
      </c>
      <c r="B492" s="73" t="s">
        <v>348</v>
      </c>
      <c r="C492" s="73" t="s">
        <v>27</v>
      </c>
      <c r="D492" s="74" t="s">
        <v>1088</v>
      </c>
      <c r="E492" s="79" t="s">
        <v>118</v>
      </c>
      <c r="F492" s="80"/>
      <c r="G492" s="81"/>
      <c r="H492" s="89" t="s">
        <v>16</v>
      </c>
      <c r="I492" s="223">
        <v>46047</v>
      </c>
      <c r="J492" s="73">
        <v>3</v>
      </c>
      <c r="K492" s="122"/>
      <c r="L492" s="120">
        <f t="shared" si="48"/>
        <v>46137</v>
      </c>
      <c r="M492" s="121">
        <f ca="1" t="shared" si="49"/>
        <v>84</v>
      </c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>
        <v>491</v>
      </c>
      <c r="B493" s="73" t="s">
        <v>287</v>
      </c>
      <c r="C493" s="73" t="s">
        <v>13</v>
      </c>
      <c r="D493" s="254" t="s">
        <v>1089</v>
      </c>
      <c r="E493" s="79" t="s">
        <v>238</v>
      </c>
      <c r="F493" s="80"/>
      <c r="G493" s="81"/>
      <c r="H493" s="89" t="s">
        <v>16</v>
      </c>
      <c r="I493" s="223">
        <v>46047</v>
      </c>
      <c r="J493" s="73">
        <v>3</v>
      </c>
      <c r="K493" s="122"/>
      <c r="L493" s="120">
        <f t="shared" si="48"/>
        <v>46137</v>
      </c>
      <c r="M493" s="121">
        <f ca="1" t="shared" si="49"/>
        <v>84</v>
      </c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2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>
        <v>492</v>
      </c>
      <c r="B494" s="73" t="s">
        <v>287</v>
      </c>
      <c r="C494" s="73" t="s">
        <v>13</v>
      </c>
      <c r="D494" s="74" t="s">
        <v>1090</v>
      </c>
      <c r="E494" s="79" t="s">
        <v>25</v>
      </c>
      <c r="F494" s="80"/>
      <c r="G494" s="81"/>
      <c r="H494" s="89" t="s">
        <v>16</v>
      </c>
      <c r="I494" s="223">
        <v>46047</v>
      </c>
      <c r="J494" s="73">
        <v>3</v>
      </c>
      <c r="K494" s="122"/>
      <c r="L494" s="120">
        <f t="shared" si="48"/>
        <v>46137</v>
      </c>
      <c r="M494" s="121">
        <f ca="1" t="shared" si="49"/>
        <v>84</v>
      </c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>
        <v>493</v>
      </c>
      <c r="B495" s="73" t="s">
        <v>103</v>
      </c>
      <c r="C495" s="73" t="s">
        <v>27</v>
      </c>
      <c r="D495" s="74" t="s">
        <v>1091</v>
      </c>
      <c r="E495" s="79" t="s">
        <v>118</v>
      </c>
      <c r="F495" s="80"/>
      <c r="G495" s="81"/>
      <c r="H495" s="82"/>
      <c r="I495" s="223">
        <v>46047</v>
      </c>
      <c r="J495" s="73">
        <v>3</v>
      </c>
      <c r="K495" s="122"/>
      <c r="L495" s="120">
        <f t="shared" si="48"/>
        <v>46137</v>
      </c>
      <c r="M495" s="121">
        <f ca="1" t="shared" si="49"/>
        <v>84</v>
      </c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>
        <v>494</v>
      </c>
      <c r="B496" s="73" t="s">
        <v>103</v>
      </c>
      <c r="C496" s="73" t="s">
        <v>27</v>
      </c>
      <c r="D496" s="74" t="s">
        <v>1092</v>
      </c>
      <c r="E496" s="79" t="s">
        <v>118</v>
      </c>
      <c r="F496" s="80"/>
      <c r="G496" s="81"/>
      <c r="H496" s="82"/>
      <c r="I496" s="223">
        <v>46047</v>
      </c>
      <c r="J496" s="73">
        <v>3</v>
      </c>
      <c r="K496" s="122"/>
      <c r="L496" s="120">
        <f t="shared" si="48"/>
        <v>46137</v>
      </c>
      <c r="M496" s="121">
        <f ca="1" t="shared" si="49"/>
        <v>84</v>
      </c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>
        <v>495</v>
      </c>
      <c r="B497" s="73" t="s">
        <v>103</v>
      </c>
      <c r="C497" s="73" t="s">
        <v>13</v>
      </c>
      <c r="D497" s="74" t="s">
        <v>1093</v>
      </c>
      <c r="E497" s="79" t="s">
        <v>32</v>
      </c>
      <c r="F497" s="80"/>
      <c r="G497" s="81"/>
      <c r="H497" s="82"/>
      <c r="I497" s="223">
        <v>46047</v>
      </c>
      <c r="J497" s="73">
        <v>3</v>
      </c>
      <c r="K497" s="122"/>
      <c r="L497" s="120">
        <f t="shared" si="48"/>
        <v>46137</v>
      </c>
      <c r="M497" s="121">
        <f ca="1" t="shared" si="49"/>
        <v>84</v>
      </c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>
        <v>496</v>
      </c>
      <c r="B498" s="73" t="s">
        <v>103</v>
      </c>
      <c r="C498" s="73" t="s">
        <v>13</v>
      </c>
      <c r="D498" s="74" t="s">
        <v>1094</v>
      </c>
      <c r="E498" s="79" t="s">
        <v>32</v>
      </c>
      <c r="F498" s="80"/>
      <c r="G498" s="81"/>
      <c r="H498" s="82"/>
      <c r="I498" s="223">
        <v>46047</v>
      </c>
      <c r="J498" s="73">
        <v>3</v>
      </c>
      <c r="K498" s="122"/>
      <c r="L498" s="120">
        <f t="shared" si="48"/>
        <v>46137</v>
      </c>
      <c r="M498" s="121">
        <f ca="1" t="shared" si="49"/>
        <v>84</v>
      </c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>
        <v>497</v>
      </c>
      <c r="B499" s="73" t="s">
        <v>88</v>
      </c>
      <c r="C499" s="73" t="s">
        <v>13</v>
      </c>
      <c r="D499" s="74" t="s">
        <v>1095</v>
      </c>
      <c r="E499" s="79" t="s">
        <v>78</v>
      </c>
      <c r="F499" s="80"/>
      <c r="G499" s="81"/>
      <c r="H499" s="78" t="s">
        <v>16</v>
      </c>
      <c r="I499" s="223">
        <v>46047</v>
      </c>
      <c r="J499" s="73">
        <v>3</v>
      </c>
      <c r="K499" s="122"/>
      <c r="L499" s="120">
        <f t="shared" si="48"/>
        <v>46137</v>
      </c>
      <c r="M499" s="121">
        <f ca="1" t="shared" si="49"/>
        <v>84</v>
      </c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>
        <v>498</v>
      </c>
      <c r="B500" s="73" t="s">
        <v>88</v>
      </c>
      <c r="C500" s="73" t="s">
        <v>13</v>
      </c>
      <c r="D500" s="74" t="s">
        <v>1096</v>
      </c>
      <c r="E500" s="79" t="s">
        <v>78</v>
      </c>
      <c r="F500" s="80"/>
      <c r="G500" s="81"/>
      <c r="H500" s="78" t="s">
        <v>16</v>
      </c>
      <c r="I500" s="223">
        <v>46047</v>
      </c>
      <c r="J500" s="73">
        <v>3</v>
      </c>
      <c r="K500" s="122"/>
      <c r="L500" s="120">
        <f t="shared" si="48"/>
        <v>46137</v>
      </c>
      <c r="M500" s="121">
        <f ca="1" t="shared" si="49"/>
        <v>84</v>
      </c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4"/>
      <c r="AV500" s="158"/>
      <c r="AW500" s="152"/>
      <c r="AX500" s="122"/>
      <c r="AY500" s="120"/>
      <c r="AZ500" s="121"/>
    </row>
    <row r="501" spans="1:52">
      <c r="A501" s="73">
        <v>499</v>
      </c>
      <c r="B501" s="73" t="s">
        <v>162</v>
      </c>
      <c r="C501" s="73" t="s">
        <v>158</v>
      </c>
      <c r="D501" s="74" t="s">
        <v>224</v>
      </c>
      <c r="E501" s="79" t="s">
        <v>225</v>
      </c>
      <c r="F501" s="80"/>
      <c r="G501" s="81"/>
      <c r="H501" s="82"/>
      <c r="I501" s="89" t="s">
        <v>472</v>
      </c>
      <c r="J501" s="73"/>
      <c r="K501" s="122"/>
      <c r="L501" s="120" t="e">
        <f t="shared" ref="L501:L534" si="50">EDATE(I501,J501)</f>
        <v>#VALUE!</v>
      </c>
      <c r="M501" s="121" t="e">
        <f ca="1" t="shared" ref="M501:M534" si="51">L501-TODAY()</f>
        <v>#VALUE!</v>
      </c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4"/>
      <c r="AV501" s="158"/>
      <c r="AW501" s="152"/>
      <c r="AX501" s="122"/>
      <c r="AY501" s="120"/>
      <c r="AZ501" s="121"/>
    </row>
    <row r="502" spans="1:52">
      <c r="A502" s="73">
        <v>500</v>
      </c>
      <c r="B502" s="73" t="s">
        <v>420</v>
      </c>
      <c r="C502" s="73" t="s">
        <v>13</v>
      </c>
      <c r="D502" s="74" t="s">
        <v>1097</v>
      </c>
      <c r="E502" s="79" t="s">
        <v>78</v>
      </c>
      <c r="F502" s="80"/>
      <c r="G502" s="81"/>
      <c r="H502" s="82"/>
      <c r="I502" s="118">
        <v>46048</v>
      </c>
      <c r="J502" s="73">
        <v>3</v>
      </c>
      <c r="K502" s="122"/>
      <c r="L502" s="120">
        <f t="shared" si="50"/>
        <v>46138</v>
      </c>
      <c r="M502" s="121">
        <f ca="1" t="shared" si="51"/>
        <v>85</v>
      </c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>
        <v>501</v>
      </c>
      <c r="B503" s="73" t="s">
        <v>420</v>
      </c>
      <c r="C503" s="73" t="s">
        <v>13</v>
      </c>
      <c r="D503" s="74" t="s">
        <v>1098</v>
      </c>
      <c r="E503" s="79" t="s">
        <v>25</v>
      </c>
      <c r="F503" s="80"/>
      <c r="G503" s="81"/>
      <c r="H503" s="78" t="s">
        <v>16</v>
      </c>
      <c r="I503" s="118">
        <v>46048</v>
      </c>
      <c r="J503" s="73">
        <v>3</v>
      </c>
      <c r="K503" s="122"/>
      <c r="L503" s="120">
        <f t="shared" si="50"/>
        <v>46138</v>
      </c>
      <c r="M503" s="121">
        <f ca="1" t="shared" si="51"/>
        <v>85</v>
      </c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>
        <v>502</v>
      </c>
      <c r="B504" s="73" t="s">
        <v>140</v>
      </c>
      <c r="C504" s="73" t="s">
        <v>27</v>
      </c>
      <c r="D504" s="74" t="s">
        <v>1099</v>
      </c>
      <c r="E504" s="79" t="s">
        <v>964</v>
      </c>
      <c r="F504" s="80"/>
      <c r="G504" s="81"/>
      <c r="H504" s="82"/>
      <c r="I504" s="118">
        <v>46048</v>
      </c>
      <c r="J504" s="73">
        <v>3</v>
      </c>
      <c r="K504" s="122"/>
      <c r="L504" s="120">
        <f t="shared" si="50"/>
        <v>46138</v>
      </c>
      <c r="M504" s="121">
        <f ca="1" t="shared" si="51"/>
        <v>85</v>
      </c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>
        <v>503</v>
      </c>
      <c r="B505" s="73" t="s">
        <v>37</v>
      </c>
      <c r="C505" s="73" t="s">
        <v>13</v>
      </c>
      <c r="D505" s="74" t="s">
        <v>1100</v>
      </c>
      <c r="E505" s="79" t="s">
        <v>25</v>
      </c>
      <c r="F505" s="80"/>
      <c r="G505" s="81"/>
      <c r="H505" s="130" t="s">
        <v>16</v>
      </c>
      <c r="I505" s="118">
        <v>46048</v>
      </c>
      <c r="J505" s="73">
        <v>3</v>
      </c>
      <c r="K505" s="122"/>
      <c r="L505" s="120">
        <f t="shared" si="50"/>
        <v>46138</v>
      </c>
      <c r="M505" s="121">
        <f ca="1" t="shared" si="51"/>
        <v>85</v>
      </c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>
        <v>504</v>
      </c>
      <c r="B506" s="73" t="s">
        <v>348</v>
      </c>
      <c r="C506" s="73" t="s">
        <v>27</v>
      </c>
      <c r="D506" s="74" t="s">
        <v>1101</v>
      </c>
      <c r="E506" s="79" t="s">
        <v>118</v>
      </c>
      <c r="F506" s="80"/>
      <c r="G506" s="81"/>
      <c r="H506" s="130" t="s">
        <v>16</v>
      </c>
      <c r="I506" s="118">
        <v>46048</v>
      </c>
      <c r="J506" s="73">
        <v>3</v>
      </c>
      <c r="K506" s="122"/>
      <c r="L506" s="120">
        <f t="shared" si="50"/>
        <v>46138</v>
      </c>
      <c r="M506" s="121">
        <f ca="1" t="shared" si="51"/>
        <v>85</v>
      </c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>
        <v>505</v>
      </c>
      <c r="B507" s="73" t="s">
        <v>1102</v>
      </c>
      <c r="C507" s="73" t="s">
        <v>27</v>
      </c>
      <c r="D507" s="74" t="s">
        <v>1103</v>
      </c>
      <c r="E507" s="79" t="s">
        <v>205</v>
      </c>
      <c r="F507" s="80"/>
      <c r="G507" s="81"/>
      <c r="H507" s="82"/>
      <c r="I507" s="118">
        <v>46048</v>
      </c>
      <c r="J507" s="73">
        <v>3</v>
      </c>
      <c r="K507" s="122"/>
      <c r="L507" s="120">
        <f t="shared" si="50"/>
        <v>46138</v>
      </c>
      <c r="M507" s="121">
        <f ca="1" t="shared" si="51"/>
        <v>85</v>
      </c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>
        <v>506</v>
      </c>
      <c r="B508" s="73" t="s">
        <v>1104</v>
      </c>
      <c r="C508" s="73" t="s">
        <v>13</v>
      </c>
      <c r="D508" s="74" t="s">
        <v>1105</v>
      </c>
      <c r="E508" s="79" t="s">
        <v>1106</v>
      </c>
      <c r="F508" s="80"/>
      <c r="G508" s="81"/>
      <c r="H508" s="78" t="s">
        <v>16</v>
      </c>
      <c r="I508" s="118">
        <v>46048</v>
      </c>
      <c r="J508" s="73">
        <v>3</v>
      </c>
      <c r="K508" s="122"/>
      <c r="L508" s="120">
        <f t="shared" si="50"/>
        <v>46138</v>
      </c>
      <c r="M508" s="121">
        <f ca="1" t="shared" si="51"/>
        <v>85</v>
      </c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>
        <v>507</v>
      </c>
      <c r="B509" s="73" t="s">
        <v>1107</v>
      </c>
      <c r="C509" s="73" t="s">
        <v>158</v>
      </c>
      <c r="D509" s="74" t="s">
        <v>1108</v>
      </c>
      <c r="E509" s="79" t="s">
        <v>535</v>
      </c>
      <c r="F509" s="80"/>
      <c r="G509" s="81"/>
      <c r="H509" s="82"/>
      <c r="I509" s="118">
        <v>46048</v>
      </c>
      <c r="J509" s="73">
        <v>3</v>
      </c>
      <c r="K509" s="122"/>
      <c r="L509" s="120">
        <f t="shared" si="50"/>
        <v>46138</v>
      </c>
      <c r="M509" s="121">
        <f ca="1" t="shared" si="51"/>
        <v>85</v>
      </c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>
        <v>508</v>
      </c>
      <c r="B510" s="73" t="s">
        <v>169</v>
      </c>
      <c r="C510" s="73" t="s">
        <v>158</v>
      </c>
      <c r="D510" s="74" t="s">
        <v>1109</v>
      </c>
      <c r="E510" s="79" t="s">
        <v>221</v>
      </c>
      <c r="F510" s="80"/>
      <c r="G510" s="81"/>
      <c r="H510" s="82"/>
      <c r="I510" s="118">
        <v>46048</v>
      </c>
      <c r="J510" s="73">
        <v>3</v>
      </c>
      <c r="K510" s="122"/>
      <c r="L510" s="120">
        <f t="shared" si="50"/>
        <v>46138</v>
      </c>
      <c r="M510" s="121">
        <f ca="1" t="shared" si="51"/>
        <v>85</v>
      </c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>
        <v>509</v>
      </c>
      <c r="B511" s="73" t="s">
        <v>753</v>
      </c>
      <c r="C511" s="73" t="s">
        <v>158</v>
      </c>
      <c r="D511" s="74" t="s">
        <v>1110</v>
      </c>
      <c r="E511" s="79" t="s">
        <v>158</v>
      </c>
      <c r="F511" s="80"/>
      <c r="G511" s="81"/>
      <c r="H511" s="82"/>
      <c r="I511" s="118">
        <v>46048</v>
      </c>
      <c r="J511" s="73">
        <v>3</v>
      </c>
      <c r="K511" s="122"/>
      <c r="L511" s="120">
        <f t="shared" si="50"/>
        <v>46138</v>
      </c>
      <c r="M511" s="121">
        <f ca="1" t="shared" si="51"/>
        <v>85</v>
      </c>
      <c r="N511" s="73"/>
      <c r="O511" s="73"/>
      <c r="P511" s="73"/>
      <c r="Q511" s="74"/>
      <c r="R511" s="79"/>
      <c r="S511" s="80"/>
      <c r="T511" s="81"/>
      <c r="U511" s="78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>
        <v>510</v>
      </c>
      <c r="B512" s="73" t="s">
        <v>169</v>
      </c>
      <c r="C512" s="73" t="s">
        <v>158</v>
      </c>
      <c r="D512" s="74" t="s">
        <v>1111</v>
      </c>
      <c r="E512" s="79" t="s">
        <v>1112</v>
      </c>
      <c r="F512" s="80"/>
      <c r="G512" s="81"/>
      <c r="H512" s="82"/>
      <c r="I512" s="118">
        <v>46048</v>
      </c>
      <c r="J512" s="73">
        <v>3</v>
      </c>
      <c r="K512" s="122"/>
      <c r="L512" s="120">
        <f t="shared" si="50"/>
        <v>46138</v>
      </c>
      <c r="M512" s="121">
        <f ca="1" t="shared" si="51"/>
        <v>85</v>
      </c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>
        <v>511</v>
      </c>
      <c r="B513" s="73" t="s">
        <v>169</v>
      </c>
      <c r="C513" s="73" t="s">
        <v>158</v>
      </c>
      <c r="D513" s="74" t="s">
        <v>749</v>
      </c>
      <c r="E513" s="79" t="s">
        <v>221</v>
      </c>
      <c r="F513" s="80"/>
      <c r="G513" s="81"/>
      <c r="H513" s="213"/>
      <c r="I513" s="118" t="s">
        <v>472</v>
      </c>
      <c r="J513" s="73">
        <v>3</v>
      </c>
      <c r="K513" s="122"/>
      <c r="L513" s="120" t="e">
        <f t="shared" si="50"/>
        <v>#VALUE!</v>
      </c>
      <c r="M513" s="121" t="e">
        <f ca="1" t="shared" si="51"/>
        <v>#VALUE!</v>
      </c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>
        <v>512</v>
      </c>
      <c r="B514" s="73" t="s">
        <v>1113</v>
      </c>
      <c r="C514" s="73" t="s">
        <v>13</v>
      </c>
      <c r="D514" s="74" t="s">
        <v>1114</v>
      </c>
      <c r="E514" s="79" t="s">
        <v>1115</v>
      </c>
      <c r="F514" s="80"/>
      <c r="G514" s="80"/>
      <c r="H514" s="212" t="s">
        <v>16</v>
      </c>
      <c r="I514" s="118">
        <v>46048</v>
      </c>
      <c r="J514" s="73">
        <v>3</v>
      </c>
      <c r="K514" s="265"/>
      <c r="L514" s="120">
        <f t="shared" si="50"/>
        <v>46138</v>
      </c>
      <c r="M514" s="121">
        <f ca="1" t="shared" si="51"/>
        <v>85</v>
      </c>
      <c r="N514" s="73"/>
      <c r="O514" s="73"/>
      <c r="P514" s="73"/>
      <c r="Q514" s="74"/>
      <c r="R514" s="79"/>
      <c r="S514" s="80"/>
      <c r="T514" s="81"/>
      <c r="U514" s="89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89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>
        <v>513</v>
      </c>
      <c r="B515" s="73" t="s">
        <v>484</v>
      </c>
      <c r="C515" s="73" t="s">
        <v>228</v>
      </c>
      <c r="D515" s="74" t="s">
        <v>1116</v>
      </c>
      <c r="E515" s="79" t="s">
        <v>1117</v>
      </c>
      <c r="F515" s="80"/>
      <c r="G515" s="80"/>
      <c r="H515" s="212" t="s">
        <v>16</v>
      </c>
      <c r="I515" s="118">
        <v>46048</v>
      </c>
      <c r="J515" s="73">
        <v>3</v>
      </c>
      <c r="K515" s="265"/>
      <c r="L515" s="120">
        <f t="shared" si="50"/>
        <v>46138</v>
      </c>
      <c r="M515" s="121">
        <f ca="1" t="shared" si="51"/>
        <v>85</v>
      </c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>
        <v>514</v>
      </c>
      <c r="B516" s="73" t="s">
        <v>341</v>
      </c>
      <c r="C516" s="73" t="s">
        <v>228</v>
      </c>
      <c r="D516" s="74" t="s">
        <v>1118</v>
      </c>
      <c r="E516" s="79" t="s">
        <v>550</v>
      </c>
      <c r="F516" s="80"/>
      <c r="G516" s="80"/>
      <c r="H516" s="212" t="s">
        <v>16</v>
      </c>
      <c r="I516" s="118">
        <v>46048</v>
      </c>
      <c r="J516" s="73">
        <v>3</v>
      </c>
      <c r="K516" s="265"/>
      <c r="L516" s="120">
        <f t="shared" si="50"/>
        <v>46138</v>
      </c>
      <c r="M516" s="121">
        <f ca="1" t="shared" si="51"/>
        <v>85</v>
      </c>
      <c r="N516" s="73"/>
      <c r="O516" s="73"/>
      <c r="P516" s="73"/>
      <c r="Q516" s="74"/>
      <c r="R516" s="79"/>
      <c r="S516" s="80"/>
      <c r="T516" s="81"/>
      <c r="U516" s="78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78"/>
      <c r="AI516" s="118"/>
      <c r="AJ516" s="73"/>
      <c r="AK516" s="119"/>
      <c r="AL516" s="120"/>
      <c r="AM516" s="121"/>
      <c r="AN516" s="152"/>
      <c r="AO516" s="152"/>
      <c r="AP516" s="152"/>
      <c r="AQ516" s="105"/>
      <c r="AR516" s="106"/>
      <c r="AS516" s="107"/>
      <c r="AT516" s="108"/>
      <c r="AU516" s="89"/>
      <c r="AV516" s="158"/>
      <c r="AW516" s="152"/>
      <c r="AX516" s="122"/>
      <c r="AY516" s="120"/>
      <c r="AZ516" s="121"/>
    </row>
    <row r="517" spans="1:52">
      <c r="A517" s="73">
        <v>515</v>
      </c>
      <c r="B517" s="73" t="s">
        <v>341</v>
      </c>
      <c r="C517" s="73" t="s">
        <v>228</v>
      </c>
      <c r="D517" s="74" t="s">
        <v>1119</v>
      </c>
      <c r="E517" s="79" t="s">
        <v>550</v>
      </c>
      <c r="F517" s="80"/>
      <c r="G517" s="80"/>
      <c r="H517" s="212" t="s">
        <v>16</v>
      </c>
      <c r="I517" s="118">
        <v>46048</v>
      </c>
      <c r="J517" s="73">
        <v>3</v>
      </c>
      <c r="K517" s="122"/>
      <c r="L517" s="120">
        <f t="shared" si="50"/>
        <v>46138</v>
      </c>
      <c r="M517" s="121">
        <f ca="1" t="shared" si="51"/>
        <v>85</v>
      </c>
      <c r="N517" s="73"/>
      <c r="O517" s="73"/>
      <c r="P517" s="73"/>
      <c r="Q517" s="74"/>
      <c r="R517" s="79"/>
      <c r="S517" s="80"/>
      <c r="T517" s="81"/>
      <c r="U517" s="130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73"/>
      <c r="AP517" s="73"/>
      <c r="AQ517" s="74"/>
      <c r="AR517" s="79"/>
      <c r="AS517" s="80"/>
      <c r="AT517" s="81"/>
      <c r="AU517" s="89"/>
      <c r="AV517" s="158"/>
      <c r="AW517" s="152"/>
      <c r="AX517" s="122"/>
      <c r="AY517" s="120"/>
      <c r="AZ517" s="121"/>
    </row>
    <row r="518" spans="1:52">
      <c r="A518" s="73">
        <v>516</v>
      </c>
      <c r="B518" s="73" t="s">
        <v>140</v>
      </c>
      <c r="C518" s="73" t="s">
        <v>13</v>
      </c>
      <c r="D518" s="74" t="s">
        <v>1120</v>
      </c>
      <c r="E518" s="79" t="s">
        <v>1121</v>
      </c>
      <c r="F518" s="80"/>
      <c r="G518" s="81"/>
      <c r="H518" s="82"/>
      <c r="I518" s="118">
        <v>46049</v>
      </c>
      <c r="J518" s="73">
        <v>3</v>
      </c>
      <c r="K518" s="122"/>
      <c r="L518" s="120">
        <f t="shared" si="50"/>
        <v>46139</v>
      </c>
      <c r="M518" s="121">
        <f ca="1" t="shared" si="51"/>
        <v>86</v>
      </c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>
        <v>517</v>
      </c>
      <c r="B519" s="73" t="s">
        <v>140</v>
      </c>
      <c r="C519" s="73" t="s">
        <v>27</v>
      </c>
      <c r="D519" s="74" t="s">
        <v>1122</v>
      </c>
      <c r="E519" s="79" t="s">
        <v>118</v>
      </c>
      <c r="F519" s="80"/>
      <c r="G519" s="81"/>
      <c r="H519" s="82"/>
      <c r="I519" s="118">
        <v>46049</v>
      </c>
      <c r="J519" s="73">
        <v>3</v>
      </c>
      <c r="K519" s="122"/>
      <c r="L519" s="120">
        <f t="shared" si="50"/>
        <v>46139</v>
      </c>
      <c r="M519" s="121">
        <f ca="1" t="shared" si="51"/>
        <v>86</v>
      </c>
      <c r="N519" s="73"/>
      <c r="O519" s="73"/>
      <c r="P519" s="73"/>
      <c r="Q519" s="74"/>
      <c r="R519" s="79"/>
      <c r="S519" s="80"/>
      <c r="T519" s="81"/>
      <c r="U519" s="89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89"/>
      <c r="AI519" s="118"/>
      <c r="AJ519" s="73"/>
      <c r="AK519" s="119"/>
      <c r="AL519" s="120"/>
      <c r="AM519" s="121"/>
      <c r="AN519" s="152"/>
      <c r="AO519" s="152"/>
      <c r="AP519" s="152"/>
      <c r="AQ519" s="105"/>
      <c r="AR519" s="106"/>
      <c r="AS519" s="107"/>
      <c r="AT519" s="108"/>
      <c r="AU519" s="89"/>
      <c r="AV519" s="158"/>
      <c r="AW519" s="152"/>
      <c r="AX519" s="122"/>
      <c r="AY519" s="120"/>
      <c r="AZ519" s="121"/>
    </row>
    <row r="520" spans="1:52">
      <c r="A520" s="73">
        <v>518</v>
      </c>
      <c r="B520" s="73" t="s">
        <v>140</v>
      </c>
      <c r="C520" s="73" t="s">
        <v>13</v>
      </c>
      <c r="D520" s="74" t="s">
        <v>1123</v>
      </c>
      <c r="E520" s="79" t="s">
        <v>84</v>
      </c>
      <c r="F520" s="80"/>
      <c r="G520" s="81"/>
      <c r="H520" s="89" t="s">
        <v>16</v>
      </c>
      <c r="I520" s="118">
        <v>46049</v>
      </c>
      <c r="J520" s="73">
        <v>3</v>
      </c>
      <c r="K520" s="122"/>
      <c r="L520" s="120">
        <f t="shared" si="50"/>
        <v>46139</v>
      </c>
      <c r="M520" s="121">
        <f ca="1" t="shared" si="51"/>
        <v>86</v>
      </c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>
        <v>519</v>
      </c>
      <c r="B521" s="73" t="s">
        <v>37</v>
      </c>
      <c r="C521" s="73" t="s">
        <v>13</v>
      </c>
      <c r="D521" s="74" t="s">
        <v>1124</v>
      </c>
      <c r="E521" s="79" t="s">
        <v>78</v>
      </c>
      <c r="F521" s="80"/>
      <c r="G521" s="81"/>
      <c r="H521" s="89" t="s">
        <v>16</v>
      </c>
      <c r="I521" s="118">
        <v>46049</v>
      </c>
      <c r="J521" s="73">
        <v>3</v>
      </c>
      <c r="K521" s="122"/>
      <c r="L521" s="120">
        <f t="shared" si="50"/>
        <v>46139</v>
      </c>
      <c r="M521" s="121">
        <f ca="1" t="shared" si="51"/>
        <v>86</v>
      </c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204"/>
      <c r="AV521" s="158"/>
      <c r="AW521" s="152"/>
      <c r="AX521" s="122"/>
      <c r="AY521" s="120"/>
      <c r="AZ521" s="121"/>
    </row>
    <row r="522" spans="1:52">
      <c r="A522" s="73">
        <v>520</v>
      </c>
      <c r="B522" s="73" t="s">
        <v>37</v>
      </c>
      <c r="C522" s="73" t="s">
        <v>13</v>
      </c>
      <c r="D522" s="74" t="s">
        <v>1125</v>
      </c>
      <c r="E522" s="79" t="s">
        <v>78</v>
      </c>
      <c r="F522" s="80"/>
      <c r="G522" s="81"/>
      <c r="H522" s="89" t="s">
        <v>16</v>
      </c>
      <c r="I522" s="118">
        <v>46049</v>
      </c>
      <c r="J522" s="73">
        <v>3</v>
      </c>
      <c r="K522" s="122"/>
      <c r="L522" s="120">
        <f t="shared" si="50"/>
        <v>46139</v>
      </c>
      <c r="M522" s="121">
        <f ca="1" t="shared" si="51"/>
        <v>86</v>
      </c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>
        <v>521</v>
      </c>
      <c r="B523" s="73" t="s">
        <v>37</v>
      </c>
      <c r="C523" s="73" t="s">
        <v>13</v>
      </c>
      <c r="D523" s="74" t="s">
        <v>1126</v>
      </c>
      <c r="E523" s="79" t="s">
        <v>78</v>
      </c>
      <c r="F523" s="80"/>
      <c r="G523" s="81"/>
      <c r="H523" s="89" t="s">
        <v>16</v>
      </c>
      <c r="I523" s="118">
        <v>46049</v>
      </c>
      <c r="J523" s="73">
        <v>3</v>
      </c>
      <c r="K523" s="122"/>
      <c r="L523" s="120">
        <f t="shared" si="50"/>
        <v>46139</v>
      </c>
      <c r="M523" s="121">
        <f ca="1" t="shared" si="51"/>
        <v>86</v>
      </c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130"/>
      <c r="AI523" s="118"/>
      <c r="AJ523" s="73"/>
      <c r="AK523" s="119"/>
      <c r="AL523" s="120"/>
      <c r="AM523" s="121"/>
      <c r="AN523" s="152"/>
      <c r="AO523" s="73"/>
      <c r="AP523" s="73"/>
      <c r="AQ523" s="74"/>
      <c r="AR523" s="79"/>
      <c r="AS523" s="80"/>
      <c r="AT523" s="81"/>
      <c r="AU523" s="82"/>
      <c r="AV523" s="158"/>
      <c r="AW523" s="152"/>
      <c r="AX523" s="122"/>
      <c r="AY523" s="120"/>
      <c r="AZ523" s="121"/>
    </row>
    <row r="524" spans="1:52">
      <c r="A524" s="73">
        <v>522</v>
      </c>
      <c r="B524" s="73" t="s">
        <v>82</v>
      </c>
      <c r="C524" s="73" t="s">
        <v>13</v>
      </c>
      <c r="D524" s="74" t="s">
        <v>1127</v>
      </c>
      <c r="E524" s="79" t="s">
        <v>1128</v>
      </c>
      <c r="F524" s="80"/>
      <c r="G524" s="81"/>
      <c r="H524" s="204"/>
      <c r="I524" s="118">
        <v>46049</v>
      </c>
      <c r="J524" s="73">
        <v>3</v>
      </c>
      <c r="K524" s="122"/>
      <c r="L524" s="120">
        <f t="shared" si="50"/>
        <v>46139</v>
      </c>
      <c r="M524" s="121">
        <f ca="1" t="shared" si="51"/>
        <v>86</v>
      </c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89"/>
      <c r="AI524" s="118"/>
      <c r="AJ524" s="73"/>
      <c r="AK524" s="119"/>
      <c r="AL524" s="120"/>
      <c r="AM524" s="121"/>
      <c r="AN524" s="152"/>
      <c r="AO524" s="152"/>
      <c r="AP524" s="152"/>
      <c r="AQ524" s="105"/>
      <c r="AR524" s="106"/>
      <c r="AS524" s="107"/>
      <c r="AT524" s="108"/>
      <c r="AU524" s="89"/>
      <c r="AV524" s="158"/>
      <c r="AW524" s="152"/>
      <c r="AX524" s="122"/>
      <c r="AY524" s="120"/>
      <c r="AZ524" s="121"/>
    </row>
    <row r="525" spans="1:52">
      <c r="A525" s="73">
        <v>523</v>
      </c>
      <c r="B525" s="73" t="s">
        <v>82</v>
      </c>
      <c r="C525" s="73" t="s">
        <v>13</v>
      </c>
      <c r="D525" s="74" t="s">
        <v>1129</v>
      </c>
      <c r="E525" s="79" t="s">
        <v>1130</v>
      </c>
      <c r="F525" s="80"/>
      <c r="G525" s="81"/>
      <c r="H525" s="204"/>
      <c r="I525" s="118">
        <v>46049</v>
      </c>
      <c r="J525" s="73">
        <v>3</v>
      </c>
      <c r="K525" s="122"/>
      <c r="L525" s="120">
        <f t="shared" si="50"/>
        <v>46139</v>
      </c>
      <c r="M525" s="121">
        <f ca="1" t="shared" si="51"/>
        <v>86</v>
      </c>
      <c r="N525" s="73"/>
      <c r="O525" s="73"/>
      <c r="P525" s="73"/>
      <c r="Q525" s="74"/>
      <c r="R525" s="79"/>
      <c r="S525" s="80"/>
      <c r="T525" s="81"/>
      <c r="U525" s="130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130"/>
      <c r="AI525" s="118"/>
      <c r="AJ525" s="73"/>
      <c r="AK525" s="119"/>
      <c r="AL525" s="120"/>
      <c r="AM525" s="121"/>
      <c r="AN525" s="152"/>
      <c r="AO525" s="73"/>
      <c r="AP525" s="73"/>
      <c r="AQ525" s="74"/>
      <c r="AR525" s="79"/>
      <c r="AS525" s="80"/>
      <c r="AT525" s="81"/>
      <c r="AU525" s="82"/>
      <c r="AV525" s="158"/>
      <c r="AW525" s="152"/>
      <c r="AX525" s="122"/>
      <c r="AY525" s="120"/>
      <c r="AZ525" s="121"/>
    </row>
    <row r="526" spans="1:52">
      <c r="A526" s="73">
        <v>524</v>
      </c>
      <c r="B526" s="73" t="s">
        <v>82</v>
      </c>
      <c r="C526" s="73" t="s">
        <v>13</v>
      </c>
      <c r="D526" s="74" t="s">
        <v>1131</v>
      </c>
      <c r="E526" s="79" t="s">
        <v>1132</v>
      </c>
      <c r="F526" s="80"/>
      <c r="G526" s="81"/>
      <c r="H526" s="78" t="s">
        <v>16</v>
      </c>
      <c r="I526" s="118">
        <v>46049</v>
      </c>
      <c r="J526" s="73">
        <v>3</v>
      </c>
      <c r="K526" s="122"/>
      <c r="L526" s="120">
        <f t="shared" si="50"/>
        <v>46139</v>
      </c>
      <c r="M526" s="121">
        <f ca="1" t="shared" si="51"/>
        <v>86</v>
      </c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>
        <v>525</v>
      </c>
      <c r="B527" s="73" t="s">
        <v>1133</v>
      </c>
      <c r="C527" s="73" t="s">
        <v>27</v>
      </c>
      <c r="D527" s="74" t="s">
        <v>1134</v>
      </c>
      <c r="E527" s="79" t="s">
        <v>1135</v>
      </c>
      <c r="F527" s="80"/>
      <c r="G527" s="81"/>
      <c r="H527" s="82"/>
      <c r="I527" s="118">
        <v>46049</v>
      </c>
      <c r="J527" s="73">
        <v>3</v>
      </c>
      <c r="K527" s="122"/>
      <c r="L527" s="120">
        <f t="shared" si="50"/>
        <v>46139</v>
      </c>
      <c r="M527" s="121">
        <f ca="1" t="shared" si="51"/>
        <v>86</v>
      </c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152"/>
      <c r="AP527" s="152"/>
      <c r="AQ527" s="105"/>
      <c r="AR527" s="106"/>
      <c r="AS527" s="107"/>
      <c r="AT527" s="108"/>
      <c r="AU527" s="89"/>
      <c r="AV527" s="158"/>
      <c r="AW527" s="152"/>
      <c r="AX527" s="122"/>
      <c r="AY527" s="120"/>
      <c r="AZ527" s="121"/>
    </row>
    <row r="528" spans="1:52">
      <c r="A528" s="73">
        <v>526</v>
      </c>
      <c r="B528" s="73" t="s">
        <v>348</v>
      </c>
      <c r="C528" s="73" t="s">
        <v>13</v>
      </c>
      <c r="D528" s="74" t="s">
        <v>1136</v>
      </c>
      <c r="E528" s="79" t="s">
        <v>32</v>
      </c>
      <c r="F528" s="80"/>
      <c r="G528" s="81"/>
      <c r="H528" s="78" t="s">
        <v>16</v>
      </c>
      <c r="I528" s="118">
        <v>46049</v>
      </c>
      <c r="J528" s="73">
        <v>3</v>
      </c>
      <c r="K528" s="122"/>
      <c r="L528" s="120">
        <f t="shared" si="50"/>
        <v>46139</v>
      </c>
      <c r="M528" s="121">
        <f ca="1" t="shared" si="51"/>
        <v>86</v>
      </c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78"/>
      <c r="AI528" s="118"/>
      <c r="AJ528" s="73"/>
      <c r="AK528" s="119"/>
      <c r="AL528" s="120"/>
      <c r="AM528" s="121"/>
      <c r="AN528" s="152"/>
      <c r="AO528" s="73"/>
      <c r="AP528" s="73"/>
      <c r="AQ528" s="74"/>
      <c r="AR528" s="79"/>
      <c r="AS528" s="80"/>
      <c r="AT528" s="81"/>
      <c r="AU528" s="89"/>
      <c r="AV528" s="158"/>
      <c r="AW528" s="152"/>
      <c r="AX528" s="122"/>
      <c r="AY528" s="120"/>
      <c r="AZ528" s="121"/>
    </row>
    <row r="529" spans="1:52">
      <c r="A529" s="73">
        <v>527</v>
      </c>
      <c r="B529" s="73" t="s">
        <v>106</v>
      </c>
      <c r="C529" s="73" t="s">
        <v>27</v>
      </c>
      <c r="D529" s="74" t="s">
        <v>107</v>
      </c>
      <c r="E529" s="79" t="s">
        <v>108</v>
      </c>
      <c r="F529" s="80"/>
      <c r="G529" s="81"/>
      <c r="H529" s="82"/>
      <c r="I529" s="118" t="s">
        <v>472</v>
      </c>
      <c r="J529" s="73"/>
      <c r="K529" s="122"/>
      <c r="L529" s="120" t="e">
        <f t="shared" si="50"/>
        <v>#VALUE!</v>
      </c>
      <c r="M529" s="121" t="e">
        <f ca="1" t="shared" si="51"/>
        <v>#VALUE!</v>
      </c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89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>
        <v>528</v>
      </c>
      <c r="B530" s="73" t="s">
        <v>1137</v>
      </c>
      <c r="C530" s="73" t="s">
        <v>13</v>
      </c>
      <c r="D530" s="74" t="s">
        <v>1138</v>
      </c>
      <c r="E530" s="79" t="s">
        <v>1139</v>
      </c>
      <c r="F530" s="80"/>
      <c r="G530" s="81"/>
      <c r="H530" s="78" t="s">
        <v>16</v>
      </c>
      <c r="I530" s="118">
        <v>46049</v>
      </c>
      <c r="J530" s="73">
        <v>3</v>
      </c>
      <c r="K530" s="122"/>
      <c r="L530" s="120">
        <f t="shared" si="50"/>
        <v>46139</v>
      </c>
      <c r="M530" s="121">
        <f ca="1" t="shared" si="51"/>
        <v>86</v>
      </c>
      <c r="N530" s="73"/>
      <c r="O530" s="73"/>
      <c r="P530" s="73"/>
      <c r="Q530" s="74"/>
      <c r="R530" s="79"/>
      <c r="S530" s="80"/>
      <c r="T530" s="81"/>
      <c r="U530" s="78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130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>
        <v>529</v>
      </c>
      <c r="B531" s="73" t="s">
        <v>1137</v>
      </c>
      <c r="C531" s="73" t="s">
        <v>13</v>
      </c>
      <c r="D531" s="74" t="s">
        <v>1140</v>
      </c>
      <c r="E531" s="79" t="s">
        <v>1139</v>
      </c>
      <c r="F531" s="80"/>
      <c r="G531" s="81"/>
      <c r="H531" s="78" t="s">
        <v>16</v>
      </c>
      <c r="I531" s="118">
        <v>46049</v>
      </c>
      <c r="J531" s="73">
        <v>3</v>
      </c>
      <c r="K531" s="122"/>
      <c r="L531" s="120">
        <f t="shared" si="50"/>
        <v>46139</v>
      </c>
      <c r="M531" s="121">
        <f ca="1" t="shared" si="51"/>
        <v>86</v>
      </c>
      <c r="N531" s="73"/>
      <c r="O531" s="73"/>
      <c r="P531" s="73"/>
      <c r="Q531" s="74"/>
      <c r="R531" s="79"/>
      <c r="S531" s="80"/>
      <c r="T531" s="81"/>
      <c r="U531" s="89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>
        <v>530</v>
      </c>
      <c r="B532" s="73" t="s">
        <v>337</v>
      </c>
      <c r="C532" s="73" t="s">
        <v>228</v>
      </c>
      <c r="D532" s="74" t="s">
        <v>1141</v>
      </c>
      <c r="E532" s="79" t="s">
        <v>632</v>
      </c>
      <c r="F532" s="80"/>
      <c r="G532" s="81"/>
      <c r="H532" s="78" t="s">
        <v>16</v>
      </c>
      <c r="I532" s="118">
        <v>46049</v>
      </c>
      <c r="J532" s="73">
        <v>3</v>
      </c>
      <c r="K532" s="122"/>
      <c r="L532" s="120">
        <f t="shared" si="50"/>
        <v>46139</v>
      </c>
      <c r="M532" s="121">
        <f ca="1" t="shared" si="51"/>
        <v>86</v>
      </c>
      <c r="N532" s="73"/>
      <c r="O532" s="73"/>
      <c r="P532" s="73"/>
      <c r="Q532" s="74"/>
      <c r="R532" s="79"/>
      <c r="S532" s="80"/>
      <c r="T532" s="81"/>
      <c r="U532" s="130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>
        <v>531</v>
      </c>
      <c r="B533" s="73" t="s">
        <v>630</v>
      </c>
      <c r="C533" s="73" t="s">
        <v>228</v>
      </c>
      <c r="D533" s="74" t="s">
        <v>1142</v>
      </c>
      <c r="E533" s="79" t="s">
        <v>632</v>
      </c>
      <c r="F533" s="80"/>
      <c r="G533" s="81"/>
      <c r="H533" s="78" t="s">
        <v>16</v>
      </c>
      <c r="I533" s="118">
        <v>46049</v>
      </c>
      <c r="J533" s="73">
        <v>3</v>
      </c>
      <c r="K533" s="122"/>
      <c r="L533" s="120">
        <f t="shared" si="50"/>
        <v>46139</v>
      </c>
      <c r="M533" s="121">
        <f ca="1" t="shared" si="51"/>
        <v>86</v>
      </c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9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>
        <v>532</v>
      </c>
      <c r="B534" s="73" t="s">
        <v>337</v>
      </c>
      <c r="C534" s="73" t="s">
        <v>228</v>
      </c>
      <c r="D534" s="74" t="s">
        <v>1143</v>
      </c>
      <c r="E534" s="79" t="s">
        <v>546</v>
      </c>
      <c r="F534" s="80"/>
      <c r="G534" s="81"/>
      <c r="H534" s="78" t="s">
        <v>16</v>
      </c>
      <c r="I534" s="118">
        <v>46049</v>
      </c>
      <c r="J534" s="73">
        <v>3</v>
      </c>
      <c r="K534" s="122"/>
      <c r="L534" s="120">
        <f t="shared" si="50"/>
        <v>46139</v>
      </c>
      <c r="M534" s="121">
        <f ca="1" t="shared" si="51"/>
        <v>86</v>
      </c>
      <c r="N534" s="73"/>
      <c r="O534" s="73"/>
      <c r="P534" s="73"/>
      <c r="Q534" s="74"/>
      <c r="R534" s="79"/>
      <c r="S534" s="80"/>
      <c r="T534" s="81"/>
      <c r="U534" s="89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2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>
        <v>533</v>
      </c>
      <c r="B535" s="73" t="s">
        <v>348</v>
      </c>
      <c r="C535" s="73" t="s">
        <v>13</v>
      </c>
      <c r="D535" s="74" t="s">
        <v>1144</v>
      </c>
      <c r="E535" s="79" t="s">
        <v>29</v>
      </c>
      <c r="F535" s="80"/>
      <c r="G535" s="81"/>
      <c r="H535" s="78" t="s">
        <v>16</v>
      </c>
      <c r="I535" s="118">
        <v>46050</v>
      </c>
      <c r="J535" s="73">
        <v>3</v>
      </c>
      <c r="K535" s="122"/>
      <c r="L535" s="120">
        <f t="shared" ref="L535:L554" si="52">EDATE(I535,J535)</f>
        <v>46140</v>
      </c>
      <c r="M535" s="121">
        <f ca="1" t="shared" ref="M535:M554" si="53">L535-TODAY()</f>
        <v>87</v>
      </c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152"/>
      <c r="AP535" s="152"/>
      <c r="AQ535" s="105"/>
      <c r="AR535" s="106"/>
      <c r="AS535" s="107"/>
      <c r="AT535" s="108"/>
      <c r="AU535" s="89"/>
      <c r="AV535" s="158"/>
      <c r="AW535" s="152"/>
      <c r="AX535" s="122"/>
      <c r="AY535" s="120"/>
      <c r="AZ535" s="121"/>
    </row>
    <row r="536" spans="1:52">
      <c r="A536" s="73">
        <v>534</v>
      </c>
      <c r="B536" s="73" t="s">
        <v>348</v>
      </c>
      <c r="C536" s="73" t="s">
        <v>27</v>
      </c>
      <c r="D536" s="74" t="s">
        <v>1145</v>
      </c>
      <c r="E536" s="79" t="s">
        <v>118</v>
      </c>
      <c r="F536" s="80"/>
      <c r="G536" s="81"/>
      <c r="H536" s="78" t="s">
        <v>16</v>
      </c>
      <c r="I536" s="118">
        <v>46050</v>
      </c>
      <c r="J536" s="73">
        <v>3</v>
      </c>
      <c r="K536" s="122"/>
      <c r="L536" s="120">
        <f t="shared" si="52"/>
        <v>46140</v>
      </c>
      <c r="M536" s="121">
        <f ca="1" t="shared" si="53"/>
        <v>87</v>
      </c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73"/>
      <c r="AP536" s="73"/>
      <c r="AQ536" s="74"/>
      <c r="AR536" s="79"/>
      <c r="AS536" s="80"/>
      <c r="AT536" s="81"/>
      <c r="AU536" s="89"/>
      <c r="AV536" s="158"/>
      <c r="AW536" s="152"/>
      <c r="AX536" s="122"/>
      <c r="AY536" s="120"/>
      <c r="AZ536" s="121"/>
    </row>
    <row r="537" spans="1:52">
      <c r="A537" s="73">
        <v>535</v>
      </c>
      <c r="B537" s="73" t="s">
        <v>140</v>
      </c>
      <c r="C537" s="73" t="s">
        <v>13</v>
      </c>
      <c r="D537" s="74" t="s">
        <v>1146</v>
      </c>
      <c r="E537" s="79" t="s">
        <v>608</v>
      </c>
      <c r="F537" s="80"/>
      <c r="G537" s="81"/>
      <c r="H537" s="78" t="s">
        <v>16</v>
      </c>
      <c r="I537" s="118">
        <v>46050</v>
      </c>
      <c r="J537" s="73">
        <v>3</v>
      </c>
      <c r="K537" s="122"/>
      <c r="L537" s="120">
        <f t="shared" si="52"/>
        <v>46140</v>
      </c>
      <c r="M537" s="121">
        <f ca="1" t="shared" si="53"/>
        <v>87</v>
      </c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>
        <v>536</v>
      </c>
      <c r="B538" s="73" t="s">
        <v>140</v>
      </c>
      <c r="C538" s="73" t="s">
        <v>13</v>
      </c>
      <c r="D538" s="74" t="s">
        <v>1147</v>
      </c>
      <c r="E538" s="79" t="s">
        <v>1148</v>
      </c>
      <c r="F538" s="80"/>
      <c r="G538" s="81"/>
      <c r="H538" s="78" t="s">
        <v>16</v>
      </c>
      <c r="I538" s="118">
        <v>46050</v>
      </c>
      <c r="J538" s="73">
        <v>3</v>
      </c>
      <c r="K538" s="122"/>
      <c r="L538" s="120">
        <f t="shared" si="52"/>
        <v>46140</v>
      </c>
      <c r="M538" s="121">
        <f ca="1" t="shared" si="53"/>
        <v>87</v>
      </c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>
        <v>537</v>
      </c>
      <c r="B539" s="73" t="s">
        <v>140</v>
      </c>
      <c r="C539" s="73" t="s">
        <v>27</v>
      </c>
      <c r="D539" s="74" t="s">
        <v>1149</v>
      </c>
      <c r="E539" s="79" t="s">
        <v>507</v>
      </c>
      <c r="F539" s="80"/>
      <c r="G539" s="81"/>
      <c r="H539" s="78" t="s">
        <v>16</v>
      </c>
      <c r="I539" s="118">
        <v>46050</v>
      </c>
      <c r="J539" s="73">
        <v>3</v>
      </c>
      <c r="K539" s="122"/>
      <c r="L539" s="120">
        <f t="shared" si="52"/>
        <v>46140</v>
      </c>
      <c r="M539" s="121">
        <f ca="1" t="shared" si="53"/>
        <v>87</v>
      </c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89"/>
      <c r="AI539" s="118"/>
      <c r="AJ539" s="73"/>
      <c r="AK539" s="119"/>
      <c r="AL539" s="120"/>
      <c r="AM539" s="121"/>
      <c r="AN539" s="152"/>
      <c r="AO539" s="152"/>
      <c r="AP539" s="152"/>
      <c r="AQ539" s="105"/>
      <c r="AR539" s="106"/>
      <c r="AS539" s="107"/>
      <c r="AT539" s="108"/>
      <c r="AU539" s="89"/>
      <c r="AV539" s="158"/>
      <c r="AW539" s="152"/>
      <c r="AX539" s="122"/>
      <c r="AY539" s="120"/>
      <c r="AZ539" s="121"/>
    </row>
    <row r="540" spans="1:52">
      <c r="A540" s="73">
        <v>538</v>
      </c>
      <c r="B540" s="73" t="s">
        <v>140</v>
      </c>
      <c r="C540" s="73" t="s">
        <v>27</v>
      </c>
      <c r="D540" s="74" t="s">
        <v>1150</v>
      </c>
      <c r="E540" s="79" t="s">
        <v>43</v>
      </c>
      <c r="F540" s="80"/>
      <c r="G540" s="81"/>
      <c r="H540" s="78" t="s">
        <v>16</v>
      </c>
      <c r="I540" s="118">
        <v>46050</v>
      </c>
      <c r="J540" s="73">
        <v>3</v>
      </c>
      <c r="K540" s="122"/>
      <c r="L540" s="120">
        <f t="shared" si="52"/>
        <v>46140</v>
      </c>
      <c r="M540" s="121">
        <f ca="1" t="shared" si="53"/>
        <v>87</v>
      </c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78"/>
      <c r="AI540" s="118"/>
      <c r="AJ540" s="73"/>
      <c r="AK540" s="119"/>
      <c r="AL540" s="120"/>
      <c r="AM540" s="121"/>
      <c r="AN540" s="152"/>
      <c r="AO540" s="73"/>
      <c r="AP540" s="73"/>
      <c r="AQ540" s="74"/>
      <c r="AR540" s="79"/>
      <c r="AS540" s="80"/>
      <c r="AT540" s="81"/>
      <c r="AU540" s="89"/>
      <c r="AV540" s="158"/>
      <c r="AW540" s="152"/>
      <c r="AX540" s="122"/>
      <c r="AY540" s="120"/>
      <c r="AZ540" s="121"/>
    </row>
    <row r="541" spans="1:52">
      <c r="A541" s="73">
        <v>539</v>
      </c>
      <c r="B541" s="73" t="s">
        <v>140</v>
      </c>
      <c r="C541" s="73" t="s">
        <v>13</v>
      </c>
      <c r="D541" s="74" t="s">
        <v>1151</v>
      </c>
      <c r="E541" s="79" t="s">
        <v>25</v>
      </c>
      <c r="F541" s="80"/>
      <c r="G541" s="81"/>
      <c r="H541" s="78" t="s">
        <v>16</v>
      </c>
      <c r="I541" s="118">
        <v>46050</v>
      </c>
      <c r="J541" s="73">
        <v>3</v>
      </c>
      <c r="K541" s="122"/>
      <c r="L541" s="120">
        <f t="shared" si="52"/>
        <v>46140</v>
      </c>
      <c r="M541" s="121">
        <f ca="1" t="shared" si="53"/>
        <v>87</v>
      </c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89"/>
      <c r="AI541" s="118"/>
      <c r="AJ541" s="73"/>
      <c r="AK541" s="119"/>
      <c r="AL541" s="120"/>
      <c r="AM541" s="121"/>
      <c r="AN541" s="152"/>
      <c r="AO541" s="152"/>
      <c r="AP541" s="152"/>
      <c r="AQ541" s="105"/>
      <c r="AR541" s="106"/>
      <c r="AS541" s="107"/>
      <c r="AT541" s="108"/>
      <c r="AU541" s="89"/>
      <c r="AV541" s="158"/>
      <c r="AW541" s="152"/>
      <c r="AX541" s="122"/>
      <c r="AY541" s="120"/>
      <c r="AZ541" s="121"/>
    </row>
    <row r="542" spans="1:52">
      <c r="A542" s="73">
        <v>540</v>
      </c>
      <c r="B542" s="73" t="s">
        <v>140</v>
      </c>
      <c r="C542" s="73" t="s">
        <v>13</v>
      </c>
      <c r="D542" s="74" t="s">
        <v>1152</v>
      </c>
      <c r="E542" s="79" t="s">
        <v>71</v>
      </c>
      <c r="F542" s="80"/>
      <c r="G542" s="81"/>
      <c r="H542" s="82"/>
      <c r="I542" s="118">
        <v>46050</v>
      </c>
      <c r="J542" s="73">
        <v>3</v>
      </c>
      <c r="K542" s="122"/>
      <c r="L542" s="120">
        <f t="shared" si="52"/>
        <v>46140</v>
      </c>
      <c r="M542" s="121">
        <f ca="1" t="shared" si="53"/>
        <v>87</v>
      </c>
      <c r="N542" s="73"/>
      <c r="O542" s="73"/>
      <c r="P542" s="73"/>
      <c r="Q542" s="74"/>
      <c r="R542" s="79"/>
      <c r="S542" s="80"/>
      <c r="T542" s="81"/>
      <c r="U542" s="78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78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>
        <v>541</v>
      </c>
      <c r="B543" s="73" t="s">
        <v>82</v>
      </c>
      <c r="C543" s="73" t="s">
        <v>27</v>
      </c>
      <c r="D543" s="74" t="s">
        <v>1153</v>
      </c>
      <c r="E543" s="79" t="s">
        <v>118</v>
      </c>
      <c r="F543" s="80"/>
      <c r="G543" s="81"/>
      <c r="H543" s="82"/>
      <c r="I543" s="118">
        <v>46050</v>
      </c>
      <c r="J543" s="73">
        <v>3</v>
      </c>
      <c r="K543" s="122"/>
      <c r="L543" s="120">
        <f t="shared" si="52"/>
        <v>46140</v>
      </c>
      <c r="M543" s="121">
        <f ca="1" t="shared" si="53"/>
        <v>87</v>
      </c>
      <c r="N543" s="73"/>
      <c r="O543" s="73"/>
      <c r="P543" s="73"/>
      <c r="Q543" s="74"/>
      <c r="R543" s="79"/>
      <c r="S543" s="80"/>
      <c r="T543" s="81"/>
      <c r="U543" s="89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73"/>
      <c r="AP543" s="73"/>
      <c r="AQ543" s="74"/>
      <c r="AR543" s="79"/>
      <c r="AS543" s="80"/>
      <c r="AT543" s="81"/>
      <c r="AU543" s="89"/>
      <c r="AV543" s="158"/>
      <c r="AW543" s="152"/>
      <c r="AX543" s="122"/>
      <c r="AY543" s="120"/>
      <c r="AZ543" s="121"/>
    </row>
    <row r="544" spans="1:52">
      <c r="A544" s="73">
        <v>542</v>
      </c>
      <c r="B544" s="73" t="s">
        <v>82</v>
      </c>
      <c r="C544" s="73" t="s">
        <v>27</v>
      </c>
      <c r="D544" s="74" t="s">
        <v>1154</v>
      </c>
      <c r="E544" s="79" t="s">
        <v>35</v>
      </c>
      <c r="F544" s="80"/>
      <c r="G544" s="81"/>
      <c r="H544" s="78" t="s">
        <v>16</v>
      </c>
      <c r="I544" s="118">
        <v>46050</v>
      </c>
      <c r="J544" s="73">
        <v>3</v>
      </c>
      <c r="K544" s="122"/>
      <c r="L544" s="120">
        <f t="shared" si="52"/>
        <v>46140</v>
      </c>
      <c r="M544" s="121">
        <f ca="1" t="shared" si="53"/>
        <v>87</v>
      </c>
      <c r="N544" s="73"/>
      <c r="O544" s="73"/>
      <c r="P544" s="73"/>
      <c r="Q544" s="74"/>
      <c r="R544" s="79"/>
      <c r="S544" s="80"/>
      <c r="T544" s="81"/>
      <c r="U544" s="78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>
        <v>543</v>
      </c>
      <c r="B545" s="73" t="s">
        <v>742</v>
      </c>
      <c r="C545" s="73" t="s">
        <v>27</v>
      </c>
      <c r="D545" s="74" t="s">
        <v>1155</v>
      </c>
      <c r="E545" s="79" t="s">
        <v>451</v>
      </c>
      <c r="F545" s="80"/>
      <c r="G545" s="81"/>
      <c r="H545" s="82"/>
      <c r="I545" s="118">
        <v>46050</v>
      </c>
      <c r="J545" s="73">
        <v>3</v>
      </c>
      <c r="K545" s="122"/>
      <c r="L545" s="120">
        <f t="shared" si="52"/>
        <v>46140</v>
      </c>
      <c r="M545" s="121">
        <f ca="1" t="shared" si="53"/>
        <v>87</v>
      </c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>
        <v>544</v>
      </c>
      <c r="B546" s="73" t="s">
        <v>1156</v>
      </c>
      <c r="C546" s="73" t="s">
        <v>27</v>
      </c>
      <c r="D546" s="74" t="s">
        <v>1157</v>
      </c>
      <c r="E546" s="79" t="s">
        <v>1064</v>
      </c>
      <c r="F546" s="80"/>
      <c r="G546" s="81"/>
      <c r="H546" s="78" t="s">
        <v>16</v>
      </c>
      <c r="I546" s="118">
        <v>46050</v>
      </c>
      <c r="J546" s="73">
        <v>3</v>
      </c>
      <c r="K546" s="122"/>
      <c r="L546" s="120">
        <f t="shared" si="52"/>
        <v>46140</v>
      </c>
      <c r="M546" s="121">
        <f ca="1" t="shared" si="53"/>
        <v>87</v>
      </c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>
        <v>545</v>
      </c>
      <c r="B547" s="73" t="s">
        <v>1158</v>
      </c>
      <c r="C547" s="73" t="s">
        <v>27</v>
      </c>
      <c r="D547" s="74" t="s">
        <v>1159</v>
      </c>
      <c r="E547" s="79" t="s">
        <v>1160</v>
      </c>
      <c r="F547" s="80"/>
      <c r="G547" s="81"/>
      <c r="H547" s="78" t="s">
        <v>16</v>
      </c>
      <c r="I547" s="118">
        <v>46050</v>
      </c>
      <c r="J547" s="73">
        <v>3</v>
      </c>
      <c r="K547" s="122"/>
      <c r="L547" s="120">
        <f t="shared" si="52"/>
        <v>46140</v>
      </c>
      <c r="M547" s="121">
        <f ca="1" t="shared" si="53"/>
        <v>87</v>
      </c>
      <c r="N547" s="73"/>
      <c r="O547" s="73"/>
      <c r="P547" s="73"/>
      <c r="Q547" s="74"/>
      <c r="R547" s="79"/>
      <c r="S547" s="80"/>
      <c r="T547" s="81"/>
      <c r="U547" s="89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89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>
        <v>546</v>
      </c>
      <c r="B548" s="73" t="s">
        <v>1161</v>
      </c>
      <c r="C548" s="73" t="s">
        <v>27</v>
      </c>
      <c r="D548" s="74" t="s">
        <v>1162</v>
      </c>
      <c r="E548" s="79" t="s">
        <v>1163</v>
      </c>
      <c r="F548" s="80"/>
      <c r="G548" s="81"/>
      <c r="H548" s="82"/>
      <c r="I548" s="118">
        <v>46050</v>
      </c>
      <c r="J548" s="73">
        <v>3</v>
      </c>
      <c r="K548" s="122"/>
      <c r="L548" s="120">
        <f t="shared" si="52"/>
        <v>46140</v>
      </c>
      <c r="M548" s="121">
        <f ca="1" t="shared" si="53"/>
        <v>87</v>
      </c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>
        <v>547</v>
      </c>
      <c r="B549" s="73" t="s">
        <v>1161</v>
      </c>
      <c r="C549" s="73" t="s">
        <v>27</v>
      </c>
      <c r="D549" s="74" t="s">
        <v>1164</v>
      </c>
      <c r="E549" s="79" t="s">
        <v>1163</v>
      </c>
      <c r="F549" s="80"/>
      <c r="G549" s="81"/>
      <c r="H549" s="82"/>
      <c r="I549" s="118">
        <v>46050</v>
      </c>
      <c r="J549" s="73">
        <v>3</v>
      </c>
      <c r="K549" s="122"/>
      <c r="L549" s="120">
        <f t="shared" si="52"/>
        <v>46140</v>
      </c>
      <c r="M549" s="121">
        <f ca="1" t="shared" si="53"/>
        <v>87</v>
      </c>
      <c r="N549" s="73"/>
      <c r="O549" s="73"/>
      <c r="P549" s="73"/>
      <c r="Q549" s="74"/>
      <c r="R549" s="79"/>
      <c r="S549" s="80"/>
      <c r="T549" s="81"/>
      <c r="U549" s="78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78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>
        <v>548</v>
      </c>
      <c r="B550" s="73" t="s">
        <v>1165</v>
      </c>
      <c r="C550" s="73" t="s">
        <v>158</v>
      </c>
      <c r="D550" s="74" t="s">
        <v>589</v>
      </c>
      <c r="E550" s="79" t="s">
        <v>470</v>
      </c>
      <c r="F550" s="80"/>
      <c r="G550" s="81"/>
      <c r="H550" s="82"/>
      <c r="I550" s="118">
        <v>46050</v>
      </c>
      <c r="J550" s="73">
        <v>3</v>
      </c>
      <c r="K550" s="122"/>
      <c r="L550" s="120">
        <f t="shared" si="52"/>
        <v>46140</v>
      </c>
      <c r="M550" s="121">
        <f ca="1" t="shared" si="53"/>
        <v>87</v>
      </c>
      <c r="N550" s="73"/>
      <c r="O550" s="73"/>
      <c r="P550" s="73"/>
      <c r="Q550" s="74"/>
      <c r="R550" s="79"/>
      <c r="S550" s="80"/>
      <c r="T550" s="81"/>
      <c r="U550" s="130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130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>
        <v>549</v>
      </c>
      <c r="B551" s="73" t="s">
        <v>1165</v>
      </c>
      <c r="C551" s="73" t="s">
        <v>158</v>
      </c>
      <c r="D551" s="74" t="s">
        <v>159</v>
      </c>
      <c r="E551" s="79" t="s">
        <v>160</v>
      </c>
      <c r="F551" s="80"/>
      <c r="G551" s="81"/>
      <c r="H551" s="82"/>
      <c r="I551" s="118">
        <v>46050</v>
      </c>
      <c r="J551" s="73">
        <v>3</v>
      </c>
      <c r="K551" s="122"/>
      <c r="L551" s="120">
        <f t="shared" si="52"/>
        <v>46140</v>
      </c>
      <c r="M551" s="121">
        <f ca="1" t="shared" si="53"/>
        <v>87</v>
      </c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73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152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>
        <v>550</v>
      </c>
      <c r="B552" s="73" t="s">
        <v>157</v>
      </c>
      <c r="C552" s="73" t="s">
        <v>158</v>
      </c>
      <c r="D552" s="74" t="s">
        <v>159</v>
      </c>
      <c r="E552" s="79" t="s">
        <v>160</v>
      </c>
      <c r="F552" s="80"/>
      <c r="G552" s="81"/>
      <c r="H552" s="82"/>
      <c r="I552" s="118" t="s">
        <v>472</v>
      </c>
      <c r="J552" s="73"/>
      <c r="K552" s="122"/>
      <c r="L552" s="120" t="e">
        <f t="shared" ref="L552:L566" si="54">EDATE(I552,J552)</f>
        <v>#VALUE!</v>
      </c>
      <c r="M552" s="121" t="e">
        <f ca="1" t="shared" ref="M552:M566" si="55">L552-TODAY()</f>
        <v>#VALUE!</v>
      </c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6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6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>
        <v>551</v>
      </c>
      <c r="B553" s="73" t="s">
        <v>162</v>
      </c>
      <c r="C553" s="73" t="s">
        <v>158</v>
      </c>
      <c r="D553" s="74" t="s">
        <v>591</v>
      </c>
      <c r="E553" s="79" t="s">
        <v>225</v>
      </c>
      <c r="F553" s="80"/>
      <c r="G553" s="81"/>
      <c r="H553" s="82"/>
      <c r="I553" s="118" t="s">
        <v>472</v>
      </c>
      <c r="J553" s="73"/>
      <c r="K553" s="122"/>
      <c r="L553" s="120" t="e">
        <f t="shared" si="54"/>
        <v>#VALUE!</v>
      </c>
      <c r="M553" s="121" t="e">
        <f ca="1" t="shared" si="55"/>
        <v>#VALUE!</v>
      </c>
      <c r="N553" s="73"/>
      <c r="O553" s="73"/>
      <c r="P553" s="73"/>
      <c r="Q553" s="74"/>
      <c r="R553" s="79"/>
      <c r="S553" s="80"/>
      <c r="T553" s="81"/>
      <c r="U553" s="89"/>
      <c r="V553" s="118"/>
      <c r="W553" s="73"/>
      <c r="X553" s="119"/>
      <c r="Y553" s="120"/>
      <c r="Z553" s="121"/>
      <c r="AA553" s="73"/>
      <c r="AB553" s="266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266"/>
      <c r="AP553" s="152"/>
      <c r="AQ553" s="105"/>
      <c r="AR553" s="106"/>
      <c r="AS553" s="107"/>
      <c r="AT553" s="108"/>
      <c r="AU553" s="89"/>
      <c r="AV553" s="158"/>
      <c r="AW553" s="152"/>
      <c r="AX553" s="122"/>
      <c r="AY553" s="120"/>
      <c r="AZ553" s="121"/>
    </row>
    <row r="554" spans="1:52">
      <c r="A554" s="73">
        <v>552</v>
      </c>
      <c r="B554" s="73" t="s">
        <v>162</v>
      </c>
      <c r="C554" s="73" t="s">
        <v>158</v>
      </c>
      <c r="D554" s="74" t="s">
        <v>166</v>
      </c>
      <c r="E554" s="79" t="s">
        <v>167</v>
      </c>
      <c r="F554" s="80"/>
      <c r="G554" s="81"/>
      <c r="H554" s="82"/>
      <c r="I554" s="118" t="s">
        <v>472</v>
      </c>
      <c r="J554" s="73"/>
      <c r="K554" s="122"/>
      <c r="L554" s="120" t="e">
        <f t="shared" si="54"/>
        <v>#VALUE!</v>
      </c>
      <c r="M554" s="121" t="e">
        <f ca="1" t="shared" si="55"/>
        <v>#VALUE!</v>
      </c>
      <c r="N554" s="73"/>
      <c r="O554" s="73"/>
      <c r="P554" s="73"/>
      <c r="Q554" s="74"/>
      <c r="R554" s="79"/>
      <c r="S554" s="80"/>
      <c r="T554" s="81"/>
      <c r="U554" s="147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152"/>
      <c r="AP554" s="152"/>
      <c r="AQ554" s="105"/>
      <c r="AR554" s="106"/>
      <c r="AS554" s="107"/>
      <c r="AT554" s="108"/>
      <c r="AU554" s="147"/>
      <c r="AV554" s="158"/>
      <c r="AW554" s="152"/>
      <c r="AX554" s="122"/>
      <c r="AY554" s="120"/>
      <c r="AZ554" s="121"/>
    </row>
    <row r="555" spans="1:52">
      <c r="A555" s="73">
        <v>553</v>
      </c>
      <c r="B555" s="73" t="s">
        <v>140</v>
      </c>
      <c r="C555" s="73" t="s">
        <v>13</v>
      </c>
      <c r="D555" s="74" t="s">
        <v>1166</v>
      </c>
      <c r="E555" s="79" t="s">
        <v>241</v>
      </c>
      <c r="F555" s="80"/>
      <c r="G555" s="81"/>
      <c r="H555" s="78" t="s">
        <v>16</v>
      </c>
      <c r="I555" s="118">
        <v>46051</v>
      </c>
      <c r="J555" s="73">
        <v>3</v>
      </c>
      <c r="K555" s="122"/>
      <c r="L555" s="120">
        <f t="shared" si="54"/>
        <v>46141</v>
      </c>
      <c r="M555" s="121">
        <f ca="1" t="shared" si="55"/>
        <v>88</v>
      </c>
      <c r="N555" s="73"/>
      <c r="O555" s="73"/>
      <c r="P555" s="73"/>
      <c r="Q555" s="74"/>
      <c r="R555" s="79"/>
      <c r="S555" s="80"/>
      <c r="T555" s="81"/>
      <c r="U555" s="89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89"/>
      <c r="AI555" s="118"/>
      <c r="AJ555" s="73"/>
      <c r="AK555" s="119"/>
      <c r="AL555" s="120"/>
      <c r="AM555" s="121"/>
      <c r="AN555" s="152"/>
      <c r="AO555" s="73"/>
      <c r="AP555" s="73"/>
      <c r="AQ555" s="74"/>
      <c r="AR555" s="79"/>
      <c r="AS555" s="80"/>
      <c r="AT555" s="81"/>
      <c r="AU555" s="82"/>
      <c r="AV555" s="158"/>
      <c r="AW555" s="152"/>
      <c r="AX555" s="122"/>
      <c r="AY555" s="120"/>
      <c r="AZ555" s="121"/>
    </row>
    <row r="556" spans="1:52">
      <c r="A556" s="73">
        <v>554</v>
      </c>
      <c r="B556" s="73" t="s">
        <v>140</v>
      </c>
      <c r="C556" s="73" t="s">
        <v>13</v>
      </c>
      <c r="D556" s="74" t="s">
        <v>1167</v>
      </c>
      <c r="E556" s="79" t="s">
        <v>78</v>
      </c>
      <c r="F556" s="80"/>
      <c r="G556" s="81"/>
      <c r="H556" s="82"/>
      <c r="I556" s="118">
        <v>46051</v>
      </c>
      <c r="J556" s="73">
        <v>3</v>
      </c>
      <c r="K556" s="122"/>
      <c r="L556" s="120">
        <f t="shared" si="54"/>
        <v>46141</v>
      </c>
      <c r="M556" s="121">
        <f ca="1" t="shared" si="55"/>
        <v>88</v>
      </c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78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>
        <v>555</v>
      </c>
      <c r="B557" s="73" t="s">
        <v>461</v>
      </c>
      <c r="C557" s="73" t="s">
        <v>27</v>
      </c>
      <c r="D557" s="74" t="s">
        <v>1168</v>
      </c>
      <c r="E557" s="79" t="s">
        <v>43</v>
      </c>
      <c r="F557" s="80"/>
      <c r="G557" s="81"/>
      <c r="H557" s="78" t="s">
        <v>16</v>
      </c>
      <c r="I557" s="118">
        <v>46051</v>
      </c>
      <c r="J557" s="73">
        <v>3</v>
      </c>
      <c r="K557" s="122"/>
      <c r="L557" s="120">
        <f t="shared" si="54"/>
        <v>46141</v>
      </c>
      <c r="M557" s="121">
        <f ca="1" t="shared" si="55"/>
        <v>88</v>
      </c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89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>
        <v>556</v>
      </c>
      <c r="B558" s="73" t="s">
        <v>461</v>
      </c>
      <c r="C558" s="73" t="s">
        <v>13</v>
      </c>
      <c r="D558" s="74" t="s">
        <v>1169</v>
      </c>
      <c r="E558" s="79" t="s">
        <v>78</v>
      </c>
      <c r="F558" s="80"/>
      <c r="G558" s="81"/>
      <c r="H558" s="78" t="s">
        <v>16</v>
      </c>
      <c r="I558" s="118">
        <v>46051</v>
      </c>
      <c r="J558" s="73">
        <v>3</v>
      </c>
      <c r="K558" s="122"/>
      <c r="L558" s="120">
        <f t="shared" si="54"/>
        <v>46141</v>
      </c>
      <c r="M558" s="121">
        <f ca="1" t="shared" si="55"/>
        <v>88</v>
      </c>
      <c r="N558" s="73"/>
      <c r="O558" s="73"/>
      <c r="P558" s="73"/>
      <c r="Q558" s="74"/>
      <c r="R558" s="79"/>
      <c r="S558" s="80"/>
      <c r="T558" s="81"/>
      <c r="U558" s="78"/>
      <c r="V558" s="118"/>
      <c r="W558" s="73"/>
      <c r="X558" s="119"/>
      <c r="Y558" s="120"/>
      <c r="Z558" s="121"/>
      <c r="AA558" s="73"/>
      <c r="AB558" s="73"/>
      <c r="AC558" s="73"/>
      <c r="AD558" s="74"/>
      <c r="AE558" s="79"/>
      <c r="AF558" s="80"/>
      <c r="AG558" s="81"/>
      <c r="AH558" s="78"/>
      <c r="AI558" s="118"/>
      <c r="AJ558" s="73"/>
      <c r="AK558" s="119"/>
      <c r="AL558" s="120"/>
      <c r="AM558" s="121"/>
      <c r="AN558" s="152"/>
      <c r="AO558" s="152"/>
      <c r="AP558" s="152"/>
      <c r="AQ558" s="105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>
        <v>557</v>
      </c>
      <c r="B559" s="73" t="s">
        <v>82</v>
      </c>
      <c r="C559" s="73" t="s">
        <v>27</v>
      </c>
      <c r="D559" s="74" t="s">
        <v>1170</v>
      </c>
      <c r="E559" s="79" t="s">
        <v>22</v>
      </c>
      <c r="F559" s="80"/>
      <c r="G559" s="81"/>
      <c r="H559" s="82"/>
      <c r="I559" s="118">
        <v>46051</v>
      </c>
      <c r="J559" s="73">
        <v>3</v>
      </c>
      <c r="K559" s="122"/>
      <c r="L559" s="120">
        <f t="shared" si="54"/>
        <v>46141</v>
      </c>
      <c r="M559" s="121">
        <f ca="1" t="shared" si="55"/>
        <v>88</v>
      </c>
      <c r="N559" s="73"/>
      <c r="O559" s="73"/>
      <c r="P559" s="73"/>
      <c r="Q559" s="74"/>
      <c r="R559" s="79"/>
      <c r="S559" s="80"/>
      <c r="T559" s="81"/>
      <c r="U559" s="89"/>
      <c r="V559" s="118"/>
      <c r="W559" s="73"/>
      <c r="X559" s="119"/>
      <c r="Y559" s="120"/>
      <c r="Z559" s="121"/>
      <c r="AA559" s="73"/>
      <c r="AB559" s="73"/>
      <c r="AC559" s="73"/>
      <c r="AD559" s="79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6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>
        <v>558</v>
      </c>
      <c r="B560" s="73" t="s">
        <v>82</v>
      </c>
      <c r="C560" s="73" t="s">
        <v>13</v>
      </c>
      <c r="D560" s="74" t="s">
        <v>1171</v>
      </c>
      <c r="E560" s="79" t="s">
        <v>1172</v>
      </c>
      <c r="F560" s="80"/>
      <c r="G560" s="81"/>
      <c r="H560" s="130" t="s">
        <v>16</v>
      </c>
      <c r="I560" s="118">
        <v>46051</v>
      </c>
      <c r="J560" s="73">
        <v>3</v>
      </c>
      <c r="K560" s="122"/>
      <c r="L560" s="120">
        <f t="shared" si="54"/>
        <v>46141</v>
      </c>
      <c r="M560" s="121">
        <f ca="1" t="shared" si="55"/>
        <v>88</v>
      </c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89"/>
      <c r="AI560" s="118"/>
      <c r="AJ560" s="73"/>
      <c r="AK560" s="119"/>
      <c r="AL560" s="120"/>
      <c r="AM560" s="121"/>
      <c r="AN560" s="152"/>
      <c r="AO560" s="152"/>
      <c r="AP560" s="152"/>
      <c r="AQ560" s="105"/>
      <c r="AR560" s="106"/>
      <c r="AS560" s="107"/>
      <c r="AT560" s="108"/>
      <c r="AU560" s="89"/>
      <c r="AV560" s="158"/>
      <c r="AW560" s="152"/>
      <c r="AX560" s="122"/>
      <c r="AY560" s="120"/>
      <c r="AZ560" s="121"/>
    </row>
    <row r="561" spans="1:52">
      <c r="A561" s="73">
        <v>559</v>
      </c>
      <c r="B561" s="73" t="s">
        <v>82</v>
      </c>
      <c r="C561" s="73" t="s">
        <v>13</v>
      </c>
      <c r="D561" s="74" t="s">
        <v>1173</v>
      </c>
      <c r="E561" s="79" t="s">
        <v>84</v>
      </c>
      <c r="F561" s="80"/>
      <c r="G561" s="81"/>
      <c r="H561" s="130" t="s">
        <v>16</v>
      </c>
      <c r="I561" s="118">
        <v>46051</v>
      </c>
      <c r="J561" s="73">
        <v>3</v>
      </c>
      <c r="K561" s="122"/>
      <c r="L561" s="120">
        <f t="shared" si="54"/>
        <v>46141</v>
      </c>
      <c r="M561" s="121">
        <f ca="1" t="shared" si="55"/>
        <v>88</v>
      </c>
      <c r="N561" s="73"/>
      <c r="O561" s="73"/>
      <c r="P561" s="73"/>
      <c r="Q561" s="74"/>
      <c r="R561" s="79"/>
      <c r="S561" s="80"/>
      <c r="T561" s="81"/>
      <c r="U561" s="130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130"/>
      <c r="AI561" s="118"/>
      <c r="AJ561" s="73"/>
      <c r="AK561" s="119"/>
      <c r="AL561" s="120"/>
      <c r="AM561" s="121"/>
      <c r="AN561" s="152"/>
      <c r="AO561" s="73"/>
      <c r="AP561" s="73"/>
      <c r="AQ561" s="74"/>
      <c r="AR561" s="79"/>
      <c r="AS561" s="80"/>
      <c r="AT561" s="81"/>
      <c r="AU561" s="89"/>
      <c r="AV561" s="158"/>
      <c r="AW561" s="152"/>
      <c r="AX561" s="122"/>
      <c r="AY561" s="120"/>
      <c r="AZ561" s="121"/>
    </row>
    <row r="562" ht="24" customHeight="1" spans="1:52">
      <c r="A562" s="73">
        <v>560</v>
      </c>
      <c r="B562" s="73" t="s">
        <v>82</v>
      </c>
      <c r="C562" s="73" t="s">
        <v>13</v>
      </c>
      <c r="D562" s="74" t="s">
        <v>1174</v>
      </c>
      <c r="E562" s="79" t="s">
        <v>84</v>
      </c>
      <c r="F562" s="80"/>
      <c r="G562" s="81"/>
      <c r="H562" s="130" t="s">
        <v>16</v>
      </c>
      <c r="I562" s="118">
        <v>46051</v>
      </c>
      <c r="J562" s="73">
        <v>3</v>
      </c>
      <c r="K562" s="122"/>
      <c r="L562" s="120">
        <f t="shared" si="54"/>
        <v>46141</v>
      </c>
      <c r="M562" s="121">
        <f ca="1" t="shared" si="55"/>
        <v>88</v>
      </c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>
        <v>561</v>
      </c>
      <c r="B563" s="73" t="s">
        <v>82</v>
      </c>
      <c r="C563" s="73" t="s">
        <v>13</v>
      </c>
      <c r="D563" s="74" t="s">
        <v>1175</v>
      </c>
      <c r="E563" s="79" t="s">
        <v>577</v>
      </c>
      <c r="F563" s="80"/>
      <c r="G563" s="81"/>
      <c r="H563" s="130" t="s">
        <v>16</v>
      </c>
      <c r="I563" s="118">
        <v>46051</v>
      </c>
      <c r="J563" s="73">
        <v>3</v>
      </c>
      <c r="K563" s="122"/>
      <c r="L563" s="120">
        <f t="shared" si="54"/>
        <v>46141</v>
      </c>
      <c r="M563" s="121">
        <f ca="1" t="shared" si="55"/>
        <v>88</v>
      </c>
      <c r="N563" s="73"/>
      <c r="O563" s="73"/>
      <c r="P563" s="73"/>
      <c r="Q563" s="74"/>
      <c r="R563" s="79"/>
      <c r="S563" s="80"/>
      <c r="T563" s="81"/>
      <c r="U563" s="78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89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>
        <v>562</v>
      </c>
      <c r="B564" s="73" t="s">
        <v>1060</v>
      </c>
      <c r="C564" s="73" t="s">
        <v>158</v>
      </c>
      <c r="D564" s="74" t="s">
        <v>589</v>
      </c>
      <c r="E564" s="79" t="s">
        <v>470</v>
      </c>
      <c r="F564" s="80"/>
      <c r="G564" s="81"/>
      <c r="H564" s="204"/>
      <c r="I564" s="118" t="s">
        <v>472</v>
      </c>
      <c r="J564" s="73"/>
      <c r="K564" s="122"/>
      <c r="L564" s="120" t="e">
        <f t="shared" si="54"/>
        <v>#VALUE!</v>
      </c>
      <c r="M564" s="121" t="e">
        <f ca="1" t="shared" si="55"/>
        <v>#VALUE!</v>
      </c>
      <c r="N564" s="73"/>
      <c r="O564" s="73"/>
      <c r="P564" s="73"/>
      <c r="Q564" s="74"/>
      <c r="R564" s="79"/>
      <c r="S564" s="80"/>
      <c r="T564" s="81"/>
      <c r="U564" s="130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130"/>
      <c r="AI564" s="118"/>
      <c r="AJ564" s="73"/>
      <c r="AK564" s="119"/>
      <c r="AL564" s="120"/>
      <c r="AM564" s="121"/>
      <c r="AN564" s="152"/>
      <c r="AO564" s="152"/>
      <c r="AP564" s="152"/>
      <c r="AQ564" s="105"/>
      <c r="AR564" s="106"/>
      <c r="AS564" s="107"/>
      <c r="AT564" s="108"/>
      <c r="AU564" s="89"/>
      <c r="AV564" s="158"/>
      <c r="AW564" s="152"/>
      <c r="AX564" s="122"/>
      <c r="AY564" s="120"/>
      <c r="AZ564" s="121"/>
    </row>
    <row r="565" spans="1:52">
      <c r="A565" s="73">
        <v>563</v>
      </c>
      <c r="B565" s="73" t="s">
        <v>484</v>
      </c>
      <c r="C565" s="73" t="s">
        <v>228</v>
      </c>
      <c r="D565" s="74" t="s">
        <v>1176</v>
      </c>
      <c r="E565" s="79" t="s">
        <v>1177</v>
      </c>
      <c r="F565" s="80"/>
      <c r="G565" s="81"/>
      <c r="H565" s="130" t="s">
        <v>16</v>
      </c>
      <c r="I565" s="118">
        <v>46051</v>
      </c>
      <c r="J565" s="73">
        <v>3</v>
      </c>
      <c r="K565" s="122"/>
      <c r="L565" s="120">
        <f t="shared" si="54"/>
        <v>46141</v>
      </c>
      <c r="M565" s="121">
        <f ca="1" t="shared" si="55"/>
        <v>88</v>
      </c>
      <c r="N565" s="73"/>
      <c r="O565" s="73"/>
      <c r="P565" s="73"/>
      <c r="Q565" s="74"/>
      <c r="R565" s="79"/>
      <c r="S565" s="80"/>
      <c r="T565" s="81"/>
      <c r="U565" s="89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73"/>
      <c r="AP565" s="73"/>
      <c r="AQ565" s="74"/>
      <c r="AR565" s="79"/>
      <c r="AS565" s="80"/>
      <c r="AT565" s="81"/>
      <c r="AU565" s="82"/>
      <c r="AV565" s="158"/>
      <c r="AW565" s="152"/>
      <c r="AX565" s="122"/>
      <c r="AY565" s="120"/>
      <c r="AZ565" s="121"/>
    </row>
    <row r="566" spans="1:52">
      <c r="A566" s="73">
        <v>564</v>
      </c>
      <c r="B566" s="73" t="s">
        <v>495</v>
      </c>
      <c r="C566" s="73" t="s">
        <v>228</v>
      </c>
      <c r="D566" s="74" t="s">
        <v>1178</v>
      </c>
      <c r="E566" s="79" t="s">
        <v>1179</v>
      </c>
      <c r="F566" s="80"/>
      <c r="G566" s="81"/>
      <c r="H566" s="130" t="s">
        <v>16</v>
      </c>
      <c r="I566" s="118">
        <v>46051</v>
      </c>
      <c r="J566" s="73">
        <v>3</v>
      </c>
      <c r="K566" s="122"/>
      <c r="L566" s="120">
        <f t="shared" si="54"/>
        <v>46141</v>
      </c>
      <c r="M566" s="121">
        <f ca="1" t="shared" si="55"/>
        <v>88</v>
      </c>
      <c r="N566" s="73"/>
      <c r="O566" s="73"/>
      <c r="P566" s="73"/>
      <c r="Q566" s="74"/>
      <c r="R566" s="79"/>
      <c r="S566" s="80"/>
      <c r="T566" s="81"/>
      <c r="U566" s="82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>
        <v>565</v>
      </c>
      <c r="B567" s="73" t="s">
        <v>12</v>
      </c>
      <c r="C567" s="73" t="s">
        <v>13</v>
      </c>
      <c r="D567" s="74" t="s">
        <v>1180</v>
      </c>
      <c r="E567" s="79" t="s">
        <v>1048</v>
      </c>
      <c r="F567" s="80"/>
      <c r="G567" s="81"/>
      <c r="H567" s="130" t="s">
        <v>16</v>
      </c>
      <c r="I567" s="118">
        <v>46052</v>
      </c>
      <c r="J567" s="73">
        <v>3</v>
      </c>
      <c r="K567" s="122"/>
      <c r="L567" s="120">
        <f t="shared" ref="L567:L589" si="56">EDATE(I567,J567)</f>
        <v>46142</v>
      </c>
      <c r="M567" s="121">
        <f ca="1" t="shared" ref="M567:M589" si="57">L567-TODAY()</f>
        <v>89</v>
      </c>
      <c r="N567" s="73"/>
      <c r="O567" s="73"/>
      <c r="P567" s="73"/>
      <c r="Q567" s="74"/>
      <c r="R567" s="79"/>
      <c r="S567" s="80"/>
      <c r="T567" s="81"/>
      <c r="U567" s="89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89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89"/>
      <c r="AV567" s="158"/>
      <c r="AW567" s="152"/>
      <c r="AX567" s="122"/>
      <c r="AY567" s="120"/>
      <c r="AZ567" s="121"/>
    </row>
    <row r="568" spans="1:52">
      <c r="A568" s="73">
        <v>566</v>
      </c>
      <c r="B568" s="73" t="s">
        <v>12</v>
      </c>
      <c r="C568" s="73" t="s">
        <v>27</v>
      </c>
      <c r="D568" s="74" t="s">
        <v>1181</v>
      </c>
      <c r="E568" s="79" t="s">
        <v>35</v>
      </c>
      <c r="F568" s="80"/>
      <c r="G568" s="81"/>
      <c r="H568" s="130" t="s">
        <v>16</v>
      </c>
      <c r="I568" s="118">
        <v>46052</v>
      </c>
      <c r="J568" s="73">
        <v>3</v>
      </c>
      <c r="K568" s="122"/>
      <c r="L568" s="120">
        <f t="shared" si="56"/>
        <v>46142</v>
      </c>
      <c r="M568" s="121">
        <f ca="1" t="shared" si="57"/>
        <v>89</v>
      </c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130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130"/>
      <c r="AV568" s="158"/>
      <c r="AW568" s="152"/>
      <c r="AX568" s="122"/>
      <c r="AY568" s="120"/>
      <c r="AZ568" s="121"/>
    </row>
    <row r="569" spans="1:52">
      <c r="A569" s="73">
        <v>567</v>
      </c>
      <c r="B569" s="73" t="s">
        <v>12</v>
      </c>
      <c r="C569" s="73" t="s">
        <v>13</v>
      </c>
      <c r="D569" s="74" t="s">
        <v>1182</v>
      </c>
      <c r="E569" s="79" t="s">
        <v>47</v>
      </c>
      <c r="F569" s="80"/>
      <c r="G569" s="81"/>
      <c r="H569" s="130" t="s">
        <v>16</v>
      </c>
      <c r="I569" s="118">
        <v>46052</v>
      </c>
      <c r="J569" s="73">
        <v>3</v>
      </c>
      <c r="K569" s="122"/>
      <c r="L569" s="120">
        <f t="shared" si="56"/>
        <v>46142</v>
      </c>
      <c r="M569" s="121">
        <f ca="1" t="shared" si="57"/>
        <v>89</v>
      </c>
      <c r="N569" s="73"/>
      <c r="O569" s="73"/>
      <c r="P569" s="73"/>
      <c r="Q569" s="74"/>
      <c r="R569" s="79"/>
      <c r="S569" s="80"/>
      <c r="T569" s="81"/>
      <c r="U569" s="130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>
        <v>568</v>
      </c>
      <c r="B570" s="73" t="s">
        <v>12</v>
      </c>
      <c r="C570" s="73" t="s">
        <v>13</v>
      </c>
      <c r="D570" s="74" t="s">
        <v>1183</v>
      </c>
      <c r="E570" s="79" t="s">
        <v>78</v>
      </c>
      <c r="F570" s="80"/>
      <c r="G570" s="81"/>
      <c r="H570" s="130" t="s">
        <v>16</v>
      </c>
      <c r="I570" s="118">
        <v>46052</v>
      </c>
      <c r="J570" s="73">
        <v>3</v>
      </c>
      <c r="K570" s="122"/>
      <c r="L570" s="120">
        <f t="shared" si="56"/>
        <v>46142</v>
      </c>
      <c r="M570" s="121">
        <f ca="1" t="shared" si="57"/>
        <v>89</v>
      </c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>
        <v>569</v>
      </c>
      <c r="B571" s="73" t="s">
        <v>12</v>
      </c>
      <c r="C571" s="73" t="s">
        <v>13</v>
      </c>
      <c r="D571" s="74" t="s">
        <v>1184</v>
      </c>
      <c r="E571" s="79" t="s">
        <v>78</v>
      </c>
      <c r="F571" s="80"/>
      <c r="G571" s="81"/>
      <c r="H571" s="130" t="s">
        <v>16</v>
      </c>
      <c r="I571" s="118">
        <v>46052</v>
      </c>
      <c r="J571" s="73">
        <v>3</v>
      </c>
      <c r="K571" s="122"/>
      <c r="L571" s="120">
        <f t="shared" si="56"/>
        <v>46142</v>
      </c>
      <c r="M571" s="121">
        <f ca="1" t="shared" si="57"/>
        <v>89</v>
      </c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9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>
        <v>570</v>
      </c>
      <c r="B572" s="73" t="s">
        <v>12</v>
      </c>
      <c r="C572" s="73" t="s">
        <v>13</v>
      </c>
      <c r="D572" s="74" t="s">
        <v>1185</v>
      </c>
      <c r="E572" s="79" t="s">
        <v>47</v>
      </c>
      <c r="F572" s="80"/>
      <c r="G572" s="81"/>
      <c r="H572" s="130" t="s">
        <v>16</v>
      </c>
      <c r="I572" s="118">
        <v>46052</v>
      </c>
      <c r="J572" s="73">
        <v>3</v>
      </c>
      <c r="K572" s="122"/>
      <c r="L572" s="120">
        <f t="shared" si="56"/>
        <v>46142</v>
      </c>
      <c r="M572" s="121">
        <f ca="1" t="shared" si="57"/>
        <v>89</v>
      </c>
      <c r="N572" s="73"/>
      <c r="O572" s="73"/>
      <c r="P572" s="73"/>
      <c r="Q572" s="74"/>
      <c r="R572" s="79"/>
      <c r="S572" s="80"/>
      <c r="T572" s="81"/>
      <c r="U572" s="89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82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>
        <v>571</v>
      </c>
      <c r="B573" s="73" t="s">
        <v>140</v>
      </c>
      <c r="C573" s="73" t="s">
        <v>13</v>
      </c>
      <c r="D573" s="74" t="s">
        <v>1186</v>
      </c>
      <c r="E573" s="79" t="s">
        <v>84</v>
      </c>
      <c r="F573" s="80"/>
      <c r="G573" s="81"/>
      <c r="H573" s="82"/>
      <c r="I573" s="118">
        <v>46052</v>
      </c>
      <c r="J573" s="73">
        <v>3</v>
      </c>
      <c r="K573" s="122"/>
      <c r="L573" s="120">
        <f t="shared" si="56"/>
        <v>46142</v>
      </c>
      <c r="M573" s="121">
        <f ca="1" t="shared" si="57"/>
        <v>89</v>
      </c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78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>
        <v>572</v>
      </c>
      <c r="B574" s="73" t="s">
        <v>140</v>
      </c>
      <c r="C574" s="73" t="s">
        <v>13</v>
      </c>
      <c r="D574" s="74" t="s">
        <v>1187</v>
      </c>
      <c r="E574" s="79" t="s">
        <v>47</v>
      </c>
      <c r="F574" s="80"/>
      <c r="G574" s="81"/>
      <c r="H574" s="82"/>
      <c r="I574" s="118">
        <v>46052</v>
      </c>
      <c r="J574" s="73">
        <v>3</v>
      </c>
      <c r="K574" s="122"/>
      <c r="L574" s="120">
        <f t="shared" si="56"/>
        <v>46142</v>
      </c>
      <c r="M574" s="121">
        <f ca="1" t="shared" si="57"/>
        <v>89</v>
      </c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>
        <v>573</v>
      </c>
      <c r="B575" s="73" t="s">
        <v>140</v>
      </c>
      <c r="C575" s="73" t="s">
        <v>13</v>
      </c>
      <c r="D575" s="74" t="s">
        <v>1188</v>
      </c>
      <c r="E575" s="79" t="s">
        <v>25</v>
      </c>
      <c r="F575" s="80"/>
      <c r="G575" s="81"/>
      <c r="H575" s="82"/>
      <c r="I575" s="118">
        <v>46052</v>
      </c>
      <c r="J575" s="73">
        <v>3</v>
      </c>
      <c r="K575" s="122"/>
      <c r="L575" s="120">
        <f t="shared" si="56"/>
        <v>46142</v>
      </c>
      <c r="M575" s="121">
        <f ca="1" t="shared" si="57"/>
        <v>89</v>
      </c>
      <c r="N575" s="73"/>
      <c r="O575" s="73"/>
      <c r="P575" s="73"/>
      <c r="Q575" s="74"/>
      <c r="R575" s="79"/>
      <c r="S575" s="80"/>
      <c r="T575" s="81"/>
      <c r="U575" s="78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>
        <v>574</v>
      </c>
      <c r="B576" s="73" t="s">
        <v>140</v>
      </c>
      <c r="C576" s="73" t="s">
        <v>27</v>
      </c>
      <c r="D576" s="74" t="s">
        <v>1189</v>
      </c>
      <c r="E576" s="79" t="s">
        <v>43</v>
      </c>
      <c r="F576" s="80"/>
      <c r="G576" s="81"/>
      <c r="H576" s="82"/>
      <c r="I576" s="118">
        <v>46052</v>
      </c>
      <c r="J576" s="73">
        <v>3</v>
      </c>
      <c r="K576" s="122"/>
      <c r="L576" s="120">
        <f t="shared" si="56"/>
        <v>46142</v>
      </c>
      <c r="M576" s="121">
        <f ca="1" t="shared" si="57"/>
        <v>89</v>
      </c>
      <c r="N576" s="73"/>
      <c r="O576" s="73"/>
      <c r="P576" s="73"/>
      <c r="Q576" s="74"/>
      <c r="R576" s="79"/>
      <c r="S576" s="80"/>
      <c r="T576" s="81"/>
      <c r="U576" s="89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>
        <v>575</v>
      </c>
      <c r="B577" s="73" t="s">
        <v>82</v>
      </c>
      <c r="C577" s="73" t="s">
        <v>27</v>
      </c>
      <c r="D577" s="74" t="s">
        <v>1190</v>
      </c>
      <c r="E577" s="79" t="s">
        <v>22</v>
      </c>
      <c r="F577" s="80"/>
      <c r="G577" s="81"/>
      <c r="H577" s="82"/>
      <c r="I577" s="118">
        <v>46052</v>
      </c>
      <c r="J577" s="73">
        <v>3</v>
      </c>
      <c r="K577" s="122"/>
      <c r="L577" s="120">
        <f t="shared" si="56"/>
        <v>46142</v>
      </c>
      <c r="M577" s="121">
        <f ca="1" t="shared" si="57"/>
        <v>89</v>
      </c>
      <c r="N577" s="73"/>
      <c r="O577" s="73"/>
      <c r="P577" s="73"/>
      <c r="Q577" s="74"/>
      <c r="R577" s="79"/>
      <c r="S577" s="80"/>
      <c r="T577" s="81"/>
      <c r="U577" s="78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152"/>
      <c r="AP577" s="152"/>
      <c r="AQ577" s="105"/>
      <c r="AR577" s="106"/>
      <c r="AS577" s="107"/>
      <c r="AT577" s="108"/>
      <c r="AU577" s="89"/>
      <c r="AV577" s="158"/>
      <c r="AW577" s="152"/>
      <c r="AX577" s="122"/>
      <c r="AY577" s="120"/>
      <c r="AZ577" s="121"/>
    </row>
    <row r="578" spans="1:52">
      <c r="A578" s="73">
        <v>576</v>
      </c>
      <c r="B578" s="73" t="s">
        <v>82</v>
      </c>
      <c r="C578" s="73" t="s">
        <v>27</v>
      </c>
      <c r="D578" s="74" t="s">
        <v>1191</v>
      </c>
      <c r="E578" s="79" t="s">
        <v>118</v>
      </c>
      <c r="F578" s="80"/>
      <c r="G578" s="81"/>
      <c r="H578" s="82"/>
      <c r="I578" s="118">
        <v>46052</v>
      </c>
      <c r="J578" s="73">
        <v>3</v>
      </c>
      <c r="K578" s="122"/>
      <c r="L578" s="120">
        <f t="shared" si="56"/>
        <v>46142</v>
      </c>
      <c r="M578" s="121">
        <f ca="1" t="shared" si="57"/>
        <v>89</v>
      </c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73"/>
      <c r="AP578" s="73"/>
      <c r="AQ578" s="74"/>
      <c r="AR578" s="79"/>
      <c r="AS578" s="80"/>
      <c r="AT578" s="81"/>
      <c r="AU578" s="89"/>
      <c r="AV578" s="158"/>
      <c r="AW578" s="152"/>
      <c r="AX578" s="122"/>
      <c r="AY578" s="120"/>
      <c r="AZ578" s="121"/>
    </row>
    <row r="579" spans="1:52">
      <c r="A579" s="73">
        <v>577</v>
      </c>
      <c r="B579" s="73" t="s">
        <v>82</v>
      </c>
      <c r="C579" s="73" t="s">
        <v>27</v>
      </c>
      <c r="D579" s="74" t="s">
        <v>1192</v>
      </c>
      <c r="E579" s="79" t="s">
        <v>90</v>
      </c>
      <c r="F579" s="80"/>
      <c r="G579" s="81"/>
      <c r="H579" s="82"/>
      <c r="I579" s="118">
        <v>46052</v>
      </c>
      <c r="J579" s="73">
        <v>3</v>
      </c>
      <c r="K579" s="122"/>
      <c r="L579" s="120">
        <f t="shared" si="56"/>
        <v>46142</v>
      </c>
      <c r="M579" s="121">
        <f ca="1" t="shared" si="57"/>
        <v>89</v>
      </c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152"/>
      <c r="AP579" s="152"/>
      <c r="AQ579" s="105"/>
      <c r="AR579" s="106"/>
      <c r="AS579" s="107"/>
      <c r="AT579" s="108"/>
      <c r="AU579" s="89"/>
      <c r="AV579" s="158"/>
      <c r="AW579" s="152"/>
      <c r="AX579" s="122"/>
      <c r="AY579" s="120"/>
      <c r="AZ579" s="121"/>
    </row>
    <row r="580" spans="1:52">
      <c r="A580" s="73">
        <v>578</v>
      </c>
      <c r="B580" s="73" t="s">
        <v>82</v>
      </c>
      <c r="C580" s="73" t="s">
        <v>13</v>
      </c>
      <c r="D580" s="74" t="s">
        <v>1193</v>
      </c>
      <c r="E580" s="79" t="s">
        <v>47</v>
      </c>
      <c r="F580" s="80"/>
      <c r="G580" s="81"/>
      <c r="H580" s="130" t="s">
        <v>16</v>
      </c>
      <c r="I580" s="118">
        <v>46052</v>
      </c>
      <c r="J580" s="73">
        <v>3</v>
      </c>
      <c r="K580" s="122"/>
      <c r="L580" s="120">
        <f t="shared" si="56"/>
        <v>46142</v>
      </c>
      <c r="M580" s="121">
        <f ca="1" t="shared" si="57"/>
        <v>89</v>
      </c>
      <c r="N580" s="73"/>
      <c r="O580" s="73"/>
      <c r="P580" s="73"/>
      <c r="Q580" s="74"/>
      <c r="R580" s="79"/>
      <c r="S580" s="80"/>
      <c r="T580" s="81"/>
      <c r="U580" s="89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73"/>
      <c r="AP580" s="73"/>
      <c r="AQ580" s="74"/>
      <c r="AR580" s="79"/>
      <c r="AS580" s="80"/>
      <c r="AT580" s="81"/>
      <c r="AU580" s="82"/>
      <c r="AV580" s="158"/>
      <c r="AW580" s="152"/>
      <c r="AX580" s="122"/>
      <c r="AY580" s="120"/>
      <c r="AZ580" s="121"/>
    </row>
    <row r="581" spans="1:52">
      <c r="A581" s="73">
        <v>579</v>
      </c>
      <c r="B581" s="73" t="s">
        <v>162</v>
      </c>
      <c r="C581" s="73" t="s">
        <v>158</v>
      </c>
      <c r="D581" s="74" t="s">
        <v>948</v>
      </c>
      <c r="E581" s="79" t="s">
        <v>990</v>
      </c>
      <c r="F581" s="80"/>
      <c r="G581" s="81"/>
      <c r="H581" s="204"/>
      <c r="I581" s="118" t="s">
        <v>472</v>
      </c>
      <c r="J581" s="73"/>
      <c r="K581" s="122"/>
      <c r="L581" s="120" t="e">
        <f t="shared" si="56"/>
        <v>#VALUE!</v>
      </c>
      <c r="M581" s="121" t="e">
        <f ca="1" t="shared" si="57"/>
        <v>#VALUE!</v>
      </c>
      <c r="N581" s="73"/>
      <c r="O581" s="73"/>
      <c r="P581" s="73"/>
      <c r="Q581" s="74"/>
      <c r="R581" s="79"/>
      <c r="S581" s="80"/>
      <c r="T581" s="81"/>
      <c r="U581" s="130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152"/>
      <c r="AP581" s="152"/>
      <c r="AQ581" s="105"/>
      <c r="AR581" s="106"/>
      <c r="AS581" s="107"/>
      <c r="AT581" s="108"/>
      <c r="AU581" s="89"/>
      <c r="AV581" s="158"/>
      <c r="AW581" s="152"/>
      <c r="AX581" s="122"/>
      <c r="AY581" s="120"/>
      <c r="AZ581" s="121"/>
    </row>
    <row r="582" spans="1:52">
      <c r="A582" s="73">
        <v>580</v>
      </c>
      <c r="B582" s="73" t="s">
        <v>162</v>
      </c>
      <c r="C582" s="73" t="s">
        <v>158</v>
      </c>
      <c r="D582" s="74" t="s">
        <v>163</v>
      </c>
      <c r="E582" s="79" t="s">
        <v>164</v>
      </c>
      <c r="F582" s="80"/>
      <c r="G582" s="81"/>
      <c r="H582" s="204"/>
      <c r="I582" s="118" t="s">
        <v>472</v>
      </c>
      <c r="J582" s="73"/>
      <c r="K582" s="122"/>
      <c r="L582" s="120" t="e">
        <f t="shared" si="56"/>
        <v>#VALUE!</v>
      </c>
      <c r="M582" s="121" t="e">
        <f ca="1" t="shared" si="57"/>
        <v>#VALUE!</v>
      </c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73"/>
      <c r="AP582" s="73"/>
      <c r="AQ582" s="74"/>
      <c r="AR582" s="79"/>
      <c r="AS582" s="80"/>
      <c r="AT582" s="81"/>
      <c r="AU582" s="89"/>
      <c r="AV582" s="158"/>
      <c r="AW582" s="152"/>
      <c r="AX582" s="122"/>
      <c r="AY582" s="120"/>
      <c r="AZ582" s="121"/>
    </row>
    <row r="583" spans="1:52">
      <c r="A583" s="73">
        <v>581</v>
      </c>
      <c r="B583" s="73" t="s">
        <v>162</v>
      </c>
      <c r="C583" s="73" t="s">
        <v>158</v>
      </c>
      <c r="D583" s="74" t="s">
        <v>224</v>
      </c>
      <c r="E583" s="79" t="s">
        <v>225</v>
      </c>
      <c r="F583" s="80"/>
      <c r="G583" s="81"/>
      <c r="H583" s="204"/>
      <c r="I583" s="118" t="s">
        <v>472</v>
      </c>
      <c r="J583" s="73"/>
      <c r="K583" s="122"/>
      <c r="L583" s="120" t="e">
        <f t="shared" si="56"/>
        <v>#VALUE!</v>
      </c>
      <c r="M583" s="121" t="e">
        <f ca="1" t="shared" si="57"/>
        <v>#VALUE!</v>
      </c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spans="1:52">
      <c r="A584" s="73">
        <v>582</v>
      </c>
      <c r="B584" s="73" t="s">
        <v>484</v>
      </c>
      <c r="C584" s="73" t="s">
        <v>228</v>
      </c>
      <c r="D584" s="74" t="s">
        <v>1194</v>
      </c>
      <c r="E584" s="79" t="s">
        <v>482</v>
      </c>
      <c r="F584" s="80"/>
      <c r="G584" s="81"/>
      <c r="H584" s="204"/>
      <c r="I584" s="118">
        <v>46052</v>
      </c>
      <c r="J584" s="73">
        <v>3</v>
      </c>
      <c r="K584" s="122"/>
      <c r="L584" s="120">
        <f t="shared" si="56"/>
        <v>46142</v>
      </c>
      <c r="M584" s="121">
        <f ca="1" t="shared" si="57"/>
        <v>89</v>
      </c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ht="24" customHeight="1" spans="1:52">
      <c r="A585" s="73">
        <v>583</v>
      </c>
      <c r="B585" s="73" t="s">
        <v>480</v>
      </c>
      <c r="C585" s="73" t="s">
        <v>228</v>
      </c>
      <c r="D585" s="74" t="s">
        <v>1195</v>
      </c>
      <c r="E585" s="79" t="s">
        <v>482</v>
      </c>
      <c r="F585" s="80"/>
      <c r="G585" s="81"/>
      <c r="H585" s="204"/>
      <c r="I585" s="118">
        <v>46052</v>
      </c>
      <c r="J585" s="73">
        <v>3</v>
      </c>
      <c r="K585" s="122"/>
      <c r="L585" s="120">
        <f t="shared" si="56"/>
        <v>46142</v>
      </c>
      <c r="M585" s="121">
        <f ca="1" t="shared" si="57"/>
        <v>89</v>
      </c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89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>
        <v>584</v>
      </c>
      <c r="B586" s="73" t="s">
        <v>480</v>
      </c>
      <c r="C586" s="73" t="s">
        <v>228</v>
      </c>
      <c r="D586" s="74" t="s">
        <v>1196</v>
      </c>
      <c r="E586" s="79" t="s">
        <v>333</v>
      </c>
      <c r="F586" s="80"/>
      <c r="G586" s="81"/>
      <c r="H586" s="204"/>
      <c r="I586" s="118">
        <v>46052</v>
      </c>
      <c r="J586" s="73">
        <v>3</v>
      </c>
      <c r="K586" s="122"/>
      <c r="L586" s="120">
        <f t="shared" si="56"/>
        <v>46142</v>
      </c>
      <c r="M586" s="121">
        <f ca="1" t="shared" si="57"/>
        <v>89</v>
      </c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>
        <v>585</v>
      </c>
      <c r="B587" s="73" t="s">
        <v>341</v>
      </c>
      <c r="C587" s="73" t="s">
        <v>228</v>
      </c>
      <c r="D587" s="74" t="s">
        <v>1197</v>
      </c>
      <c r="E587" s="79" t="s">
        <v>346</v>
      </c>
      <c r="F587" s="80"/>
      <c r="G587" s="81"/>
      <c r="H587" s="89" t="s">
        <v>16</v>
      </c>
      <c r="I587" s="118">
        <v>46052</v>
      </c>
      <c r="J587" s="73">
        <v>3</v>
      </c>
      <c r="K587" s="122"/>
      <c r="L587" s="120">
        <f t="shared" si="56"/>
        <v>46142</v>
      </c>
      <c r="M587" s="121">
        <f ca="1" t="shared" si="57"/>
        <v>89</v>
      </c>
      <c r="N587" s="73"/>
      <c r="O587" s="73"/>
      <c r="P587" s="73"/>
      <c r="Q587" s="74"/>
      <c r="R587" s="79"/>
      <c r="S587" s="80"/>
      <c r="T587" s="81"/>
      <c r="U587" s="89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78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>
        <v>586</v>
      </c>
      <c r="B588" s="73" t="s">
        <v>544</v>
      </c>
      <c r="C588" s="73" t="s">
        <v>228</v>
      </c>
      <c r="D588" s="74" t="s">
        <v>1198</v>
      </c>
      <c r="E588" s="79" t="s">
        <v>546</v>
      </c>
      <c r="F588" s="80"/>
      <c r="G588" s="81"/>
      <c r="H588" s="89" t="s">
        <v>16</v>
      </c>
      <c r="I588" s="118">
        <v>46052</v>
      </c>
      <c r="J588" s="73">
        <v>3</v>
      </c>
      <c r="K588" s="122"/>
      <c r="L588" s="120">
        <f t="shared" si="56"/>
        <v>46142</v>
      </c>
      <c r="M588" s="121">
        <f ca="1" t="shared" si="57"/>
        <v>89</v>
      </c>
      <c r="N588" s="73"/>
      <c r="O588" s="73"/>
      <c r="P588" s="73"/>
      <c r="Q588" s="74"/>
      <c r="R588" s="79"/>
      <c r="S588" s="80"/>
      <c r="T588" s="81"/>
      <c r="U588" s="78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89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>
        <v>587</v>
      </c>
      <c r="B589" s="73" t="s">
        <v>544</v>
      </c>
      <c r="C589" s="73" t="s">
        <v>228</v>
      </c>
      <c r="D589" s="74" t="s">
        <v>1199</v>
      </c>
      <c r="E589" s="79" t="s">
        <v>546</v>
      </c>
      <c r="F589" s="80"/>
      <c r="G589" s="81"/>
      <c r="H589" s="89" t="s">
        <v>16</v>
      </c>
      <c r="I589" s="118">
        <v>46052</v>
      </c>
      <c r="J589" s="73">
        <v>3</v>
      </c>
      <c r="K589" s="122"/>
      <c r="L589" s="120">
        <f t="shared" si="56"/>
        <v>46142</v>
      </c>
      <c r="M589" s="121">
        <f ca="1" t="shared" si="57"/>
        <v>89</v>
      </c>
      <c r="N589" s="73"/>
      <c r="O589" s="73"/>
      <c r="P589" s="73"/>
      <c r="Q589" s="74"/>
      <c r="R589" s="79"/>
      <c r="S589" s="80"/>
      <c r="T589" s="81"/>
      <c r="U589" s="89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78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/>
      <c r="B590" s="73"/>
      <c r="C590" s="73"/>
      <c r="D590" s="74"/>
      <c r="E590" s="79"/>
      <c r="F590" s="80"/>
      <c r="G590" s="81"/>
      <c r="H590" s="78"/>
      <c r="I590" s="118"/>
      <c r="J590" s="73"/>
      <c r="K590" s="122"/>
      <c r="L590" s="120"/>
      <c r="M590" s="121"/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spans="1:52">
      <c r="A591" s="73"/>
      <c r="B591" s="73"/>
      <c r="C591" s="73"/>
      <c r="D591" s="74"/>
      <c r="E591" s="79"/>
      <c r="F591" s="80"/>
      <c r="G591" s="81"/>
      <c r="H591" s="78"/>
      <c r="I591" s="118"/>
      <c r="J591" s="73"/>
      <c r="K591" s="122"/>
      <c r="L591" s="120"/>
      <c r="M591" s="121"/>
      <c r="N591" s="73"/>
      <c r="O591" s="73"/>
      <c r="P591" s="73"/>
      <c r="Q591" s="74"/>
      <c r="R591" s="79"/>
      <c r="S591" s="80"/>
      <c r="T591" s="81"/>
      <c r="U591" s="78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89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89"/>
      <c r="AV591" s="158"/>
      <c r="AW591" s="152"/>
      <c r="AX591" s="122"/>
      <c r="AY591" s="120"/>
      <c r="AZ591" s="121"/>
    </row>
    <row r="592" spans="1:52">
      <c r="A592" s="73"/>
      <c r="B592" s="73"/>
      <c r="C592" s="73"/>
      <c r="D592" s="74"/>
      <c r="E592" s="79"/>
      <c r="F592" s="80"/>
      <c r="G592" s="81"/>
      <c r="H592" s="78"/>
      <c r="I592" s="118"/>
      <c r="J592" s="73"/>
      <c r="K592" s="122"/>
      <c r="L592" s="120"/>
      <c r="M592" s="121"/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130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130"/>
      <c r="AV592" s="158"/>
      <c r="AW592" s="152"/>
      <c r="AX592" s="122"/>
      <c r="AY592" s="120"/>
      <c r="AZ592" s="121"/>
    </row>
    <row r="593" ht="79" customHeight="1" spans="1:52">
      <c r="A593" s="73"/>
      <c r="B593" s="73"/>
      <c r="C593" s="73"/>
      <c r="D593" s="74"/>
      <c r="E593" s="79"/>
      <c r="F593" s="80"/>
      <c r="G593" s="81"/>
      <c r="H593" s="130"/>
      <c r="I593" s="118"/>
      <c r="J593" s="73"/>
      <c r="K593" s="122"/>
      <c r="L593" s="120"/>
      <c r="M593" s="121"/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2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spans="1:52">
      <c r="A594" s="73"/>
      <c r="B594" s="73"/>
      <c r="C594" s="73"/>
      <c r="D594" s="74"/>
      <c r="E594" s="79"/>
      <c r="F594" s="80"/>
      <c r="G594" s="81"/>
      <c r="H594" s="130"/>
      <c r="I594" s="118"/>
      <c r="J594" s="73"/>
      <c r="K594" s="122"/>
      <c r="L594" s="120"/>
      <c r="M594" s="121"/>
      <c r="N594" s="73"/>
      <c r="O594" s="73"/>
      <c r="P594" s="73"/>
      <c r="Q594" s="74"/>
      <c r="R594" s="79"/>
      <c r="S594" s="80"/>
      <c r="T594" s="81"/>
      <c r="U594" s="130"/>
      <c r="V594" s="118"/>
      <c r="W594" s="73"/>
      <c r="X594" s="119"/>
      <c r="Y594" s="120"/>
      <c r="Z594" s="121"/>
      <c r="AA594" s="73"/>
      <c r="AB594" s="73"/>
      <c r="AC594" s="73"/>
      <c r="AD594" s="7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105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ht="22.5" spans="1:52">
      <c r="A595" s="73"/>
      <c r="B595" s="73"/>
      <c r="C595" s="73"/>
      <c r="D595" s="254"/>
      <c r="E595" s="79"/>
      <c r="F595" s="80"/>
      <c r="G595" s="81"/>
      <c r="H595" s="89"/>
      <c r="I595" s="118"/>
      <c r="J595" s="73"/>
      <c r="K595" s="122"/>
      <c r="L595" s="120"/>
      <c r="M595" s="121"/>
      <c r="N595" s="73"/>
      <c r="O595" s="73"/>
      <c r="P595" s="73"/>
      <c r="Q595" s="254"/>
      <c r="R595" s="79"/>
      <c r="S595" s="80"/>
      <c r="T595" s="81"/>
      <c r="U595" s="78"/>
      <c r="V595" s="118"/>
      <c r="W595" s="73"/>
      <c r="X595" s="119"/>
      <c r="Y595" s="120"/>
      <c r="Z595" s="121"/>
      <c r="AA595" s="73"/>
      <c r="AB595" s="73"/>
      <c r="AC595" s="73"/>
      <c r="AD595" s="25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262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/>
      <c r="B596" s="73"/>
      <c r="C596" s="73"/>
      <c r="D596" s="74"/>
      <c r="E596" s="79"/>
      <c r="F596" s="80"/>
      <c r="G596" s="81"/>
      <c r="H596" s="89"/>
      <c r="I596" s="118"/>
      <c r="J596" s="73"/>
      <c r="K596" s="122"/>
      <c r="L596" s="120"/>
      <c r="M596" s="121"/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/>
      <c r="B597" s="73"/>
      <c r="C597" s="73"/>
      <c r="D597" s="74"/>
      <c r="E597" s="79"/>
      <c r="F597" s="80"/>
      <c r="G597" s="81"/>
      <c r="H597" s="89"/>
      <c r="I597" s="118"/>
      <c r="J597" s="73"/>
      <c r="K597" s="122"/>
      <c r="L597" s="120"/>
      <c r="M597" s="121"/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/>
      <c r="B598" s="73"/>
      <c r="C598" s="73"/>
      <c r="D598" s="74"/>
      <c r="E598" s="79"/>
      <c r="F598" s="80"/>
      <c r="G598" s="81"/>
      <c r="H598" s="89"/>
      <c r="I598" s="118"/>
      <c r="J598" s="73"/>
      <c r="K598" s="122"/>
      <c r="L598" s="120"/>
      <c r="M598" s="121"/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152"/>
      <c r="AP598" s="152"/>
      <c r="AQ598" s="105"/>
      <c r="AR598" s="106"/>
      <c r="AS598" s="107"/>
      <c r="AT598" s="108"/>
      <c r="AU598" s="89"/>
      <c r="AV598" s="158"/>
      <c r="AW598" s="152"/>
      <c r="AX598" s="122"/>
      <c r="AY598" s="120"/>
      <c r="AZ598" s="121"/>
    </row>
    <row r="599" spans="1:52">
      <c r="A599" s="73"/>
      <c r="B599" s="73"/>
      <c r="C599" s="73"/>
      <c r="D599" s="74"/>
      <c r="E599" s="79"/>
      <c r="F599" s="80"/>
      <c r="G599" s="81"/>
      <c r="H599" s="89"/>
      <c r="I599" s="118"/>
      <c r="J599" s="73"/>
      <c r="K599" s="122"/>
      <c r="L599" s="120"/>
      <c r="M599" s="121"/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/>
      <c r="B600" s="73"/>
      <c r="C600" s="73"/>
      <c r="D600" s="74"/>
      <c r="E600" s="79"/>
      <c r="F600" s="80"/>
      <c r="G600" s="81"/>
      <c r="H600" s="89"/>
      <c r="I600" s="118"/>
      <c r="J600" s="73"/>
      <c r="K600" s="122"/>
      <c r="L600" s="120"/>
      <c r="M600" s="121"/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73"/>
      <c r="AP600" s="73"/>
      <c r="AQ600" s="74"/>
      <c r="AR600" s="79"/>
      <c r="AS600" s="80"/>
      <c r="AT600" s="81"/>
      <c r="AU600" s="89"/>
      <c r="AV600" s="158"/>
      <c r="AW600" s="152"/>
      <c r="AX600" s="122"/>
      <c r="AY600" s="120"/>
      <c r="AZ600" s="121"/>
    </row>
    <row r="601" spans="1:52">
      <c r="A601" s="73"/>
      <c r="B601" s="73"/>
      <c r="C601" s="73"/>
      <c r="D601" s="74"/>
      <c r="E601" s="79"/>
      <c r="F601" s="80"/>
      <c r="G601" s="81"/>
      <c r="H601" s="89"/>
      <c r="I601" s="118"/>
      <c r="J601" s="73"/>
      <c r="K601" s="122"/>
      <c r="L601" s="120"/>
      <c r="M601" s="121"/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152"/>
      <c r="AP601" s="152"/>
      <c r="AQ601" s="105"/>
      <c r="AR601" s="106"/>
      <c r="AS601" s="107"/>
      <c r="AT601" s="108"/>
      <c r="AU601" s="89"/>
      <c r="AV601" s="158"/>
      <c r="AW601" s="152"/>
      <c r="AX601" s="122"/>
      <c r="AY601" s="120"/>
      <c r="AZ601" s="121"/>
    </row>
    <row r="602" ht="24" customHeight="1" spans="1:52">
      <c r="A602" s="73"/>
      <c r="B602" s="73"/>
      <c r="C602" s="73"/>
      <c r="D602" s="74"/>
      <c r="E602" s="79"/>
      <c r="F602" s="80"/>
      <c r="G602" s="81"/>
      <c r="H602" s="89"/>
      <c r="I602" s="118"/>
      <c r="J602" s="73"/>
      <c r="K602" s="122"/>
      <c r="L602" s="120"/>
      <c r="M602" s="121"/>
      <c r="N602" s="73"/>
      <c r="O602" s="73"/>
      <c r="P602" s="73"/>
      <c r="Q602" s="74"/>
      <c r="R602" s="79"/>
      <c r="S602" s="80"/>
      <c r="T602" s="81"/>
      <c r="U602" s="89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73"/>
      <c r="AP602" s="73"/>
      <c r="AQ602" s="74"/>
      <c r="AR602" s="79"/>
      <c r="AS602" s="80"/>
      <c r="AT602" s="81"/>
      <c r="AU602" s="89"/>
      <c r="AV602" s="158"/>
      <c r="AW602" s="152"/>
      <c r="AX602" s="122"/>
      <c r="AY602" s="120"/>
      <c r="AZ602" s="121"/>
    </row>
    <row r="603" ht="22" customHeight="1" spans="1:52">
      <c r="A603" s="73"/>
      <c r="B603" s="73"/>
      <c r="C603" s="73"/>
      <c r="D603" s="74"/>
      <c r="E603" s="79"/>
      <c r="F603" s="80"/>
      <c r="G603" s="81"/>
      <c r="H603" s="147"/>
      <c r="I603" s="118"/>
      <c r="J603" s="73"/>
      <c r="K603" s="122"/>
      <c r="L603" s="120"/>
      <c r="M603" s="121"/>
      <c r="N603" s="73"/>
      <c r="O603" s="73"/>
      <c r="P603" s="73"/>
      <c r="Q603" s="74"/>
      <c r="R603" s="79"/>
      <c r="S603" s="80"/>
      <c r="T603" s="81"/>
      <c r="U603" s="147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/>
      <c r="B604" s="73"/>
      <c r="C604" s="73"/>
      <c r="D604" s="74"/>
      <c r="E604" s="79"/>
      <c r="F604" s="80"/>
      <c r="G604" s="81"/>
      <c r="H604" s="147"/>
      <c r="I604" s="118"/>
      <c r="J604" s="73"/>
      <c r="K604" s="122"/>
      <c r="L604" s="120"/>
      <c r="M604" s="121"/>
      <c r="N604" s="73"/>
      <c r="O604" s="73"/>
      <c r="P604" s="73"/>
      <c r="Q604" s="74"/>
      <c r="R604" s="79"/>
      <c r="S604" s="80"/>
      <c r="T604" s="81"/>
      <c r="U604" s="89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/>
      <c r="B605" s="73"/>
      <c r="C605" s="73"/>
      <c r="D605" s="74"/>
      <c r="E605" s="79"/>
      <c r="F605" s="80"/>
      <c r="G605" s="81"/>
      <c r="H605" s="147"/>
      <c r="I605" s="118"/>
      <c r="J605" s="73"/>
      <c r="K605" s="122"/>
      <c r="L605" s="120"/>
      <c r="M605" s="121"/>
      <c r="N605" s="73"/>
      <c r="O605" s="73"/>
      <c r="P605" s="73"/>
      <c r="Q605" s="74"/>
      <c r="R605" s="79"/>
      <c r="S605" s="80"/>
      <c r="T605" s="81"/>
      <c r="U605" s="147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/>
      <c r="B606" s="73"/>
      <c r="C606" s="73"/>
      <c r="D606" s="74"/>
      <c r="E606" s="79"/>
      <c r="F606" s="80"/>
      <c r="G606" s="81"/>
      <c r="H606" s="89"/>
      <c r="I606" s="118"/>
      <c r="J606" s="73"/>
      <c r="K606" s="122"/>
      <c r="L606" s="120"/>
      <c r="M606" s="121"/>
      <c r="N606" s="73"/>
      <c r="O606" s="73"/>
      <c r="P606" s="73"/>
      <c r="Q606" s="74"/>
      <c r="R606" s="79"/>
      <c r="S606" s="80"/>
      <c r="T606" s="81"/>
      <c r="U606" s="89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/>
      <c r="B607" s="73"/>
      <c r="C607" s="73"/>
      <c r="D607" s="74"/>
      <c r="E607" s="79"/>
      <c r="F607" s="80"/>
      <c r="G607" s="81"/>
      <c r="H607" s="89"/>
      <c r="I607" s="118"/>
      <c r="J607" s="73"/>
      <c r="K607" s="122"/>
      <c r="L607" s="120"/>
      <c r="M607" s="121"/>
      <c r="N607" s="73"/>
      <c r="O607" s="73"/>
      <c r="P607" s="73"/>
      <c r="Q607" s="74"/>
      <c r="R607" s="79"/>
      <c r="S607" s="80"/>
      <c r="T607" s="81"/>
      <c r="U607" s="82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/>
      <c r="B608" s="73"/>
      <c r="C608" s="73"/>
      <c r="D608" s="74"/>
      <c r="E608" s="79"/>
      <c r="F608" s="80"/>
      <c r="G608" s="81"/>
      <c r="H608" s="89"/>
      <c r="I608" s="118"/>
      <c r="J608" s="73"/>
      <c r="K608" s="122"/>
      <c r="L608" s="120"/>
      <c r="M608" s="121"/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/>
      <c r="B609" s="73"/>
      <c r="C609" s="73"/>
      <c r="D609" s="74"/>
      <c r="E609" s="79"/>
      <c r="F609" s="80"/>
      <c r="G609" s="81"/>
      <c r="H609" s="89"/>
      <c r="I609" s="118"/>
      <c r="J609" s="73"/>
      <c r="K609" s="122"/>
      <c r="L609" s="120"/>
      <c r="M609" s="121"/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/>
      <c r="B610" s="73"/>
      <c r="C610" s="73"/>
      <c r="D610" s="74"/>
      <c r="E610" s="79"/>
      <c r="F610" s="80"/>
      <c r="G610" s="81"/>
      <c r="H610" s="89"/>
      <c r="I610" s="118"/>
      <c r="J610" s="73"/>
      <c r="K610" s="122"/>
      <c r="L610" s="120"/>
      <c r="M610" s="121"/>
      <c r="N610" s="73"/>
      <c r="O610" s="73"/>
      <c r="P610" s="73"/>
      <c r="Q610" s="74"/>
      <c r="R610" s="79"/>
      <c r="S610" s="80"/>
      <c r="T610" s="81"/>
      <c r="U610" s="130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/>
      <c r="B611" s="73"/>
      <c r="C611" s="73"/>
      <c r="D611" s="74"/>
      <c r="E611" s="79"/>
      <c r="F611" s="80"/>
      <c r="G611" s="81"/>
      <c r="H611" s="89"/>
      <c r="I611" s="118"/>
      <c r="J611" s="73"/>
      <c r="K611" s="122"/>
      <c r="L611" s="120"/>
      <c r="M611" s="121"/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/>
      <c r="B612" s="73"/>
      <c r="C612" s="73"/>
      <c r="D612" s="74"/>
      <c r="E612" s="79"/>
      <c r="F612" s="80"/>
      <c r="G612" s="81"/>
      <c r="H612" s="89"/>
      <c r="I612" s="118"/>
      <c r="J612" s="73"/>
      <c r="K612" s="122"/>
      <c r="L612" s="120"/>
      <c r="M612" s="121"/>
      <c r="N612" s="73"/>
      <c r="O612" s="73"/>
      <c r="P612" s="73"/>
      <c r="Q612" s="74"/>
      <c r="R612" s="79"/>
      <c r="S612" s="80"/>
      <c r="T612" s="81"/>
      <c r="U612" s="89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/>
      <c r="B613" s="73"/>
      <c r="C613" s="73"/>
      <c r="D613" s="74"/>
      <c r="E613" s="79"/>
      <c r="F613" s="80"/>
      <c r="G613" s="81"/>
      <c r="H613" s="89"/>
      <c r="I613" s="118"/>
      <c r="J613" s="73"/>
      <c r="K613" s="122"/>
      <c r="L613" s="120"/>
      <c r="M613" s="121"/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ht="22" customHeight="1" spans="1:52">
      <c r="A614" s="73"/>
      <c r="B614" s="73"/>
      <c r="C614" s="73"/>
      <c r="D614" s="74"/>
      <c r="E614" s="79"/>
      <c r="F614" s="80"/>
      <c r="G614" s="81"/>
      <c r="H614" s="89"/>
      <c r="I614" s="118"/>
      <c r="J614" s="73"/>
      <c r="K614" s="122"/>
      <c r="L614" s="120"/>
      <c r="M614" s="121"/>
      <c r="N614" s="73"/>
      <c r="O614" s="73"/>
      <c r="P614" s="73"/>
      <c r="Q614" s="74"/>
      <c r="R614" s="79"/>
      <c r="S614" s="80"/>
      <c r="T614" s="81"/>
      <c r="U614" s="78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/>
      <c r="B615" s="73"/>
      <c r="C615" s="73"/>
      <c r="D615" s="74"/>
      <c r="E615" s="79"/>
      <c r="F615" s="80"/>
      <c r="G615" s="81"/>
      <c r="H615" s="89"/>
      <c r="I615" s="118"/>
      <c r="J615" s="73"/>
      <c r="K615" s="122"/>
      <c r="L615" s="120"/>
      <c r="M615" s="121"/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/>
      <c r="B616" s="73"/>
      <c r="C616" s="73"/>
      <c r="D616" s="74"/>
      <c r="E616" s="79"/>
      <c r="F616" s="80"/>
      <c r="G616" s="81"/>
      <c r="H616" s="89"/>
      <c r="I616" s="118"/>
      <c r="J616" s="73"/>
      <c r="K616" s="122"/>
      <c r="L616" s="120"/>
      <c r="M616" s="121"/>
      <c r="N616" s="73"/>
      <c r="O616" s="73"/>
      <c r="P616" s="73"/>
      <c r="Q616" s="74"/>
      <c r="R616" s="79"/>
      <c r="S616" s="80"/>
      <c r="T616" s="81"/>
      <c r="U616" s="89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/>
      <c r="B617" s="73"/>
      <c r="C617" s="73"/>
      <c r="D617" s="74"/>
      <c r="E617" s="79"/>
      <c r="F617" s="80"/>
      <c r="G617" s="81"/>
      <c r="H617" s="89"/>
      <c r="I617" s="118"/>
      <c r="J617" s="73"/>
      <c r="K617" s="122"/>
      <c r="L617" s="120"/>
      <c r="M617" s="121"/>
      <c r="N617" s="73"/>
      <c r="O617" s="73"/>
      <c r="P617" s="73"/>
      <c r="Q617" s="74"/>
      <c r="R617" s="79"/>
      <c r="S617" s="80"/>
      <c r="T617" s="81"/>
      <c r="U617" s="78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/>
      <c r="B618" s="73"/>
      <c r="C618" s="73"/>
      <c r="D618" s="74"/>
      <c r="E618" s="79"/>
      <c r="F618" s="80"/>
      <c r="G618" s="81"/>
      <c r="H618" s="89"/>
      <c r="I618" s="118"/>
      <c r="J618" s="73"/>
      <c r="K618" s="122"/>
      <c r="L618" s="120"/>
      <c r="M618" s="121"/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/>
      <c r="B619" s="73"/>
      <c r="C619" s="73"/>
      <c r="D619" s="74"/>
      <c r="E619" s="79"/>
      <c r="F619" s="80"/>
      <c r="G619" s="81"/>
      <c r="H619" s="89"/>
      <c r="I619" s="118"/>
      <c r="J619" s="73"/>
      <c r="K619" s="122"/>
      <c r="L619" s="120"/>
      <c r="M619" s="121"/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/>
      <c r="B620" s="73"/>
      <c r="C620" s="73"/>
      <c r="D620" s="74"/>
      <c r="E620" s="79"/>
      <c r="F620" s="80"/>
      <c r="G620" s="81"/>
      <c r="H620" s="89"/>
      <c r="I620" s="118"/>
      <c r="J620" s="73"/>
      <c r="K620" s="122"/>
      <c r="L620" s="120"/>
      <c r="M620" s="121"/>
      <c r="N620" s="73"/>
      <c r="O620" s="73"/>
      <c r="P620" s="73"/>
      <c r="Q620" s="74"/>
      <c r="R620" s="79"/>
      <c r="S620" s="80"/>
      <c r="T620" s="81"/>
      <c r="U620" s="89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89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/>
      <c r="B621" s="73"/>
      <c r="C621" s="73"/>
      <c r="D621" s="74"/>
      <c r="E621" s="79"/>
      <c r="F621" s="80"/>
      <c r="G621" s="81"/>
      <c r="H621" s="89"/>
      <c r="I621" s="118"/>
      <c r="J621" s="73"/>
      <c r="K621" s="122"/>
      <c r="L621" s="120"/>
      <c r="M621" s="121"/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78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/>
      <c r="B622" s="73"/>
      <c r="C622" s="73"/>
      <c r="D622" s="74"/>
      <c r="E622" s="79"/>
      <c r="F622" s="80"/>
      <c r="G622" s="81"/>
      <c r="H622" s="78"/>
      <c r="I622" s="118"/>
      <c r="J622" s="73"/>
      <c r="K622" s="122"/>
      <c r="L622" s="120"/>
      <c r="M622" s="121"/>
      <c r="N622" s="73"/>
      <c r="O622" s="73"/>
      <c r="P622" s="73"/>
      <c r="Q622" s="74"/>
      <c r="R622" s="79"/>
      <c r="S622" s="80"/>
      <c r="T622" s="81"/>
      <c r="U622" s="78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/>
      <c r="B623" s="73"/>
      <c r="C623" s="73"/>
      <c r="D623" s="74"/>
      <c r="E623" s="79"/>
      <c r="F623" s="80"/>
      <c r="G623" s="81"/>
      <c r="H623" s="89"/>
      <c r="I623" s="118"/>
      <c r="J623" s="73"/>
      <c r="K623" s="122"/>
      <c r="L623" s="120"/>
      <c r="M623" s="121"/>
      <c r="N623" s="73"/>
      <c r="O623" s="73"/>
      <c r="P623" s="73"/>
      <c r="Q623" s="74"/>
      <c r="R623" s="79"/>
      <c r="S623" s="80"/>
      <c r="T623" s="81"/>
      <c r="U623" s="82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/>
      <c r="B624" s="73"/>
      <c r="C624" s="73"/>
      <c r="D624" s="74"/>
      <c r="E624" s="79"/>
      <c r="F624" s="80"/>
      <c r="G624" s="81"/>
      <c r="H624" s="78"/>
      <c r="I624" s="118"/>
      <c r="J624" s="73"/>
      <c r="K624" s="122"/>
      <c r="L624" s="120"/>
      <c r="M624" s="121"/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/>
      <c r="B625" s="73"/>
      <c r="C625" s="73"/>
      <c r="D625" s="74"/>
      <c r="E625" s="79"/>
      <c r="F625" s="80"/>
      <c r="G625" s="81"/>
      <c r="H625" s="78"/>
      <c r="I625" s="118"/>
      <c r="J625" s="73"/>
      <c r="K625" s="122"/>
      <c r="L625" s="120"/>
      <c r="M625" s="121"/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spans="1:52">
      <c r="A626" s="73"/>
      <c r="B626" s="73"/>
      <c r="C626" s="73"/>
      <c r="D626" s="74"/>
      <c r="E626" s="79"/>
      <c r="F626" s="80"/>
      <c r="G626" s="81"/>
      <c r="H626" s="78"/>
      <c r="I626" s="118"/>
      <c r="J626" s="73"/>
      <c r="K626" s="122"/>
      <c r="L626" s="120"/>
      <c r="M626" s="121"/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1" customHeight="1" spans="1:52">
      <c r="A627" s="73"/>
      <c r="B627" s="73"/>
      <c r="C627" s="73"/>
      <c r="D627" s="74"/>
      <c r="E627" s="79"/>
      <c r="F627" s="80"/>
      <c r="G627" s="81"/>
      <c r="H627" s="89"/>
      <c r="I627" s="118"/>
      <c r="J627" s="73"/>
      <c r="K627" s="122"/>
      <c r="L627" s="120"/>
      <c r="M627" s="121"/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5" customHeight="1" spans="1:52">
      <c r="A628" s="73"/>
      <c r="B628" s="73"/>
      <c r="C628" s="73"/>
      <c r="D628" s="74"/>
      <c r="E628" s="79"/>
      <c r="F628" s="80"/>
      <c r="G628" s="81"/>
      <c r="H628" s="78"/>
      <c r="I628" s="118"/>
      <c r="J628" s="73"/>
      <c r="K628" s="122"/>
      <c r="L628" s="120"/>
      <c r="M628" s="121"/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1" customHeight="1" spans="1:52">
      <c r="A629" s="73"/>
      <c r="B629" s="73"/>
      <c r="C629" s="73"/>
      <c r="D629" s="74"/>
      <c r="E629" s="79"/>
      <c r="F629" s="80"/>
      <c r="G629" s="81"/>
      <c r="H629" s="78"/>
      <c r="I629" s="118"/>
      <c r="J629" s="73"/>
      <c r="K629" s="122"/>
      <c r="L629" s="120"/>
      <c r="M629" s="121"/>
      <c r="N629" s="73"/>
      <c r="O629" s="73"/>
      <c r="P629" s="73"/>
      <c r="Q629" s="74"/>
      <c r="R629" s="79"/>
      <c r="S629" s="80"/>
      <c r="T629" s="81"/>
      <c r="U629" s="89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89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89"/>
      <c r="AV629" s="158"/>
      <c r="AW629" s="152"/>
      <c r="AX629" s="122"/>
      <c r="AY629" s="120"/>
      <c r="AZ629" s="121"/>
    </row>
    <row r="630" ht="24" customHeight="1" spans="1:52">
      <c r="A630" s="73"/>
      <c r="B630" s="73"/>
      <c r="C630" s="73"/>
      <c r="D630" s="74"/>
      <c r="E630" s="79"/>
      <c r="F630" s="80"/>
      <c r="G630" s="81"/>
      <c r="H630" s="78"/>
      <c r="I630" s="118"/>
      <c r="J630" s="73"/>
      <c r="K630" s="122"/>
      <c r="L630" s="120"/>
      <c r="M630" s="121"/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30" customHeight="1" spans="1:52">
      <c r="A631" s="73"/>
      <c r="B631" s="73"/>
      <c r="C631" s="73"/>
      <c r="D631" s="74"/>
      <c r="E631" s="79"/>
      <c r="F631" s="80"/>
      <c r="G631" s="81"/>
      <c r="H631" s="78"/>
      <c r="I631" s="118"/>
      <c r="J631" s="73"/>
      <c r="K631" s="122"/>
      <c r="L631" s="120"/>
      <c r="M631" s="121"/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15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7" customHeight="1" spans="1:52">
      <c r="A632" s="73"/>
      <c r="B632" s="73"/>
      <c r="C632" s="73"/>
      <c r="D632" s="74"/>
      <c r="E632" s="79"/>
      <c r="F632" s="80"/>
      <c r="G632" s="81"/>
      <c r="H632" s="78"/>
      <c r="I632" s="118"/>
      <c r="J632" s="73"/>
      <c r="K632" s="122"/>
      <c r="L632" s="120"/>
      <c r="M632" s="121"/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6" customHeight="1" spans="1:52">
      <c r="A633" s="73"/>
      <c r="B633" s="73"/>
      <c r="C633" s="73"/>
      <c r="D633" s="74"/>
      <c r="E633" s="79"/>
      <c r="F633" s="80"/>
      <c r="G633" s="81"/>
      <c r="H633" s="267"/>
      <c r="I633" s="118"/>
      <c r="J633" s="73"/>
      <c r="K633" s="122"/>
      <c r="L633" s="120"/>
      <c r="M633" s="121"/>
      <c r="N633" s="73"/>
      <c r="O633" s="73"/>
      <c r="P633" s="73"/>
      <c r="Q633" s="74"/>
      <c r="R633" s="79"/>
      <c r="S633" s="80"/>
      <c r="T633" s="81"/>
      <c r="U633" s="7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7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0" customHeight="1" spans="1:52">
      <c r="A634" s="73"/>
      <c r="B634" s="73"/>
      <c r="C634" s="73"/>
      <c r="D634" s="74"/>
      <c r="E634" s="79"/>
      <c r="F634" s="80"/>
      <c r="G634" s="81"/>
      <c r="H634" s="158"/>
      <c r="I634" s="118"/>
      <c r="J634" s="73"/>
      <c r="K634" s="122"/>
      <c r="L634" s="120"/>
      <c r="M634" s="121"/>
      <c r="N634" s="73"/>
      <c r="O634" s="73"/>
      <c r="P634" s="73"/>
      <c r="Q634" s="74"/>
      <c r="R634" s="79"/>
      <c r="S634" s="80"/>
      <c r="T634" s="81"/>
      <c r="U634" s="15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15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ht="20" customHeight="1" spans="1:52">
      <c r="A635" s="73"/>
      <c r="B635" s="73"/>
      <c r="C635" s="73"/>
      <c r="D635" s="74"/>
      <c r="E635" s="79"/>
      <c r="F635" s="80"/>
      <c r="G635" s="81"/>
      <c r="H635" s="158"/>
      <c r="I635" s="118"/>
      <c r="J635" s="73"/>
      <c r="K635" s="122"/>
      <c r="L635" s="120"/>
      <c r="M635" s="121"/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spans="1:52">
      <c r="A636" s="73"/>
      <c r="B636" s="73"/>
      <c r="C636" s="73"/>
      <c r="D636" s="74"/>
      <c r="E636" s="79"/>
      <c r="F636" s="80"/>
      <c r="G636" s="81"/>
      <c r="H636" s="158"/>
      <c r="I636" s="118"/>
      <c r="J636" s="73"/>
      <c r="K636" s="122"/>
      <c r="L636" s="120"/>
      <c r="M636" s="121"/>
      <c r="N636" s="73"/>
      <c r="O636" s="73"/>
      <c r="P636" s="73"/>
      <c r="Q636" s="74"/>
      <c r="R636" s="79"/>
      <c r="S636" s="80"/>
      <c r="T636" s="81"/>
      <c r="U636" s="158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158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158"/>
      <c r="AV636" s="158"/>
      <c r="AW636" s="152"/>
      <c r="AX636" s="122"/>
      <c r="AY636" s="120"/>
      <c r="AZ636" s="121"/>
    </row>
    <row r="637" spans="1:52">
      <c r="A637" s="73"/>
      <c r="B637" s="73"/>
      <c r="C637" s="73"/>
      <c r="D637" s="74"/>
      <c r="E637" s="79"/>
      <c r="F637" s="80"/>
      <c r="G637" s="81"/>
      <c r="H637" s="78"/>
      <c r="I637" s="118"/>
      <c r="J637" s="73"/>
      <c r="K637" s="122"/>
      <c r="L637" s="120"/>
      <c r="M637" s="121"/>
      <c r="N637" s="73"/>
      <c r="O637" s="73"/>
      <c r="P637" s="73"/>
      <c r="Q637" s="74"/>
      <c r="R637" s="79"/>
      <c r="S637" s="80"/>
      <c r="T637" s="81"/>
      <c r="U637" s="89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89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89"/>
      <c r="AV637" s="158"/>
      <c r="AW637" s="152"/>
      <c r="AX637" s="122"/>
      <c r="AY637" s="120"/>
      <c r="AZ637" s="121"/>
    </row>
    <row r="638" spans="1:52">
      <c r="A638" s="73"/>
      <c r="B638" s="73"/>
      <c r="C638" s="73"/>
      <c r="D638" s="74"/>
      <c r="E638" s="79"/>
      <c r="F638" s="80"/>
      <c r="G638" s="81"/>
      <c r="H638" s="268"/>
      <c r="I638" s="118"/>
      <c r="J638" s="73"/>
      <c r="K638" s="122"/>
      <c r="L638" s="120"/>
      <c r="M638" s="121"/>
      <c r="N638" s="73"/>
      <c r="O638" s="73"/>
      <c r="P638" s="73"/>
      <c r="Q638" s="74"/>
      <c r="R638" s="79"/>
      <c r="S638" s="80"/>
      <c r="T638" s="81"/>
      <c r="U638" s="158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158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158"/>
      <c r="AV638" s="158"/>
      <c r="AW638" s="152"/>
      <c r="AX638" s="122"/>
      <c r="AY638" s="120"/>
      <c r="AZ638" s="121"/>
    </row>
    <row r="639" spans="1:52">
      <c r="A639" s="73"/>
      <c r="B639" s="73"/>
      <c r="C639" s="73"/>
      <c r="D639" s="74"/>
      <c r="E639" s="79"/>
      <c r="F639" s="80"/>
      <c r="G639" s="81"/>
      <c r="H639" s="158"/>
      <c r="I639" s="118"/>
      <c r="J639" s="73"/>
      <c r="K639" s="122"/>
      <c r="L639" s="120"/>
      <c r="M639" s="121"/>
      <c r="N639" s="73"/>
      <c r="O639" s="73"/>
      <c r="P639" s="73"/>
      <c r="Q639" s="74"/>
      <c r="R639" s="79"/>
      <c r="S639" s="80"/>
      <c r="T639" s="81"/>
      <c r="U639" s="158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158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158"/>
      <c r="AV639" s="158"/>
      <c r="AW639" s="152"/>
      <c r="AX639" s="122"/>
      <c r="AY639" s="120"/>
      <c r="AZ639" s="121"/>
    </row>
    <row r="640" spans="1:52">
      <c r="A640" s="73"/>
      <c r="B640" s="73"/>
      <c r="C640" s="73"/>
      <c r="D640" s="74"/>
      <c r="E640" s="79"/>
      <c r="F640" s="80"/>
      <c r="G640" s="81"/>
      <c r="H640" s="89"/>
      <c r="I640" s="118"/>
      <c r="J640" s="73"/>
      <c r="K640" s="122"/>
      <c r="L640" s="120"/>
      <c r="M640" s="121"/>
      <c r="N640" s="73"/>
      <c r="O640" s="73"/>
      <c r="P640" s="73"/>
      <c r="Q640" s="74"/>
      <c r="R640" s="79"/>
      <c r="S640" s="80"/>
      <c r="T640" s="81"/>
      <c r="U640" s="89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89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89"/>
      <c r="AV640" s="158"/>
      <c r="AW640" s="152"/>
      <c r="AX640" s="122"/>
      <c r="AY640" s="120"/>
      <c r="AZ640" s="121"/>
    </row>
    <row r="641" spans="1:52">
      <c r="A641" s="73"/>
      <c r="B641" s="73"/>
      <c r="C641" s="73"/>
      <c r="D641" s="74"/>
      <c r="E641" s="79"/>
      <c r="F641" s="80"/>
      <c r="G641" s="81"/>
      <c r="H641" s="89"/>
      <c r="I641" s="118"/>
      <c r="J641" s="73"/>
      <c r="K641" s="122"/>
      <c r="L641" s="120"/>
      <c r="M641" s="121"/>
      <c r="N641" s="73"/>
      <c r="O641" s="73"/>
      <c r="P641" s="73"/>
      <c r="Q641" s="74"/>
      <c r="R641" s="79"/>
      <c r="S641" s="80"/>
      <c r="T641" s="81"/>
      <c r="U641" s="130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/>
      <c r="B642" s="73"/>
      <c r="C642" s="73"/>
      <c r="D642" s="74"/>
      <c r="E642" s="79"/>
      <c r="F642" s="80"/>
      <c r="G642" s="81"/>
      <c r="H642" s="78"/>
      <c r="I642" s="118"/>
      <c r="J642" s="73"/>
      <c r="K642" s="122"/>
      <c r="L642" s="120"/>
      <c r="M642" s="121"/>
      <c r="N642" s="73"/>
      <c r="O642" s="73"/>
      <c r="P642" s="73"/>
      <c r="Q642" s="74"/>
      <c r="R642" s="79"/>
      <c r="S642" s="80"/>
      <c r="T642" s="81"/>
      <c r="U642" s="78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89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/>
      <c r="B643" s="73"/>
      <c r="C643" s="73"/>
      <c r="D643" s="74"/>
      <c r="E643" s="79"/>
      <c r="F643" s="80"/>
      <c r="G643" s="81"/>
      <c r="H643" s="78"/>
      <c r="I643" s="118"/>
      <c r="J643" s="73"/>
      <c r="K643" s="122"/>
      <c r="L643" s="120"/>
      <c r="M643" s="121"/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78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/>
      <c r="B644" s="73"/>
      <c r="C644" s="73"/>
      <c r="D644" s="74"/>
      <c r="E644" s="79"/>
      <c r="F644" s="80"/>
      <c r="G644" s="81"/>
      <c r="H644" s="78"/>
      <c r="I644" s="118"/>
      <c r="J644" s="73"/>
      <c r="K644" s="122"/>
      <c r="L644" s="120"/>
      <c r="M644" s="121"/>
      <c r="N644" s="73"/>
      <c r="O644" s="73"/>
      <c r="P644" s="73"/>
      <c r="Q644" s="74"/>
      <c r="R644" s="79"/>
      <c r="S644" s="80"/>
      <c r="T644" s="81"/>
      <c r="U644" s="78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78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/>
      <c r="B645" s="73"/>
      <c r="C645" s="73"/>
      <c r="D645" s="74"/>
      <c r="E645" s="79"/>
      <c r="F645" s="80"/>
      <c r="G645" s="81"/>
      <c r="H645" s="78"/>
      <c r="I645" s="118"/>
      <c r="J645" s="73"/>
      <c r="K645" s="122"/>
      <c r="L645" s="120"/>
      <c r="M645" s="121"/>
      <c r="N645" s="73"/>
      <c r="O645" s="73"/>
      <c r="P645" s="73"/>
      <c r="Q645" s="74"/>
      <c r="R645" s="79"/>
      <c r="S645" s="80"/>
      <c r="T645" s="81"/>
      <c r="U645" s="89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89"/>
      <c r="AI645" s="118"/>
      <c r="AJ645" s="73"/>
      <c r="AK645" s="119"/>
      <c r="AL645" s="120"/>
      <c r="AM645" s="121"/>
      <c r="AN645" s="152"/>
      <c r="AO645" s="152"/>
      <c r="AP645" s="152"/>
      <c r="AQ645" s="105"/>
      <c r="AR645" s="106"/>
      <c r="AS645" s="107"/>
      <c r="AT645" s="108"/>
      <c r="AU645" s="89"/>
      <c r="AV645" s="158"/>
      <c r="AW645" s="152"/>
      <c r="AX645" s="122"/>
      <c r="AY645" s="120"/>
      <c r="AZ645" s="121"/>
    </row>
    <row r="646" spans="1:52">
      <c r="A646" s="73"/>
      <c r="B646" s="73"/>
      <c r="C646" s="73"/>
      <c r="D646" s="74"/>
      <c r="E646" s="79"/>
      <c r="F646" s="80"/>
      <c r="G646" s="81"/>
      <c r="H646" s="78"/>
      <c r="I646" s="118"/>
      <c r="J646" s="73"/>
      <c r="K646" s="122"/>
      <c r="L646" s="120"/>
      <c r="M646" s="121"/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73"/>
      <c r="AP646" s="73"/>
      <c r="AQ646" s="74"/>
      <c r="AR646" s="79"/>
      <c r="AS646" s="80"/>
      <c r="AT646" s="81"/>
      <c r="AU646" s="89"/>
      <c r="AV646" s="158"/>
      <c r="AW646" s="152"/>
      <c r="AX646" s="122"/>
      <c r="AY646" s="120"/>
      <c r="AZ646" s="121"/>
    </row>
    <row r="647" spans="1:52">
      <c r="A647" s="73"/>
      <c r="B647" s="73"/>
      <c r="C647" s="73"/>
      <c r="D647" s="74"/>
      <c r="E647" s="79"/>
      <c r="F647" s="80"/>
      <c r="G647" s="81"/>
      <c r="H647" s="78"/>
      <c r="I647" s="118"/>
      <c r="J647" s="73"/>
      <c r="K647" s="122"/>
      <c r="L647" s="120"/>
      <c r="M647" s="121"/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152"/>
      <c r="AP647" s="152"/>
      <c r="AQ647" s="105"/>
      <c r="AR647" s="106"/>
      <c r="AS647" s="107"/>
      <c r="AT647" s="108"/>
      <c r="AU647" s="89"/>
      <c r="AV647" s="158"/>
      <c r="AW647" s="152"/>
      <c r="AX647" s="122"/>
      <c r="AY647" s="120"/>
      <c r="AZ647" s="121"/>
    </row>
    <row r="648" spans="1:52">
      <c r="A648" s="73"/>
      <c r="B648" s="73"/>
      <c r="C648" s="73"/>
      <c r="D648" s="74"/>
      <c r="E648" s="79"/>
      <c r="F648" s="80"/>
      <c r="G648" s="81"/>
      <c r="H648" s="78"/>
      <c r="I648" s="118"/>
      <c r="J648" s="73"/>
      <c r="K648" s="122"/>
      <c r="L648" s="120"/>
      <c r="M648" s="121"/>
      <c r="N648" s="73"/>
      <c r="O648" s="73"/>
      <c r="P648" s="73"/>
      <c r="Q648" s="74"/>
      <c r="R648" s="79"/>
      <c r="S648" s="80"/>
      <c r="T648" s="81"/>
      <c r="U648" s="89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/>
      <c r="B649" s="73"/>
      <c r="C649" s="73"/>
      <c r="D649" s="74"/>
      <c r="E649" s="79"/>
      <c r="F649" s="80"/>
      <c r="G649" s="81"/>
      <c r="H649" s="78"/>
      <c r="I649" s="118"/>
      <c r="J649" s="73"/>
      <c r="K649" s="122"/>
      <c r="L649" s="120"/>
      <c r="M649" s="121"/>
      <c r="N649" s="73"/>
      <c r="O649" s="73"/>
      <c r="P649" s="73"/>
      <c r="Q649" s="74"/>
      <c r="R649" s="79"/>
      <c r="S649" s="80"/>
      <c r="T649" s="81"/>
      <c r="U649" s="78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/>
      <c r="B650" s="73"/>
      <c r="C650" s="73"/>
      <c r="D650" s="74"/>
      <c r="E650" s="79"/>
      <c r="F650" s="80"/>
      <c r="G650" s="81"/>
      <c r="H650" s="89"/>
      <c r="I650" s="118"/>
      <c r="J650" s="73"/>
      <c r="K650" s="122"/>
      <c r="L650" s="120"/>
      <c r="M650" s="121"/>
      <c r="N650" s="73"/>
      <c r="O650" s="73"/>
      <c r="P650" s="73"/>
      <c r="Q650" s="74"/>
      <c r="R650" s="79"/>
      <c r="S650" s="80"/>
      <c r="T650" s="81"/>
      <c r="U650" s="89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89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/>
      <c r="B651" s="73"/>
      <c r="C651" s="73"/>
      <c r="D651" s="74"/>
      <c r="E651" s="79"/>
      <c r="F651" s="80"/>
      <c r="G651" s="81"/>
      <c r="H651" s="78"/>
      <c r="I651" s="118"/>
      <c r="J651" s="73"/>
      <c r="K651" s="122"/>
      <c r="L651" s="120"/>
      <c r="M651" s="121"/>
      <c r="N651" s="73"/>
      <c r="O651" s="73"/>
      <c r="P651" s="73"/>
      <c r="Q651" s="74"/>
      <c r="R651" s="79"/>
      <c r="S651" s="80"/>
      <c r="T651" s="81"/>
      <c r="U651" s="78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78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/>
      <c r="B652" s="73"/>
      <c r="C652" s="73"/>
      <c r="D652" s="74"/>
      <c r="E652" s="79"/>
      <c r="F652" s="80"/>
      <c r="G652" s="81"/>
      <c r="H652" s="78"/>
      <c r="I652" s="118"/>
      <c r="J652" s="73"/>
      <c r="K652" s="122"/>
      <c r="L652" s="120"/>
      <c r="M652" s="121"/>
      <c r="N652" s="73"/>
      <c r="O652" s="73"/>
      <c r="P652" s="73"/>
      <c r="Q652" s="74"/>
      <c r="R652" s="79"/>
      <c r="S652" s="80"/>
      <c r="T652" s="81"/>
      <c r="U652" s="78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89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/>
      <c r="B653" s="73"/>
      <c r="C653" s="73"/>
      <c r="D653" s="74"/>
      <c r="E653" s="79"/>
      <c r="F653" s="80"/>
      <c r="G653" s="81"/>
      <c r="H653" s="78"/>
      <c r="I653" s="118"/>
      <c r="J653" s="73"/>
      <c r="K653" s="122"/>
      <c r="L653" s="120"/>
      <c r="M653" s="121"/>
      <c r="N653" s="73"/>
      <c r="O653" s="73"/>
      <c r="P653" s="73"/>
      <c r="Q653" s="74"/>
      <c r="R653" s="79"/>
      <c r="S653" s="80"/>
      <c r="T653" s="81"/>
      <c r="U653" s="89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spans="1:52">
      <c r="A654" s="73"/>
      <c r="B654" s="73"/>
      <c r="C654" s="73"/>
      <c r="D654" s="74"/>
      <c r="E654" s="79"/>
      <c r="F654" s="80"/>
      <c r="G654" s="81"/>
      <c r="H654" s="130"/>
      <c r="I654" s="118"/>
      <c r="J654" s="73"/>
      <c r="K654" s="122"/>
      <c r="L654" s="120"/>
      <c r="M654" s="121"/>
      <c r="N654" s="73"/>
      <c r="O654" s="73"/>
      <c r="P654" s="73"/>
      <c r="Q654" s="74"/>
      <c r="R654" s="79"/>
      <c r="S654" s="80"/>
      <c r="T654" s="81"/>
      <c r="U654" s="89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53" customHeight="1" spans="1:52">
      <c r="A655" s="73"/>
      <c r="B655" s="73"/>
      <c r="C655" s="73"/>
      <c r="D655" s="74"/>
      <c r="E655" s="79"/>
      <c r="F655" s="80"/>
      <c r="G655" s="81"/>
      <c r="H655" s="130"/>
      <c r="I655" s="118"/>
      <c r="J655" s="73"/>
      <c r="K655" s="122"/>
      <c r="L655" s="120"/>
      <c r="M655" s="121"/>
      <c r="N655" s="73"/>
      <c r="O655" s="73"/>
      <c r="P655" s="73"/>
      <c r="Q655" s="74"/>
      <c r="R655" s="79"/>
      <c r="S655" s="80"/>
      <c r="T655" s="81"/>
      <c r="U655" s="130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4" customHeight="1" spans="1:52">
      <c r="A656" s="73"/>
      <c r="B656" s="73"/>
      <c r="C656" s="73"/>
      <c r="D656" s="74"/>
      <c r="E656" s="79"/>
      <c r="F656" s="80"/>
      <c r="G656" s="81"/>
      <c r="H656" s="89"/>
      <c r="I656" s="118"/>
      <c r="J656" s="73"/>
      <c r="K656" s="122"/>
      <c r="L656" s="120"/>
      <c r="M656" s="121"/>
      <c r="N656" s="73"/>
      <c r="O656" s="73"/>
      <c r="P656" s="73"/>
      <c r="Q656" s="74"/>
      <c r="R656" s="79"/>
      <c r="S656" s="80"/>
      <c r="T656" s="81"/>
      <c r="U656" s="89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5" customHeight="1" spans="1:52">
      <c r="A657" s="73"/>
      <c r="B657" s="73"/>
      <c r="C657" s="73"/>
      <c r="D657" s="74"/>
      <c r="E657" s="79"/>
      <c r="F657" s="80"/>
      <c r="G657" s="81"/>
      <c r="H657" s="89"/>
      <c r="I657" s="118"/>
      <c r="J657" s="73"/>
      <c r="K657" s="122"/>
      <c r="L657" s="120"/>
      <c r="M657" s="121"/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ht="24" customHeight="1" spans="1:52">
      <c r="A658" s="73"/>
      <c r="B658" s="73"/>
      <c r="C658" s="73"/>
      <c r="D658" s="74"/>
      <c r="E658" s="79"/>
      <c r="F658" s="80"/>
      <c r="G658" s="81"/>
      <c r="H658" s="89"/>
      <c r="I658" s="118"/>
      <c r="J658" s="73"/>
      <c r="K658" s="122"/>
      <c r="L658" s="120"/>
      <c r="M658" s="121"/>
      <c r="N658" s="73"/>
      <c r="O658" s="73"/>
      <c r="P658" s="73"/>
      <c r="Q658" s="74"/>
      <c r="R658" s="79"/>
      <c r="S658" s="80"/>
      <c r="T658" s="81"/>
      <c r="U658" s="89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/>
      <c r="B659" s="73"/>
      <c r="C659" s="73"/>
      <c r="D659" s="74"/>
      <c r="E659" s="79"/>
      <c r="F659" s="80"/>
      <c r="G659" s="81"/>
      <c r="H659" s="78"/>
      <c r="I659" s="118"/>
      <c r="J659" s="73"/>
      <c r="K659" s="122"/>
      <c r="L659" s="120"/>
      <c r="M659" s="121"/>
      <c r="N659" s="73"/>
      <c r="O659" s="73"/>
      <c r="P659" s="73"/>
      <c r="Q659" s="74"/>
      <c r="R659" s="79"/>
      <c r="S659" s="80"/>
      <c r="T659" s="81"/>
      <c r="U659" s="78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/>
      <c r="B660" s="73"/>
      <c r="C660" s="73"/>
      <c r="D660" s="74"/>
      <c r="E660" s="79"/>
      <c r="F660" s="80"/>
      <c r="G660" s="81"/>
      <c r="H660" s="78"/>
      <c r="I660" s="118"/>
      <c r="J660" s="73"/>
      <c r="K660" s="122"/>
      <c r="L660" s="120"/>
      <c r="M660" s="121"/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/>
      <c r="B661" s="73"/>
      <c r="C661" s="73"/>
      <c r="D661" s="74"/>
      <c r="E661" s="79"/>
      <c r="F661" s="80"/>
      <c r="G661" s="81"/>
      <c r="H661" s="78"/>
      <c r="I661" s="118"/>
      <c r="J661" s="73"/>
      <c r="K661" s="122"/>
      <c r="L661" s="120"/>
      <c r="M661" s="121"/>
      <c r="N661" s="73"/>
      <c r="O661" s="73"/>
      <c r="P661" s="73"/>
      <c r="Q661" s="74"/>
      <c r="R661" s="79"/>
      <c r="S661" s="80"/>
      <c r="T661" s="81"/>
      <c r="U661" s="89"/>
      <c r="V661" s="118"/>
      <c r="W661" s="73"/>
      <c r="X661" s="119"/>
      <c r="Y661" s="120"/>
      <c r="Z661" s="121"/>
      <c r="AA661" s="73"/>
      <c r="AB661" s="73"/>
      <c r="AC661" s="73"/>
      <c r="AD661" s="74"/>
      <c r="AE661" s="79"/>
      <c r="AF661" s="80"/>
      <c r="AG661" s="81"/>
      <c r="AH661" s="89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/>
      <c r="B662" s="73"/>
      <c r="C662" s="73"/>
      <c r="D662" s="74"/>
      <c r="E662" s="79"/>
      <c r="F662" s="80"/>
      <c r="G662" s="81"/>
      <c r="H662" s="78"/>
      <c r="I662" s="118"/>
      <c r="J662" s="73"/>
      <c r="K662" s="122"/>
      <c r="L662" s="120"/>
      <c r="M662" s="121"/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269"/>
      <c r="AC662" s="73"/>
      <c r="AD662" s="74"/>
      <c r="AE662" s="79"/>
      <c r="AF662" s="80"/>
      <c r="AG662" s="81"/>
      <c r="AH662" s="78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/>
      <c r="B663" s="73"/>
      <c r="C663" s="73"/>
      <c r="D663" s="74"/>
      <c r="E663" s="79"/>
      <c r="F663" s="80"/>
      <c r="G663" s="81"/>
      <c r="H663" s="78"/>
      <c r="I663" s="118"/>
      <c r="J663" s="73"/>
      <c r="K663" s="122"/>
      <c r="L663" s="120"/>
      <c r="M663" s="121"/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89"/>
      <c r="AI663" s="118"/>
      <c r="AJ663" s="73"/>
      <c r="AK663" s="119"/>
      <c r="AL663" s="120"/>
      <c r="AM663" s="121"/>
      <c r="AN663" s="152"/>
      <c r="AO663" s="152"/>
      <c r="AP663" s="152"/>
      <c r="AQ663" s="105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/>
      <c r="B664" s="73"/>
      <c r="C664" s="73"/>
      <c r="D664" s="74"/>
      <c r="E664" s="79"/>
      <c r="F664" s="80"/>
      <c r="G664" s="81"/>
      <c r="H664" s="78"/>
      <c r="I664" s="118"/>
      <c r="J664" s="73"/>
      <c r="K664" s="122"/>
      <c r="L664" s="120"/>
      <c r="M664" s="121"/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78"/>
      <c r="AI664" s="118"/>
      <c r="AJ664" s="73"/>
      <c r="AK664" s="119"/>
      <c r="AL664" s="120"/>
      <c r="AM664" s="121"/>
      <c r="AN664" s="152"/>
      <c r="AO664" s="73"/>
      <c r="AP664" s="73"/>
      <c r="AQ664" s="74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/>
      <c r="B665" s="73"/>
      <c r="C665" s="73"/>
      <c r="D665" s="74"/>
      <c r="E665" s="79"/>
      <c r="F665" s="80"/>
      <c r="G665" s="81"/>
      <c r="H665" s="78"/>
      <c r="I665" s="118"/>
      <c r="J665" s="73"/>
      <c r="K665" s="122"/>
      <c r="L665" s="120"/>
      <c r="M665" s="121"/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89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/>
      <c r="B666" s="73"/>
      <c r="C666" s="73"/>
      <c r="D666" s="74"/>
      <c r="E666" s="79"/>
      <c r="F666" s="80"/>
      <c r="G666" s="81"/>
      <c r="H666" s="78"/>
      <c r="I666" s="118"/>
      <c r="J666" s="73"/>
      <c r="K666" s="122"/>
      <c r="L666" s="120"/>
      <c r="M666" s="121"/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78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/>
      <c r="B667" s="73"/>
      <c r="C667" s="73"/>
      <c r="D667" s="74"/>
      <c r="E667" s="79"/>
      <c r="F667" s="80"/>
      <c r="G667" s="81"/>
      <c r="H667" s="78"/>
      <c r="I667" s="118"/>
      <c r="J667" s="73"/>
      <c r="K667" s="122"/>
      <c r="L667" s="120"/>
      <c r="M667" s="121"/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89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/>
      <c r="B668" s="73"/>
      <c r="C668" s="73"/>
      <c r="D668" s="74"/>
      <c r="E668" s="79"/>
      <c r="F668" s="80"/>
      <c r="G668" s="81"/>
      <c r="H668" s="78"/>
      <c r="I668" s="118"/>
      <c r="J668" s="73"/>
      <c r="K668" s="122"/>
      <c r="L668" s="120"/>
      <c r="M668" s="121"/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78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/>
      <c r="B669" s="73"/>
      <c r="C669" s="73"/>
      <c r="D669" s="74"/>
      <c r="E669" s="79"/>
      <c r="F669" s="80"/>
      <c r="G669" s="81"/>
      <c r="H669" s="78"/>
      <c r="I669" s="118"/>
      <c r="J669" s="73"/>
      <c r="K669" s="122"/>
      <c r="L669" s="120"/>
      <c r="M669" s="121"/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/>
      <c r="B670" s="73"/>
      <c r="C670" s="73"/>
      <c r="D670" s="74"/>
      <c r="E670" s="79"/>
      <c r="F670" s="80"/>
      <c r="G670" s="81"/>
      <c r="H670" s="78"/>
      <c r="I670" s="118"/>
      <c r="J670" s="73"/>
      <c r="K670" s="122"/>
      <c r="L670" s="120"/>
      <c r="M670" s="121"/>
      <c r="N670" s="73"/>
      <c r="O670" s="73"/>
      <c r="P670" s="73"/>
      <c r="Q670" s="74"/>
      <c r="R670" s="79"/>
      <c r="S670" s="80"/>
      <c r="T670" s="81"/>
      <c r="U670" s="78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/>
      <c r="B671" s="73"/>
      <c r="C671" s="73"/>
      <c r="D671" s="74"/>
      <c r="E671" s="79"/>
      <c r="F671" s="80"/>
      <c r="G671" s="81"/>
      <c r="H671" s="78"/>
      <c r="I671" s="118"/>
      <c r="J671" s="73"/>
      <c r="K671" s="122"/>
      <c r="L671" s="120"/>
      <c r="M671" s="121"/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spans="1:52">
      <c r="A672" s="73"/>
      <c r="B672" s="73"/>
      <c r="C672" s="73"/>
      <c r="D672" s="74"/>
      <c r="E672" s="79"/>
      <c r="F672" s="80"/>
      <c r="G672" s="81"/>
      <c r="H672" s="89"/>
      <c r="I672" s="118"/>
      <c r="J672" s="73"/>
      <c r="K672" s="122"/>
      <c r="L672" s="120"/>
      <c r="M672" s="121"/>
      <c r="N672" s="73"/>
      <c r="O672" s="73"/>
      <c r="P672" s="73"/>
      <c r="Q672" s="74"/>
      <c r="R672" s="79"/>
      <c r="S672" s="80"/>
      <c r="T672" s="81"/>
      <c r="U672" s="89"/>
      <c r="V672" s="118"/>
      <c r="W672" s="73"/>
      <c r="X672" s="119"/>
      <c r="Y672" s="120"/>
      <c r="Z672" s="121"/>
      <c r="AA672" s="73"/>
      <c r="AB672" s="73"/>
      <c r="AC672" s="73"/>
      <c r="AD672" s="74"/>
      <c r="AE672" s="79"/>
      <c r="AF672" s="80"/>
      <c r="AG672" s="81"/>
      <c r="AH672" s="89"/>
      <c r="AI672" s="118"/>
      <c r="AJ672" s="73"/>
      <c r="AK672" s="119"/>
      <c r="AL672" s="120"/>
      <c r="AM672" s="121"/>
      <c r="AN672" s="152"/>
      <c r="AO672" s="152"/>
      <c r="AP672" s="152"/>
      <c r="AQ672" s="105"/>
      <c r="AR672" s="106"/>
      <c r="AS672" s="107"/>
      <c r="AT672" s="108"/>
      <c r="AU672" s="89"/>
      <c r="AV672" s="158"/>
      <c r="AW672" s="152"/>
      <c r="AX672" s="122"/>
      <c r="AY672" s="120"/>
      <c r="AZ672" s="121"/>
    </row>
    <row r="673" ht="22.5" spans="1:52">
      <c r="A673" s="73"/>
      <c r="B673" s="73"/>
      <c r="C673" s="73"/>
      <c r="D673" s="254"/>
      <c r="E673" s="79"/>
      <c r="F673" s="80"/>
      <c r="G673" s="81"/>
      <c r="H673" s="130"/>
      <c r="I673" s="118"/>
      <c r="J673" s="73"/>
      <c r="K673" s="122"/>
      <c r="L673" s="120"/>
      <c r="M673" s="121"/>
      <c r="N673" s="73"/>
      <c r="O673" s="73"/>
      <c r="P673" s="73"/>
      <c r="Q673" s="254"/>
      <c r="R673" s="79"/>
      <c r="S673" s="80"/>
      <c r="T673" s="81"/>
      <c r="U673" s="130"/>
      <c r="V673" s="118"/>
      <c r="W673" s="73"/>
      <c r="X673" s="119"/>
      <c r="Y673" s="120"/>
      <c r="Z673" s="121"/>
      <c r="AA673" s="73"/>
      <c r="AB673" s="73"/>
      <c r="AC673" s="73"/>
      <c r="AD673" s="254"/>
      <c r="AE673" s="79"/>
      <c r="AF673" s="80"/>
      <c r="AG673" s="81"/>
      <c r="AH673" s="130"/>
      <c r="AI673" s="118"/>
      <c r="AJ673" s="73"/>
      <c r="AK673" s="119"/>
      <c r="AL673" s="120"/>
      <c r="AM673" s="121"/>
      <c r="AN673" s="152"/>
      <c r="AO673" s="73"/>
      <c r="AP673" s="73"/>
      <c r="AQ673" s="254"/>
      <c r="AR673" s="79"/>
      <c r="AS673" s="80"/>
      <c r="AT673" s="81"/>
      <c r="AU673" s="82"/>
      <c r="AV673" s="158"/>
      <c r="AW673" s="152"/>
      <c r="AX673" s="122"/>
      <c r="AY673" s="120"/>
      <c r="AZ673" s="121"/>
    </row>
    <row r="674" spans="1:52">
      <c r="A674" s="73"/>
      <c r="B674" s="73"/>
      <c r="C674" s="73"/>
      <c r="D674" s="74"/>
      <c r="E674" s="79"/>
      <c r="F674" s="80"/>
      <c r="G674" s="81"/>
      <c r="H674" s="78"/>
      <c r="I674" s="118"/>
      <c r="J674" s="73"/>
      <c r="K674" s="122"/>
      <c r="L674" s="120"/>
      <c r="M674" s="121"/>
      <c r="N674" s="73"/>
      <c r="O674" s="73"/>
      <c r="P674" s="73"/>
      <c r="Q674" s="74"/>
      <c r="R674" s="79"/>
      <c r="S674" s="80"/>
      <c r="T674" s="81"/>
      <c r="U674" s="78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/>
      <c r="B675" s="73"/>
      <c r="C675" s="73"/>
      <c r="D675" s="74"/>
      <c r="E675" s="79"/>
      <c r="F675" s="80"/>
      <c r="G675" s="81"/>
      <c r="H675" s="89"/>
      <c r="I675" s="118"/>
      <c r="J675" s="73"/>
      <c r="K675" s="122"/>
      <c r="L675" s="120"/>
      <c r="M675" s="121"/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/>
      <c r="B676" s="73"/>
      <c r="C676" s="73"/>
      <c r="D676" s="74"/>
      <c r="E676" s="79"/>
      <c r="F676" s="80"/>
      <c r="G676" s="81"/>
      <c r="H676" s="89"/>
      <c r="I676" s="118"/>
      <c r="J676" s="73"/>
      <c r="K676" s="122"/>
      <c r="L676" s="120"/>
      <c r="M676" s="121"/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/>
      <c r="B677" s="73"/>
      <c r="C677" s="73"/>
      <c r="D677" s="74"/>
      <c r="E677" s="79"/>
      <c r="F677" s="80"/>
      <c r="G677" s="81"/>
      <c r="H677" s="89"/>
      <c r="I677" s="118"/>
      <c r="J677" s="73"/>
      <c r="K677" s="122"/>
      <c r="L677" s="120"/>
      <c r="M677" s="121"/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/>
      <c r="B678" s="73"/>
      <c r="C678" s="73"/>
      <c r="D678" s="74"/>
      <c r="E678" s="79"/>
      <c r="F678" s="80"/>
      <c r="G678" s="81"/>
      <c r="H678" s="89"/>
      <c r="I678" s="118"/>
      <c r="J678" s="73"/>
      <c r="K678" s="122"/>
      <c r="L678" s="120"/>
      <c r="M678" s="121"/>
      <c r="N678" s="73"/>
      <c r="O678" s="73"/>
      <c r="P678" s="73"/>
      <c r="Q678" s="74"/>
      <c r="R678" s="79"/>
      <c r="S678" s="80"/>
      <c r="T678" s="81"/>
      <c r="U678" s="89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/>
      <c r="B679" s="73"/>
      <c r="C679" s="73"/>
      <c r="D679" s="74"/>
      <c r="E679" s="79"/>
      <c r="F679" s="80"/>
      <c r="G679" s="81"/>
      <c r="H679" s="89"/>
      <c r="I679" s="118"/>
      <c r="J679" s="73"/>
      <c r="K679" s="122"/>
      <c r="L679" s="120"/>
      <c r="M679" s="121"/>
      <c r="N679" s="73"/>
      <c r="O679" s="73"/>
      <c r="P679" s="73"/>
      <c r="Q679" s="74"/>
      <c r="R679" s="79"/>
      <c r="S679" s="80"/>
      <c r="T679" s="81"/>
      <c r="U679" s="82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/>
      <c r="B680" s="73"/>
      <c r="C680" s="73"/>
      <c r="D680" s="74"/>
      <c r="E680" s="79"/>
      <c r="F680" s="80"/>
      <c r="G680" s="81"/>
      <c r="H680" s="89"/>
      <c r="I680" s="118"/>
      <c r="J680" s="73"/>
      <c r="K680" s="122"/>
      <c r="L680" s="120"/>
      <c r="M680" s="121"/>
      <c r="N680" s="73"/>
      <c r="O680" s="73"/>
      <c r="P680" s="73"/>
      <c r="Q680" s="74"/>
      <c r="R680" s="79"/>
      <c r="S680" s="80"/>
      <c r="T680" s="81"/>
      <c r="U680" s="89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8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89"/>
      <c r="AV680" s="158"/>
      <c r="AW680" s="152"/>
      <c r="AX680" s="122"/>
      <c r="AY680" s="120"/>
      <c r="AZ680" s="121"/>
    </row>
    <row r="681" spans="1:52">
      <c r="A681" s="73"/>
      <c r="B681" s="73"/>
      <c r="C681" s="73"/>
      <c r="D681" s="74"/>
      <c r="E681" s="79"/>
      <c r="F681" s="80"/>
      <c r="G681" s="81"/>
      <c r="H681" s="89"/>
      <c r="I681" s="118"/>
      <c r="J681" s="73"/>
      <c r="K681" s="122"/>
      <c r="L681" s="120"/>
      <c r="M681" s="121"/>
      <c r="N681" s="73"/>
      <c r="O681" s="73"/>
      <c r="P681" s="73"/>
      <c r="Q681" s="74"/>
      <c r="R681" s="79"/>
      <c r="S681" s="80"/>
      <c r="T681" s="81"/>
      <c r="U681" s="78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249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229"/>
      <c r="AV681" s="158"/>
      <c r="AW681" s="152"/>
      <c r="AX681" s="122"/>
      <c r="AY681" s="120"/>
      <c r="AZ681" s="121"/>
    </row>
    <row r="682" spans="1:52">
      <c r="A682" s="73"/>
      <c r="B682" s="73"/>
      <c r="C682" s="73"/>
      <c r="D682" s="74"/>
      <c r="E682" s="79"/>
      <c r="F682" s="80"/>
      <c r="G682" s="81"/>
      <c r="H682" s="89"/>
      <c r="I682" s="118"/>
      <c r="J682" s="73"/>
      <c r="K682" s="122"/>
      <c r="L682" s="120"/>
      <c r="M682" s="121"/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89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/>
      <c r="B683" s="73"/>
      <c r="C683" s="73"/>
      <c r="D683" s="74"/>
      <c r="E683" s="79"/>
      <c r="F683" s="80"/>
      <c r="G683" s="81"/>
      <c r="H683" s="89"/>
      <c r="I683" s="118"/>
      <c r="J683" s="73"/>
      <c r="K683" s="122"/>
      <c r="L683" s="120"/>
      <c r="M683" s="121"/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78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/>
      <c r="B684" s="73"/>
      <c r="C684" s="73"/>
      <c r="D684" s="74"/>
      <c r="E684" s="79"/>
      <c r="F684" s="80"/>
      <c r="G684" s="81"/>
      <c r="H684" s="89"/>
      <c r="I684" s="118"/>
      <c r="J684" s="73"/>
      <c r="K684" s="122"/>
      <c r="L684" s="120"/>
      <c r="M684" s="121"/>
      <c r="N684" s="73"/>
      <c r="O684" s="73"/>
      <c r="P684" s="73"/>
      <c r="Q684" s="74"/>
      <c r="R684" s="79"/>
      <c r="S684" s="80"/>
      <c r="T684" s="81"/>
      <c r="U684" s="89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89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spans="1:52">
      <c r="A685" s="73"/>
      <c r="B685" s="73"/>
      <c r="C685" s="73"/>
      <c r="D685" s="74"/>
      <c r="E685" s="79"/>
      <c r="F685" s="80"/>
      <c r="G685" s="81"/>
      <c r="H685" s="89"/>
      <c r="I685" s="118"/>
      <c r="J685" s="73"/>
      <c r="K685" s="122"/>
      <c r="L685" s="120"/>
      <c r="M685" s="121"/>
      <c r="N685" s="73"/>
      <c r="O685" s="73"/>
      <c r="P685" s="73"/>
      <c r="Q685" s="74"/>
      <c r="R685" s="79"/>
      <c r="S685" s="80"/>
      <c r="T685" s="81"/>
      <c r="U685" s="89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89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spans="1:52">
      <c r="A686" s="73"/>
      <c r="B686" s="73"/>
      <c r="C686" s="73"/>
      <c r="D686" s="74"/>
      <c r="E686" s="79"/>
      <c r="F686" s="80"/>
      <c r="G686" s="81"/>
      <c r="H686" s="89"/>
      <c r="I686" s="118"/>
      <c r="J686" s="73"/>
      <c r="K686" s="122"/>
      <c r="L686" s="120"/>
      <c r="M686" s="121"/>
      <c r="N686" s="73"/>
      <c r="O686" s="73"/>
      <c r="P686" s="73"/>
      <c r="Q686" s="74"/>
      <c r="R686" s="79"/>
      <c r="S686" s="80"/>
      <c r="T686" s="81"/>
      <c r="U686" s="130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130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spans="1:52">
      <c r="A687" s="73"/>
      <c r="B687" s="73"/>
      <c r="C687" s="73"/>
      <c r="D687" s="74"/>
      <c r="E687" s="79"/>
      <c r="F687" s="80"/>
      <c r="G687" s="81"/>
      <c r="H687" s="130"/>
      <c r="I687" s="118"/>
      <c r="J687" s="73"/>
      <c r="K687" s="122"/>
      <c r="L687" s="120"/>
      <c r="M687" s="121"/>
      <c r="N687" s="73"/>
      <c r="O687" s="73"/>
      <c r="P687" s="73"/>
      <c r="Q687" s="74"/>
      <c r="R687" s="79"/>
      <c r="S687" s="80"/>
      <c r="T687" s="81"/>
      <c r="U687" s="89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spans="1:52">
      <c r="A688" s="73"/>
      <c r="B688" s="73"/>
      <c r="C688" s="73"/>
      <c r="D688" s="74"/>
      <c r="E688" s="79"/>
      <c r="F688" s="80"/>
      <c r="G688" s="81"/>
      <c r="H688" s="130"/>
      <c r="I688" s="118"/>
      <c r="J688" s="73"/>
      <c r="K688" s="122"/>
      <c r="L688" s="120"/>
      <c r="M688" s="121"/>
      <c r="N688" s="73"/>
      <c r="O688" s="73"/>
      <c r="P688" s="73"/>
      <c r="Q688" s="74"/>
      <c r="R688" s="183"/>
      <c r="S688" s="134"/>
      <c r="T688" s="135"/>
      <c r="U688" s="130"/>
      <c r="V688" s="118"/>
      <c r="W688" s="73"/>
      <c r="X688" s="119"/>
      <c r="Y688" s="120"/>
      <c r="Z688" s="121"/>
      <c r="AA688" s="73"/>
      <c r="AB688" s="73"/>
      <c r="AC688" s="73"/>
      <c r="AD688" s="74"/>
      <c r="AE688" s="79"/>
      <c r="AF688" s="80"/>
      <c r="AG688" s="81"/>
      <c r="AH688" s="89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spans="1:52">
      <c r="A689" s="73"/>
      <c r="B689" s="73"/>
      <c r="C689" s="73"/>
      <c r="D689" s="74"/>
      <c r="E689" s="79"/>
      <c r="F689" s="80"/>
      <c r="G689" s="81"/>
      <c r="H689" s="89"/>
      <c r="I689" s="118"/>
      <c r="J689" s="73"/>
      <c r="K689" s="122"/>
      <c r="L689" s="120"/>
      <c r="M689" s="121"/>
      <c r="N689" s="73"/>
      <c r="O689" s="73"/>
      <c r="P689" s="73"/>
      <c r="Q689" s="74"/>
      <c r="R689" s="121"/>
      <c r="S689" s="121"/>
      <c r="T689" s="121"/>
      <c r="U689" s="108"/>
      <c r="V689" s="118"/>
      <c r="W689" s="73"/>
      <c r="X689" s="119"/>
      <c r="Y689" s="120"/>
      <c r="Z689" s="121"/>
      <c r="AA689" s="73"/>
      <c r="AB689" s="73"/>
      <c r="AC689" s="73"/>
      <c r="AD689" s="74"/>
      <c r="AE689" s="79"/>
      <c r="AF689" s="80"/>
      <c r="AG689" s="81"/>
      <c r="AH689" s="89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ht="78" customHeight="1" spans="1:52">
      <c r="A690" s="73"/>
      <c r="B690" s="73"/>
      <c r="C690" s="73"/>
      <c r="D690" s="74"/>
      <c r="E690" s="79"/>
      <c r="F690" s="80"/>
      <c r="G690" s="81"/>
      <c r="H690" s="130"/>
      <c r="I690" s="118"/>
      <c r="J690" s="73"/>
      <c r="K690" s="122"/>
      <c r="L690" s="120"/>
      <c r="M690" s="121"/>
      <c r="N690" s="73"/>
      <c r="O690" s="73"/>
      <c r="P690" s="73"/>
      <c r="Q690" s="74"/>
      <c r="R690" s="218"/>
      <c r="S690" s="219"/>
      <c r="T690" s="220"/>
      <c r="U690" s="130"/>
      <c r="V690" s="118"/>
      <c r="W690" s="73"/>
      <c r="X690" s="119"/>
      <c r="Y690" s="120"/>
      <c r="Z690" s="121"/>
      <c r="AA690" s="73"/>
      <c r="AB690" s="73"/>
      <c r="AC690" s="73"/>
      <c r="AD690" s="74"/>
      <c r="AE690" s="218"/>
      <c r="AF690" s="219"/>
      <c r="AG690" s="220"/>
      <c r="AH690" s="82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/>
      <c r="B691" s="73"/>
      <c r="C691" s="73"/>
      <c r="D691" s="74"/>
      <c r="E691" s="79"/>
      <c r="F691" s="80"/>
      <c r="G691" s="81"/>
      <c r="H691" s="130"/>
      <c r="I691" s="118"/>
      <c r="J691" s="73"/>
      <c r="K691" s="122"/>
      <c r="L691" s="120"/>
      <c r="M691" s="121"/>
      <c r="N691" s="73"/>
      <c r="O691" s="73"/>
      <c r="P691" s="73"/>
      <c r="Q691" s="74"/>
      <c r="R691" s="79"/>
      <c r="S691" s="80"/>
      <c r="T691" s="81"/>
      <c r="U691" s="130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78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/>
      <c r="B692" s="73"/>
      <c r="C692" s="73"/>
      <c r="D692" s="74"/>
      <c r="E692" s="79"/>
      <c r="F692" s="80"/>
      <c r="G692" s="81"/>
      <c r="H692" s="78"/>
      <c r="I692" s="118"/>
      <c r="J692" s="73"/>
      <c r="K692" s="122"/>
      <c r="L692" s="120"/>
      <c r="M692" s="121"/>
      <c r="N692" s="73"/>
      <c r="O692" s="73"/>
      <c r="P692" s="73"/>
      <c r="Q692" s="74"/>
      <c r="R692" s="79"/>
      <c r="S692" s="80"/>
      <c r="T692" s="81"/>
      <c r="U692" s="78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78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/>
      <c r="B693" s="73"/>
      <c r="C693" s="73"/>
      <c r="D693" s="74"/>
      <c r="E693" s="79"/>
      <c r="F693" s="80"/>
      <c r="G693" s="81"/>
      <c r="H693" s="78"/>
      <c r="I693" s="118"/>
      <c r="J693" s="73"/>
      <c r="K693" s="122"/>
      <c r="L693" s="120"/>
      <c r="M693" s="121"/>
      <c r="N693" s="73"/>
      <c r="O693" s="73"/>
      <c r="P693" s="73"/>
      <c r="Q693" s="74"/>
      <c r="R693" s="79"/>
      <c r="S693" s="80"/>
      <c r="T693" s="81"/>
      <c r="U693" s="89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/>
      <c r="B694" s="73"/>
      <c r="C694" s="73"/>
      <c r="D694" s="74"/>
      <c r="E694" s="79"/>
      <c r="F694" s="80"/>
      <c r="G694" s="81"/>
      <c r="H694" s="78"/>
      <c r="I694" s="118"/>
      <c r="J694" s="73"/>
      <c r="K694" s="122"/>
      <c r="L694" s="120"/>
      <c r="M694" s="121"/>
      <c r="N694" s="73"/>
      <c r="O694" s="73"/>
      <c r="P694" s="73"/>
      <c r="Q694" s="74"/>
      <c r="R694" s="79"/>
      <c r="S694" s="80"/>
      <c r="T694" s="81"/>
      <c r="U694" s="78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89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/>
      <c r="B695" s="73"/>
      <c r="C695" s="73"/>
      <c r="D695" s="74"/>
      <c r="E695" s="79"/>
      <c r="F695" s="80"/>
      <c r="G695" s="81"/>
      <c r="H695" s="78"/>
      <c r="I695" s="118"/>
      <c r="J695" s="73"/>
      <c r="K695" s="122"/>
      <c r="L695" s="120"/>
      <c r="M695" s="121"/>
      <c r="N695" s="73"/>
      <c r="O695" s="73"/>
      <c r="P695" s="73"/>
      <c r="Q695" s="74"/>
      <c r="R695" s="79"/>
      <c r="S695" s="80"/>
      <c r="T695" s="81"/>
      <c r="U695" s="89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89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/>
      <c r="B696" s="73"/>
      <c r="C696" s="73"/>
      <c r="D696" s="74"/>
      <c r="E696" s="79"/>
      <c r="F696" s="80"/>
      <c r="G696" s="81"/>
      <c r="H696" s="78"/>
      <c r="I696" s="118"/>
      <c r="J696" s="73"/>
      <c r="K696" s="122"/>
      <c r="L696" s="120"/>
      <c r="M696" s="121"/>
      <c r="N696" s="73"/>
      <c r="O696" s="73"/>
      <c r="P696" s="73"/>
      <c r="Q696" s="74"/>
      <c r="R696" s="79"/>
      <c r="S696" s="80"/>
      <c r="T696" s="81"/>
      <c r="U696" s="78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78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spans="1:52">
      <c r="A697" s="73"/>
      <c r="B697" s="73"/>
      <c r="C697" s="73"/>
      <c r="D697" s="74"/>
      <c r="E697" s="79"/>
      <c r="F697" s="80"/>
      <c r="G697" s="81"/>
      <c r="H697" s="78"/>
      <c r="I697" s="118"/>
      <c r="J697" s="73"/>
      <c r="K697" s="122"/>
      <c r="L697" s="120"/>
      <c r="M697" s="121"/>
      <c r="N697" s="73"/>
      <c r="O697" s="73"/>
      <c r="P697" s="73"/>
      <c r="Q697" s="74"/>
      <c r="R697" s="79"/>
      <c r="S697" s="80"/>
      <c r="T697" s="81"/>
      <c r="U697" s="78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89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spans="1:52">
      <c r="A698" s="73"/>
      <c r="B698" s="73"/>
      <c r="C698" s="73"/>
      <c r="D698" s="74"/>
      <c r="E698" s="79"/>
      <c r="F698" s="80"/>
      <c r="G698" s="81"/>
      <c r="H698" s="78"/>
      <c r="I698" s="118"/>
      <c r="J698" s="73"/>
      <c r="K698" s="122"/>
      <c r="L698" s="120"/>
      <c r="M698" s="121"/>
      <c r="N698" s="73"/>
      <c r="O698" s="73"/>
      <c r="P698" s="73"/>
      <c r="Q698" s="74"/>
      <c r="R698" s="79"/>
      <c r="S698" s="80"/>
      <c r="T698" s="81"/>
      <c r="U698" s="78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89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ht="31" customHeight="1" spans="1:52">
      <c r="A699" s="73"/>
      <c r="B699" s="73"/>
      <c r="C699" s="73"/>
      <c r="D699" s="74"/>
      <c r="E699" s="79"/>
      <c r="F699" s="80"/>
      <c r="G699" s="81"/>
      <c r="H699" s="256"/>
      <c r="I699" s="118"/>
      <c r="J699" s="73"/>
      <c r="K699" s="122"/>
      <c r="L699" s="120"/>
      <c r="M699" s="121"/>
      <c r="N699" s="73"/>
      <c r="O699" s="73"/>
      <c r="P699" s="73"/>
      <c r="Q699" s="74"/>
      <c r="R699" s="79"/>
      <c r="S699" s="80"/>
      <c r="T699" s="81"/>
      <c r="U699" s="82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89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spans="1:52">
      <c r="A700" s="73"/>
      <c r="B700" s="73"/>
      <c r="C700" s="73"/>
      <c r="D700" s="74"/>
      <c r="E700" s="79"/>
      <c r="F700" s="80"/>
      <c r="G700" s="81"/>
      <c r="H700" s="256"/>
      <c r="I700" s="118"/>
      <c r="J700" s="73"/>
      <c r="K700" s="122"/>
      <c r="L700" s="120"/>
      <c r="M700" s="121"/>
      <c r="N700" s="73"/>
      <c r="O700" s="73"/>
      <c r="P700" s="73"/>
      <c r="Q700" s="74"/>
      <c r="R700" s="79"/>
      <c r="S700" s="80"/>
      <c r="T700" s="81"/>
      <c r="U700" s="82"/>
      <c r="V700" s="118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78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/>
      <c r="B701" s="73"/>
      <c r="C701" s="73"/>
      <c r="D701" s="74"/>
      <c r="E701" s="79"/>
      <c r="F701" s="80"/>
      <c r="G701" s="81"/>
      <c r="H701" s="89"/>
      <c r="I701" s="118"/>
      <c r="J701" s="73"/>
      <c r="K701" s="122"/>
      <c r="L701" s="120"/>
      <c r="M701" s="121"/>
      <c r="N701" s="73"/>
      <c r="O701" s="73"/>
      <c r="P701" s="73"/>
      <c r="Q701" s="74"/>
      <c r="R701" s="79"/>
      <c r="S701" s="80"/>
      <c r="T701" s="81"/>
      <c r="U701" s="89"/>
      <c r="V701" s="118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89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spans="1:52">
      <c r="A702" s="73"/>
      <c r="B702" s="73"/>
      <c r="C702" s="73"/>
      <c r="D702" s="74"/>
      <c r="E702" s="79"/>
      <c r="F702" s="80"/>
      <c r="G702" s="81"/>
      <c r="H702" s="89"/>
      <c r="I702" s="118"/>
      <c r="J702" s="73"/>
      <c r="K702" s="122"/>
      <c r="L702" s="120"/>
      <c r="M702" s="121"/>
      <c r="N702" s="73"/>
      <c r="O702" s="73"/>
      <c r="P702" s="73"/>
      <c r="Q702" s="74"/>
      <c r="R702" s="79"/>
      <c r="S702" s="80"/>
      <c r="T702" s="81"/>
      <c r="U702" s="250"/>
      <c r="V702" s="250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250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spans="1:52">
      <c r="A703" s="73"/>
      <c r="B703" s="73"/>
      <c r="C703" s="73"/>
      <c r="D703" s="74"/>
      <c r="E703" s="79"/>
      <c r="F703" s="80"/>
      <c r="G703" s="81"/>
      <c r="H703" s="130"/>
      <c r="I703" s="118"/>
      <c r="J703" s="73"/>
      <c r="K703" s="122"/>
      <c r="L703" s="120"/>
      <c r="M703" s="121"/>
      <c r="N703" s="73"/>
      <c r="O703" s="73"/>
      <c r="P703" s="73"/>
      <c r="Q703" s="74"/>
      <c r="R703" s="79"/>
      <c r="S703" s="80"/>
      <c r="T703" s="81"/>
      <c r="U703" s="130"/>
      <c r="V703" s="118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130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ht="70" customHeight="1" spans="1:52">
      <c r="A704" s="73"/>
      <c r="B704" s="73"/>
      <c r="C704" s="73"/>
      <c r="D704" s="74"/>
      <c r="E704" s="79"/>
      <c r="F704" s="80"/>
      <c r="G704" s="81"/>
      <c r="H704" s="130"/>
      <c r="I704" s="118"/>
      <c r="J704" s="73"/>
      <c r="K704" s="122"/>
      <c r="L704" s="120"/>
      <c r="M704" s="121"/>
      <c r="N704" s="73"/>
      <c r="O704" s="73"/>
      <c r="P704" s="73"/>
      <c r="Q704" s="74"/>
      <c r="R704" s="79"/>
      <c r="S704" s="80"/>
      <c r="T704" s="81"/>
      <c r="U704" s="130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83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spans="1:52">
      <c r="A705" s="73"/>
      <c r="B705" s="73"/>
      <c r="C705" s="73"/>
      <c r="D705" s="74"/>
      <c r="E705" s="79"/>
      <c r="F705" s="80"/>
      <c r="G705" s="81"/>
      <c r="H705" s="89"/>
      <c r="I705" s="118"/>
      <c r="J705" s="73"/>
      <c r="K705" s="122"/>
      <c r="L705" s="120"/>
      <c r="M705" s="121"/>
      <c r="N705" s="73"/>
      <c r="O705" s="73"/>
      <c r="P705" s="73"/>
      <c r="Q705" s="74"/>
      <c r="R705" s="79"/>
      <c r="S705" s="80"/>
      <c r="T705" s="81"/>
      <c r="U705" s="89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9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/>
      <c r="B706" s="73"/>
      <c r="C706" s="73"/>
      <c r="D706" s="74"/>
      <c r="E706" s="79"/>
      <c r="F706" s="80"/>
      <c r="G706" s="81"/>
      <c r="H706" s="89"/>
      <c r="I706" s="118"/>
      <c r="J706" s="73"/>
      <c r="K706" s="122"/>
      <c r="L706" s="120"/>
      <c r="M706" s="121"/>
      <c r="N706" s="73"/>
      <c r="O706" s="73"/>
      <c r="P706" s="73"/>
      <c r="Q706" s="74"/>
      <c r="R706" s="79"/>
      <c r="S706" s="80"/>
      <c r="T706" s="81"/>
      <c r="U706" s="89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/>
      <c r="B707" s="73"/>
      <c r="C707" s="73"/>
      <c r="D707" s="74"/>
      <c r="E707" s="79"/>
      <c r="F707" s="80"/>
      <c r="G707" s="81"/>
      <c r="H707" s="130"/>
      <c r="I707" s="118"/>
      <c r="J707" s="73"/>
      <c r="K707" s="122"/>
      <c r="L707" s="120"/>
      <c r="M707" s="121"/>
      <c r="N707" s="73"/>
      <c r="O707" s="73"/>
      <c r="P707" s="73"/>
      <c r="Q707" s="74"/>
      <c r="R707" s="79"/>
      <c r="S707" s="80"/>
      <c r="T707" s="81"/>
      <c r="U707" s="89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89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/>
      <c r="B708" s="73"/>
      <c r="C708" s="73"/>
      <c r="D708" s="74"/>
      <c r="E708" s="79"/>
      <c r="F708" s="80"/>
      <c r="G708" s="81"/>
      <c r="H708" s="130"/>
      <c r="I708" s="118"/>
      <c r="J708" s="73"/>
      <c r="K708" s="122"/>
      <c r="L708" s="120"/>
      <c r="M708" s="121"/>
      <c r="N708" s="73"/>
      <c r="O708" s="73"/>
      <c r="P708" s="73"/>
      <c r="Q708" s="74"/>
      <c r="R708" s="79"/>
      <c r="S708" s="80"/>
      <c r="T708" s="81"/>
      <c r="U708" s="130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89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/>
      <c r="B709" s="73"/>
      <c r="C709" s="73"/>
      <c r="D709" s="74"/>
      <c r="E709" s="79"/>
      <c r="F709" s="80"/>
      <c r="G709" s="81"/>
      <c r="H709" s="130"/>
      <c r="I709" s="118"/>
      <c r="J709" s="73"/>
      <c r="K709" s="122"/>
      <c r="L709" s="120"/>
      <c r="M709" s="121"/>
      <c r="N709" s="73"/>
      <c r="O709" s="73"/>
      <c r="P709" s="73"/>
      <c r="Q709" s="74"/>
      <c r="R709" s="79"/>
      <c r="S709" s="80"/>
      <c r="T709" s="81"/>
      <c r="U709" s="130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130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/>
      <c r="B710" s="73"/>
      <c r="C710" s="73"/>
      <c r="D710" s="74"/>
      <c r="E710" s="79"/>
      <c r="F710" s="80"/>
      <c r="G710" s="81"/>
      <c r="H710" s="89"/>
      <c r="I710" s="118"/>
      <c r="J710" s="73"/>
      <c r="K710" s="122"/>
      <c r="L710" s="120"/>
      <c r="M710" s="121"/>
      <c r="N710" s="73"/>
      <c r="O710" s="73"/>
      <c r="P710" s="73"/>
      <c r="Q710" s="74"/>
      <c r="R710" s="79"/>
      <c r="S710" s="80"/>
      <c r="T710" s="81"/>
      <c r="U710" s="89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89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/>
      <c r="B711" s="73"/>
      <c r="C711" s="73"/>
      <c r="D711" s="74"/>
      <c r="E711" s="79"/>
      <c r="F711" s="80"/>
      <c r="G711" s="81"/>
      <c r="H711" s="89"/>
      <c r="I711" s="118"/>
      <c r="J711" s="73"/>
      <c r="K711" s="122"/>
      <c r="L711" s="120"/>
      <c r="M711" s="121"/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/>
      <c r="B712" s="73"/>
      <c r="C712" s="73"/>
      <c r="D712" s="74"/>
      <c r="E712" s="79"/>
      <c r="F712" s="80"/>
      <c r="G712" s="81"/>
      <c r="H712" s="89"/>
      <c r="I712" s="118"/>
      <c r="J712" s="73"/>
      <c r="K712" s="122"/>
      <c r="L712" s="120"/>
      <c r="M712" s="121"/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/>
      <c r="B713" s="73"/>
      <c r="C713" s="73"/>
      <c r="D713" s="74"/>
      <c r="E713" s="79"/>
      <c r="F713" s="80"/>
      <c r="G713" s="81"/>
      <c r="H713" s="89"/>
      <c r="I713" s="118"/>
      <c r="J713" s="73"/>
      <c r="K713" s="122"/>
      <c r="L713" s="120"/>
      <c r="M713" s="121"/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89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89"/>
      <c r="AV713" s="158"/>
      <c r="AW713" s="152"/>
      <c r="AX713" s="122"/>
      <c r="AY713" s="120"/>
      <c r="AZ713" s="121"/>
    </row>
    <row r="714" spans="1:52">
      <c r="A714" s="73"/>
      <c r="B714" s="73"/>
      <c r="C714" s="73"/>
      <c r="D714" s="74"/>
      <c r="E714" s="79"/>
      <c r="F714" s="80"/>
      <c r="G714" s="81"/>
      <c r="H714" s="89"/>
      <c r="I714" s="118"/>
      <c r="J714" s="73"/>
      <c r="K714" s="122"/>
      <c r="L714" s="120"/>
      <c r="M714" s="121"/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89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89"/>
      <c r="AV714" s="158"/>
      <c r="AW714" s="152"/>
      <c r="AX714" s="122"/>
      <c r="AY714" s="120"/>
      <c r="AZ714" s="121"/>
    </row>
    <row r="715" spans="1:52">
      <c r="A715" s="73"/>
      <c r="B715" s="73"/>
      <c r="C715" s="73"/>
      <c r="D715" s="74"/>
      <c r="E715" s="79"/>
      <c r="F715" s="80"/>
      <c r="G715" s="81"/>
      <c r="H715" s="89"/>
      <c r="I715" s="118"/>
      <c r="J715" s="73"/>
      <c r="K715" s="122"/>
      <c r="L715" s="120"/>
      <c r="M715" s="121"/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250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229"/>
      <c r="AV715" s="158"/>
      <c r="AW715" s="152"/>
      <c r="AX715" s="122"/>
      <c r="AY715" s="120"/>
      <c r="AZ715" s="121"/>
    </row>
    <row r="716" spans="1:52">
      <c r="A716" s="73"/>
      <c r="B716" s="73"/>
      <c r="C716" s="73"/>
      <c r="D716" s="74"/>
      <c r="E716" s="79"/>
      <c r="F716" s="80"/>
      <c r="G716" s="81"/>
      <c r="H716" s="89"/>
      <c r="I716" s="118"/>
      <c r="J716" s="73"/>
      <c r="K716" s="122"/>
      <c r="L716" s="120"/>
      <c r="M716" s="121"/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78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89"/>
      <c r="AV716" s="158"/>
      <c r="AW716" s="152"/>
      <c r="AX716" s="122"/>
      <c r="AY716" s="120"/>
      <c r="AZ716" s="121"/>
    </row>
    <row r="717" spans="1:52">
      <c r="A717" s="73"/>
      <c r="B717" s="73"/>
      <c r="C717" s="73"/>
      <c r="D717" s="74"/>
      <c r="E717" s="79"/>
      <c r="F717" s="80"/>
      <c r="G717" s="81"/>
      <c r="H717" s="89"/>
      <c r="I717" s="118"/>
      <c r="J717" s="73"/>
      <c r="K717" s="122"/>
      <c r="L717" s="120"/>
      <c r="M717" s="121"/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89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/>
      <c r="B718" s="73"/>
      <c r="C718" s="73"/>
      <c r="D718" s="74"/>
      <c r="E718" s="79"/>
      <c r="F718" s="80"/>
      <c r="G718" s="81"/>
      <c r="H718" s="89"/>
      <c r="I718" s="118"/>
      <c r="J718" s="73"/>
      <c r="K718" s="122"/>
      <c r="L718" s="120"/>
      <c r="M718" s="121"/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/>
      <c r="B719" s="73"/>
      <c r="C719" s="73"/>
      <c r="D719" s="74"/>
      <c r="E719" s="79"/>
      <c r="F719" s="80"/>
      <c r="G719" s="81"/>
      <c r="H719" s="89"/>
      <c r="I719" s="118"/>
      <c r="J719" s="73"/>
      <c r="K719" s="122"/>
      <c r="L719" s="120"/>
      <c r="M719" s="121"/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/>
      <c r="B720" s="73"/>
      <c r="C720" s="73"/>
      <c r="D720" s="74"/>
      <c r="E720" s="79"/>
      <c r="F720" s="80"/>
      <c r="G720" s="81"/>
      <c r="H720" s="89"/>
      <c r="I720" s="118"/>
      <c r="J720" s="73"/>
      <c r="K720" s="122"/>
      <c r="L720" s="120"/>
      <c r="M720" s="121"/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/>
      <c r="B721" s="73"/>
      <c r="C721" s="73"/>
      <c r="D721" s="74"/>
      <c r="E721" s="79"/>
      <c r="F721" s="80"/>
      <c r="G721" s="81"/>
      <c r="H721" s="89"/>
      <c r="I721" s="118"/>
      <c r="J721" s="73"/>
      <c r="K721" s="122"/>
      <c r="L721" s="120"/>
      <c r="M721" s="121"/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/>
      <c r="B722" s="73"/>
      <c r="C722" s="73"/>
      <c r="D722" s="74"/>
      <c r="E722" s="79"/>
      <c r="F722" s="80"/>
      <c r="G722" s="81"/>
      <c r="H722" s="89"/>
      <c r="I722" s="118"/>
      <c r="J722" s="73"/>
      <c r="K722" s="122"/>
      <c r="L722" s="120"/>
      <c r="M722" s="121"/>
      <c r="N722" s="73"/>
      <c r="O722" s="73"/>
      <c r="P722" s="73"/>
      <c r="Q722" s="74"/>
      <c r="R722" s="79"/>
      <c r="S722" s="80"/>
      <c r="T722" s="81"/>
      <c r="U722" s="89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/>
      <c r="B723" s="73"/>
      <c r="C723" s="73"/>
      <c r="D723" s="74"/>
      <c r="E723" s="79"/>
      <c r="F723" s="80"/>
      <c r="G723" s="81"/>
      <c r="H723" s="89"/>
      <c r="I723" s="118"/>
      <c r="J723" s="73"/>
      <c r="K723" s="122"/>
      <c r="L723" s="120"/>
      <c r="M723" s="121"/>
      <c r="N723" s="73"/>
      <c r="O723" s="73"/>
      <c r="P723" s="73"/>
      <c r="Q723" s="74"/>
      <c r="R723" s="79"/>
      <c r="S723" s="80"/>
      <c r="T723" s="81"/>
      <c r="U723" s="89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/>
      <c r="B724" s="73"/>
      <c r="C724" s="73"/>
      <c r="D724" s="74"/>
      <c r="E724" s="79"/>
      <c r="F724" s="80"/>
      <c r="G724" s="81"/>
      <c r="H724" s="89"/>
      <c r="I724" s="118"/>
      <c r="J724" s="73"/>
      <c r="K724" s="122"/>
      <c r="L724" s="120"/>
      <c r="M724" s="121"/>
      <c r="N724" s="73"/>
      <c r="O724" s="73"/>
      <c r="P724" s="73"/>
      <c r="Q724" s="74"/>
      <c r="R724" s="79"/>
      <c r="S724" s="80"/>
      <c r="T724" s="81"/>
      <c r="U724" s="78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/>
      <c r="B725" s="73"/>
      <c r="C725" s="73"/>
      <c r="D725" s="74"/>
      <c r="E725" s="79"/>
      <c r="F725" s="80"/>
      <c r="G725" s="81"/>
      <c r="H725" s="89"/>
      <c r="I725" s="118"/>
      <c r="J725" s="73"/>
      <c r="K725" s="122"/>
      <c r="L725" s="120"/>
      <c r="M725" s="121"/>
      <c r="N725" s="73"/>
      <c r="O725" s="73"/>
      <c r="P725" s="73"/>
      <c r="Q725" s="74"/>
      <c r="R725" s="79"/>
      <c r="S725" s="80"/>
      <c r="T725" s="81"/>
      <c r="U725" s="89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/>
      <c r="B726" s="73"/>
      <c r="C726" s="73"/>
      <c r="D726" s="74"/>
      <c r="E726" s="79"/>
      <c r="F726" s="80"/>
      <c r="G726" s="81"/>
      <c r="H726" s="89"/>
      <c r="I726" s="118"/>
      <c r="J726" s="73"/>
      <c r="K726" s="122"/>
      <c r="L726" s="120"/>
      <c r="M726" s="121"/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/>
      <c r="B727" s="73"/>
      <c r="C727" s="73"/>
      <c r="D727" s="74"/>
      <c r="E727" s="79"/>
      <c r="F727" s="80"/>
      <c r="G727" s="81"/>
      <c r="H727" s="89"/>
      <c r="I727" s="118"/>
      <c r="J727" s="73"/>
      <c r="K727" s="122"/>
      <c r="L727" s="120"/>
      <c r="M727" s="121"/>
      <c r="N727" s="73"/>
      <c r="O727" s="73"/>
      <c r="P727" s="73"/>
      <c r="Q727" s="74"/>
      <c r="R727" s="79"/>
      <c r="S727" s="80"/>
      <c r="T727" s="81"/>
      <c r="U727" s="89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89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89"/>
      <c r="AV727" s="158"/>
      <c r="AW727" s="152"/>
      <c r="AX727" s="122"/>
      <c r="AY727" s="120"/>
      <c r="AZ727" s="121"/>
    </row>
    <row r="728" spans="1:52">
      <c r="A728" s="73"/>
      <c r="B728" s="73"/>
      <c r="C728" s="73"/>
      <c r="D728" s="74"/>
      <c r="E728" s="79"/>
      <c r="F728" s="80"/>
      <c r="G728" s="81"/>
      <c r="H728" s="89"/>
      <c r="I728" s="118"/>
      <c r="J728" s="73"/>
      <c r="K728" s="122"/>
      <c r="L728" s="120"/>
      <c r="M728" s="121"/>
      <c r="N728" s="73"/>
      <c r="O728" s="73"/>
      <c r="P728" s="73"/>
      <c r="Q728" s="74"/>
      <c r="R728" s="79"/>
      <c r="S728" s="80"/>
      <c r="T728" s="81"/>
      <c r="U728" s="89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89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89"/>
      <c r="AV728" s="158"/>
      <c r="AW728" s="152"/>
      <c r="AX728" s="122"/>
      <c r="AY728" s="120"/>
      <c r="AZ728" s="121"/>
    </row>
    <row r="729" spans="1:52">
      <c r="A729" s="73"/>
      <c r="B729" s="73"/>
      <c r="C729" s="73"/>
      <c r="D729" s="74"/>
      <c r="E729" s="79"/>
      <c r="F729" s="80"/>
      <c r="G729" s="81"/>
      <c r="H729" s="89"/>
      <c r="I729" s="118"/>
      <c r="J729" s="73"/>
      <c r="K729" s="122"/>
      <c r="L729" s="120"/>
      <c r="M729" s="121"/>
      <c r="N729" s="73"/>
      <c r="O729" s="73"/>
      <c r="P729" s="73"/>
      <c r="Q729" s="74"/>
      <c r="R729" s="79"/>
      <c r="S729" s="80"/>
      <c r="T729" s="81"/>
      <c r="U729" s="147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130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130"/>
      <c r="AV729" s="158"/>
      <c r="AW729" s="152"/>
      <c r="AX729" s="122"/>
      <c r="AY729" s="120"/>
      <c r="AZ729" s="121"/>
    </row>
    <row r="730" spans="1:52">
      <c r="A730" s="73"/>
      <c r="B730" s="73"/>
      <c r="C730" s="73"/>
      <c r="D730" s="74"/>
      <c r="E730" s="79"/>
      <c r="F730" s="80"/>
      <c r="G730" s="81"/>
      <c r="H730" s="89"/>
      <c r="I730" s="118"/>
      <c r="J730" s="73"/>
      <c r="K730" s="122"/>
      <c r="L730" s="120"/>
      <c r="M730" s="121"/>
      <c r="N730" s="73"/>
      <c r="O730" s="73"/>
      <c r="P730" s="73"/>
      <c r="Q730" s="74"/>
      <c r="R730" s="79"/>
      <c r="S730" s="80"/>
      <c r="T730" s="81"/>
      <c r="U730" s="89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89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89"/>
      <c r="AV730" s="158"/>
      <c r="AW730" s="152"/>
      <c r="AX730" s="122"/>
      <c r="AY730" s="120"/>
      <c r="AZ730" s="121"/>
    </row>
    <row r="731" spans="1:52">
      <c r="A731" s="73"/>
      <c r="B731" s="73"/>
      <c r="C731" s="73"/>
      <c r="D731" s="74"/>
      <c r="E731" s="79"/>
      <c r="F731" s="80"/>
      <c r="G731" s="81"/>
      <c r="H731" s="89"/>
      <c r="I731" s="118"/>
      <c r="J731" s="73"/>
      <c r="K731" s="122"/>
      <c r="L731" s="120"/>
      <c r="M731" s="121"/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/>
      <c r="B732" s="73"/>
      <c r="C732" s="73"/>
      <c r="D732" s="74"/>
      <c r="E732" s="79"/>
      <c r="F732" s="80"/>
      <c r="G732" s="81"/>
      <c r="H732" s="89"/>
      <c r="I732" s="118"/>
      <c r="J732" s="73"/>
      <c r="K732" s="122"/>
      <c r="L732" s="120"/>
      <c r="M732" s="121"/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/>
      <c r="B733" s="73"/>
      <c r="C733" s="73"/>
      <c r="D733" s="74"/>
      <c r="E733" s="79"/>
      <c r="F733" s="80"/>
      <c r="G733" s="81"/>
      <c r="H733" s="89"/>
      <c r="I733" s="118"/>
      <c r="J733" s="73"/>
      <c r="K733" s="122"/>
      <c r="L733" s="120"/>
      <c r="M733" s="121"/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/>
      <c r="B734" s="73"/>
      <c r="C734" s="73"/>
      <c r="D734" s="74"/>
      <c r="E734" s="79"/>
      <c r="F734" s="80"/>
      <c r="G734" s="81"/>
      <c r="H734" s="130"/>
      <c r="I734" s="118"/>
      <c r="J734" s="73"/>
      <c r="K734" s="122"/>
      <c r="L734" s="120"/>
      <c r="M734" s="121"/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/>
      <c r="B735" s="73"/>
      <c r="C735" s="73"/>
      <c r="D735" s="74"/>
      <c r="E735" s="79"/>
      <c r="F735" s="80"/>
      <c r="G735" s="81"/>
      <c r="H735" s="130"/>
      <c r="I735" s="118"/>
      <c r="J735" s="73"/>
      <c r="K735" s="122"/>
      <c r="L735" s="120"/>
      <c r="M735" s="121"/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/>
      <c r="B736" s="73"/>
      <c r="C736" s="73"/>
      <c r="D736" s="74"/>
      <c r="E736" s="79"/>
      <c r="F736" s="80"/>
      <c r="G736" s="81"/>
      <c r="H736" s="130"/>
      <c r="I736" s="118"/>
      <c r="J736" s="73"/>
      <c r="K736" s="122"/>
      <c r="L736" s="120"/>
      <c r="M736" s="121"/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/>
      <c r="B737" s="73"/>
      <c r="C737" s="73"/>
      <c r="D737" s="74"/>
      <c r="E737" s="79"/>
      <c r="F737" s="80"/>
      <c r="G737" s="81"/>
      <c r="H737" s="130"/>
      <c r="I737" s="118"/>
      <c r="J737" s="73"/>
      <c r="K737" s="122"/>
      <c r="L737" s="120"/>
      <c r="M737" s="121"/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9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/>
      <c r="B738" s="73"/>
      <c r="C738" s="73"/>
      <c r="D738" s="74"/>
      <c r="E738" s="79"/>
      <c r="F738" s="80"/>
      <c r="G738" s="81"/>
      <c r="H738" s="130"/>
      <c r="I738" s="118"/>
      <c r="J738" s="73"/>
      <c r="K738" s="122"/>
      <c r="L738" s="120"/>
      <c r="M738" s="121"/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9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/>
      <c r="B739" s="73"/>
      <c r="C739" s="73"/>
      <c r="D739" s="74"/>
      <c r="E739" s="79"/>
      <c r="F739" s="80"/>
      <c r="G739" s="81"/>
      <c r="H739" s="130"/>
      <c r="I739" s="118"/>
      <c r="J739" s="73"/>
      <c r="K739" s="122"/>
      <c r="L739" s="120"/>
      <c r="M739" s="121"/>
      <c r="N739" s="73"/>
      <c r="O739" s="73"/>
      <c r="P739" s="73"/>
      <c r="Q739" s="74"/>
      <c r="R739" s="79"/>
      <c r="S739" s="80"/>
      <c r="T739" s="81"/>
      <c r="U739" s="89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2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/>
      <c r="B740" s="73"/>
      <c r="C740" s="73"/>
      <c r="D740" s="74"/>
      <c r="E740" s="79"/>
      <c r="F740" s="80"/>
      <c r="G740" s="81"/>
      <c r="H740" s="130"/>
      <c r="I740" s="118"/>
      <c r="J740" s="73"/>
      <c r="K740" s="122"/>
      <c r="L740" s="120"/>
      <c r="M740" s="121"/>
      <c r="N740" s="73"/>
      <c r="O740" s="73"/>
      <c r="P740" s="73"/>
      <c r="Q740" s="74"/>
      <c r="R740" s="79"/>
      <c r="S740" s="80"/>
      <c r="T740" s="81"/>
      <c r="U740" s="89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2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/>
      <c r="B741" s="73"/>
      <c r="C741" s="73"/>
      <c r="D741" s="74"/>
      <c r="E741" s="79"/>
      <c r="F741" s="80"/>
      <c r="G741" s="81"/>
      <c r="H741" s="130"/>
      <c r="I741" s="118"/>
      <c r="J741" s="73"/>
      <c r="K741" s="122"/>
      <c r="L741" s="120"/>
      <c r="M741" s="121"/>
      <c r="N741" s="73"/>
      <c r="O741" s="73"/>
      <c r="P741" s="73"/>
      <c r="Q741" s="74"/>
      <c r="R741" s="79"/>
      <c r="S741" s="80"/>
      <c r="T741" s="81"/>
      <c r="U741" s="82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89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/>
      <c r="B742" s="73"/>
      <c r="C742" s="73"/>
      <c r="D742" s="74"/>
      <c r="E742" s="79"/>
      <c r="F742" s="80"/>
      <c r="G742" s="81"/>
      <c r="H742" s="130"/>
      <c r="I742" s="118"/>
      <c r="J742" s="73"/>
      <c r="K742" s="122"/>
      <c r="L742" s="120"/>
      <c r="M742" s="121"/>
      <c r="N742" s="73"/>
      <c r="O742" s="73"/>
      <c r="P742" s="73"/>
      <c r="Q742" s="74"/>
      <c r="R742" s="79"/>
      <c r="S742" s="80"/>
      <c r="T742" s="81"/>
      <c r="U742" s="89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89"/>
      <c r="AI742" s="118"/>
      <c r="AJ742" s="73"/>
      <c r="AK742" s="119"/>
      <c r="AL742" s="120"/>
      <c r="AM742" s="121"/>
      <c r="AN742" s="152"/>
      <c r="AO742" s="152"/>
      <c r="AP742" s="152"/>
      <c r="AQ742" s="105"/>
      <c r="AR742" s="106"/>
      <c r="AS742" s="107"/>
      <c r="AT742" s="108"/>
      <c r="AU742" s="89"/>
      <c r="AV742" s="158"/>
      <c r="AW742" s="152"/>
      <c r="AX742" s="122"/>
      <c r="AY742" s="120"/>
      <c r="AZ742" s="121"/>
    </row>
    <row r="743" spans="1:52">
      <c r="A743" s="73"/>
      <c r="B743" s="73"/>
      <c r="C743" s="73"/>
      <c r="D743" s="74"/>
      <c r="E743" s="79"/>
      <c r="F743" s="80"/>
      <c r="G743" s="81"/>
      <c r="H743" s="78"/>
      <c r="I743" s="118"/>
      <c r="J743" s="73"/>
      <c r="K743" s="122"/>
      <c r="L743" s="120"/>
      <c r="M743" s="121"/>
      <c r="N743" s="73"/>
      <c r="O743" s="73"/>
      <c r="P743" s="73"/>
      <c r="Q743" s="74"/>
      <c r="R743" s="79"/>
      <c r="S743" s="80"/>
      <c r="T743" s="81"/>
      <c r="U743" s="78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78"/>
      <c r="AI743" s="118"/>
      <c r="AJ743" s="73"/>
      <c r="AK743" s="119"/>
      <c r="AL743" s="120"/>
      <c r="AM743" s="121"/>
      <c r="AN743" s="152"/>
      <c r="AO743" s="152"/>
      <c r="AP743" s="152"/>
      <c r="AQ743" s="105"/>
      <c r="AR743" s="106"/>
      <c r="AS743" s="107"/>
      <c r="AT743" s="108"/>
      <c r="AU743" s="89"/>
      <c r="AV743" s="158"/>
      <c r="AW743" s="152"/>
      <c r="AX743" s="122"/>
      <c r="AY743" s="120"/>
      <c r="AZ743" s="121"/>
    </row>
    <row r="744" spans="1:52">
      <c r="A744" s="73"/>
      <c r="B744" s="73"/>
      <c r="C744" s="73"/>
      <c r="D744" s="74"/>
      <c r="E744" s="79"/>
      <c r="F744" s="80"/>
      <c r="G744" s="81"/>
      <c r="H744" s="78"/>
      <c r="I744" s="118"/>
      <c r="J744" s="73"/>
      <c r="K744" s="122"/>
      <c r="L744" s="120"/>
      <c r="M744" s="121"/>
      <c r="N744" s="73"/>
      <c r="O744" s="73"/>
      <c r="P744" s="73"/>
      <c r="Q744" s="74"/>
      <c r="R744" s="79"/>
      <c r="S744" s="80"/>
      <c r="T744" s="81"/>
      <c r="U744" s="89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89"/>
      <c r="AI744" s="118"/>
      <c r="AJ744" s="73"/>
      <c r="AK744" s="119"/>
      <c r="AL744" s="120"/>
      <c r="AM744" s="121"/>
      <c r="AN744" s="152"/>
      <c r="AO744" s="73"/>
      <c r="AP744" s="73"/>
      <c r="AQ744" s="74"/>
      <c r="AR744" s="79"/>
      <c r="AS744" s="80"/>
      <c r="AT744" s="81"/>
      <c r="AU744" s="82"/>
      <c r="AV744" s="158"/>
      <c r="AW744" s="152"/>
      <c r="AX744" s="122"/>
      <c r="AY744" s="120"/>
      <c r="AZ744" s="121"/>
    </row>
    <row r="745" spans="1:52">
      <c r="A745" s="73"/>
      <c r="B745" s="73"/>
      <c r="C745" s="73"/>
      <c r="D745" s="74"/>
      <c r="E745" s="79"/>
      <c r="F745" s="80"/>
      <c r="G745" s="81"/>
      <c r="H745" s="78"/>
      <c r="I745" s="118"/>
      <c r="J745" s="73"/>
      <c r="K745" s="122"/>
      <c r="L745" s="120"/>
      <c r="M745" s="121"/>
      <c r="N745" s="73"/>
      <c r="O745" s="73"/>
      <c r="P745" s="73"/>
      <c r="Q745" s="74"/>
      <c r="R745" s="79"/>
      <c r="S745" s="80"/>
      <c r="T745" s="81"/>
      <c r="U745" s="78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78"/>
      <c r="AI745" s="118"/>
      <c r="AJ745" s="73"/>
      <c r="AK745" s="119"/>
      <c r="AL745" s="120"/>
      <c r="AM745" s="121"/>
      <c r="AN745" s="152"/>
      <c r="AO745" s="152"/>
      <c r="AP745" s="152"/>
      <c r="AQ745" s="105"/>
      <c r="AR745" s="106"/>
      <c r="AS745" s="107"/>
      <c r="AT745" s="108"/>
      <c r="AU745" s="89"/>
      <c r="AV745" s="158"/>
      <c r="AW745" s="152"/>
      <c r="AX745" s="122"/>
      <c r="AY745" s="120"/>
      <c r="AZ745" s="121"/>
    </row>
    <row r="746" spans="1:52">
      <c r="A746" s="73"/>
      <c r="B746" s="73"/>
      <c r="C746" s="73"/>
      <c r="D746" s="74"/>
      <c r="E746" s="79"/>
      <c r="F746" s="80"/>
      <c r="G746" s="81"/>
      <c r="H746" s="78"/>
      <c r="I746" s="118"/>
      <c r="J746" s="73"/>
      <c r="K746" s="122"/>
      <c r="L746" s="120"/>
      <c r="M746" s="121"/>
      <c r="N746" s="73"/>
      <c r="O746" s="73"/>
      <c r="P746" s="73"/>
      <c r="Q746" s="74"/>
      <c r="R746" s="79"/>
      <c r="S746" s="80"/>
      <c r="T746" s="81"/>
      <c r="U746" s="78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78"/>
      <c r="AI746" s="118"/>
      <c r="AJ746" s="73"/>
      <c r="AK746" s="119"/>
      <c r="AL746" s="120"/>
      <c r="AM746" s="121"/>
      <c r="AN746" s="152"/>
      <c r="AO746" s="152"/>
      <c r="AP746" s="270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ht="25" customHeight="1" spans="1:52">
      <c r="A747" s="73"/>
      <c r="B747" s="73"/>
      <c r="C747" s="73"/>
      <c r="D747" s="74"/>
      <c r="E747" s="79"/>
      <c r="F747" s="80"/>
      <c r="G747" s="81"/>
      <c r="H747" s="130"/>
      <c r="I747" s="118"/>
      <c r="J747" s="73"/>
      <c r="K747" s="122"/>
      <c r="L747" s="120"/>
      <c r="M747" s="121"/>
      <c r="N747" s="73"/>
      <c r="O747" s="73"/>
      <c r="P747" s="73"/>
      <c r="Q747" s="74"/>
      <c r="R747" s="79"/>
      <c r="S747" s="80"/>
      <c r="T747" s="81"/>
      <c r="U747" s="130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89"/>
      <c r="AI747" s="118"/>
      <c r="AJ747" s="73"/>
      <c r="AK747" s="119"/>
      <c r="AL747" s="120"/>
      <c r="AM747" s="121"/>
      <c r="AN747" s="152"/>
      <c r="AO747" s="152"/>
      <c r="AP747" s="152"/>
      <c r="AQ747" s="105"/>
      <c r="AR747" s="106"/>
      <c r="AS747" s="107"/>
      <c r="AT747" s="108"/>
      <c r="AU747" s="89"/>
      <c r="AV747" s="158"/>
      <c r="AW747" s="152"/>
      <c r="AX747" s="122"/>
      <c r="AY747" s="120"/>
      <c r="AZ747" s="121"/>
    </row>
    <row r="748" spans="1:52">
      <c r="A748" s="73"/>
      <c r="B748" s="73"/>
      <c r="C748" s="73"/>
      <c r="D748" s="74"/>
      <c r="E748" s="79"/>
      <c r="F748" s="80"/>
      <c r="G748" s="81"/>
      <c r="H748" s="130"/>
      <c r="I748" s="118"/>
      <c r="J748" s="73"/>
      <c r="K748" s="122"/>
      <c r="L748" s="120"/>
      <c r="M748" s="121"/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89"/>
      <c r="AI748" s="118"/>
      <c r="AJ748" s="73"/>
      <c r="AK748" s="119"/>
      <c r="AL748" s="120"/>
      <c r="AM748" s="121"/>
      <c r="AN748" s="152"/>
      <c r="AO748" s="152"/>
      <c r="AP748" s="152"/>
      <c r="AQ748" s="105"/>
      <c r="AR748" s="106"/>
      <c r="AS748" s="107"/>
      <c r="AT748" s="108"/>
      <c r="AU748" s="89"/>
      <c r="AV748" s="158"/>
      <c r="AW748" s="152"/>
      <c r="AX748" s="122"/>
      <c r="AY748" s="120"/>
      <c r="AZ748" s="121"/>
    </row>
    <row r="749" spans="1:52">
      <c r="A749" s="73"/>
      <c r="B749" s="73"/>
      <c r="C749" s="73"/>
      <c r="D749" s="74"/>
      <c r="E749" s="79"/>
      <c r="F749" s="80"/>
      <c r="G749" s="81"/>
      <c r="H749" s="130"/>
      <c r="I749" s="118"/>
      <c r="J749" s="73"/>
      <c r="K749" s="122"/>
      <c r="L749" s="120"/>
      <c r="M749" s="121"/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130"/>
      <c r="AI749" s="118"/>
      <c r="AJ749" s="73"/>
      <c r="AK749" s="119"/>
      <c r="AL749" s="120"/>
      <c r="AM749" s="121"/>
      <c r="AN749" s="152"/>
      <c r="AO749" s="73"/>
      <c r="AP749" s="73"/>
      <c r="AQ749" s="74"/>
      <c r="AR749" s="79"/>
      <c r="AS749" s="80"/>
      <c r="AT749" s="81"/>
      <c r="AU749" s="89"/>
      <c r="AV749" s="158"/>
      <c r="AW749" s="152"/>
      <c r="AX749" s="122"/>
      <c r="AY749" s="120"/>
      <c r="AZ749" s="121"/>
    </row>
    <row r="750" spans="1:52">
      <c r="A750" s="73"/>
      <c r="B750" s="73"/>
      <c r="C750" s="73"/>
      <c r="D750" s="74"/>
      <c r="E750" s="79"/>
      <c r="F750" s="80"/>
      <c r="G750" s="81"/>
      <c r="H750" s="130"/>
      <c r="I750" s="118"/>
      <c r="J750" s="73"/>
      <c r="K750" s="122"/>
      <c r="L750" s="120"/>
      <c r="M750" s="121"/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89"/>
      <c r="AV750" s="158"/>
      <c r="AW750" s="152"/>
      <c r="AX750" s="122"/>
      <c r="AY750" s="120"/>
      <c r="AZ750" s="121"/>
    </row>
    <row r="751" spans="1:52">
      <c r="A751" s="73"/>
      <c r="B751" s="73"/>
      <c r="C751" s="73"/>
      <c r="D751" s="74"/>
      <c r="E751" s="79"/>
      <c r="F751" s="80"/>
      <c r="G751" s="81"/>
      <c r="H751" s="130"/>
      <c r="I751" s="118"/>
      <c r="J751" s="73"/>
      <c r="K751" s="122"/>
      <c r="L751" s="120"/>
      <c r="M751" s="121"/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73"/>
      <c r="AP751" s="73"/>
      <c r="AQ751" s="74"/>
      <c r="AR751" s="79"/>
      <c r="AS751" s="80"/>
      <c r="AT751" s="81"/>
      <c r="AU751" s="130"/>
      <c r="AV751" s="158"/>
      <c r="AW751" s="152"/>
      <c r="AX751" s="122"/>
      <c r="AY751" s="120"/>
      <c r="AZ751" s="121"/>
    </row>
    <row r="752" spans="1:52">
      <c r="A752" s="73"/>
      <c r="B752" s="73"/>
      <c r="C752" s="73"/>
      <c r="D752" s="74"/>
      <c r="E752" s="79"/>
      <c r="F752" s="80"/>
      <c r="G752" s="81"/>
      <c r="H752" s="130"/>
      <c r="I752" s="118"/>
      <c r="J752" s="73"/>
      <c r="K752" s="122"/>
      <c r="L752" s="120"/>
      <c r="M752" s="121"/>
      <c r="N752" s="73"/>
      <c r="O752" s="73"/>
      <c r="P752" s="73"/>
      <c r="Q752" s="74"/>
      <c r="R752" s="79"/>
      <c r="S752" s="80"/>
      <c r="T752" s="81"/>
      <c r="U752" s="130"/>
      <c r="V752" s="118"/>
      <c r="W752" s="73"/>
      <c r="X752" s="119"/>
      <c r="Y752" s="120"/>
      <c r="Z752" s="121"/>
      <c r="AA752" s="73"/>
      <c r="AB752" s="73"/>
      <c r="AC752" s="73"/>
      <c r="AD752" s="74"/>
      <c r="AE752" s="79"/>
      <c r="AF752" s="80"/>
      <c r="AG752" s="81"/>
      <c r="AH752" s="130"/>
      <c r="AI752" s="118"/>
      <c r="AJ752" s="73"/>
      <c r="AK752" s="119"/>
      <c r="AL752" s="120"/>
      <c r="AM752" s="121"/>
      <c r="AN752" s="152"/>
      <c r="AO752" s="73"/>
      <c r="AP752" s="73"/>
      <c r="AQ752" s="74"/>
      <c r="AR752" s="79"/>
      <c r="AS752" s="80"/>
      <c r="AT752" s="81"/>
      <c r="AU752" s="130"/>
      <c r="AV752" s="158"/>
      <c r="AW752" s="152"/>
      <c r="AX752" s="122"/>
      <c r="AY752" s="120"/>
      <c r="AZ752" s="121"/>
    </row>
    <row r="753" spans="1:52">
      <c r="A753" s="73"/>
      <c r="B753" s="73"/>
      <c r="C753" s="73"/>
      <c r="D753" s="74"/>
      <c r="E753" s="79"/>
      <c r="F753" s="80"/>
      <c r="G753" s="81"/>
      <c r="H753" s="130"/>
      <c r="I753" s="118"/>
      <c r="J753" s="73"/>
      <c r="K753" s="122"/>
      <c r="L753" s="120"/>
      <c r="M753" s="121"/>
      <c r="N753" s="73"/>
      <c r="O753" s="73"/>
      <c r="P753" s="73"/>
      <c r="Q753" s="74"/>
      <c r="R753" s="79"/>
      <c r="S753" s="80"/>
      <c r="T753" s="81"/>
      <c r="U753" s="130"/>
      <c r="V753" s="118"/>
      <c r="W753" s="73"/>
      <c r="X753" s="119"/>
      <c r="Y753" s="120"/>
      <c r="Z753" s="121"/>
      <c r="AA753" s="73"/>
      <c r="AB753" s="73"/>
      <c r="AC753" s="73"/>
      <c r="AD753" s="74"/>
      <c r="AE753" s="79"/>
      <c r="AF753" s="80"/>
      <c r="AG753" s="81"/>
      <c r="AH753" s="130"/>
      <c r="AI753" s="118"/>
      <c r="AJ753" s="73"/>
      <c r="AK753" s="119"/>
      <c r="AL753" s="120"/>
      <c r="AM753" s="121"/>
      <c r="AN753" s="152"/>
      <c r="AO753" s="152"/>
      <c r="AP753" s="152"/>
      <c r="AQ753" s="105"/>
      <c r="AR753" s="106"/>
      <c r="AS753" s="107"/>
      <c r="AT753" s="108"/>
      <c r="AU753" s="89"/>
      <c r="AV753" s="158"/>
      <c r="AW753" s="152"/>
      <c r="AX753" s="122"/>
      <c r="AY753" s="120"/>
      <c r="AZ753" s="121"/>
    </row>
    <row r="754" spans="1:52">
      <c r="A754" s="73"/>
      <c r="B754" s="73"/>
      <c r="C754" s="73"/>
      <c r="D754" s="74"/>
      <c r="E754" s="106"/>
      <c r="F754" s="107"/>
      <c r="G754" s="108"/>
      <c r="H754" s="130"/>
      <c r="I754" s="118"/>
      <c r="J754" s="73"/>
      <c r="K754" s="122"/>
      <c r="L754" s="120"/>
      <c r="M754" s="121"/>
      <c r="N754" s="73"/>
      <c r="O754" s="73"/>
      <c r="P754" s="73"/>
      <c r="Q754" s="74"/>
      <c r="R754" s="106"/>
      <c r="S754" s="107"/>
      <c r="T754" s="108"/>
      <c r="U754" s="89"/>
      <c r="V754" s="118"/>
      <c r="W754" s="73"/>
      <c r="X754" s="119"/>
      <c r="Y754" s="120"/>
      <c r="Z754" s="121"/>
      <c r="AA754" s="73"/>
      <c r="AB754" s="73"/>
      <c r="AC754" s="73"/>
      <c r="AD754" s="74"/>
      <c r="AE754" s="106"/>
      <c r="AF754" s="107"/>
      <c r="AG754" s="108"/>
      <c r="AH754" s="89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/>
      <c r="B755" s="73"/>
      <c r="C755" s="73"/>
      <c r="D755" s="74"/>
      <c r="E755" s="79"/>
      <c r="F755" s="80"/>
      <c r="G755" s="81"/>
      <c r="H755" s="89"/>
      <c r="I755" s="118"/>
      <c r="J755" s="73"/>
      <c r="K755" s="122"/>
      <c r="L755" s="120"/>
      <c r="M755" s="121"/>
      <c r="N755" s="73"/>
      <c r="O755" s="73"/>
      <c r="P755" s="73"/>
      <c r="Q755" s="74"/>
      <c r="R755" s="79"/>
      <c r="S755" s="80"/>
      <c r="T755" s="81"/>
      <c r="U755" s="89"/>
      <c r="V755" s="118"/>
      <c r="W755" s="73"/>
      <c r="X755" s="119"/>
      <c r="Y755" s="120"/>
      <c r="Z755" s="121"/>
      <c r="AA755" s="73"/>
      <c r="AB755" s="73"/>
      <c r="AC755" s="73"/>
      <c r="AD755" s="74"/>
      <c r="AE755" s="79"/>
      <c r="AF755" s="80"/>
      <c r="AG755" s="81"/>
      <c r="AH755" s="82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/>
      <c r="B756" s="73"/>
      <c r="C756" s="73"/>
      <c r="D756" s="74"/>
      <c r="E756" s="79"/>
      <c r="F756" s="80"/>
      <c r="G756" s="81"/>
      <c r="H756" s="89"/>
      <c r="I756" s="118"/>
      <c r="J756" s="73"/>
      <c r="K756" s="122"/>
      <c r="L756" s="120"/>
      <c r="M756" s="121"/>
      <c r="N756" s="73"/>
      <c r="O756" s="73"/>
      <c r="P756" s="73"/>
      <c r="Q756" s="74"/>
      <c r="R756" s="79"/>
      <c r="S756" s="80"/>
      <c r="T756" s="81"/>
      <c r="U756" s="78"/>
      <c r="V756" s="118"/>
      <c r="W756" s="73"/>
      <c r="X756" s="119"/>
      <c r="Y756" s="120"/>
      <c r="Z756" s="121"/>
      <c r="AA756" s="73"/>
      <c r="AB756" s="73"/>
      <c r="AC756" s="73"/>
      <c r="AD756" s="74"/>
      <c r="AE756" s="79"/>
      <c r="AF756" s="80"/>
      <c r="AG756" s="81"/>
      <c r="AH756" s="89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/>
      <c r="B757" s="73"/>
      <c r="C757" s="73"/>
      <c r="D757" s="74"/>
      <c r="E757" s="79"/>
      <c r="F757" s="80"/>
      <c r="G757" s="81"/>
      <c r="H757" s="89"/>
      <c r="I757" s="118"/>
      <c r="J757" s="73"/>
      <c r="K757" s="122"/>
      <c r="L757" s="120"/>
      <c r="M757" s="121"/>
      <c r="N757" s="73"/>
      <c r="O757" s="73"/>
      <c r="P757" s="73"/>
      <c r="Q757" s="74"/>
      <c r="R757" s="79"/>
      <c r="S757" s="80"/>
      <c r="T757" s="81"/>
      <c r="U757" s="78"/>
      <c r="V757" s="118"/>
      <c r="W757" s="73"/>
      <c r="X757" s="119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/>
      <c r="B758" s="73"/>
      <c r="C758" s="73"/>
      <c r="D758" s="74"/>
      <c r="E758" s="79"/>
      <c r="F758" s="80"/>
      <c r="G758" s="81"/>
      <c r="H758" s="89"/>
      <c r="I758" s="118"/>
      <c r="J758" s="73"/>
      <c r="K758" s="122"/>
      <c r="L758" s="120"/>
      <c r="M758" s="121"/>
      <c r="N758" s="73"/>
      <c r="O758" s="73"/>
      <c r="P758" s="73"/>
      <c r="Q758" s="74"/>
      <c r="R758" s="79"/>
      <c r="S758" s="80"/>
      <c r="T758" s="81"/>
      <c r="U758" s="89"/>
      <c r="V758" s="118"/>
      <c r="W758" s="73"/>
      <c r="X758" s="122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/>
      <c r="B759" s="73"/>
      <c r="C759" s="73"/>
      <c r="D759" s="74"/>
      <c r="E759" s="79"/>
      <c r="F759" s="80"/>
      <c r="G759" s="81"/>
      <c r="H759" s="89"/>
      <c r="I759" s="118"/>
      <c r="J759" s="73"/>
      <c r="K759" s="122"/>
      <c r="L759" s="120"/>
      <c r="M759" s="121"/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19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/>
      <c r="B760" s="73"/>
      <c r="C760" s="73"/>
      <c r="D760" s="74"/>
      <c r="E760" s="79"/>
      <c r="F760" s="80"/>
      <c r="G760" s="81"/>
      <c r="H760" s="89"/>
      <c r="I760" s="118"/>
      <c r="J760" s="73"/>
      <c r="K760" s="122"/>
      <c r="L760" s="120"/>
      <c r="M760" s="121"/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/>
      <c r="B761" s="73"/>
      <c r="C761" s="73"/>
      <c r="D761" s="74"/>
      <c r="E761" s="79"/>
      <c r="F761" s="80"/>
      <c r="G761" s="81"/>
      <c r="H761" s="89"/>
      <c r="I761" s="118"/>
      <c r="J761" s="73"/>
      <c r="K761" s="122"/>
      <c r="L761" s="120"/>
      <c r="M761" s="121"/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/>
      <c r="B762" s="73"/>
      <c r="C762" s="73"/>
      <c r="D762" s="74"/>
      <c r="E762" s="79"/>
      <c r="F762" s="80"/>
      <c r="G762" s="81"/>
      <c r="H762" s="89"/>
      <c r="I762" s="118"/>
      <c r="J762" s="73"/>
      <c r="K762" s="122"/>
      <c r="L762" s="120"/>
      <c r="M762" s="121"/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/>
      <c r="B763" s="73"/>
      <c r="C763" s="73"/>
      <c r="D763" s="74"/>
      <c r="E763" s="79"/>
      <c r="F763" s="80"/>
      <c r="G763" s="81"/>
      <c r="H763" s="89"/>
      <c r="I763" s="118"/>
      <c r="J763" s="73"/>
      <c r="K763" s="122"/>
      <c r="L763" s="120"/>
      <c r="M763" s="121"/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/>
      <c r="B764" s="73"/>
      <c r="C764" s="73"/>
      <c r="D764" s="74"/>
      <c r="E764" s="79"/>
      <c r="F764" s="80"/>
      <c r="G764" s="81"/>
      <c r="H764" s="89"/>
      <c r="I764" s="118"/>
      <c r="J764" s="73"/>
      <c r="K764" s="122"/>
      <c r="L764" s="120"/>
      <c r="M764" s="121"/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/>
      <c r="B765" s="73"/>
      <c r="C765" s="73"/>
      <c r="D765" s="74"/>
      <c r="E765" s="79"/>
      <c r="F765" s="80"/>
      <c r="G765" s="81"/>
      <c r="H765" s="89"/>
      <c r="I765" s="118"/>
      <c r="J765" s="73"/>
      <c r="K765" s="122"/>
      <c r="L765" s="120"/>
      <c r="M765" s="121"/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/>
      <c r="B766" s="73"/>
      <c r="C766" s="73"/>
      <c r="D766" s="74"/>
      <c r="E766" s="79"/>
      <c r="F766" s="80"/>
      <c r="G766" s="81"/>
      <c r="H766" s="89"/>
      <c r="I766" s="118"/>
      <c r="J766" s="73"/>
      <c r="K766" s="122"/>
      <c r="L766" s="120"/>
      <c r="M766" s="121"/>
      <c r="N766" s="73"/>
      <c r="O766" s="73"/>
      <c r="P766" s="73"/>
      <c r="Q766" s="74"/>
      <c r="R766" s="79"/>
      <c r="S766" s="80"/>
      <c r="T766" s="81"/>
      <c r="U766" s="89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/>
      <c r="B767" s="73"/>
      <c r="C767" s="73"/>
      <c r="D767" s="74"/>
      <c r="E767" s="79"/>
      <c r="F767" s="80"/>
      <c r="G767" s="81"/>
      <c r="H767" s="89"/>
      <c r="I767" s="118"/>
      <c r="J767" s="73"/>
      <c r="K767" s="122"/>
      <c r="L767" s="120"/>
      <c r="M767" s="121"/>
      <c r="N767" s="73"/>
      <c r="O767" s="73"/>
      <c r="P767" s="73"/>
      <c r="Q767" s="74"/>
      <c r="R767" s="79"/>
      <c r="S767" s="80"/>
      <c r="T767" s="81"/>
      <c r="U767" s="89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/>
      <c r="B768" s="73"/>
      <c r="C768" s="73"/>
      <c r="D768" s="74"/>
      <c r="E768" s="79"/>
      <c r="F768" s="80"/>
      <c r="G768" s="81"/>
      <c r="H768" s="78"/>
      <c r="I768" s="118"/>
      <c r="J768" s="73"/>
      <c r="K768" s="122"/>
      <c r="L768" s="120"/>
      <c r="M768" s="121"/>
      <c r="N768" s="73"/>
      <c r="O768" s="73"/>
      <c r="P768" s="73"/>
      <c r="Q768" s="74"/>
      <c r="R768" s="79"/>
      <c r="S768" s="80"/>
      <c r="T768" s="81"/>
      <c r="U768" s="78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/>
      <c r="B769" s="73"/>
      <c r="C769" s="73"/>
      <c r="D769" s="271"/>
      <c r="E769" s="79"/>
      <c r="F769" s="80"/>
      <c r="G769" s="81"/>
      <c r="H769" s="78"/>
      <c r="I769" s="118"/>
      <c r="J769" s="73"/>
      <c r="K769" s="122"/>
      <c r="L769" s="120"/>
      <c r="M769" s="121"/>
      <c r="N769" s="73"/>
      <c r="O769" s="73"/>
      <c r="P769" s="73"/>
      <c r="Q769" s="74"/>
      <c r="R769" s="79"/>
      <c r="S769" s="80"/>
      <c r="T769" s="81"/>
      <c r="U769" s="89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152"/>
      <c r="AP769" s="152"/>
      <c r="AQ769" s="105"/>
      <c r="AR769" s="106"/>
      <c r="AS769" s="107"/>
      <c r="AT769" s="108"/>
      <c r="AU769" s="89"/>
      <c r="AV769" s="158"/>
      <c r="AW769" s="152"/>
      <c r="AX769" s="122"/>
      <c r="AY769" s="120"/>
      <c r="AZ769" s="121"/>
    </row>
    <row r="770" spans="1:52">
      <c r="A770" s="73"/>
      <c r="B770" s="73"/>
      <c r="C770" s="73"/>
      <c r="D770" s="74"/>
      <c r="E770" s="79"/>
      <c r="F770" s="80"/>
      <c r="G770" s="81"/>
      <c r="H770" s="78"/>
      <c r="I770" s="118"/>
      <c r="J770" s="73"/>
      <c r="K770" s="122"/>
      <c r="L770" s="120"/>
      <c r="M770" s="121"/>
      <c r="N770" s="73"/>
      <c r="O770" s="73"/>
      <c r="P770" s="73"/>
      <c r="Q770" s="74"/>
      <c r="R770" s="79"/>
      <c r="S770" s="80"/>
      <c r="T770" s="81"/>
      <c r="U770" s="78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152"/>
      <c r="AP770" s="152"/>
      <c r="AQ770" s="105"/>
      <c r="AR770" s="106"/>
      <c r="AS770" s="107"/>
      <c r="AT770" s="108"/>
      <c r="AU770" s="89"/>
      <c r="AV770" s="158"/>
      <c r="AW770" s="152"/>
      <c r="AX770" s="122"/>
      <c r="AY770" s="120"/>
      <c r="AZ770" s="121"/>
    </row>
    <row r="771" spans="1:52">
      <c r="A771" s="73"/>
      <c r="B771" s="73"/>
      <c r="C771" s="73"/>
      <c r="D771" s="74"/>
      <c r="E771" s="79"/>
      <c r="F771" s="80"/>
      <c r="G771" s="81"/>
      <c r="H771" s="130"/>
      <c r="I771" s="118"/>
      <c r="J771" s="73"/>
      <c r="K771" s="122"/>
      <c r="L771" s="120"/>
      <c r="M771" s="121"/>
      <c r="N771" s="73"/>
      <c r="O771" s="73"/>
      <c r="P771" s="73"/>
      <c r="Q771" s="74"/>
      <c r="R771" s="79"/>
      <c r="S771" s="80"/>
      <c r="T771" s="81"/>
      <c r="U771" s="89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73"/>
      <c r="AP771" s="73"/>
      <c r="AQ771" s="74"/>
      <c r="AR771" s="79"/>
      <c r="AS771" s="80"/>
      <c r="AT771" s="81"/>
      <c r="AU771" s="89"/>
      <c r="AV771" s="158"/>
      <c r="AW771" s="152"/>
      <c r="AX771" s="122"/>
      <c r="AY771" s="120"/>
      <c r="AZ771" s="121"/>
    </row>
    <row r="772" spans="1:52">
      <c r="A772" s="73"/>
      <c r="B772" s="73"/>
      <c r="C772" s="73"/>
      <c r="D772" s="74"/>
      <c r="E772" s="79"/>
      <c r="F772" s="80"/>
      <c r="G772" s="81"/>
      <c r="H772" s="89"/>
      <c r="I772" s="118"/>
      <c r="J772" s="73"/>
      <c r="K772" s="122"/>
      <c r="L772" s="120"/>
      <c r="M772" s="121"/>
      <c r="N772" s="73"/>
      <c r="O772" s="73"/>
      <c r="P772" s="73"/>
      <c r="Q772" s="74"/>
      <c r="R772" s="79"/>
      <c r="S772" s="80"/>
      <c r="T772" s="81"/>
      <c r="U772" s="89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152"/>
      <c r="AP772" s="152"/>
      <c r="AQ772" s="105"/>
      <c r="AR772" s="106"/>
      <c r="AS772" s="107"/>
      <c r="AT772" s="108"/>
      <c r="AU772" s="89"/>
      <c r="AV772" s="158"/>
      <c r="AW772" s="152"/>
      <c r="AX772" s="122"/>
      <c r="AY772" s="120"/>
      <c r="AZ772" s="121"/>
    </row>
    <row r="773" spans="1:52">
      <c r="A773" s="73"/>
      <c r="B773" s="73"/>
      <c r="C773" s="73"/>
      <c r="D773" s="74"/>
      <c r="E773" s="79"/>
      <c r="F773" s="80"/>
      <c r="G773" s="81"/>
      <c r="H773" s="130"/>
      <c r="I773" s="118"/>
      <c r="J773" s="73"/>
      <c r="K773" s="122"/>
      <c r="L773" s="120"/>
      <c r="M773" s="121"/>
      <c r="N773" s="73"/>
      <c r="O773" s="73"/>
      <c r="P773" s="73"/>
      <c r="Q773" s="74"/>
      <c r="R773" s="79"/>
      <c r="S773" s="80"/>
      <c r="T773" s="81"/>
      <c r="U773" s="89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/>
      <c r="B774" s="73"/>
      <c r="C774" s="73"/>
      <c r="D774" s="74"/>
      <c r="E774" s="79"/>
      <c r="F774" s="80"/>
      <c r="G774" s="81"/>
      <c r="H774" s="78"/>
      <c r="I774" s="118"/>
      <c r="J774" s="73"/>
      <c r="K774" s="122"/>
      <c r="L774" s="120"/>
      <c r="M774" s="121"/>
      <c r="N774" s="73"/>
      <c r="O774" s="73"/>
      <c r="P774" s="73"/>
      <c r="Q774" s="74"/>
      <c r="R774" s="79"/>
      <c r="S774" s="80"/>
      <c r="T774" s="81"/>
      <c r="U774" s="78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/>
      <c r="B775" s="73"/>
      <c r="C775" s="73"/>
      <c r="D775" s="74"/>
      <c r="E775" s="79"/>
      <c r="F775" s="80"/>
      <c r="G775" s="81"/>
      <c r="H775" s="89"/>
      <c r="I775" s="118"/>
      <c r="J775" s="73"/>
      <c r="K775" s="122"/>
      <c r="L775" s="120"/>
      <c r="M775" s="121"/>
      <c r="N775" s="73"/>
      <c r="O775" s="73"/>
      <c r="P775" s="73"/>
      <c r="Q775" s="74"/>
      <c r="R775" s="79"/>
      <c r="S775" s="80"/>
      <c r="T775" s="81"/>
      <c r="U775" s="89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/>
      <c r="B776" s="73"/>
      <c r="C776" s="73"/>
      <c r="D776" s="74"/>
      <c r="E776" s="79"/>
      <c r="F776" s="80"/>
      <c r="G776" s="81"/>
      <c r="H776" s="89"/>
      <c r="I776" s="118"/>
      <c r="J776" s="73"/>
      <c r="K776" s="122"/>
      <c r="L776" s="120"/>
      <c r="M776" s="121"/>
      <c r="N776" s="73"/>
      <c r="O776" s="73"/>
      <c r="P776" s="73"/>
      <c r="Q776" s="74"/>
      <c r="R776" s="79"/>
      <c r="S776" s="80"/>
      <c r="T776" s="81"/>
      <c r="U776" s="89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/>
      <c r="B777" s="73"/>
      <c r="C777" s="73"/>
      <c r="D777" s="74"/>
      <c r="E777" s="79"/>
      <c r="F777" s="80"/>
      <c r="G777" s="81"/>
      <c r="H777" s="89"/>
      <c r="I777" s="118"/>
      <c r="J777" s="73"/>
      <c r="K777" s="122"/>
      <c r="L777" s="120"/>
      <c r="M777" s="121"/>
      <c r="N777" s="73"/>
      <c r="O777" s="73"/>
      <c r="P777" s="73"/>
      <c r="Q777" s="74"/>
      <c r="R777" s="79"/>
      <c r="S777" s="80"/>
      <c r="T777" s="81"/>
      <c r="U777" s="89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/>
      <c r="B778" s="73"/>
      <c r="C778" s="73"/>
      <c r="D778" s="74"/>
      <c r="E778" s="79"/>
      <c r="F778" s="80"/>
      <c r="G778" s="81"/>
      <c r="H778" s="78"/>
      <c r="I778" s="118"/>
      <c r="J778" s="73"/>
      <c r="K778" s="122"/>
      <c r="L778" s="120"/>
      <c r="M778" s="121"/>
      <c r="N778" s="73"/>
      <c r="O778" s="73"/>
      <c r="P778" s="73"/>
      <c r="Q778" s="74"/>
      <c r="R778" s="79"/>
      <c r="S778" s="80"/>
      <c r="T778" s="81"/>
      <c r="U778" s="78"/>
      <c r="V778" s="118"/>
      <c r="W778" s="73"/>
      <c r="X778" s="119"/>
      <c r="Y778" s="120"/>
      <c r="Z778" s="121"/>
      <c r="AA778" s="73"/>
      <c r="AB778" s="73"/>
      <c r="AC778" s="73"/>
      <c r="AD778" s="74"/>
      <c r="AE778" s="79"/>
      <c r="AF778" s="80"/>
      <c r="AG778" s="81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/>
      <c r="B779" s="73"/>
      <c r="C779" s="73"/>
      <c r="D779" s="74"/>
      <c r="E779" s="272"/>
      <c r="F779" s="273"/>
      <c r="G779" s="274"/>
      <c r="H779" s="78"/>
      <c r="I779" s="118"/>
      <c r="J779" s="73"/>
      <c r="K779" s="122"/>
      <c r="L779" s="120"/>
      <c r="M779" s="121"/>
      <c r="N779" s="73"/>
      <c r="O779" s="73"/>
      <c r="P779" s="73"/>
      <c r="Q779" s="74"/>
      <c r="R779" s="272"/>
      <c r="S779" s="273"/>
      <c r="T779" s="274"/>
      <c r="U779" s="78"/>
      <c r="V779" s="118"/>
      <c r="W779" s="73"/>
      <c r="X779" s="119"/>
      <c r="Y779" s="120"/>
      <c r="Z779" s="121"/>
      <c r="AA779" s="73"/>
      <c r="AB779" s="73"/>
      <c r="AC779" s="73"/>
      <c r="AD779" s="74"/>
      <c r="AE779" s="79"/>
      <c r="AF779" s="80"/>
      <c r="AG779" s="81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/>
      <c r="B780" s="73"/>
      <c r="C780" s="73"/>
      <c r="D780" s="74"/>
      <c r="E780" s="272"/>
      <c r="F780" s="273"/>
      <c r="G780" s="274"/>
      <c r="H780" s="78"/>
      <c r="I780" s="118"/>
      <c r="J780" s="73"/>
      <c r="K780" s="122"/>
      <c r="L780" s="120"/>
      <c r="M780" s="121"/>
      <c r="N780" s="73"/>
      <c r="O780" s="73"/>
      <c r="P780" s="73"/>
      <c r="Q780" s="74"/>
      <c r="R780" s="272"/>
      <c r="S780" s="273"/>
      <c r="T780" s="274"/>
      <c r="U780" s="89"/>
      <c r="V780" s="118"/>
      <c r="W780" s="73"/>
      <c r="X780" s="119"/>
      <c r="Y780" s="120"/>
      <c r="Z780" s="121"/>
      <c r="AA780" s="73"/>
      <c r="AB780" s="73"/>
      <c r="AC780" s="73"/>
      <c r="AD780" s="74"/>
      <c r="AE780" s="272"/>
      <c r="AF780" s="273"/>
      <c r="AG780" s="274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/>
      <c r="B781" s="73"/>
      <c r="C781" s="73"/>
      <c r="D781" s="74"/>
      <c r="E781" s="79"/>
      <c r="F781" s="80"/>
      <c r="G781" s="81"/>
      <c r="H781" s="89"/>
      <c r="I781" s="118"/>
      <c r="J781" s="73"/>
      <c r="K781" s="122"/>
      <c r="L781" s="120"/>
      <c r="M781" s="121"/>
      <c r="N781" s="73"/>
      <c r="O781" s="73"/>
      <c r="P781" s="73"/>
      <c r="Q781" s="74"/>
      <c r="R781" s="79"/>
      <c r="S781" s="80"/>
      <c r="T781" s="81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79"/>
      <c r="AF781" s="80"/>
      <c r="AG781" s="81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/>
      <c r="B782" s="73"/>
      <c r="C782" s="73"/>
      <c r="D782" s="74"/>
      <c r="E782" s="79"/>
      <c r="F782" s="80"/>
      <c r="G782" s="81"/>
      <c r="H782" s="89"/>
      <c r="I782" s="118"/>
      <c r="J782" s="73"/>
      <c r="K782" s="122"/>
      <c r="L782" s="120"/>
      <c r="M782" s="121"/>
      <c r="N782" s="73"/>
      <c r="O782" s="73"/>
      <c r="P782" s="73"/>
      <c r="Q782" s="74"/>
      <c r="R782" s="79"/>
      <c r="S782" s="80"/>
      <c r="T782" s="81"/>
      <c r="U782" s="89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/>
      <c r="B783" s="73"/>
      <c r="C783" s="73"/>
      <c r="D783" s="74"/>
      <c r="E783" s="79"/>
      <c r="F783" s="80"/>
      <c r="G783" s="81"/>
      <c r="H783" s="89"/>
      <c r="I783" s="118"/>
      <c r="J783" s="73"/>
      <c r="K783" s="122"/>
      <c r="L783" s="120"/>
      <c r="M783" s="121"/>
      <c r="N783" s="73"/>
      <c r="O783" s="73"/>
      <c r="P783" s="73"/>
      <c r="Q783" s="74"/>
      <c r="R783" s="79"/>
      <c r="S783" s="80"/>
      <c r="T783" s="81"/>
      <c r="U783" s="89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/>
      <c r="B784" s="73"/>
      <c r="C784" s="73"/>
      <c r="D784" s="74"/>
      <c r="E784" s="79"/>
      <c r="F784" s="80"/>
      <c r="G784" s="81"/>
      <c r="H784" s="78"/>
      <c r="I784" s="118"/>
      <c r="J784" s="73"/>
      <c r="K784" s="122"/>
      <c r="L784" s="120"/>
      <c r="M784" s="121"/>
      <c r="N784" s="73"/>
      <c r="O784" s="73"/>
      <c r="P784" s="73"/>
      <c r="Q784" s="74"/>
      <c r="R784" s="79"/>
      <c r="S784" s="80"/>
      <c r="T784" s="81"/>
      <c r="U784" s="78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/>
      <c r="B785" s="73"/>
      <c r="C785" s="73"/>
      <c r="D785" s="74"/>
      <c r="E785" s="79"/>
      <c r="F785" s="80"/>
      <c r="G785" s="81"/>
      <c r="H785" s="78"/>
      <c r="I785" s="118"/>
      <c r="J785" s="73"/>
      <c r="K785" s="122"/>
      <c r="L785" s="120"/>
      <c r="M785" s="121"/>
      <c r="N785" s="73"/>
      <c r="O785" s="73"/>
      <c r="P785" s="73"/>
      <c r="Q785" s="74"/>
      <c r="R785" s="79"/>
      <c r="S785" s="80"/>
      <c r="T785" s="81"/>
      <c r="U785" s="78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/>
      <c r="B786" s="73"/>
      <c r="C786" s="73"/>
      <c r="D786" s="74"/>
      <c r="E786" s="79"/>
      <c r="F786" s="80"/>
      <c r="G786" s="81"/>
      <c r="H786" s="78"/>
      <c r="I786" s="118"/>
      <c r="J786" s="73"/>
      <c r="K786" s="122"/>
      <c r="L786" s="120"/>
      <c r="M786" s="121"/>
      <c r="N786" s="73"/>
      <c r="O786" s="73"/>
      <c r="P786" s="73"/>
      <c r="Q786" s="74"/>
      <c r="R786" s="79"/>
      <c r="S786" s="80"/>
      <c r="T786" s="81"/>
      <c r="U786" s="78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/>
      <c r="B787" s="73"/>
      <c r="C787" s="73"/>
      <c r="D787" s="74"/>
      <c r="E787" s="79"/>
      <c r="F787" s="80"/>
      <c r="G787" s="81"/>
      <c r="H787" s="130"/>
      <c r="I787" s="118"/>
      <c r="J787" s="73"/>
      <c r="K787" s="122"/>
      <c r="L787" s="120"/>
      <c r="M787" s="121"/>
      <c r="N787" s="73"/>
      <c r="O787" s="73"/>
      <c r="P787" s="73"/>
      <c r="Q787" s="74"/>
      <c r="R787" s="79"/>
      <c r="S787" s="80"/>
      <c r="T787" s="81"/>
      <c r="U787" s="89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89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/>
      <c r="B788" s="73"/>
      <c r="C788" s="73"/>
      <c r="D788" s="74"/>
      <c r="E788" s="79"/>
      <c r="F788" s="80"/>
      <c r="G788" s="81"/>
      <c r="H788" s="130"/>
      <c r="I788" s="118"/>
      <c r="J788" s="73"/>
      <c r="K788" s="122"/>
      <c r="L788" s="120"/>
      <c r="M788" s="121"/>
      <c r="N788" s="73"/>
      <c r="O788" s="73"/>
      <c r="P788" s="73"/>
      <c r="Q788" s="74"/>
      <c r="R788" s="79"/>
      <c r="S788" s="80"/>
      <c r="T788" s="81"/>
      <c r="U788" s="89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89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/>
      <c r="B789" s="73"/>
      <c r="C789" s="73"/>
      <c r="D789" s="74"/>
      <c r="E789" s="79"/>
      <c r="F789" s="80"/>
      <c r="G789" s="81"/>
      <c r="H789" s="130"/>
      <c r="I789" s="118"/>
      <c r="J789" s="73"/>
      <c r="K789" s="122"/>
      <c r="L789" s="120"/>
      <c r="M789" s="121"/>
      <c r="N789" s="73"/>
      <c r="O789" s="73"/>
      <c r="P789" s="73"/>
      <c r="Q789" s="74"/>
      <c r="R789" s="79"/>
      <c r="S789" s="80"/>
      <c r="T789" s="81"/>
      <c r="U789" s="78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78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/>
      <c r="B790" s="73"/>
      <c r="C790" s="73"/>
      <c r="D790" s="74"/>
      <c r="E790" s="79"/>
      <c r="F790" s="80"/>
      <c r="G790" s="81"/>
      <c r="H790" s="89"/>
      <c r="I790" s="118"/>
      <c r="J790" s="73"/>
      <c r="K790" s="122"/>
      <c r="L790" s="120"/>
      <c r="M790" s="121"/>
      <c r="N790" s="73"/>
      <c r="O790" s="73"/>
      <c r="P790" s="73"/>
      <c r="Q790" s="74"/>
      <c r="R790" s="79"/>
      <c r="S790" s="80"/>
      <c r="T790" s="81"/>
      <c r="U790" s="89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89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/>
      <c r="B791" s="73"/>
      <c r="C791" s="73"/>
      <c r="D791" s="74"/>
      <c r="E791" s="79"/>
      <c r="F791" s="80"/>
      <c r="G791" s="81"/>
      <c r="H791" s="78"/>
      <c r="I791" s="118"/>
      <c r="J791" s="73"/>
      <c r="K791" s="122"/>
      <c r="L791" s="120"/>
      <c r="M791" s="121"/>
      <c r="N791" s="73"/>
      <c r="O791" s="73"/>
      <c r="P791" s="73"/>
      <c r="Q791" s="74"/>
      <c r="R791" s="79"/>
      <c r="S791" s="80"/>
      <c r="T791" s="81"/>
      <c r="U791" s="89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/>
      <c r="B792" s="73"/>
      <c r="C792" s="73"/>
      <c r="D792" s="74"/>
      <c r="E792" s="79"/>
      <c r="F792" s="80"/>
      <c r="G792" s="81"/>
      <c r="H792" s="78"/>
      <c r="I792" s="118"/>
      <c r="J792" s="73"/>
      <c r="K792" s="122"/>
      <c r="L792" s="120"/>
      <c r="M792" s="121"/>
      <c r="N792" s="73"/>
      <c r="O792" s="73"/>
      <c r="P792" s="73"/>
      <c r="Q792" s="74"/>
      <c r="R792" s="79"/>
      <c r="S792" s="80"/>
      <c r="T792" s="81"/>
      <c r="U792" s="78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/>
      <c r="B793" s="73"/>
      <c r="C793" s="73"/>
      <c r="D793" s="74"/>
      <c r="E793" s="79"/>
      <c r="F793" s="80"/>
      <c r="G793" s="81"/>
      <c r="H793" s="78"/>
      <c r="I793" s="118"/>
      <c r="J793" s="73"/>
      <c r="K793" s="122"/>
      <c r="L793" s="120"/>
      <c r="M793" s="121"/>
      <c r="N793" s="73"/>
      <c r="O793" s="73"/>
      <c r="P793" s="73"/>
      <c r="Q793" s="74"/>
      <c r="R793" s="79"/>
      <c r="S793" s="80"/>
      <c r="T793" s="81"/>
      <c r="U793" s="78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/>
      <c r="B794" s="73"/>
      <c r="C794" s="73"/>
      <c r="D794" s="74"/>
      <c r="E794" s="79"/>
      <c r="F794" s="80"/>
      <c r="G794" s="81"/>
      <c r="H794" s="78"/>
      <c r="I794" s="118"/>
      <c r="J794" s="73"/>
      <c r="K794" s="122"/>
      <c r="L794" s="120"/>
      <c r="M794" s="121"/>
      <c r="N794" s="73"/>
      <c r="O794" s="73"/>
      <c r="P794" s="73"/>
      <c r="Q794" s="74"/>
      <c r="R794" s="79"/>
      <c r="S794" s="80"/>
      <c r="T794" s="81"/>
      <c r="U794" s="89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/>
      <c r="B795" s="73"/>
      <c r="C795" s="73"/>
      <c r="D795" s="74"/>
      <c r="E795" s="79"/>
      <c r="F795" s="80"/>
      <c r="G795" s="81"/>
      <c r="H795" s="78"/>
      <c r="I795" s="118"/>
      <c r="J795" s="73"/>
      <c r="K795" s="122"/>
      <c r="L795" s="120"/>
      <c r="M795" s="121"/>
      <c r="N795" s="73"/>
      <c r="O795" s="73"/>
      <c r="P795" s="73"/>
      <c r="Q795" s="74"/>
      <c r="R795" s="79"/>
      <c r="S795" s="80"/>
      <c r="T795" s="81"/>
      <c r="U795" s="78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/>
      <c r="B796" s="73"/>
      <c r="C796" s="73"/>
      <c r="D796" s="74"/>
      <c r="E796" s="79"/>
      <c r="F796" s="80"/>
      <c r="G796" s="81"/>
      <c r="H796" s="78"/>
      <c r="I796" s="118"/>
      <c r="J796" s="73"/>
      <c r="K796" s="122"/>
      <c r="L796" s="120"/>
      <c r="M796" s="121"/>
      <c r="N796" s="73"/>
      <c r="O796" s="73"/>
      <c r="P796" s="73"/>
      <c r="Q796" s="74"/>
      <c r="R796" s="79"/>
      <c r="S796" s="80"/>
      <c r="T796" s="81"/>
      <c r="U796" s="89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/>
      <c r="B797" s="73"/>
      <c r="C797" s="73"/>
      <c r="D797" s="74"/>
      <c r="E797" s="79"/>
      <c r="F797" s="80"/>
      <c r="G797" s="81"/>
      <c r="H797" s="78"/>
      <c r="I797" s="118"/>
      <c r="J797" s="73"/>
      <c r="K797" s="122"/>
      <c r="L797" s="120"/>
      <c r="M797" s="121"/>
      <c r="N797" s="73"/>
      <c r="O797" s="73"/>
      <c r="P797" s="73"/>
      <c r="Q797" s="74"/>
      <c r="R797" s="79"/>
      <c r="S797" s="80"/>
      <c r="T797" s="81"/>
      <c r="U797" s="89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89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spans="1:52">
      <c r="A798" s="73"/>
      <c r="B798" s="73"/>
      <c r="C798" s="73"/>
      <c r="D798" s="74"/>
      <c r="E798" s="79"/>
      <c r="F798" s="80"/>
      <c r="G798" s="81"/>
      <c r="H798" s="78"/>
      <c r="I798" s="118"/>
      <c r="J798" s="73"/>
      <c r="K798" s="122"/>
      <c r="L798" s="120"/>
      <c r="M798" s="121"/>
      <c r="N798" s="73"/>
      <c r="O798" s="73"/>
      <c r="P798" s="73"/>
      <c r="Q798" s="74"/>
      <c r="R798" s="79"/>
      <c r="S798" s="80"/>
      <c r="T798" s="81"/>
      <c r="U798" s="89"/>
      <c r="V798" s="118"/>
      <c r="W798" s="73"/>
      <c r="X798" s="119"/>
      <c r="Y798" s="120"/>
      <c r="Z798" s="121"/>
      <c r="AA798" s="73"/>
      <c r="AB798" s="73"/>
      <c r="AC798" s="73"/>
      <c r="AD798" s="74"/>
      <c r="AE798" s="79"/>
      <c r="AF798" s="80"/>
      <c r="AG798" s="81"/>
      <c r="AH798" s="89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spans="1:52">
      <c r="A799" s="73"/>
      <c r="B799" s="73"/>
      <c r="C799" s="73"/>
      <c r="D799" s="74"/>
      <c r="E799" s="79"/>
      <c r="F799" s="80"/>
      <c r="G799" s="81"/>
      <c r="H799" s="78"/>
      <c r="I799" s="118"/>
      <c r="J799" s="73"/>
      <c r="K799" s="122"/>
      <c r="L799" s="120"/>
      <c r="M799" s="121"/>
      <c r="N799" s="73"/>
      <c r="O799" s="73"/>
      <c r="P799" s="73"/>
      <c r="Q799" s="74"/>
      <c r="R799" s="79"/>
      <c r="S799" s="80"/>
      <c r="T799" s="81"/>
      <c r="U799" s="130"/>
      <c r="V799" s="118"/>
      <c r="W799" s="73"/>
      <c r="X799" s="119"/>
      <c r="Y799" s="120"/>
      <c r="Z799" s="121"/>
      <c r="AA799" s="73"/>
      <c r="AB799" s="73"/>
      <c r="AC799" s="73"/>
      <c r="AD799" s="74"/>
      <c r="AE799" s="79"/>
      <c r="AF799" s="80"/>
      <c r="AG799" s="81"/>
      <c r="AH799" s="130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ht="22.5" spans="1:52">
      <c r="A800" s="73"/>
      <c r="B800" s="73"/>
      <c r="C800" s="73"/>
      <c r="D800" s="258"/>
      <c r="E800" s="79"/>
      <c r="F800" s="80"/>
      <c r="G800" s="81"/>
      <c r="H800" s="130"/>
      <c r="I800" s="118"/>
      <c r="J800" s="73"/>
      <c r="K800" s="122"/>
      <c r="L800" s="120"/>
      <c r="M800" s="121"/>
      <c r="N800" s="73"/>
      <c r="O800" s="73"/>
      <c r="P800" s="73"/>
      <c r="Q800" s="258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258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spans="1:52">
      <c r="A801" s="73"/>
      <c r="B801" s="73"/>
      <c r="C801" s="73"/>
      <c r="D801" s="74"/>
      <c r="E801" s="79"/>
      <c r="F801" s="80"/>
      <c r="G801" s="81"/>
      <c r="H801" s="130"/>
      <c r="I801" s="118"/>
      <c r="J801" s="73"/>
      <c r="K801" s="122"/>
      <c r="L801" s="120"/>
      <c r="M801" s="121"/>
      <c r="N801" s="73"/>
      <c r="O801" s="73"/>
      <c r="P801" s="73"/>
      <c r="Q801" s="74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74"/>
      <c r="AE801" s="79"/>
      <c r="AF801" s="80"/>
      <c r="AG801" s="81"/>
      <c r="AH801" s="130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/>
      <c r="B802" s="73"/>
      <c r="C802" s="73"/>
      <c r="D802" s="74"/>
      <c r="E802" s="79"/>
      <c r="F802" s="80"/>
      <c r="G802" s="81"/>
      <c r="H802" s="130"/>
      <c r="I802" s="118"/>
      <c r="J802" s="73"/>
      <c r="K802" s="122"/>
      <c r="L802" s="120"/>
      <c r="M802" s="121"/>
      <c r="N802" s="73"/>
      <c r="O802" s="73"/>
      <c r="P802" s="73"/>
      <c r="Q802" s="74"/>
      <c r="R802" s="79"/>
      <c r="S802" s="80"/>
      <c r="T802" s="81"/>
      <c r="U802" s="130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130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/>
      <c r="B803" s="73"/>
      <c r="C803" s="73"/>
      <c r="D803" s="74"/>
      <c r="E803" s="79"/>
      <c r="F803" s="80"/>
      <c r="G803" s="81"/>
      <c r="H803" s="130"/>
      <c r="I803" s="118"/>
      <c r="J803" s="73"/>
      <c r="K803" s="122"/>
      <c r="L803" s="120"/>
      <c r="M803" s="121"/>
      <c r="N803" s="73"/>
      <c r="O803" s="73"/>
      <c r="P803" s="73"/>
      <c r="Q803" s="74"/>
      <c r="R803" s="79"/>
      <c r="S803" s="80"/>
      <c r="T803" s="81"/>
      <c r="U803" s="130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89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/>
      <c r="B804" s="73"/>
      <c r="C804" s="73"/>
      <c r="D804" s="74"/>
      <c r="E804" s="79"/>
      <c r="F804" s="80"/>
      <c r="G804" s="81"/>
      <c r="H804" s="130"/>
      <c r="I804" s="118"/>
      <c r="J804" s="73"/>
      <c r="K804" s="122"/>
      <c r="L804" s="120"/>
      <c r="M804" s="121"/>
      <c r="N804" s="73"/>
      <c r="O804" s="73"/>
      <c r="P804" s="73"/>
      <c r="Q804" s="74"/>
      <c r="R804" s="79"/>
      <c r="S804" s="80"/>
      <c r="T804" s="81"/>
      <c r="U804" s="82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/>
      <c r="B805" s="73"/>
      <c r="C805" s="73"/>
      <c r="D805" s="74"/>
      <c r="E805" s="79"/>
      <c r="F805" s="80"/>
      <c r="G805" s="81"/>
      <c r="H805" s="89"/>
      <c r="I805" s="118"/>
      <c r="J805" s="73"/>
      <c r="K805" s="122"/>
      <c r="L805" s="120"/>
      <c r="M805" s="121"/>
      <c r="N805" s="73"/>
      <c r="O805" s="73"/>
      <c r="P805" s="73"/>
      <c r="Q805" s="74"/>
      <c r="R805" s="79"/>
      <c r="S805" s="80"/>
      <c r="T805" s="81"/>
      <c r="U805" s="89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/>
      <c r="B806" s="73"/>
      <c r="C806" s="73"/>
      <c r="D806" s="74"/>
      <c r="E806" s="79"/>
      <c r="F806" s="80"/>
      <c r="G806" s="81"/>
      <c r="H806" s="89"/>
      <c r="I806" s="118"/>
      <c r="J806" s="73"/>
      <c r="K806" s="122"/>
      <c r="L806" s="120"/>
      <c r="M806" s="121"/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/>
      <c r="B807" s="73"/>
      <c r="C807" s="73"/>
      <c r="D807" s="74"/>
      <c r="E807" s="79"/>
      <c r="F807" s="80"/>
      <c r="G807" s="81"/>
      <c r="H807" s="89"/>
      <c r="I807" s="118"/>
      <c r="J807" s="73"/>
      <c r="K807" s="122"/>
      <c r="L807" s="120"/>
      <c r="M807" s="121"/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/>
      <c r="B808" s="73"/>
      <c r="C808" s="73"/>
      <c r="D808" s="74"/>
      <c r="E808" s="79"/>
      <c r="F808" s="80"/>
      <c r="G808" s="81"/>
      <c r="H808" s="89"/>
      <c r="I808" s="118"/>
      <c r="J808" s="73"/>
      <c r="K808" s="122"/>
      <c r="L808" s="120"/>
      <c r="M808" s="121"/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/>
      <c r="B809" s="73"/>
      <c r="C809" s="73"/>
      <c r="D809" s="74"/>
      <c r="E809" s="79"/>
      <c r="F809" s="80"/>
      <c r="G809" s="81"/>
      <c r="H809" s="89"/>
      <c r="I809" s="118"/>
      <c r="J809" s="73"/>
      <c r="K809" s="122"/>
      <c r="L809" s="120"/>
      <c r="M809" s="121"/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/>
      <c r="B810" s="73"/>
      <c r="C810" s="73"/>
      <c r="D810" s="74"/>
      <c r="E810" s="79"/>
      <c r="F810" s="80"/>
      <c r="G810" s="81"/>
      <c r="H810" s="89"/>
      <c r="I810" s="118"/>
      <c r="J810" s="73"/>
      <c r="K810" s="122"/>
      <c r="L810" s="120"/>
      <c r="M810" s="121"/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/>
      <c r="B811" s="73"/>
      <c r="C811" s="73"/>
      <c r="D811" s="74"/>
      <c r="E811" s="79"/>
      <c r="F811" s="80"/>
      <c r="G811" s="81"/>
      <c r="H811" s="89"/>
      <c r="I811" s="118"/>
      <c r="J811" s="73"/>
      <c r="K811" s="122"/>
      <c r="L811" s="120"/>
      <c r="M811" s="121"/>
      <c r="N811" s="73"/>
      <c r="O811" s="73"/>
      <c r="P811" s="73"/>
      <c r="Q811" s="74"/>
      <c r="R811" s="79"/>
      <c r="S811" s="80"/>
      <c r="T811" s="81"/>
      <c r="U811" s="89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/>
      <c r="B812" s="73"/>
      <c r="C812" s="73"/>
      <c r="D812" s="74"/>
      <c r="E812" s="79"/>
      <c r="F812" s="80"/>
      <c r="G812" s="81"/>
      <c r="H812" s="89"/>
      <c r="I812" s="118"/>
      <c r="J812" s="73"/>
      <c r="K812" s="122"/>
      <c r="L812" s="120"/>
      <c r="M812" s="121"/>
      <c r="N812" s="73"/>
      <c r="O812" s="73"/>
      <c r="P812" s="73"/>
      <c r="Q812" s="74"/>
      <c r="R812" s="79"/>
      <c r="S812" s="80"/>
      <c r="T812" s="81"/>
      <c r="U812" s="89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/>
      <c r="B813" s="73"/>
      <c r="C813" s="73"/>
      <c r="D813" s="74"/>
      <c r="E813" s="79"/>
      <c r="F813" s="80"/>
      <c r="G813" s="81"/>
      <c r="H813" s="89"/>
      <c r="I813" s="118"/>
      <c r="J813" s="73"/>
      <c r="K813" s="122"/>
      <c r="L813" s="120"/>
      <c r="M813" s="121"/>
      <c r="N813" s="73"/>
      <c r="O813" s="73"/>
      <c r="P813" s="73"/>
      <c r="Q813" s="74"/>
      <c r="R813" s="79"/>
      <c r="S813" s="80"/>
      <c r="T813" s="81"/>
      <c r="U813" s="82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/>
      <c r="B814" s="73"/>
      <c r="C814" s="73"/>
      <c r="D814" s="74"/>
      <c r="E814" s="79"/>
      <c r="F814" s="80"/>
      <c r="G814" s="81"/>
      <c r="H814" s="89"/>
      <c r="I814" s="118"/>
      <c r="J814" s="73"/>
      <c r="K814" s="122"/>
      <c r="L814" s="120"/>
      <c r="M814" s="121"/>
      <c r="N814" s="73"/>
      <c r="O814" s="73"/>
      <c r="P814" s="73"/>
      <c r="Q814" s="74"/>
      <c r="R814" s="79"/>
      <c r="S814" s="80"/>
      <c r="T814" s="81"/>
      <c r="U814" s="89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/>
      <c r="B815" s="73"/>
      <c r="C815" s="73"/>
      <c r="D815" s="74"/>
      <c r="E815" s="79"/>
      <c r="F815" s="80"/>
      <c r="G815" s="81"/>
      <c r="H815" s="89"/>
      <c r="I815" s="118"/>
      <c r="J815" s="73"/>
      <c r="K815" s="122"/>
      <c r="L815" s="120"/>
      <c r="M815" s="121"/>
      <c r="N815" s="73"/>
      <c r="O815" s="73"/>
      <c r="P815" s="73"/>
      <c r="Q815" s="74"/>
      <c r="R815" s="79"/>
      <c r="S815" s="80"/>
      <c r="T815" s="81"/>
      <c r="U815" s="89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/>
      <c r="B816" s="73"/>
      <c r="C816" s="73"/>
      <c r="D816" s="74"/>
      <c r="E816" s="79"/>
      <c r="F816" s="80"/>
      <c r="G816" s="81"/>
      <c r="H816" s="130"/>
      <c r="I816" s="118"/>
      <c r="J816" s="73"/>
      <c r="K816" s="122"/>
      <c r="L816" s="120"/>
      <c r="M816" s="121"/>
      <c r="N816" s="73"/>
      <c r="O816" s="73"/>
      <c r="P816" s="73"/>
      <c r="Q816" s="74"/>
      <c r="R816" s="79"/>
      <c r="S816" s="80"/>
      <c r="T816" s="81"/>
      <c r="U816" s="89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/>
      <c r="B817" s="73"/>
      <c r="C817" s="73"/>
      <c r="D817" s="74"/>
      <c r="E817" s="79"/>
      <c r="F817" s="80"/>
      <c r="G817" s="81"/>
      <c r="H817" s="78"/>
      <c r="I817" s="118"/>
      <c r="J817" s="73"/>
      <c r="K817" s="122"/>
      <c r="L817" s="120"/>
      <c r="M817" s="121"/>
      <c r="N817" s="73"/>
      <c r="O817" s="73"/>
      <c r="P817" s="73"/>
      <c r="Q817" s="74"/>
      <c r="R817" s="79"/>
      <c r="S817" s="80"/>
      <c r="T817" s="81"/>
      <c r="U817" s="78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/>
      <c r="B818" s="73"/>
      <c r="C818" s="73"/>
      <c r="D818" s="74"/>
      <c r="E818" s="79"/>
      <c r="F818" s="80"/>
      <c r="G818" s="81"/>
      <c r="H818" s="78"/>
      <c r="I818" s="118"/>
      <c r="J818" s="73"/>
      <c r="K818" s="122"/>
      <c r="L818" s="120"/>
      <c r="M818" s="121"/>
      <c r="N818" s="73"/>
      <c r="O818" s="73"/>
      <c r="P818" s="73"/>
      <c r="Q818" s="74"/>
      <c r="R818" s="79"/>
      <c r="S818" s="80"/>
      <c r="T818" s="81"/>
      <c r="U818" s="78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/>
      <c r="B819" s="73"/>
      <c r="C819" s="73"/>
      <c r="D819" s="74"/>
      <c r="E819" s="79"/>
      <c r="F819" s="80"/>
      <c r="G819" s="81"/>
      <c r="H819" s="89"/>
      <c r="I819" s="118"/>
      <c r="J819" s="73"/>
      <c r="K819" s="122"/>
      <c r="L819" s="120"/>
      <c r="M819" s="121"/>
      <c r="N819" s="73"/>
      <c r="O819" s="73"/>
      <c r="P819" s="73"/>
      <c r="Q819" s="74"/>
      <c r="R819" s="79"/>
      <c r="S819" s="80"/>
      <c r="T819" s="81"/>
      <c r="U819" s="89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/>
      <c r="B820" s="73"/>
      <c r="C820" s="73"/>
      <c r="D820" s="74"/>
      <c r="E820" s="79"/>
      <c r="F820" s="80"/>
      <c r="G820" s="81"/>
      <c r="H820" s="78"/>
      <c r="I820" s="118"/>
      <c r="J820" s="73"/>
      <c r="K820" s="122"/>
      <c r="L820" s="120"/>
      <c r="M820" s="121"/>
      <c r="N820" s="73"/>
      <c r="O820" s="73"/>
      <c r="P820" s="73"/>
      <c r="Q820" s="74"/>
      <c r="R820" s="79"/>
      <c r="S820" s="80"/>
      <c r="T820" s="81"/>
      <c r="U820" s="78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/>
      <c r="B821" s="73"/>
      <c r="C821" s="73"/>
      <c r="D821" s="74"/>
      <c r="E821" s="79"/>
      <c r="F821" s="80"/>
      <c r="G821" s="81"/>
      <c r="H821" s="89"/>
      <c r="I821" s="118"/>
      <c r="J821" s="73"/>
      <c r="K821" s="122"/>
      <c r="L821" s="120"/>
      <c r="M821" s="121"/>
      <c r="N821" s="73"/>
      <c r="O821" s="73"/>
      <c r="P821" s="73"/>
      <c r="Q821" s="74"/>
      <c r="R821" s="79"/>
      <c r="S821" s="80"/>
      <c r="T821" s="81"/>
      <c r="U821" s="89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/>
      <c r="B822" s="73"/>
      <c r="C822" s="73"/>
      <c r="D822" s="74"/>
      <c r="E822" s="79"/>
      <c r="F822" s="80"/>
      <c r="G822" s="81"/>
      <c r="H822" s="89"/>
      <c r="I822" s="118"/>
      <c r="J822" s="73"/>
      <c r="K822" s="122"/>
      <c r="L822" s="120"/>
      <c r="M822" s="121"/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/>
      <c r="B823" s="73"/>
      <c r="C823" s="73"/>
      <c r="D823" s="74"/>
      <c r="E823" s="79"/>
      <c r="F823" s="80"/>
      <c r="G823" s="81"/>
      <c r="H823" s="89"/>
      <c r="I823" s="118"/>
      <c r="J823" s="73"/>
      <c r="K823" s="122"/>
      <c r="L823" s="120"/>
      <c r="M823" s="121"/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/>
      <c r="B824" s="73"/>
      <c r="C824" s="73"/>
      <c r="D824" s="74"/>
      <c r="E824" s="79"/>
      <c r="F824" s="80"/>
      <c r="G824" s="81"/>
      <c r="H824" s="89"/>
      <c r="I824" s="118"/>
      <c r="J824" s="73"/>
      <c r="K824" s="122"/>
      <c r="L824" s="120"/>
      <c r="M824" s="121"/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/>
      <c r="B825" s="73"/>
      <c r="C825" s="73"/>
      <c r="D825" s="74"/>
      <c r="E825" s="79"/>
      <c r="F825" s="80"/>
      <c r="G825" s="81"/>
      <c r="H825" s="89"/>
      <c r="I825" s="118"/>
      <c r="J825" s="73"/>
      <c r="K825" s="122"/>
      <c r="L825" s="120"/>
      <c r="M825" s="121"/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/>
      <c r="B826" s="73"/>
      <c r="C826" s="73"/>
      <c r="D826" s="74"/>
      <c r="E826" s="79"/>
      <c r="F826" s="80"/>
      <c r="G826" s="81"/>
      <c r="H826" s="89"/>
      <c r="I826" s="118"/>
      <c r="J826" s="73"/>
      <c r="K826" s="122"/>
      <c r="L826" s="120"/>
      <c r="M826" s="121"/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/>
      <c r="B827" s="73"/>
      <c r="C827" s="73"/>
      <c r="D827" s="74"/>
      <c r="E827" s="79"/>
      <c r="F827" s="80"/>
      <c r="G827" s="81"/>
      <c r="H827" s="89"/>
      <c r="I827" s="118"/>
      <c r="J827" s="73"/>
      <c r="K827" s="122"/>
      <c r="L827" s="120"/>
      <c r="M827" s="121"/>
      <c r="N827" s="73"/>
      <c r="O827" s="73"/>
      <c r="P827" s="73"/>
      <c r="Q827" s="74"/>
      <c r="R827" s="79"/>
      <c r="S827" s="80"/>
      <c r="T827" s="81"/>
      <c r="U827" s="89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/>
      <c r="B828" s="73"/>
      <c r="C828" s="73"/>
      <c r="D828" s="74"/>
      <c r="E828" s="79"/>
      <c r="F828" s="80"/>
      <c r="G828" s="81"/>
      <c r="H828" s="89"/>
      <c r="I828" s="118"/>
      <c r="J828" s="73"/>
      <c r="K828" s="122"/>
      <c r="L828" s="120"/>
      <c r="M828" s="121"/>
      <c r="N828" s="73"/>
      <c r="O828" s="73"/>
      <c r="P828" s="73"/>
      <c r="Q828" s="74"/>
      <c r="R828" s="79"/>
      <c r="S828" s="80"/>
      <c r="T828" s="81"/>
      <c r="U828" s="89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/>
      <c r="B829" s="73"/>
      <c r="C829" s="73"/>
      <c r="D829" s="74"/>
      <c r="E829" s="79"/>
      <c r="F829" s="80"/>
      <c r="G829" s="81"/>
      <c r="H829" s="89"/>
      <c r="I829" s="118"/>
      <c r="J829" s="73"/>
      <c r="K829" s="122"/>
      <c r="L829" s="120"/>
      <c r="M829" s="121"/>
      <c r="N829" s="73"/>
      <c r="O829" s="73"/>
      <c r="P829" s="73"/>
      <c r="Q829" s="74"/>
      <c r="R829" s="79"/>
      <c r="S829" s="80"/>
      <c r="T829" s="81"/>
      <c r="U829" s="78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/>
      <c r="B830" s="73"/>
      <c r="C830" s="73"/>
      <c r="D830" s="74"/>
      <c r="E830" s="79"/>
      <c r="F830" s="80"/>
      <c r="G830" s="81"/>
      <c r="H830" s="89"/>
      <c r="I830" s="118"/>
      <c r="J830" s="73"/>
      <c r="K830" s="122"/>
      <c r="L830" s="120"/>
      <c r="M830" s="121"/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/>
      <c r="B831" s="73"/>
      <c r="C831" s="73"/>
      <c r="D831" s="74"/>
      <c r="E831" s="79"/>
      <c r="F831" s="80"/>
      <c r="G831" s="81"/>
      <c r="H831" s="89"/>
      <c r="I831" s="118"/>
      <c r="J831" s="73"/>
      <c r="K831" s="122"/>
      <c r="L831" s="120"/>
      <c r="M831" s="121"/>
      <c r="N831" s="73"/>
      <c r="O831" s="73"/>
      <c r="P831" s="73"/>
      <c r="Q831" s="74"/>
      <c r="R831" s="79"/>
      <c r="S831" s="80"/>
      <c r="T831" s="81"/>
      <c r="U831" s="89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/>
      <c r="B832" s="73"/>
      <c r="C832" s="73"/>
      <c r="D832" s="74"/>
      <c r="E832" s="79"/>
      <c r="F832" s="80"/>
      <c r="G832" s="81"/>
      <c r="H832" s="89"/>
      <c r="I832" s="118"/>
      <c r="J832" s="73"/>
      <c r="K832" s="122"/>
      <c r="L832" s="120"/>
      <c r="M832" s="121"/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/>
      <c r="B833" s="73"/>
      <c r="C833" s="73"/>
      <c r="D833" s="74"/>
      <c r="E833" s="79"/>
      <c r="F833" s="80"/>
      <c r="G833" s="81"/>
      <c r="H833" s="89"/>
      <c r="I833" s="118"/>
      <c r="J833" s="73"/>
      <c r="K833" s="122"/>
      <c r="L833" s="120"/>
      <c r="M833" s="121"/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/>
      <c r="B834" s="73"/>
      <c r="C834" s="73"/>
      <c r="D834" s="74"/>
      <c r="E834" s="79"/>
      <c r="F834" s="80"/>
      <c r="G834" s="81"/>
      <c r="H834" s="89"/>
      <c r="I834" s="118"/>
      <c r="J834" s="73"/>
      <c r="K834" s="122"/>
      <c r="L834" s="120"/>
      <c r="M834" s="121"/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/>
      <c r="B835" s="73"/>
      <c r="C835" s="73"/>
      <c r="D835" s="74"/>
      <c r="E835" s="79"/>
      <c r="F835" s="80"/>
      <c r="G835" s="81"/>
      <c r="H835" s="89"/>
      <c r="I835" s="118"/>
      <c r="J835" s="73"/>
      <c r="K835" s="122"/>
      <c r="L835" s="120"/>
      <c r="M835" s="121"/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/>
      <c r="B836" s="73"/>
      <c r="C836" s="73"/>
      <c r="D836" s="74"/>
      <c r="E836" s="106"/>
      <c r="F836" s="107"/>
      <c r="G836" s="108"/>
      <c r="H836" s="89"/>
      <c r="I836" s="118"/>
      <c r="J836" s="73"/>
      <c r="K836" s="122"/>
      <c r="L836" s="120"/>
      <c r="M836" s="121"/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/>
      <c r="B837" s="73"/>
      <c r="C837" s="73"/>
      <c r="D837" s="74"/>
      <c r="E837" s="79"/>
      <c r="F837" s="80"/>
      <c r="G837" s="81"/>
      <c r="H837" s="89"/>
      <c r="I837" s="118"/>
      <c r="J837" s="73"/>
      <c r="K837" s="122"/>
      <c r="L837" s="120"/>
      <c r="M837" s="121"/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/>
      <c r="B838" s="73"/>
      <c r="C838" s="73"/>
      <c r="D838" s="74"/>
      <c r="E838" s="79"/>
      <c r="F838" s="80"/>
      <c r="G838" s="81"/>
      <c r="H838" s="89"/>
      <c r="I838" s="118"/>
      <c r="J838" s="73"/>
      <c r="K838" s="122"/>
      <c r="L838" s="120"/>
      <c r="M838" s="121"/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/>
      <c r="B839" s="73"/>
      <c r="C839" s="73"/>
      <c r="D839" s="74"/>
      <c r="E839" s="106"/>
      <c r="F839" s="107"/>
      <c r="G839" s="108"/>
      <c r="H839" s="130"/>
      <c r="I839" s="118"/>
      <c r="J839" s="73"/>
      <c r="K839" s="122"/>
      <c r="L839" s="120"/>
      <c r="M839" s="121"/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/>
      <c r="B840" s="73"/>
      <c r="C840" s="73"/>
      <c r="D840" s="74"/>
      <c r="E840" s="79"/>
      <c r="F840" s="80"/>
      <c r="G840" s="81"/>
      <c r="H840" s="89"/>
      <c r="I840" s="118"/>
      <c r="J840" s="73"/>
      <c r="K840" s="122"/>
      <c r="L840" s="120"/>
      <c r="M840" s="121"/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/>
      <c r="B841" s="73"/>
      <c r="C841" s="73"/>
      <c r="D841" s="74"/>
      <c r="E841" s="79"/>
      <c r="F841" s="80"/>
      <c r="G841" s="81"/>
      <c r="H841" s="89"/>
      <c r="I841" s="118"/>
      <c r="J841" s="73"/>
      <c r="K841" s="122"/>
      <c r="L841" s="120"/>
      <c r="M841" s="121"/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152"/>
      <c r="AP841" s="152"/>
      <c r="AQ841" s="105"/>
      <c r="AR841" s="106"/>
      <c r="AS841" s="107"/>
      <c r="AT841" s="108"/>
      <c r="AU841" s="89"/>
      <c r="AV841" s="158"/>
      <c r="AW841" s="152"/>
      <c r="AX841" s="122"/>
      <c r="AY841" s="120"/>
      <c r="AZ841" s="121"/>
    </row>
    <row r="842" spans="1:52">
      <c r="A842" s="73"/>
      <c r="B842" s="73"/>
      <c r="C842" s="73"/>
      <c r="D842" s="74"/>
      <c r="E842" s="79"/>
      <c r="F842" s="80"/>
      <c r="G842" s="81"/>
      <c r="H842" s="89"/>
      <c r="I842" s="118"/>
      <c r="J842" s="73"/>
      <c r="K842" s="122"/>
      <c r="L842" s="120"/>
      <c r="M842" s="121"/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152"/>
      <c r="AP842" s="152"/>
      <c r="AQ842" s="105"/>
      <c r="AR842" s="106"/>
      <c r="AS842" s="107"/>
      <c r="AT842" s="108"/>
      <c r="AU842" s="89"/>
      <c r="AV842" s="158"/>
      <c r="AW842" s="152"/>
      <c r="AX842" s="122"/>
      <c r="AY842" s="120"/>
      <c r="AZ842" s="121"/>
    </row>
    <row r="843" spans="1:52">
      <c r="A843" s="73"/>
      <c r="B843" s="73"/>
      <c r="C843" s="73"/>
      <c r="D843" s="74"/>
      <c r="E843" s="79"/>
      <c r="F843" s="80"/>
      <c r="G843" s="81"/>
      <c r="H843" s="89"/>
      <c r="I843" s="118"/>
      <c r="J843" s="73"/>
      <c r="K843" s="122"/>
      <c r="L843" s="120"/>
      <c r="M843" s="121"/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73"/>
      <c r="AP843" s="73"/>
      <c r="AQ843" s="74"/>
      <c r="AR843" s="79"/>
      <c r="AS843" s="80"/>
      <c r="AT843" s="81"/>
      <c r="AU843" s="89"/>
      <c r="AV843" s="158"/>
      <c r="AW843" s="152"/>
      <c r="AX843" s="122"/>
      <c r="AY843" s="120"/>
      <c r="AZ843" s="121"/>
    </row>
    <row r="844" spans="1:52">
      <c r="A844" s="73"/>
      <c r="B844" s="73"/>
      <c r="C844" s="73"/>
      <c r="D844" s="74"/>
      <c r="E844" s="79"/>
      <c r="F844" s="80"/>
      <c r="G844" s="81"/>
      <c r="H844" s="89"/>
      <c r="I844" s="118"/>
      <c r="J844" s="73"/>
      <c r="K844" s="122"/>
      <c r="L844" s="120"/>
      <c r="M844" s="121"/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/>
      <c r="B845" s="73"/>
      <c r="C845" s="73"/>
      <c r="D845" s="74"/>
      <c r="E845" s="79"/>
      <c r="F845" s="80"/>
      <c r="G845" s="81"/>
      <c r="H845" s="89"/>
      <c r="I845" s="118"/>
      <c r="J845" s="73"/>
      <c r="K845" s="122"/>
      <c r="L845" s="120"/>
      <c r="M845" s="121"/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152"/>
      <c r="AP845" s="152"/>
      <c r="AQ845" s="105"/>
      <c r="AR845" s="106"/>
      <c r="AS845" s="107"/>
      <c r="AT845" s="108"/>
      <c r="AU845" s="89"/>
      <c r="AV845" s="158"/>
      <c r="AW845" s="152"/>
      <c r="AX845" s="122"/>
      <c r="AY845" s="120"/>
      <c r="AZ845" s="121"/>
    </row>
    <row r="846" spans="1:52">
      <c r="A846" s="73"/>
      <c r="B846" s="73"/>
      <c r="C846" s="73"/>
      <c r="D846" s="74"/>
      <c r="E846" s="79"/>
      <c r="F846" s="80"/>
      <c r="G846" s="81"/>
      <c r="H846" s="130"/>
      <c r="I846" s="118"/>
      <c r="J846" s="73"/>
      <c r="K846" s="122"/>
      <c r="L846" s="120"/>
      <c r="M846" s="121"/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/>
      <c r="B847" s="73"/>
      <c r="C847" s="73"/>
      <c r="D847" s="74"/>
      <c r="E847" s="79"/>
      <c r="F847" s="80"/>
      <c r="G847" s="81"/>
      <c r="H847" s="130"/>
      <c r="I847" s="118"/>
      <c r="J847" s="73"/>
      <c r="K847" s="122"/>
      <c r="L847" s="120"/>
      <c r="M847" s="121"/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/>
      <c r="B848" s="73"/>
      <c r="C848" s="73"/>
      <c r="D848" s="74"/>
      <c r="E848" s="79"/>
      <c r="F848" s="80"/>
      <c r="G848" s="81"/>
      <c r="H848" s="130"/>
      <c r="I848" s="118"/>
      <c r="J848" s="73"/>
      <c r="K848" s="122"/>
      <c r="L848" s="120"/>
      <c r="M848" s="121"/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/>
      <c r="B849" s="73"/>
      <c r="C849" s="73"/>
      <c r="D849" s="74"/>
      <c r="E849" s="79"/>
      <c r="F849" s="80"/>
      <c r="G849" s="81"/>
      <c r="H849" s="130"/>
      <c r="I849" s="118"/>
      <c r="J849" s="73"/>
      <c r="K849" s="122"/>
      <c r="L849" s="120"/>
      <c r="M849" s="121"/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/>
      <c r="B850" s="73"/>
      <c r="C850" s="73"/>
      <c r="D850" s="74"/>
      <c r="E850" s="79"/>
      <c r="F850" s="80"/>
      <c r="G850" s="81"/>
      <c r="H850" s="130"/>
      <c r="I850" s="118"/>
      <c r="J850" s="73"/>
      <c r="K850" s="122"/>
      <c r="L850" s="120"/>
      <c r="M850" s="121"/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/>
      <c r="B851" s="73"/>
      <c r="C851" s="73"/>
      <c r="D851" s="74"/>
      <c r="E851" s="79"/>
      <c r="F851" s="80"/>
      <c r="G851" s="81"/>
      <c r="H851" s="130"/>
      <c r="I851" s="118"/>
      <c r="J851" s="73"/>
      <c r="K851" s="122"/>
      <c r="L851" s="120"/>
      <c r="M851" s="121"/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/>
      <c r="B852" s="73"/>
      <c r="C852" s="73"/>
      <c r="D852" s="74"/>
      <c r="E852" s="79"/>
      <c r="F852" s="80"/>
      <c r="G852" s="81"/>
      <c r="H852" s="89"/>
      <c r="I852" s="118"/>
      <c r="J852" s="73"/>
      <c r="K852" s="122"/>
      <c r="L852" s="120"/>
      <c r="M852" s="121"/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/>
      <c r="B853" s="73"/>
      <c r="C853" s="73"/>
      <c r="D853" s="74"/>
      <c r="E853" s="79"/>
      <c r="F853" s="80"/>
      <c r="G853" s="81"/>
      <c r="H853" s="89"/>
      <c r="I853" s="118"/>
      <c r="J853" s="73"/>
      <c r="K853" s="122"/>
      <c r="L853" s="120"/>
      <c r="M853" s="121"/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/>
      <c r="B854" s="73"/>
      <c r="C854" s="73"/>
      <c r="D854" s="74"/>
      <c r="E854" s="79"/>
      <c r="F854" s="80"/>
      <c r="G854" s="81"/>
      <c r="H854" s="89"/>
      <c r="I854" s="118"/>
      <c r="J854" s="73"/>
      <c r="K854" s="122"/>
      <c r="L854" s="120"/>
      <c r="M854" s="121"/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/>
      <c r="B855" s="73"/>
      <c r="C855" s="73"/>
      <c r="D855" s="74"/>
      <c r="E855" s="79"/>
      <c r="F855" s="80"/>
      <c r="G855" s="81"/>
      <c r="H855" s="89"/>
      <c r="I855" s="118"/>
      <c r="J855" s="73"/>
      <c r="K855" s="122"/>
      <c r="L855" s="120"/>
      <c r="M855" s="121"/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/>
      <c r="B856" s="73"/>
      <c r="C856" s="73"/>
      <c r="D856" s="74"/>
      <c r="E856" s="79"/>
      <c r="F856" s="80"/>
      <c r="G856" s="81"/>
      <c r="H856" s="89"/>
      <c r="I856" s="118"/>
      <c r="J856" s="73"/>
      <c r="K856" s="122"/>
      <c r="L856" s="120"/>
      <c r="M856" s="121"/>
      <c r="N856" s="73"/>
      <c r="O856" s="73"/>
      <c r="P856" s="73"/>
      <c r="Q856" s="74"/>
      <c r="R856" s="79"/>
      <c r="S856" s="80"/>
      <c r="T856" s="81"/>
      <c r="U856" s="89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89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/>
      <c r="B857" s="73"/>
      <c r="C857" s="73"/>
      <c r="D857" s="74"/>
      <c r="E857" s="79"/>
      <c r="F857" s="80"/>
      <c r="G857" s="81"/>
      <c r="H857" s="89"/>
      <c r="I857" s="118"/>
      <c r="J857" s="73"/>
      <c r="K857" s="122"/>
      <c r="L857" s="120"/>
      <c r="M857" s="121"/>
      <c r="N857" s="73"/>
      <c r="O857" s="73"/>
      <c r="P857" s="73"/>
      <c r="Q857" s="74"/>
      <c r="R857" s="79"/>
      <c r="S857" s="80"/>
      <c r="T857" s="81"/>
      <c r="U857" s="89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89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/>
      <c r="B858" s="73"/>
      <c r="C858" s="73"/>
      <c r="D858" s="74"/>
      <c r="E858" s="79"/>
      <c r="F858" s="80"/>
      <c r="G858" s="81"/>
      <c r="H858" s="89"/>
      <c r="I858" s="118"/>
      <c r="J858" s="73"/>
      <c r="K858" s="122"/>
      <c r="L858" s="120"/>
      <c r="M858" s="121"/>
      <c r="N858" s="73"/>
      <c r="O858" s="73"/>
      <c r="P858" s="73"/>
      <c r="Q858" s="74"/>
      <c r="R858" s="79"/>
      <c r="S858" s="80"/>
      <c r="T858" s="81"/>
      <c r="U858" s="78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78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/>
      <c r="B859" s="73"/>
      <c r="C859" s="73"/>
      <c r="D859" s="74"/>
      <c r="E859" s="79"/>
      <c r="F859" s="80"/>
      <c r="G859" s="81"/>
      <c r="H859" s="89"/>
      <c r="I859" s="118"/>
      <c r="J859" s="73"/>
      <c r="K859" s="122"/>
      <c r="L859" s="120"/>
      <c r="M859" s="121"/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152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/>
      <c r="B860" s="73"/>
      <c r="C860" s="73"/>
      <c r="D860" s="74"/>
      <c r="E860" s="79"/>
      <c r="F860" s="80"/>
      <c r="G860" s="81"/>
      <c r="H860" s="89"/>
      <c r="I860" s="118"/>
      <c r="J860" s="73"/>
      <c r="K860" s="122"/>
      <c r="L860" s="120"/>
      <c r="M860" s="121"/>
      <c r="N860" s="73"/>
      <c r="O860" s="73"/>
      <c r="P860" s="73"/>
      <c r="Q860" s="74"/>
      <c r="R860" s="79"/>
      <c r="S860" s="80"/>
      <c r="T860" s="81"/>
      <c r="U860" s="89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89"/>
      <c r="AI860" s="118"/>
      <c r="AJ860" s="73"/>
      <c r="AK860" s="119"/>
      <c r="AL860" s="120"/>
      <c r="AM860" s="121"/>
      <c r="AN860" s="152"/>
      <c r="AO860" s="152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/>
      <c r="B861" s="73"/>
      <c r="C861" s="73"/>
      <c r="D861" s="74"/>
      <c r="E861" s="79"/>
      <c r="F861" s="80"/>
      <c r="G861" s="81"/>
      <c r="H861" s="89"/>
      <c r="I861" s="118"/>
      <c r="J861" s="73"/>
      <c r="K861" s="122"/>
      <c r="L861" s="120"/>
      <c r="M861" s="121"/>
      <c r="N861" s="73"/>
      <c r="O861" s="73"/>
      <c r="P861" s="73"/>
      <c r="Q861" s="74"/>
      <c r="R861" s="79"/>
      <c r="S861" s="80"/>
      <c r="T861" s="81"/>
      <c r="U861" s="89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270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/>
      <c r="B862" s="73"/>
      <c r="C862" s="73"/>
      <c r="D862" s="74"/>
      <c r="E862" s="79"/>
      <c r="F862" s="80"/>
      <c r="G862" s="81"/>
      <c r="H862" s="130"/>
      <c r="I862" s="118"/>
      <c r="J862" s="73"/>
      <c r="K862" s="122"/>
      <c r="L862" s="120"/>
      <c r="M862" s="121"/>
      <c r="N862" s="73"/>
      <c r="O862" s="73"/>
      <c r="P862" s="73"/>
      <c r="Q862" s="74"/>
      <c r="R862" s="79"/>
      <c r="S862" s="80"/>
      <c r="T862" s="81"/>
      <c r="U862" s="130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/>
      <c r="B863" s="73"/>
      <c r="C863" s="73"/>
      <c r="D863" s="74"/>
      <c r="E863" s="79"/>
      <c r="F863" s="80"/>
      <c r="G863" s="81"/>
      <c r="H863" s="130"/>
      <c r="I863" s="118"/>
      <c r="J863" s="73"/>
      <c r="K863" s="122"/>
      <c r="L863" s="120"/>
      <c r="M863" s="121"/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152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/>
      <c r="B864" s="73"/>
      <c r="C864" s="73"/>
      <c r="D864" s="74"/>
      <c r="E864" s="79"/>
      <c r="F864" s="80"/>
      <c r="G864" s="81"/>
      <c r="H864" s="130"/>
      <c r="I864" s="118"/>
      <c r="J864" s="73"/>
      <c r="K864" s="122"/>
      <c r="L864" s="120"/>
      <c r="M864" s="121"/>
      <c r="N864" s="73"/>
      <c r="O864" s="73"/>
      <c r="P864" s="73"/>
      <c r="Q864" s="74"/>
      <c r="R864" s="79"/>
      <c r="S864" s="80"/>
      <c r="T864" s="81"/>
      <c r="U864" s="89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/>
      <c r="B865" s="73"/>
      <c r="C865" s="73"/>
      <c r="D865" s="74"/>
      <c r="E865" s="79"/>
      <c r="F865" s="80"/>
      <c r="G865" s="81"/>
      <c r="H865" s="130"/>
      <c r="I865" s="118"/>
      <c r="J865" s="73"/>
      <c r="K865" s="122"/>
      <c r="L865" s="120"/>
      <c r="M865" s="121"/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/>
      <c r="B866" s="73"/>
      <c r="C866" s="73"/>
      <c r="D866" s="74"/>
      <c r="E866" s="79"/>
      <c r="F866" s="80"/>
      <c r="G866" s="81"/>
      <c r="H866" s="130"/>
      <c r="I866" s="118"/>
      <c r="J866" s="73"/>
      <c r="K866" s="122"/>
      <c r="L866" s="120"/>
      <c r="M866" s="121"/>
      <c r="N866" s="73"/>
      <c r="O866" s="73"/>
      <c r="P866" s="73"/>
      <c r="Q866" s="74"/>
      <c r="R866" s="79"/>
      <c r="S866" s="80"/>
      <c r="T866" s="81"/>
      <c r="U866" s="89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/>
      <c r="B867" s="73"/>
      <c r="C867" s="73"/>
      <c r="D867" s="74"/>
      <c r="E867" s="79"/>
      <c r="F867" s="80"/>
      <c r="G867" s="81"/>
      <c r="H867" s="130"/>
      <c r="I867" s="118"/>
      <c r="J867" s="73"/>
      <c r="K867" s="122"/>
      <c r="L867" s="120"/>
      <c r="M867" s="121"/>
      <c r="N867" s="73"/>
      <c r="O867" s="73"/>
      <c r="P867" s="73"/>
      <c r="Q867" s="74"/>
      <c r="R867" s="79"/>
      <c r="S867" s="80"/>
      <c r="T867" s="81"/>
      <c r="U867" s="89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/>
      <c r="B868" s="73"/>
      <c r="C868" s="73"/>
      <c r="D868" s="74"/>
      <c r="E868" s="79"/>
      <c r="F868" s="80"/>
      <c r="G868" s="81"/>
      <c r="H868" s="130"/>
      <c r="I868" s="118"/>
      <c r="J868" s="73"/>
      <c r="K868" s="122"/>
      <c r="L868" s="120"/>
      <c r="M868" s="121"/>
      <c r="N868" s="73"/>
      <c r="O868" s="73"/>
      <c r="P868" s="73"/>
      <c r="Q868" s="74"/>
      <c r="R868" s="79"/>
      <c r="S868" s="80"/>
      <c r="T868" s="81"/>
      <c r="U868" s="78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/>
      <c r="B869" s="73"/>
      <c r="C869" s="73"/>
      <c r="D869" s="74"/>
      <c r="E869" s="79"/>
      <c r="F869" s="80"/>
      <c r="G869" s="81"/>
      <c r="H869" s="130"/>
      <c r="I869" s="118"/>
      <c r="J869" s="73"/>
      <c r="K869" s="122"/>
      <c r="L869" s="120"/>
      <c r="M869" s="121"/>
      <c r="N869" s="73"/>
      <c r="O869" s="73"/>
      <c r="P869" s="73"/>
      <c r="Q869" s="74"/>
      <c r="R869" s="79"/>
      <c r="S869" s="80"/>
      <c r="T869" s="81"/>
      <c r="U869" s="89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/>
      <c r="B870" s="73"/>
      <c r="C870" s="73"/>
      <c r="D870" s="74"/>
      <c r="E870" s="79"/>
      <c r="F870" s="80"/>
      <c r="G870" s="81"/>
      <c r="H870" s="78"/>
      <c r="I870" s="118"/>
      <c r="J870" s="73"/>
      <c r="K870" s="122"/>
      <c r="L870" s="120"/>
      <c r="M870" s="121"/>
      <c r="N870" s="73"/>
      <c r="O870" s="73"/>
      <c r="P870" s="73"/>
      <c r="Q870" s="74"/>
      <c r="R870" s="79"/>
      <c r="S870" s="80"/>
      <c r="T870" s="81"/>
      <c r="U870" s="89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/>
      <c r="B871" s="73"/>
      <c r="C871" s="73"/>
      <c r="D871" s="74"/>
      <c r="E871" s="79"/>
      <c r="F871" s="80"/>
      <c r="G871" s="81"/>
      <c r="H871" s="130"/>
      <c r="I871" s="118"/>
      <c r="J871" s="73"/>
      <c r="K871" s="122"/>
      <c r="L871" s="120"/>
      <c r="M871" s="121"/>
      <c r="N871" s="73"/>
      <c r="O871" s="73"/>
      <c r="P871" s="73"/>
      <c r="Q871" s="74"/>
      <c r="R871" s="79"/>
      <c r="S871" s="80"/>
      <c r="T871" s="81"/>
      <c r="U871" s="130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/>
      <c r="B872" s="73"/>
      <c r="C872" s="73"/>
      <c r="D872" s="74"/>
      <c r="E872" s="79"/>
      <c r="F872" s="80"/>
      <c r="G872" s="81"/>
      <c r="H872" s="89"/>
      <c r="I872" s="118"/>
      <c r="J872" s="73"/>
      <c r="K872" s="122"/>
      <c r="L872" s="120"/>
      <c r="M872" s="121"/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/>
      <c r="B873" s="73"/>
      <c r="C873" s="73"/>
      <c r="D873" s="74"/>
      <c r="E873" s="79"/>
      <c r="F873" s="80"/>
      <c r="G873" s="81"/>
      <c r="H873" s="89"/>
      <c r="I873" s="118"/>
      <c r="J873" s="73"/>
      <c r="K873" s="122"/>
      <c r="L873" s="120"/>
      <c r="M873" s="121"/>
      <c r="N873" s="73"/>
      <c r="O873" s="73"/>
      <c r="P873" s="73"/>
      <c r="Q873" s="74"/>
      <c r="R873" s="79"/>
      <c r="S873" s="80"/>
      <c r="T873" s="81"/>
      <c r="U873" s="89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/>
      <c r="B874" s="73"/>
      <c r="C874" s="73"/>
      <c r="D874" s="74"/>
      <c r="E874" s="79"/>
      <c r="F874" s="80"/>
      <c r="G874" s="81"/>
      <c r="H874" s="89"/>
      <c r="I874" s="118"/>
      <c r="J874" s="73"/>
      <c r="K874" s="122"/>
      <c r="L874" s="120"/>
      <c r="M874" s="121"/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/>
      <c r="B875" s="73"/>
      <c r="C875" s="73"/>
      <c r="D875" s="74"/>
      <c r="E875" s="79"/>
      <c r="F875" s="80"/>
      <c r="G875" s="81"/>
      <c r="H875" s="89"/>
      <c r="I875" s="118"/>
      <c r="J875" s="73"/>
      <c r="K875" s="122"/>
      <c r="L875" s="120"/>
      <c r="M875" s="121"/>
      <c r="N875" s="73"/>
      <c r="O875" s="73"/>
      <c r="P875" s="73"/>
      <c r="Q875" s="74"/>
      <c r="R875" s="79"/>
      <c r="S875" s="80"/>
      <c r="T875" s="81"/>
      <c r="U875" s="89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/>
      <c r="B876" s="73"/>
      <c r="C876" s="73"/>
      <c r="D876" s="74"/>
      <c r="E876" s="79"/>
      <c r="F876" s="80"/>
      <c r="G876" s="81"/>
      <c r="H876" s="89"/>
      <c r="I876" s="118"/>
      <c r="J876" s="73"/>
      <c r="K876" s="122"/>
      <c r="L876" s="120"/>
      <c r="M876" s="121"/>
      <c r="N876" s="73"/>
      <c r="O876" s="73"/>
      <c r="P876" s="73"/>
      <c r="Q876" s="74"/>
      <c r="R876" s="79"/>
      <c r="S876" s="80"/>
      <c r="T876" s="81"/>
      <c r="U876" s="89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/>
      <c r="B877" s="73"/>
      <c r="C877" s="73"/>
      <c r="D877" s="74"/>
      <c r="E877" s="79"/>
      <c r="F877" s="80"/>
      <c r="G877" s="81"/>
      <c r="H877" s="89"/>
      <c r="I877" s="118"/>
      <c r="J877" s="73"/>
      <c r="K877" s="122"/>
      <c r="L877" s="120"/>
      <c r="M877" s="121"/>
      <c r="N877" s="73"/>
      <c r="O877" s="73"/>
      <c r="P877" s="73"/>
      <c r="Q877" s="74"/>
      <c r="R877" s="79"/>
      <c r="S877" s="80"/>
      <c r="T877" s="81"/>
      <c r="U877" s="78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/>
      <c r="B878" s="73"/>
      <c r="C878" s="73"/>
      <c r="D878" s="74"/>
      <c r="E878" s="79"/>
      <c r="F878" s="80"/>
      <c r="G878" s="81"/>
      <c r="H878" s="89"/>
      <c r="I878" s="118"/>
      <c r="J878" s="73"/>
      <c r="K878" s="122"/>
      <c r="L878" s="120"/>
      <c r="M878" s="121"/>
      <c r="N878" s="73"/>
      <c r="O878" s="73"/>
      <c r="P878" s="73"/>
      <c r="Q878" s="74"/>
      <c r="R878" s="79"/>
      <c r="S878" s="80"/>
      <c r="T878" s="81"/>
      <c r="U878" s="78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/>
      <c r="B879" s="73"/>
      <c r="C879" s="73"/>
      <c r="D879" s="74"/>
      <c r="E879" s="79"/>
      <c r="F879" s="80"/>
      <c r="G879" s="81"/>
      <c r="H879" s="78"/>
      <c r="I879" s="118"/>
      <c r="J879" s="73"/>
      <c r="K879" s="122"/>
      <c r="L879" s="120"/>
      <c r="M879" s="121"/>
      <c r="N879" s="73"/>
      <c r="O879" s="73"/>
      <c r="P879" s="73"/>
      <c r="Q879" s="74"/>
      <c r="R879" s="79"/>
      <c r="S879" s="80"/>
      <c r="T879" s="81"/>
      <c r="U879" s="78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/>
      <c r="B880" s="73"/>
      <c r="C880" s="73"/>
      <c r="D880" s="74"/>
      <c r="E880" s="79"/>
      <c r="F880" s="80"/>
      <c r="G880" s="81"/>
      <c r="H880" s="89"/>
      <c r="I880" s="118"/>
      <c r="J880" s="73"/>
      <c r="K880" s="122"/>
      <c r="L880" s="120"/>
      <c r="M880" s="121"/>
      <c r="N880" s="73"/>
      <c r="O880" s="73"/>
      <c r="P880" s="73"/>
      <c r="Q880" s="74"/>
      <c r="R880" s="79"/>
      <c r="S880" s="80"/>
      <c r="T880" s="81"/>
      <c r="U880" s="89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/>
      <c r="B881" s="73"/>
      <c r="C881" s="73"/>
      <c r="D881" s="74"/>
      <c r="E881" s="79"/>
      <c r="F881" s="80"/>
      <c r="G881" s="81"/>
      <c r="H881" s="89"/>
      <c r="I881" s="118"/>
      <c r="J881" s="73"/>
      <c r="K881" s="122"/>
      <c r="L881" s="120"/>
      <c r="M881" s="121"/>
      <c r="N881" s="73"/>
      <c r="O881" s="73"/>
      <c r="P881" s="73"/>
      <c r="Q881" s="74"/>
      <c r="R881" s="79"/>
      <c r="S881" s="80"/>
      <c r="T881" s="81"/>
      <c r="U881" s="89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/>
      <c r="B882" s="73"/>
      <c r="C882" s="73"/>
      <c r="D882" s="74"/>
      <c r="E882" s="79"/>
      <c r="F882" s="80"/>
      <c r="G882" s="81"/>
      <c r="H882" s="89"/>
      <c r="I882" s="118"/>
      <c r="J882" s="73"/>
      <c r="K882" s="122"/>
      <c r="L882" s="120"/>
      <c r="M882" s="121"/>
      <c r="N882" s="73"/>
      <c r="O882" s="73"/>
      <c r="P882" s="73"/>
      <c r="Q882" s="74"/>
      <c r="R882" s="79"/>
      <c r="S882" s="80"/>
      <c r="T882" s="81"/>
      <c r="U882" s="82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spans="1:52">
      <c r="A883" s="73"/>
      <c r="B883" s="73"/>
      <c r="C883" s="73"/>
      <c r="D883" s="74"/>
      <c r="E883" s="79"/>
      <c r="F883" s="80"/>
      <c r="G883" s="81"/>
      <c r="H883" s="89"/>
      <c r="I883" s="118"/>
      <c r="J883" s="73"/>
      <c r="K883" s="122"/>
      <c r="L883" s="120"/>
      <c r="M883" s="121"/>
      <c r="N883" s="73"/>
      <c r="O883" s="73"/>
      <c r="P883" s="73"/>
      <c r="Q883" s="74"/>
      <c r="R883" s="79"/>
      <c r="S883" s="80"/>
      <c r="T883" s="81"/>
      <c r="U883" s="89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89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spans="1:52">
      <c r="A884" s="73"/>
      <c r="B884" s="73"/>
      <c r="C884" s="73"/>
      <c r="D884" s="74"/>
      <c r="E884" s="79"/>
      <c r="F884" s="80"/>
      <c r="G884" s="81"/>
      <c r="H884" s="78"/>
      <c r="I884" s="118"/>
      <c r="J884" s="73"/>
      <c r="K884" s="122"/>
      <c r="L884" s="120"/>
      <c r="M884" s="121"/>
      <c r="N884" s="73"/>
      <c r="O884" s="73"/>
      <c r="P884" s="73"/>
      <c r="Q884" s="74"/>
      <c r="R884" s="79"/>
      <c r="S884" s="80"/>
      <c r="T884" s="81"/>
      <c r="U884" s="89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89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ht="68" customHeight="1" spans="1:52">
      <c r="A885" s="73"/>
      <c r="B885" s="73"/>
      <c r="C885" s="73"/>
      <c r="D885" s="74"/>
      <c r="E885" s="79"/>
      <c r="F885" s="80"/>
      <c r="G885" s="81"/>
      <c r="H885" s="130"/>
      <c r="I885" s="118"/>
      <c r="J885" s="73"/>
      <c r="K885" s="122"/>
      <c r="L885" s="120"/>
      <c r="M885" s="121"/>
      <c r="N885" s="73"/>
      <c r="O885" s="73"/>
      <c r="P885" s="73"/>
      <c r="Q885" s="74"/>
      <c r="R885" s="79"/>
      <c r="S885" s="80"/>
      <c r="T885" s="81"/>
      <c r="U885" s="130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130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ht="27" customHeight="1" spans="1:52">
      <c r="A886" s="73"/>
      <c r="B886" s="73"/>
      <c r="C886" s="73"/>
      <c r="D886" s="74"/>
      <c r="E886" s="79"/>
      <c r="F886" s="80"/>
      <c r="G886" s="81"/>
      <c r="H886" s="78"/>
      <c r="I886" s="118"/>
      <c r="J886" s="73"/>
      <c r="K886" s="122"/>
      <c r="L886" s="120"/>
      <c r="M886" s="121"/>
      <c r="N886" s="73"/>
      <c r="O886" s="73"/>
      <c r="P886" s="73"/>
      <c r="Q886" s="74"/>
      <c r="R886" s="79"/>
      <c r="S886" s="80"/>
      <c r="T886" s="81"/>
      <c r="U886" s="78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78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spans="1:52">
      <c r="A887" s="73"/>
      <c r="B887" s="73"/>
      <c r="C887" s="73"/>
      <c r="D887" s="74"/>
      <c r="E887" s="79"/>
      <c r="F887" s="80"/>
      <c r="G887" s="81"/>
      <c r="H887" s="130"/>
      <c r="I887" s="118"/>
      <c r="J887" s="73"/>
      <c r="K887" s="122"/>
      <c r="L887" s="120"/>
      <c r="M887" s="121"/>
      <c r="N887" s="73"/>
      <c r="O887" s="73"/>
      <c r="P887" s="73"/>
      <c r="Q887" s="74"/>
      <c r="R887" s="79"/>
      <c r="S887" s="80"/>
      <c r="T887" s="81"/>
      <c r="U887" s="89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89"/>
      <c r="AI887" s="118"/>
      <c r="AJ887" s="73"/>
      <c r="AK887" s="119"/>
      <c r="AL887" s="120"/>
      <c r="AM887" s="121"/>
      <c r="AN887" s="152"/>
      <c r="AO887" s="152"/>
      <c r="AP887" s="152"/>
      <c r="AQ887" s="105"/>
      <c r="AR887" s="106"/>
      <c r="AS887" s="107"/>
      <c r="AT887" s="108"/>
      <c r="AU887" s="89"/>
      <c r="AV887" s="158"/>
      <c r="AW887" s="152"/>
      <c r="AX887" s="122"/>
      <c r="AY887" s="120"/>
      <c r="AZ887" s="121"/>
    </row>
    <row r="888" spans="1:52">
      <c r="A888" s="73"/>
      <c r="B888" s="73"/>
      <c r="C888" s="73"/>
      <c r="D888" s="74"/>
      <c r="E888" s="79"/>
      <c r="F888" s="80"/>
      <c r="G888" s="81"/>
      <c r="H888" s="78"/>
      <c r="I888" s="118"/>
      <c r="J888" s="73"/>
      <c r="K888" s="122"/>
      <c r="L888" s="120"/>
      <c r="M888" s="121"/>
      <c r="N888" s="73"/>
      <c r="O888" s="73"/>
      <c r="P888" s="73"/>
      <c r="Q888" s="74"/>
      <c r="R888" s="79"/>
      <c r="S888" s="80"/>
      <c r="T888" s="81"/>
      <c r="U888" s="89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89"/>
      <c r="AI888" s="118"/>
      <c r="AJ888" s="73"/>
      <c r="AK888" s="119"/>
      <c r="AL888" s="120"/>
      <c r="AM888" s="121"/>
      <c r="AN888" s="152"/>
      <c r="AO888" s="152"/>
      <c r="AP888" s="152"/>
      <c r="AQ888" s="105"/>
      <c r="AR888" s="106"/>
      <c r="AS888" s="107"/>
      <c r="AT888" s="108"/>
      <c r="AU888" s="89"/>
      <c r="AV888" s="158"/>
      <c r="AW888" s="152"/>
      <c r="AX888" s="122"/>
      <c r="AY888" s="120"/>
      <c r="AZ888" s="121"/>
    </row>
    <row r="889" spans="1:52">
      <c r="A889" s="73"/>
      <c r="B889" s="73"/>
      <c r="C889" s="73"/>
      <c r="D889" s="74"/>
      <c r="E889" s="79"/>
      <c r="F889" s="80"/>
      <c r="G889" s="81"/>
      <c r="H889" s="89"/>
      <c r="I889" s="118"/>
      <c r="J889" s="73"/>
      <c r="K889" s="122"/>
      <c r="L889" s="120"/>
      <c r="M889" s="121"/>
      <c r="N889" s="73"/>
      <c r="O889" s="73"/>
      <c r="P889" s="73"/>
      <c r="Q889" s="74"/>
      <c r="R889" s="79"/>
      <c r="S889" s="80"/>
      <c r="T889" s="81"/>
      <c r="U889" s="89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73"/>
      <c r="AP889" s="73"/>
      <c r="AQ889" s="74"/>
      <c r="AR889" s="106"/>
      <c r="AS889" s="107"/>
      <c r="AT889" s="108"/>
      <c r="AU889" s="82"/>
      <c r="AV889" s="158"/>
      <c r="AW889" s="152"/>
      <c r="AX889" s="122"/>
      <c r="AY889" s="120"/>
      <c r="AZ889" s="121"/>
    </row>
    <row r="890" spans="1:52">
      <c r="A890" s="73"/>
      <c r="B890" s="73"/>
      <c r="C890" s="73"/>
      <c r="D890" s="74"/>
      <c r="E890" s="79"/>
      <c r="F890" s="80"/>
      <c r="G890" s="81"/>
      <c r="H890" s="130"/>
      <c r="I890" s="118"/>
      <c r="J890" s="73"/>
      <c r="K890" s="122"/>
      <c r="L890" s="120"/>
      <c r="M890" s="121"/>
      <c r="N890" s="73"/>
      <c r="O890" s="73"/>
      <c r="P890" s="73"/>
      <c r="Q890" s="74"/>
      <c r="R890" s="79"/>
      <c r="S890" s="80"/>
      <c r="T890" s="81"/>
      <c r="U890" s="130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/>
      <c r="B891" s="73"/>
      <c r="C891" s="73"/>
      <c r="D891" s="74"/>
      <c r="E891" s="79"/>
      <c r="F891" s="80"/>
      <c r="G891" s="81"/>
      <c r="H891" s="78"/>
      <c r="I891" s="118"/>
      <c r="J891" s="73"/>
      <c r="K891" s="122"/>
      <c r="L891" s="120"/>
      <c r="M891" s="121"/>
      <c r="N891" s="73"/>
      <c r="O891" s="73"/>
      <c r="P891" s="73"/>
      <c r="Q891" s="74"/>
      <c r="R891" s="79"/>
      <c r="S891" s="80"/>
      <c r="T891" s="81"/>
      <c r="U891" s="78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152"/>
      <c r="AP891" s="152"/>
      <c r="AQ891" s="105"/>
      <c r="AR891" s="106"/>
      <c r="AS891" s="107"/>
      <c r="AT891" s="108"/>
      <c r="AU891" s="89"/>
      <c r="AV891" s="158"/>
      <c r="AW891" s="152"/>
      <c r="AX891" s="122"/>
      <c r="AY891" s="120"/>
      <c r="AZ891" s="121"/>
    </row>
    <row r="892" spans="1:52">
      <c r="A892" s="73"/>
      <c r="B892" s="73"/>
      <c r="C892" s="73"/>
      <c r="D892" s="74"/>
      <c r="E892" s="79"/>
      <c r="F892" s="80"/>
      <c r="G892" s="81"/>
      <c r="H892" s="89"/>
      <c r="I892" s="118"/>
      <c r="J892" s="73"/>
      <c r="K892" s="122"/>
      <c r="L892" s="120"/>
      <c r="M892" s="121"/>
      <c r="N892" s="73"/>
      <c r="O892" s="73"/>
      <c r="P892" s="73"/>
      <c r="Q892" s="74"/>
      <c r="R892" s="79"/>
      <c r="S892" s="80"/>
      <c r="T892" s="81"/>
      <c r="U892" s="78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/>
      <c r="B893" s="73"/>
      <c r="C893" s="73"/>
      <c r="D893" s="74"/>
      <c r="E893" s="79"/>
      <c r="F893" s="80"/>
      <c r="G893" s="81"/>
      <c r="H893" s="89"/>
      <c r="I893" s="118"/>
      <c r="J893" s="73"/>
      <c r="K893" s="122"/>
      <c r="L893" s="120"/>
      <c r="M893" s="121"/>
      <c r="N893" s="73"/>
      <c r="O893" s="73"/>
      <c r="P893" s="73"/>
      <c r="Q893" s="74"/>
      <c r="R893" s="79"/>
      <c r="S893" s="80"/>
      <c r="T893" s="81"/>
      <c r="U893" s="89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/>
      <c r="B894" s="73"/>
      <c r="C894" s="73"/>
      <c r="D894" s="74"/>
      <c r="E894" s="79"/>
      <c r="F894" s="80"/>
      <c r="G894" s="81"/>
      <c r="H894" s="89"/>
      <c r="I894" s="118"/>
      <c r="J894" s="73"/>
      <c r="K894" s="122"/>
      <c r="L894" s="120"/>
      <c r="M894" s="121"/>
      <c r="N894" s="73"/>
      <c r="O894" s="73"/>
      <c r="P894" s="73"/>
      <c r="Q894" s="74"/>
      <c r="R894" s="79"/>
      <c r="S894" s="80"/>
      <c r="T894" s="81"/>
      <c r="U894" s="89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/>
      <c r="B895" s="73"/>
      <c r="C895" s="73"/>
      <c r="D895" s="74"/>
      <c r="E895" s="79"/>
      <c r="F895" s="80"/>
      <c r="G895" s="81"/>
      <c r="H895" s="89"/>
      <c r="I895" s="118"/>
      <c r="J895" s="73"/>
      <c r="K895" s="122"/>
      <c r="L895" s="120"/>
      <c r="M895" s="121"/>
      <c r="N895" s="73"/>
      <c r="O895" s="73"/>
      <c r="P895" s="73"/>
      <c r="Q895" s="74"/>
      <c r="R895" s="79"/>
      <c r="S895" s="80"/>
      <c r="T895" s="81"/>
      <c r="U895" s="89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89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/>
      <c r="B896" s="73"/>
      <c r="C896" s="73"/>
      <c r="D896" s="74"/>
      <c r="E896" s="79"/>
      <c r="F896" s="80"/>
      <c r="G896" s="81"/>
      <c r="H896" s="89"/>
      <c r="I896" s="118"/>
      <c r="J896" s="73"/>
      <c r="K896" s="122"/>
      <c r="L896" s="120"/>
      <c r="M896" s="121"/>
      <c r="N896" s="73"/>
      <c r="O896" s="73"/>
      <c r="P896" s="73"/>
      <c r="Q896" s="74"/>
      <c r="R896" s="79"/>
      <c r="S896" s="80"/>
      <c r="T896" s="81"/>
      <c r="U896" s="130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89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/>
      <c r="B897" s="73"/>
      <c r="C897" s="73"/>
      <c r="D897" s="74"/>
      <c r="E897" s="79"/>
      <c r="F897" s="80"/>
      <c r="G897" s="81"/>
      <c r="H897" s="78"/>
      <c r="I897" s="118"/>
      <c r="J897" s="73"/>
      <c r="K897" s="122"/>
      <c r="L897" s="120"/>
      <c r="M897" s="121"/>
      <c r="N897" s="73"/>
      <c r="O897" s="73"/>
      <c r="P897" s="73"/>
      <c r="Q897" s="74"/>
      <c r="R897" s="79"/>
      <c r="S897" s="80"/>
      <c r="T897" s="81"/>
      <c r="U897" s="78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78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/>
      <c r="B898" s="73"/>
      <c r="C898" s="73"/>
      <c r="D898" s="74"/>
      <c r="E898" s="79"/>
      <c r="F898" s="80"/>
      <c r="G898" s="81"/>
      <c r="H898" s="78"/>
      <c r="I898" s="118"/>
      <c r="J898" s="73"/>
      <c r="K898" s="122"/>
      <c r="L898" s="120"/>
      <c r="M898" s="121"/>
      <c r="N898" s="73"/>
      <c r="O898" s="73"/>
      <c r="P898" s="73"/>
      <c r="Q898" s="74"/>
      <c r="R898" s="79"/>
      <c r="S898" s="80"/>
      <c r="T898" s="81"/>
      <c r="U898" s="89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/>
      <c r="B899" s="73"/>
      <c r="C899" s="73"/>
      <c r="D899" s="74"/>
      <c r="E899" s="79"/>
      <c r="F899" s="80"/>
      <c r="G899" s="81"/>
      <c r="H899" s="78"/>
      <c r="I899" s="118"/>
      <c r="J899" s="73"/>
      <c r="K899" s="122"/>
      <c r="L899" s="120"/>
      <c r="M899" s="121"/>
      <c r="N899" s="73"/>
      <c r="O899" s="73"/>
      <c r="P899" s="73"/>
      <c r="Q899" s="74"/>
      <c r="R899" s="79"/>
      <c r="S899" s="80"/>
      <c r="T899" s="81"/>
      <c r="U899" s="89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89"/>
      <c r="AI899" s="118"/>
      <c r="AJ899" s="73"/>
      <c r="AK899" s="119"/>
      <c r="AL899" s="120"/>
      <c r="AM899" s="121"/>
      <c r="AN899" s="152"/>
      <c r="AO899" s="152"/>
      <c r="AP899" s="152"/>
      <c r="AQ899" s="105"/>
      <c r="AR899" s="106"/>
      <c r="AS899" s="107"/>
      <c r="AT899" s="108"/>
      <c r="AU899" s="89"/>
      <c r="AV899" s="158"/>
      <c r="AW899" s="152"/>
      <c r="AX899" s="122"/>
      <c r="AY899" s="120"/>
      <c r="AZ899" s="121"/>
    </row>
    <row r="900" spans="1:52">
      <c r="A900" s="73"/>
      <c r="B900" s="73"/>
      <c r="C900" s="73"/>
      <c r="D900" s="74"/>
      <c r="E900" s="79"/>
      <c r="F900" s="80"/>
      <c r="G900" s="81"/>
      <c r="H900" s="78"/>
      <c r="I900" s="118"/>
      <c r="J900" s="73"/>
      <c r="K900" s="122"/>
      <c r="L900" s="120"/>
      <c r="M900" s="121"/>
      <c r="N900" s="73"/>
      <c r="O900" s="73"/>
      <c r="P900" s="73"/>
      <c r="Q900" s="74"/>
      <c r="R900" s="79"/>
      <c r="S900" s="80"/>
      <c r="T900" s="81"/>
      <c r="U900" s="89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89"/>
      <c r="AI900" s="118"/>
      <c r="AJ900" s="73"/>
      <c r="AK900" s="119"/>
      <c r="AL900" s="120"/>
      <c r="AM900" s="121"/>
      <c r="AN900" s="152"/>
      <c r="AO900" s="152"/>
      <c r="AP900" s="152"/>
      <c r="AQ900" s="105"/>
      <c r="AR900" s="106"/>
      <c r="AS900" s="107"/>
      <c r="AT900" s="108"/>
      <c r="AU900" s="89"/>
      <c r="AV900" s="158"/>
      <c r="AW900" s="152"/>
      <c r="AX900" s="122"/>
      <c r="AY900" s="120"/>
      <c r="AZ900" s="121"/>
    </row>
    <row r="901" spans="1:52">
      <c r="A901" s="73"/>
      <c r="B901" s="73"/>
      <c r="C901" s="73"/>
      <c r="D901" s="74"/>
      <c r="E901" s="79"/>
      <c r="F901" s="80"/>
      <c r="G901" s="81"/>
      <c r="H901" s="83"/>
      <c r="I901" s="118"/>
      <c r="J901" s="73"/>
      <c r="K901" s="122"/>
      <c r="L901" s="120"/>
      <c r="M901" s="121"/>
      <c r="N901" s="73"/>
      <c r="O901" s="73"/>
      <c r="P901" s="73"/>
      <c r="Q901" s="74"/>
      <c r="R901" s="79"/>
      <c r="S901" s="80"/>
      <c r="T901" s="81"/>
      <c r="U901" s="130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130"/>
      <c r="AI901" s="118"/>
      <c r="AJ901" s="73"/>
      <c r="AK901" s="119"/>
      <c r="AL901" s="120"/>
      <c r="AM901" s="121"/>
      <c r="AN901" s="152"/>
      <c r="AO901" s="73"/>
      <c r="AP901" s="73"/>
      <c r="AQ901" s="74"/>
      <c r="AR901" s="79"/>
      <c r="AS901" s="80"/>
      <c r="AT901" s="81"/>
      <c r="AU901" s="82"/>
      <c r="AV901" s="158"/>
      <c r="AW901" s="152"/>
      <c r="AX901" s="122"/>
      <c r="AY901" s="120"/>
      <c r="AZ901" s="121"/>
    </row>
    <row r="902" spans="1:52">
      <c r="A902" s="73"/>
      <c r="B902" s="73"/>
      <c r="C902" s="73"/>
      <c r="D902" s="74"/>
      <c r="E902" s="79"/>
      <c r="F902" s="80"/>
      <c r="G902" s="81"/>
      <c r="H902" s="89"/>
      <c r="I902" s="118"/>
      <c r="J902" s="73"/>
      <c r="K902" s="122"/>
      <c r="L902" s="120"/>
      <c r="M902" s="121"/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/>
      <c r="B903" s="73"/>
      <c r="C903" s="73"/>
      <c r="D903" s="74"/>
      <c r="E903" s="79"/>
      <c r="F903" s="80"/>
      <c r="G903" s="81"/>
      <c r="H903" s="89"/>
      <c r="I903" s="118"/>
      <c r="J903" s="73"/>
      <c r="K903" s="122"/>
      <c r="L903" s="120"/>
      <c r="M903" s="121"/>
      <c r="N903" s="73"/>
      <c r="O903" s="73"/>
      <c r="P903" s="73"/>
      <c r="Q903" s="74"/>
      <c r="R903" s="79"/>
      <c r="S903" s="80"/>
      <c r="T903" s="81"/>
      <c r="U903" s="89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89"/>
      <c r="AI903" s="118"/>
      <c r="AJ903" s="73"/>
      <c r="AK903" s="119"/>
      <c r="AL903" s="120"/>
      <c r="AM903" s="121"/>
      <c r="AN903" s="152"/>
      <c r="AO903" s="152"/>
      <c r="AP903" s="152"/>
      <c r="AQ903" s="105"/>
      <c r="AR903" s="106"/>
      <c r="AS903" s="107"/>
      <c r="AT903" s="108"/>
      <c r="AU903" s="89"/>
      <c r="AV903" s="158"/>
      <c r="AW903" s="152"/>
      <c r="AX903" s="122"/>
      <c r="AY903" s="120"/>
      <c r="AZ903" s="121"/>
    </row>
    <row r="904" spans="1:52">
      <c r="A904" s="73"/>
      <c r="B904" s="73"/>
      <c r="C904" s="73"/>
      <c r="D904" s="74"/>
      <c r="E904" s="79"/>
      <c r="F904" s="80"/>
      <c r="G904" s="81"/>
      <c r="H904" s="78"/>
      <c r="I904" s="118"/>
      <c r="J904" s="73"/>
      <c r="K904" s="122"/>
      <c r="L904" s="120"/>
      <c r="M904" s="121"/>
      <c r="N904" s="73"/>
      <c r="O904" s="73"/>
      <c r="P904" s="73"/>
      <c r="Q904" s="74"/>
      <c r="R904" s="79"/>
      <c r="S904" s="80"/>
      <c r="T904" s="81"/>
      <c r="U904" s="89"/>
      <c r="V904" s="118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89"/>
      <c r="AI904" s="118"/>
      <c r="AJ904" s="73"/>
      <c r="AK904" s="119"/>
      <c r="AL904" s="120"/>
      <c r="AM904" s="121"/>
      <c r="AN904" s="152"/>
      <c r="AO904" s="152"/>
      <c r="AP904" s="152"/>
      <c r="AQ904" s="105"/>
      <c r="AR904" s="106"/>
      <c r="AS904" s="107"/>
      <c r="AT904" s="108"/>
      <c r="AU904" s="89"/>
      <c r="AV904" s="158"/>
      <c r="AW904" s="152"/>
      <c r="AX904" s="122"/>
      <c r="AY904" s="120"/>
      <c r="AZ904" s="121"/>
    </row>
    <row r="905" spans="1:52">
      <c r="A905" s="73"/>
      <c r="B905" s="73"/>
      <c r="C905" s="73"/>
      <c r="D905" s="74"/>
      <c r="E905" s="79"/>
      <c r="F905" s="80"/>
      <c r="G905" s="81"/>
      <c r="H905" s="78"/>
      <c r="I905" s="118"/>
      <c r="J905" s="73"/>
      <c r="K905" s="122"/>
      <c r="L905" s="120"/>
      <c r="M905" s="121"/>
      <c r="N905" s="73"/>
      <c r="O905" s="73"/>
      <c r="P905" s="73"/>
      <c r="Q905" s="74"/>
      <c r="R905" s="79"/>
      <c r="S905" s="80"/>
      <c r="T905" s="81"/>
      <c r="U905" s="78"/>
      <c r="V905" s="118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78"/>
      <c r="AI905" s="118"/>
      <c r="AJ905" s="73"/>
      <c r="AK905" s="119"/>
      <c r="AL905" s="120"/>
      <c r="AM905" s="121"/>
      <c r="AN905" s="152"/>
      <c r="AO905" s="73"/>
      <c r="AP905" s="73"/>
      <c r="AQ905" s="74"/>
      <c r="AR905" s="79"/>
      <c r="AS905" s="80"/>
      <c r="AT905" s="81"/>
      <c r="AU905" s="89"/>
      <c r="AV905" s="158"/>
      <c r="AW905" s="152"/>
      <c r="AX905" s="122"/>
      <c r="AY905" s="120"/>
      <c r="AZ905" s="121"/>
    </row>
    <row r="906" spans="1:52">
      <c r="A906" s="73"/>
      <c r="B906" s="73"/>
      <c r="C906" s="73"/>
      <c r="D906" s="74"/>
      <c r="E906" s="79"/>
      <c r="F906" s="80"/>
      <c r="G906" s="81"/>
      <c r="H906" s="130"/>
      <c r="I906" s="118"/>
      <c r="J906" s="73"/>
      <c r="K906" s="122"/>
      <c r="L906" s="120"/>
      <c r="M906" s="121"/>
      <c r="N906" s="73"/>
      <c r="O906" s="73"/>
      <c r="P906" s="73"/>
      <c r="Q906" s="74"/>
      <c r="R906" s="79"/>
      <c r="S906" s="80"/>
      <c r="T906" s="81"/>
      <c r="U906" s="250"/>
      <c r="V906" s="229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130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/>
      <c r="B907" s="73"/>
      <c r="C907" s="73"/>
      <c r="D907" s="74"/>
      <c r="E907" s="79"/>
      <c r="F907" s="80"/>
      <c r="G907" s="81"/>
      <c r="H907" s="89"/>
      <c r="I907" s="118"/>
      <c r="J907" s="73"/>
      <c r="K907" s="122"/>
      <c r="L907" s="120"/>
      <c r="M907" s="121"/>
      <c r="N907" s="73"/>
      <c r="O907" s="73"/>
      <c r="P907" s="73"/>
      <c r="Q907" s="74"/>
      <c r="R907" s="79"/>
      <c r="S907" s="80"/>
      <c r="T907" s="81"/>
      <c r="U907" s="89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89"/>
      <c r="AI907" s="118"/>
      <c r="AJ907" s="73"/>
      <c r="AK907" s="119"/>
      <c r="AL907" s="120"/>
      <c r="AM907" s="121"/>
      <c r="AN907" s="152"/>
      <c r="AO907" s="152"/>
      <c r="AP907" s="152"/>
      <c r="AQ907" s="105"/>
      <c r="AR907" s="106"/>
      <c r="AS907" s="107"/>
      <c r="AT907" s="108"/>
      <c r="AU907" s="89"/>
      <c r="AV907" s="158"/>
      <c r="AW907" s="152"/>
      <c r="AX907" s="122"/>
      <c r="AY907" s="120"/>
      <c r="AZ907" s="121"/>
    </row>
    <row r="908" spans="1:52">
      <c r="A908" s="73"/>
      <c r="B908" s="73"/>
      <c r="C908" s="73"/>
      <c r="D908" s="74"/>
      <c r="E908" s="79"/>
      <c r="F908" s="80"/>
      <c r="G908" s="81"/>
      <c r="H908" s="78"/>
      <c r="I908" s="118"/>
      <c r="J908" s="73"/>
      <c r="K908" s="122"/>
      <c r="L908" s="120"/>
      <c r="M908" s="121"/>
      <c r="N908" s="73"/>
      <c r="O908" s="73"/>
      <c r="P908" s="73"/>
      <c r="Q908" s="74"/>
      <c r="R908" s="79"/>
      <c r="S908" s="80"/>
      <c r="T908" s="81"/>
      <c r="U908" s="89"/>
      <c r="V908" s="118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89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/>
      <c r="B909" s="73"/>
      <c r="C909" s="73"/>
      <c r="D909" s="74"/>
      <c r="E909" s="79"/>
      <c r="F909" s="80"/>
      <c r="G909" s="81"/>
      <c r="H909" s="78"/>
      <c r="I909" s="118"/>
      <c r="J909" s="73"/>
      <c r="K909" s="122"/>
      <c r="L909" s="120"/>
      <c r="M909" s="121"/>
      <c r="N909" s="73"/>
      <c r="O909" s="73"/>
      <c r="P909" s="73"/>
      <c r="Q909" s="74"/>
      <c r="R909" s="79"/>
      <c r="S909" s="80"/>
      <c r="T909" s="81"/>
      <c r="U909" s="89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89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/>
      <c r="B910" s="73"/>
      <c r="C910" s="73"/>
      <c r="D910" s="74"/>
      <c r="E910" s="79"/>
      <c r="F910" s="80"/>
      <c r="G910" s="81"/>
      <c r="H910" s="89"/>
      <c r="I910" s="118"/>
      <c r="J910" s="73"/>
      <c r="K910" s="122"/>
      <c r="L910" s="120"/>
      <c r="M910" s="121"/>
      <c r="N910" s="73"/>
      <c r="O910" s="73"/>
      <c r="P910" s="73"/>
      <c r="Q910" s="74"/>
      <c r="R910" s="79"/>
      <c r="S910" s="80"/>
      <c r="T910" s="81"/>
      <c r="U910" s="89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89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/>
      <c r="B911" s="73"/>
      <c r="C911" s="73"/>
      <c r="D911" s="74"/>
      <c r="E911" s="79"/>
      <c r="F911" s="80"/>
      <c r="G911" s="81"/>
      <c r="H911" s="78"/>
      <c r="I911" s="118"/>
      <c r="J911" s="73"/>
      <c r="K911" s="122"/>
      <c r="L911" s="120"/>
      <c r="M911" s="121"/>
      <c r="N911" s="73"/>
      <c r="O911" s="73"/>
      <c r="P911" s="73"/>
      <c r="Q911" s="74"/>
      <c r="R911" s="79"/>
      <c r="S911" s="80"/>
      <c r="T911" s="81"/>
      <c r="U911" s="78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78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/>
      <c r="B912" s="73"/>
      <c r="C912" s="73"/>
      <c r="D912" s="74"/>
      <c r="E912" s="79"/>
      <c r="F912" s="80"/>
      <c r="G912" s="81"/>
      <c r="H912" s="78"/>
      <c r="I912" s="118"/>
      <c r="J912" s="73"/>
      <c r="K912" s="122"/>
      <c r="L912" s="120"/>
      <c r="M912" s="121"/>
      <c r="N912" s="73"/>
      <c r="O912" s="73"/>
      <c r="P912" s="73"/>
      <c r="Q912" s="74"/>
      <c r="R912" s="79"/>
      <c r="S912" s="80"/>
      <c r="T912" s="81"/>
      <c r="U912" s="89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/>
      <c r="B913" s="73"/>
      <c r="C913" s="73"/>
      <c r="D913" s="74"/>
      <c r="E913" s="79"/>
      <c r="F913" s="80"/>
      <c r="G913" s="81"/>
      <c r="H913" s="78"/>
      <c r="I913" s="118"/>
      <c r="J913" s="73"/>
      <c r="K913" s="122"/>
      <c r="L913" s="120"/>
      <c r="M913" s="121"/>
      <c r="N913" s="73"/>
      <c r="O913" s="73"/>
      <c r="P913" s="73"/>
      <c r="Q913" s="74"/>
      <c r="R913" s="79"/>
      <c r="S913" s="80"/>
      <c r="T913" s="81"/>
      <c r="U913" s="78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89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/>
      <c r="B914" s="73"/>
      <c r="C914" s="73"/>
      <c r="D914" s="74"/>
      <c r="E914" s="79"/>
      <c r="F914" s="80"/>
      <c r="G914" s="81"/>
      <c r="H914" s="130"/>
      <c r="I914" s="118"/>
      <c r="J914" s="73"/>
      <c r="K914" s="122"/>
      <c r="L914" s="120"/>
      <c r="M914" s="121"/>
      <c r="N914" s="73"/>
      <c r="O914" s="73"/>
      <c r="P914" s="73"/>
      <c r="Q914" s="74"/>
      <c r="R914" s="79"/>
      <c r="S914" s="80"/>
      <c r="T914" s="81"/>
      <c r="U914" s="130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/>
      <c r="B915" s="73"/>
      <c r="C915" s="73"/>
      <c r="D915" s="74"/>
      <c r="E915" s="79"/>
      <c r="F915" s="80"/>
      <c r="G915" s="81"/>
      <c r="H915" s="89"/>
      <c r="I915" s="118"/>
      <c r="J915" s="73"/>
      <c r="K915" s="122"/>
      <c r="L915" s="120"/>
      <c r="M915" s="121"/>
      <c r="N915" s="73"/>
      <c r="O915" s="73"/>
      <c r="P915" s="73"/>
      <c r="Q915" s="74"/>
      <c r="R915" s="79"/>
      <c r="S915" s="80"/>
      <c r="T915" s="81"/>
      <c r="U915" s="89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/>
      <c r="B916" s="73"/>
      <c r="C916" s="73"/>
      <c r="D916" s="74"/>
      <c r="E916" s="79"/>
      <c r="F916" s="80"/>
      <c r="G916" s="81"/>
      <c r="H916" s="89"/>
      <c r="I916" s="118"/>
      <c r="J916" s="73"/>
      <c r="K916" s="122"/>
      <c r="L916" s="120"/>
      <c r="M916" s="121"/>
      <c r="N916" s="73"/>
      <c r="O916" s="73"/>
      <c r="P916" s="73"/>
      <c r="Q916" s="74"/>
      <c r="R916" s="79"/>
      <c r="S916" s="80"/>
      <c r="T916" s="81"/>
      <c r="U916" s="89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/>
      <c r="B917" s="73"/>
      <c r="C917" s="73"/>
      <c r="D917" s="74"/>
      <c r="E917" s="79"/>
      <c r="F917" s="80"/>
      <c r="H917" s="89"/>
      <c r="I917" s="118"/>
      <c r="J917" s="73"/>
      <c r="K917" s="122"/>
      <c r="L917" s="120"/>
      <c r="M917" s="121"/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/>
      <c r="B918" s="73"/>
      <c r="C918" s="73"/>
      <c r="D918" s="74"/>
      <c r="E918" s="79"/>
      <c r="F918" s="80"/>
      <c r="G918" s="81"/>
      <c r="H918" s="130"/>
      <c r="I918" s="118"/>
      <c r="J918" s="73"/>
      <c r="K918" s="122"/>
      <c r="L918" s="120"/>
      <c r="M918" s="121"/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/>
      <c r="B919" s="73"/>
      <c r="C919" s="73"/>
      <c r="D919" s="74"/>
      <c r="E919" s="79"/>
      <c r="F919" s="80"/>
      <c r="G919" s="81"/>
      <c r="H919" s="89"/>
      <c r="I919" s="118"/>
      <c r="J919" s="73"/>
      <c r="K919" s="122"/>
      <c r="L919" s="120"/>
      <c r="M919" s="121"/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/>
      <c r="B920" s="73"/>
      <c r="C920" s="73"/>
      <c r="D920" s="74"/>
      <c r="E920" s="79"/>
      <c r="F920" s="80"/>
      <c r="G920" s="81"/>
      <c r="H920" s="89"/>
      <c r="I920" s="118"/>
      <c r="J920" s="73"/>
      <c r="K920" s="122"/>
      <c r="L920" s="120"/>
      <c r="M920" s="121"/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/>
      <c r="B921" s="73"/>
      <c r="C921" s="73"/>
      <c r="D921" s="74"/>
      <c r="E921" s="79"/>
      <c r="F921" s="80"/>
      <c r="G921" s="81"/>
      <c r="H921" s="89"/>
      <c r="I921" s="118"/>
      <c r="J921" s="73"/>
      <c r="K921" s="122"/>
      <c r="L921" s="120"/>
      <c r="M921" s="121"/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/>
      <c r="B922" s="73"/>
      <c r="C922" s="73"/>
      <c r="D922" s="74"/>
      <c r="E922" s="79"/>
      <c r="F922" s="80"/>
      <c r="G922" s="81"/>
      <c r="H922" s="89"/>
      <c r="I922" s="118"/>
      <c r="J922" s="73"/>
      <c r="K922" s="122"/>
      <c r="L922" s="120"/>
      <c r="M922" s="121"/>
      <c r="N922" s="73"/>
      <c r="O922" s="73"/>
      <c r="P922" s="73"/>
      <c r="Q922" s="74"/>
      <c r="R922" s="79"/>
      <c r="S922" s="80"/>
      <c r="T922" s="81"/>
      <c r="U922" s="89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/>
      <c r="B923" s="73"/>
      <c r="C923" s="73"/>
      <c r="D923" s="74"/>
      <c r="E923" s="79"/>
      <c r="F923" s="80"/>
      <c r="G923" s="81"/>
      <c r="H923" s="89"/>
      <c r="I923" s="118"/>
      <c r="J923" s="73"/>
      <c r="K923" s="122"/>
      <c r="L923" s="120"/>
      <c r="M923" s="121"/>
      <c r="N923" s="73"/>
      <c r="O923" s="73"/>
      <c r="P923" s="73"/>
      <c r="Q923" s="74"/>
      <c r="R923" s="79"/>
      <c r="S923" s="80"/>
      <c r="T923" s="81"/>
      <c r="U923" s="89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/>
      <c r="B924" s="73"/>
      <c r="C924" s="73"/>
      <c r="D924" s="74"/>
      <c r="E924" s="79"/>
      <c r="F924" s="80"/>
      <c r="G924" s="81"/>
      <c r="H924" s="89"/>
      <c r="I924" s="118"/>
      <c r="J924" s="73"/>
      <c r="K924" s="122"/>
      <c r="L924" s="120"/>
      <c r="M924" s="121"/>
      <c r="N924" s="73"/>
      <c r="O924" s="73"/>
      <c r="P924" s="73"/>
      <c r="Q924" s="74"/>
      <c r="R924" s="79"/>
      <c r="S924" s="80"/>
      <c r="T924" s="81"/>
      <c r="U924" s="78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/>
      <c r="B925" s="73"/>
      <c r="C925" s="73"/>
      <c r="D925" s="74"/>
      <c r="E925" s="79"/>
      <c r="F925" s="80"/>
      <c r="G925" s="81"/>
      <c r="H925" s="89"/>
      <c r="I925" s="118"/>
      <c r="J925" s="73"/>
      <c r="K925" s="122"/>
      <c r="L925" s="120"/>
      <c r="M925" s="121"/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/>
      <c r="B926" s="73"/>
      <c r="C926" s="73"/>
      <c r="D926" s="74"/>
      <c r="E926" s="106"/>
      <c r="F926" s="107"/>
      <c r="G926" s="108"/>
      <c r="H926" s="89"/>
      <c r="I926" s="118"/>
      <c r="J926" s="73"/>
      <c r="K926" s="122"/>
      <c r="L926" s="120"/>
      <c r="M926" s="121"/>
      <c r="N926" s="73"/>
      <c r="O926" s="73"/>
      <c r="P926" s="73"/>
      <c r="Q926" s="74"/>
      <c r="R926" s="79"/>
      <c r="S926" s="80"/>
      <c r="T926" s="81"/>
      <c r="U926" s="89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/>
      <c r="B927" s="73"/>
      <c r="C927" s="73"/>
      <c r="D927" s="74"/>
      <c r="E927" s="79"/>
      <c r="F927" s="80"/>
      <c r="G927" s="81"/>
      <c r="H927" s="89"/>
      <c r="I927" s="118"/>
      <c r="J927" s="73"/>
      <c r="K927" s="122"/>
      <c r="L927" s="120"/>
      <c r="M927" s="121"/>
      <c r="N927" s="73"/>
      <c r="O927" s="73"/>
      <c r="P927" s="73"/>
      <c r="Q927" s="74"/>
      <c r="R927" s="79"/>
      <c r="S927" s="80"/>
      <c r="T927" s="81"/>
      <c r="U927" s="89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89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/>
      <c r="B928" s="73"/>
      <c r="C928" s="73"/>
      <c r="D928" s="74"/>
      <c r="E928" s="79"/>
      <c r="F928" s="80"/>
      <c r="G928" s="81"/>
      <c r="H928" s="89"/>
      <c r="I928" s="118"/>
      <c r="J928" s="73"/>
      <c r="K928" s="122"/>
      <c r="L928" s="120"/>
      <c r="M928" s="121"/>
      <c r="N928" s="73"/>
      <c r="O928" s="73"/>
      <c r="P928" s="73"/>
      <c r="Q928" s="74"/>
      <c r="R928" s="79"/>
      <c r="S928" s="80"/>
      <c r="T928" s="81"/>
      <c r="U928" s="89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89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/>
      <c r="B929" s="73"/>
      <c r="C929" s="73"/>
      <c r="D929" s="74"/>
      <c r="E929" s="79"/>
      <c r="F929" s="80"/>
      <c r="G929" s="81"/>
      <c r="H929" s="78"/>
      <c r="I929" s="118"/>
      <c r="J929" s="73"/>
      <c r="K929" s="122"/>
      <c r="L929" s="120"/>
      <c r="M929" s="121"/>
      <c r="N929" s="73"/>
      <c r="O929" s="73"/>
      <c r="P929" s="73"/>
      <c r="Q929" s="74"/>
      <c r="R929" s="79"/>
      <c r="S929" s="80"/>
      <c r="T929" s="81"/>
      <c r="U929" s="78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78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/>
      <c r="B930" s="73"/>
      <c r="C930" s="73"/>
      <c r="D930" s="74"/>
      <c r="E930" s="79"/>
      <c r="F930" s="80"/>
      <c r="G930" s="81"/>
      <c r="H930" s="78"/>
      <c r="I930" s="118"/>
      <c r="J930" s="73"/>
      <c r="K930" s="122"/>
      <c r="L930" s="120"/>
      <c r="M930" s="121"/>
      <c r="N930" s="73"/>
      <c r="O930" s="73"/>
      <c r="P930" s="73"/>
      <c r="Q930" s="74"/>
      <c r="R930" s="79"/>
      <c r="S930" s="80"/>
      <c r="T930" s="81"/>
      <c r="U930" s="78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78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/>
      <c r="B931" s="73"/>
      <c r="C931" s="73"/>
      <c r="D931" s="74"/>
      <c r="E931" s="79"/>
      <c r="F931" s="80"/>
      <c r="G931" s="81"/>
      <c r="H931" s="78"/>
      <c r="I931" s="118"/>
      <c r="J931" s="73"/>
      <c r="K931" s="122"/>
      <c r="L931" s="120"/>
      <c r="M931" s="121"/>
      <c r="N931" s="73"/>
      <c r="O931" s="73"/>
      <c r="P931" s="73"/>
      <c r="Q931" s="74"/>
      <c r="R931" s="79"/>
      <c r="S931" s="80"/>
      <c r="T931" s="81"/>
      <c r="U931" s="89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89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/>
      <c r="B932" s="73"/>
      <c r="C932" s="73"/>
      <c r="D932" s="74"/>
      <c r="E932" s="79"/>
      <c r="F932" s="80"/>
      <c r="G932" s="81"/>
      <c r="H932" s="78"/>
      <c r="I932" s="118"/>
      <c r="J932" s="73"/>
      <c r="K932" s="122"/>
      <c r="L932" s="120"/>
      <c r="M932" s="121"/>
      <c r="N932" s="73"/>
      <c r="O932" s="73"/>
      <c r="P932" s="73"/>
      <c r="Q932" s="74"/>
      <c r="R932" s="79"/>
      <c r="S932" s="80"/>
      <c r="T932" s="81"/>
      <c r="U932" s="78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78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/>
      <c r="B933" s="73"/>
      <c r="C933" s="73"/>
      <c r="D933" s="74"/>
      <c r="E933" s="79"/>
      <c r="F933" s="80"/>
      <c r="G933" s="81"/>
      <c r="H933" s="78"/>
      <c r="I933" s="118"/>
      <c r="J933" s="73"/>
      <c r="K933" s="122"/>
      <c r="L933" s="120"/>
      <c r="M933" s="121"/>
      <c r="N933" s="73"/>
      <c r="O933" s="73"/>
      <c r="P933" s="73"/>
      <c r="Q933" s="74"/>
      <c r="R933" s="79"/>
      <c r="S933" s="80"/>
      <c r="T933" s="81"/>
      <c r="U933" s="89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89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/>
      <c r="B934" s="73"/>
      <c r="C934" s="73"/>
      <c r="D934" s="74"/>
      <c r="E934" s="79"/>
      <c r="F934" s="80"/>
      <c r="G934" s="81"/>
      <c r="H934" s="89"/>
      <c r="I934" s="118"/>
      <c r="J934" s="73"/>
      <c r="K934" s="122"/>
      <c r="L934" s="120"/>
      <c r="M934" s="121"/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/>
      <c r="B935" s="73"/>
      <c r="C935" s="73"/>
      <c r="D935" s="74"/>
      <c r="E935" s="79"/>
      <c r="F935" s="80"/>
      <c r="G935" s="81"/>
      <c r="H935" s="89"/>
      <c r="I935" s="118"/>
      <c r="J935" s="73"/>
      <c r="K935" s="122"/>
      <c r="L935" s="120"/>
      <c r="M935" s="121"/>
      <c r="N935" s="73"/>
      <c r="O935" s="73"/>
      <c r="P935" s="73"/>
      <c r="Q935" s="74"/>
      <c r="R935" s="79"/>
      <c r="S935" s="80"/>
      <c r="T935" s="81"/>
      <c r="U935" s="89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89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/>
      <c r="B936" s="73"/>
      <c r="C936" s="73"/>
      <c r="D936" s="74"/>
      <c r="E936" s="79"/>
      <c r="F936" s="80"/>
      <c r="G936" s="81"/>
      <c r="H936" s="89"/>
      <c r="I936" s="118"/>
      <c r="J936" s="73"/>
      <c r="K936" s="122"/>
      <c r="L936" s="120"/>
      <c r="M936" s="121"/>
      <c r="N936" s="73"/>
      <c r="O936" s="73"/>
      <c r="P936" s="73"/>
      <c r="Q936" s="74"/>
      <c r="R936" s="79"/>
      <c r="S936" s="80"/>
      <c r="T936" s="81"/>
      <c r="U936" s="89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/>
      <c r="B937" s="73"/>
      <c r="C937" s="73"/>
      <c r="D937" s="74"/>
      <c r="E937" s="79"/>
      <c r="F937" s="80"/>
      <c r="G937" s="81"/>
      <c r="H937" s="89"/>
      <c r="I937" s="118"/>
      <c r="J937" s="73"/>
      <c r="K937" s="122"/>
      <c r="L937" s="120"/>
      <c r="M937" s="121"/>
      <c r="N937" s="73"/>
      <c r="O937" s="73"/>
      <c r="P937" s="73"/>
      <c r="Q937" s="74"/>
      <c r="R937" s="79"/>
      <c r="S937" s="80"/>
      <c r="T937" s="81"/>
      <c r="U937" s="89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89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/>
      <c r="B938" s="73"/>
      <c r="C938" s="73"/>
      <c r="D938" s="74"/>
      <c r="E938" s="79"/>
      <c r="F938" s="80"/>
      <c r="G938" s="81"/>
      <c r="H938" s="78"/>
      <c r="I938" s="118"/>
      <c r="J938" s="73"/>
      <c r="K938" s="122"/>
      <c r="L938" s="120"/>
      <c r="M938" s="121"/>
      <c r="N938" s="73"/>
      <c r="O938" s="73"/>
      <c r="P938" s="73"/>
      <c r="Q938" s="74"/>
      <c r="R938" s="79"/>
      <c r="S938" s="80"/>
      <c r="T938" s="81"/>
      <c r="U938" s="78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89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/>
      <c r="B939" s="73"/>
      <c r="C939" s="73"/>
      <c r="D939" s="74"/>
      <c r="E939" s="79"/>
      <c r="F939" s="80"/>
      <c r="G939" s="81"/>
      <c r="H939" s="78"/>
      <c r="I939" s="118"/>
      <c r="J939" s="73"/>
      <c r="K939" s="122"/>
      <c r="L939" s="120"/>
      <c r="M939" s="121"/>
      <c r="N939" s="73"/>
      <c r="O939" s="73"/>
      <c r="P939" s="73"/>
      <c r="Q939" s="74"/>
      <c r="R939" s="79"/>
      <c r="S939" s="80"/>
      <c r="T939" s="81"/>
      <c r="U939" s="78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78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/>
      <c r="B940" s="73"/>
      <c r="C940" s="73"/>
      <c r="D940" s="74"/>
      <c r="E940" s="79"/>
      <c r="F940" s="80"/>
      <c r="G940" s="81"/>
      <c r="H940" s="78"/>
      <c r="I940" s="118"/>
      <c r="J940" s="73"/>
      <c r="K940" s="122"/>
      <c r="L940" s="120"/>
      <c r="M940" s="121"/>
      <c r="N940" s="73"/>
      <c r="O940" s="73"/>
      <c r="P940" s="73"/>
      <c r="Q940" s="74"/>
      <c r="R940" s="79"/>
      <c r="S940" s="80"/>
      <c r="T940" s="81"/>
      <c r="U940" s="89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89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/>
      <c r="B941" s="73"/>
      <c r="C941" s="73"/>
      <c r="D941" s="74"/>
      <c r="E941" s="79"/>
      <c r="F941" s="80"/>
      <c r="G941" s="81"/>
      <c r="H941" s="78"/>
      <c r="I941" s="118"/>
      <c r="J941" s="73"/>
      <c r="K941" s="122"/>
      <c r="L941" s="120"/>
      <c r="M941" s="121"/>
      <c r="N941" s="73"/>
      <c r="O941" s="73"/>
      <c r="P941" s="73"/>
      <c r="Q941" s="74"/>
      <c r="R941" s="79"/>
      <c r="S941" s="80"/>
      <c r="T941" s="81"/>
      <c r="U941" s="78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78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/>
      <c r="B942" s="73"/>
      <c r="C942" s="73"/>
      <c r="D942" s="74"/>
      <c r="E942" s="79"/>
      <c r="F942" s="80"/>
      <c r="G942" s="81"/>
      <c r="H942" s="89"/>
      <c r="I942" s="118"/>
      <c r="J942" s="73"/>
      <c r="K942" s="122"/>
      <c r="L942" s="120"/>
      <c r="M942" s="121"/>
      <c r="N942" s="73"/>
      <c r="O942" s="73"/>
      <c r="P942" s="73"/>
      <c r="Q942" s="74"/>
      <c r="R942" s="79"/>
      <c r="S942" s="80"/>
      <c r="T942" s="81"/>
      <c r="U942" s="89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89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/>
      <c r="B943" s="73"/>
      <c r="C943" s="73"/>
      <c r="D943" s="74"/>
      <c r="E943" s="79"/>
      <c r="F943" s="80"/>
      <c r="G943" s="81"/>
      <c r="H943" s="78"/>
      <c r="I943" s="118"/>
      <c r="J943" s="73"/>
      <c r="K943" s="122"/>
      <c r="L943" s="120"/>
      <c r="M943" s="121"/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/>
      <c r="B944" s="73"/>
      <c r="C944" s="73"/>
      <c r="D944" s="74"/>
      <c r="E944" s="79"/>
      <c r="F944" s="80"/>
      <c r="G944" s="81"/>
      <c r="H944" s="78"/>
      <c r="I944" s="118"/>
      <c r="J944" s="73"/>
      <c r="K944" s="122"/>
      <c r="L944" s="120"/>
      <c r="M944" s="121"/>
      <c r="N944" s="73"/>
      <c r="O944" s="73"/>
      <c r="P944" s="73"/>
      <c r="Q944" s="74"/>
      <c r="R944" s="79"/>
      <c r="S944" s="80"/>
      <c r="T944" s="81"/>
      <c r="U944" s="89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89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/>
      <c r="B945" s="73"/>
      <c r="C945" s="73"/>
      <c r="D945" s="74"/>
      <c r="E945" s="79"/>
      <c r="F945" s="80"/>
      <c r="G945" s="81"/>
      <c r="H945" s="78"/>
      <c r="I945" s="118"/>
      <c r="J945" s="73"/>
      <c r="K945" s="122"/>
      <c r="L945" s="120"/>
      <c r="M945" s="121"/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/>
      <c r="B946" s="73"/>
      <c r="C946" s="73"/>
      <c r="D946" s="74"/>
      <c r="E946" s="79"/>
      <c r="F946" s="80"/>
      <c r="G946" s="81"/>
      <c r="H946" s="78"/>
      <c r="I946" s="118"/>
      <c r="J946" s="73"/>
      <c r="K946" s="122"/>
      <c r="L946" s="120"/>
      <c r="M946" s="121"/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/>
      <c r="B947" s="73"/>
      <c r="C947" s="73"/>
      <c r="D947" s="74"/>
      <c r="E947" s="79"/>
      <c r="F947" s="80"/>
      <c r="G947" s="81"/>
      <c r="H947" s="78"/>
      <c r="I947" s="118"/>
      <c r="J947" s="73"/>
      <c r="K947" s="122"/>
      <c r="L947" s="120"/>
      <c r="M947" s="121"/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/>
      <c r="B948" s="73"/>
      <c r="C948" s="73"/>
      <c r="D948" s="74"/>
      <c r="E948" s="79"/>
      <c r="F948" s="80"/>
      <c r="G948" s="81"/>
      <c r="H948" s="130"/>
      <c r="I948" s="118"/>
      <c r="J948" s="73"/>
      <c r="K948" s="122"/>
      <c r="L948" s="120"/>
      <c r="M948" s="121"/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/>
      <c r="B949" s="73"/>
      <c r="C949" s="73"/>
      <c r="D949" s="74"/>
      <c r="E949" s="79"/>
      <c r="F949" s="80"/>
      <c r="G949" s="81"/>
      <c r="H949" s="78"/>
      <c r="I949" s="118"/>
      <c r="J949" s="73"/>
      <c r="K949" s="122"/>
      <c r="L949" s="120"/>
      <c r="M949" s="121"/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/>
      <c r="B950" s="73"/>
      <c r="C950" s="73"/>
      <c r="D950" s="74"/>
      <c r="E950" s="79"/>
      <c r="F950" s="80"/>
      <c r="G950" s="81"/>
      <c r="H950" s="89"/>
      <c r="I950" s="118"/>
      <c r="J950" s="73"/>
      <c r="K950" s="122"/>
      <c r="L950" s="120"/>
      <c r="M950" s="121"/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spans="1:52">
      <c r="A951" s="73"/>
      <c r="B951" s="73"/>
      <c r="C951" s="73"/>
      <c r="D951" s="74"/>
      <c r="E951" s="79"/>
      <c r="F951" s="80"/>
      <c r="G951" s="81"/>
      <c r="H951" s="78"/>
      <c r="I951" s="118"/>
      <c r="J951" s="73"/>
      <c r="K951" s="122"/>
      <c r="L951" s="120"/>
      <c r="M951" s="121"/>
      <c r="N951" s="73"/>
      <c r="O951" s="73"/>
      <c r="P951" s="73"/>
      <c r="Q951" s="74"/>
      <c r="R951" s="79"/>
      <c r="S951" s="80"/>
      <c r="T951" s="81"/>
      <c r="U951" s="89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spans="1:52">
      <c r="A952" s="73"/>
      <c r="B952" s="73"/>
      <c r="C952" s="73"/>
      <c r="D952" s="74"/>
      <c r="E952" s="79"/>
      <c r="F952" s="80"/>
      <c r="G952" s="81"/>
      <c r="H952" s="89"/>
      <c r="I952" s="118"/>
      <c r="J952" s="73"/>
      <c r="K952" s="122"/>
      <c r="L952" s="120"/>
      <c r="M952" s="121"/>
      <c r="N952" s="73"/>
      <c r="O952" s="73"/>
      <c r="P952" s="73"/>
      <c r="Q952" s="74"/>
      <c r="R952" s="79"/>
      <c r="S952" s="80"/>
      <c r="T952" s="81"/>
      <c r="U952" s="89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ht="52" customHeight="1" spans="1:52">
      <c r="A953" s="73"/>
      <c r="B953" s="73"/>
      <c r="C953" s="73"/>
      <c r="D953" s="74"/>
      <c r="E953" s="79"/>
      <c r="F953" s="80"/>
      <c r="G953" s="81"/>
      <c r="H953" s="89"/>
      <c r="I953" s="118"/>
      <c r="J953" s="73"/>
      <c r="K953" s="122"/>
      <c r="L953" s="120"/>
      <c r="M953" s="121"/>
      <c r="N953" s="73"/>
      <c r="O953" s="73"/>
      <c r="P953" s="73"/>
      <c r="Q953" s="74"/>
      <c r="R953" s="79"/>
      <c r="S953" s="80"/>
      <c r="T953" s="81"/>
      <c r="U953" s="130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/>
      <c r="B954" s="73"/>
      <c r="C954" s="73"/>
      <c r="D954" s="74"/>
      <c r="E954" s="79"/>
      <c r="F954" s="80"/>
      <c r="G954" s="81"/>
      <c r="H954" s="89"/>
      <c r="I954" s="118"/>
      <c r="J954" s="73"/>
      <c r="K954" s="122"/>
      <c r="L954" s="120"/>
      <c r="M954" s="121"/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/>
      <c r="B955" s="73"/>
      <c r="C955" s="73"/>
      <c r="D955" s="74"/>
      <c r="E955" s="79"/>
      <c r="F955" s="80"/>
      <c r="G955" s="81"/>
      <c r="H955" s="89"/>
      <c r="I955" s="118"/>
      <c r="J955" s="73"/>
      <c r="K955" s="122"/>
      <c r="L955" s="120"/>
      <c r="M955" s="121"/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spans="1:52">
      <c r="A956" s="73"/>
      <c r="B956" s="73"/>
      <c r="C956" s="73"/>
      <c r="D956" s="74"/>
      <c r="E956" s="79"/>
      <c r="F956" s="80"/>
      <c r="G956" s="81"/>
      <c r="H956" s="89"/>
      <c r="I956" s="118"/>
      <c r="J956" s="73"/>
      <c r="K956" s="122"/>
      <c r="L956" s="120"/>
      <c r="M956" s="121"/>
      <c r="N956" s="73"/>
      <c r="O956" s="73"/>
      <c r="P956" s="73"/>
      <c r="Q956" s="74"/>
      <c r="R956" s="79"/>
      <c r="S956" s="80"/>
      <c r="T956" s="81"/>
      <c r="U956" s="89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/>
      <c r="B957" s="73"/>
      <c r="C957" s="73"/>
      <c r="D957" s="74"/>
      <c r="E957" s="79"/>
      <c r="F957" s="80"/>
      <c r="G957" s="81"/>
      <c r="H957" s="78"/>
      <c r="I957" s="118"/>
      <c r="J957" s="73"/>
      <c r="K957" s="122"/>
      <c r="L957" s="120"/>
      <c r="M957" s="121"/>
      <c r="N957" s="73"/>
      <c r="O957" s="73"/>
      <c r="P957" s="73"/>
      <c r="Q957" s="74"/>
      <c r="R957" s="79"/>
      <c r="S957" s="80"/>
      <c r="T957" s="81"/>
      <c r="U957" s="89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89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/>
      <c r="B958" s="73"/>
      <c r="C958" s="73"/>
      <c r="D958" s="74"/>
      <c r="E958" s="79"/>
      <c r="F958" s="80"/>
      <c r="G958" s="81"/>
      <c r="H958" s="89"/>
      <c r="I958" s="118"/>
      <c r="J958" s="73"/>
      <c r="K958" s="122"/>
      <c r="L958" s="120"/>
      <c r="M958" s="121"/>
      <c r="N958" s="73"/>
      <c r="O958" s="73"/>
      <c r="P958" s="73"/>
      <c r="Q958" s="74"/>
      <c r="R958" s="79"/>
      <c r="S958" s="80"/>
      <c r="T958" s="81"/>
      <c r="U958" s="89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89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/>
      <c r="B959" s="73"/>
      <c r="C959" s="73"/>
      <c r="D959" s="74"/>
      <c r="E959" s="79"/>
      <c r="F959" s="80"/>
      <c r="G959" s="81"/>
      <c r="H959" s="130"/>
      <c r="I959" s="118"/>
      <c r="J959" s="73"/>
      <c r="K959" s="122"/>
      <c r="L959" s="120"/>
      <c r="M959" s="121"/>
      <c r="N959" s="73"/>
      <c r="O959" s="73"/>
      <c r="P959" s="73"/>
      <c r="Q959" s="74"/>
      <c r="R959" s="79"/>
      <c r="S959" s="80"/>
      <c r="T959" s="81"/>
      <c r="U959" s="130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130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/>
      <c r="B960" s="73"/>
      <c r="C960" s="73"/>
      <c r="D960" s="74"/>
      <c r="E960" s="79"/>
      <c r="F960" s="80"/>
      <c r="G960" s="81"/>
      <c r="H960" s="78"/>
      <c r="I960" s="118"/>
      <c r="J960" s="73"/>
      <c r="K960" s="122"/>
      <c r="L960" s="120"/>
      <c r="M960" s="121"/>
      <c r="N960" s="73"/>
      <c r="O960" s="73"/>
      <c r="P960" s="73"/>
      <c r="Q960" s="74"/>
      <c r="R960" s="79"/>
      <c r="S960" s="80"/>
      <c r="T960" s="81"/>
      <c r="U960" s="78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/>
      <c r="B961" s="73"/>
      <c r="C961" s="73"/>
      <c r="D961" s="74"/>
      <c r="E961" s="79"/>
      <c r="F961" s="80"/>
      <c r="G961" s="81"/>
      <c r="H961" s="78"/>
      <c r="I961" s="118"/>
      <c r="J961" s="73"/>
      <c r="K961" s="122"/>
      <c r="L961" s="120"/>
      <c r="M961" s="121"/>
      <c r="N961" s="73"/>
      <c r="O961" s="73"/>
      <c r="P961" s="73"/>
      <c r="Q961" s="74"/>
      <c r="R961" s="79"/>
      <c r="S961" s="80"/>
      <c r="T961" s="81"/>
      <c r="U961" s="78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/>
      <c r="B962" s="73"/>
      <c r="C962" s="73"/>
      <c r="D962" s="74"/>
      <c r="E962" s="79"/>
      <c r="F962" s="80"/>
      <c r="G962" s="81"/>
      <c r="H962" s="89"/>
      <c r="I962" s="118"/>
      <c r="J962" s="73"/>
      <c r="K962" s="122"/>
      <c r="L962" s="120"/>
      <c r="M962" s="121"/>
      <c r="N962" s="73"/>
      <c r="O962" s="73"/>
      <c r="P962" s="73"/>
      <c r="Q962" s="74"/>
      <c r="R962" s="79"/>
      <c r="S962" s="80"/>
      <c r="T962" s="81"/>
      <c r="U962" s="78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89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/>
      <c r="B963" s="73"/>
      <c r="C963" s="73"/>
      <c r="D963" s="74"/>
      <c r="E963" s="79"/>
      <c r="F963" s="80"/>
      <c r="G963" s="81"/>
      <c r="H963" s="89"/>
      <c r="I963" s="118"/>
      <c r="J963" s="73"/>
      <c r="K963" s="122"/>
      <c r="L963" s="120"/>
      <c r="M963" s="121"/>
      <c r="N963" s="73"/>
      <c r="O963" s="73"/>
      <c r="P963" s="73"/>
      <c r="Q963" s="74"/>
      <c r="R963" s="79"/>
      <c r="S963" s="80"/>
      <c r="T963" s="81"/>
      <c r="U963" s="89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89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spans="1:52">
      <c r="A964" s="73"/>
      <c r="B964" s="73"/>
      <c r="C964" s="73"/>
      <c r="D964" s="74"/>
      <c r="E964" s="79"/>
      <c r="F964" s="80"/>
      <c r="G964" s="81"/>
      <c r="H964" s="89"/>
      <c r="I964" s="118"/>
      <c r="J964" s="73"/>
      <c r="K964" s="122"/>
      <c r="L964" s="120"/>
      <c r="M964" s="121"/>
      <c r="N964" s="73"/>
      <c r="O964" s="73"/>
      <c r="P964" s="73"/>
      <c r="Q964" s="74"/>
      <c r="R964" s="79"/>
      <c r="S964" s="80"/>
      <c r="T964" s="81"/>
      <c r="U964" s="89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89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spans="1:52">
      <c r="A965" s="73"/>
      <c r="B965" s="73"/>
      <c r="C965" s="73"/>
      <c r="D965" s="74"/>
      <c r="E965" s="79"/>
      <c r="F965" s="80"/>
      <c r="G965" s="81"/>
      <c r="H965" s="275"/>
      <c r="I965" s="118"/>
      <c r="J965" s="73"/>
      <c r="K965" s="122"/>
      <c r="L965" s="120"/>
      <c r="M965" s="121"/>
      <c r="N965" s="73"/>
      <c r="O965" s="73"/>
      <c r="P965" s="73"/>
      <c r="Q965" s="74"/>
      <c r="R965" s="79"/>
      <c r="S965" s="80"/>
      <c r="T965" s="81"/>
      <c r="U965" s="89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130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ht="21" customHeight="1" spans="1:52">
      <c r="A966" s="73"/>
      <c r="B966" s="73"/>
      <c r="C966" s="73"/>
      <c r="D966" s="74"/>
      <c r="E966" s="79"/>
      <c r="F966" s="80"/>
      <c r="G966" s="81"/>
      <c r="H966" s="89"/>
      <c r="I966" s="118"/>
      <c r="J966" s="73"/>
      <c r="K966" s="122"/>
      <c r="L966" s="120"/>
      <c r="M966" s="121"/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/>
      <c r="B967" s="73"/>
      <c r="C967" s="73"/>
      <c r="D967" s="74"/>
      <c r="E967" s="79"/>
      <c r="F967" s="80"/>
      <c r="G967" s="81"/>
      <c r="H967" s="89"/>
      <c r="I967" s="118"/>
      <c r="J967" s="73"/>
      <c r="K967" s="122"/>
      <c r="L967" s="120"/>
      <c r="M967" s="121"/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/>
      <c r="B968" s="73"/>
      <c r="C968" s="73"/>
      <c r="D968" s="74"/>
      <c r="E968" s="79"/>
      <c r="F968" s="80"/>
      <c r="G968" s="81"/>
      <c r="H968" s="89"/>
      <c r="I968" s="118"/>
      <c r="J968" s="73"/>
      <c r="K968" s="122"/>
      <c r="L968" s="120"/>
      <c r="M968" s="121"/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89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spans="1:52">
      <c r="A969" s="73"/>
      <c r="B969" s="73"/>
      <c r="C969" s="73"/>
      <c r="D969" s="74"/>
      <c r="E969" s="79"/>
      <c r="F969" s="80"/>
      <c r="G969" s="81"/>
      <c r="H969" s="89"/>
      <c r="I969" s="118"/>
      <c r="J969" s="73"/>
      <c r="K969" s="122"/>
      <c r="L969" s="120"/>
      <c r="M969" s="121"/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/>
      <c r="B970" s="73"/>
      <c r="C970" s="73"/>
      <c r="D970" s="74"/>
      <c r="E970" s="79"/>
      <c r="F970" s="80"/>
      <c r="G970" s="81"/>
      <c r="H970" s="89"/>
      <c r="I970" s="118"/>
      <c r="J970" s="73"/>
      <c r="K970" s="122"/>
      <c r="L970" s="120"/>
      <c r="M970" s="121"/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/>
      <c r="B971" s="73"/>
      <c r="C971" s="73"/>
      <c r="D971" s="74"/>
      <c r="E971" s="79"/>
      <c r="F971" s="80"/>
      <c r="G971" s="81"/>
      <c r="H971" s="89"/>
      <c r="I971" s="118"/>
      <c r="J971" s="73"/>
      <c r="K971" s="122"/>
      <c r="L971" s="120"/>
      <c r="M971" s="121"/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/>
      <c r="B972" s="73"/>
      <c r="C972" s="73"/>
      <c r="D972" s="74"/>
      <c r="E972" s="79"/>
      <c r="F972" s="80"/>
      <c r="G972" s="81"/>
      <c r="H972" s="89"/>
      <c r="I972" s="118"/>
      <c r="J972" s="73"/>
      <c r="K972" s="122"/>
      <c r="L972" s="120"/>
      <c r="M972" s="121"/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spans="1:52">
      <c r="A973" s="73"/>
      <c r="B973" s="73"/>
      <c r="C973" s="73"/>
      <c r="D973" s="74"/>
      <c r="E973" s="79"/>
      <c r="F973" s="80"/>
      <c r="G973" s="81"/>
      <c r="H973" s="89"/>
      <c r="I973" s="118"/>
      <c r="J973" s="73"/>
      <c r="K973" s="122"/>
      <c r="L973" s="120"/>
      <c r="M973" s="121"/>
      <c r="N973" s="73"/>
      <c r="O973" s="73"/>
      <c r="P973" s="73"/>
      <c r="Q973" s="74"/>
      <c r="R973" s="79"/>
      <c r="S973" s="80"/>
      <c r="T973" s="81"/>
      <c r="U973" s="89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89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spans="1:52">
      <c r="A974" s="73"/>
      <c r="B974" s="73"/>
      <c r="C974" s="73"/>
      <c r="D974" s="74"/>
      <c r="E974" s="79"/>
      <c r="F974" s="80"/>
      <c r="G974" s="81"/>
      <c r="H974" s="89"/>
      <c r="I974" s="118"/>
      <c r="J974" s="73"/>
      <c r="K974" s="122"/>
      <c r="L974" s="120"/>
      <c r="M974" s="121"/>
      <c r="N974" s="73"/>
      <c r="O974" s="73"/>
      <c r="P974" s="73"/>
      <c r="Q974" s="74"/>
      <c r="R974" s="79"/>
      <c r="S974" s="80"/>
      <c r="T974" s="81"/>
      <c r="U974" s="89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89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ht="53" customHeight="1" spans="1:52">
      <c r="A975" s="73"/>
      <c r="B975" s="73"/>
      <c r="C975" s="73"/>
      <c r="D975" s="74"/>
      <c r="E975" s="79"/>
      <c r="F975" s="80"/>
      <c r="G975" s="81"/>
      <c r="H975" s="130"/>
      <c r="I975" s="118"/>
      <c r="J975" s="73"/>
      <c r="K975" s="122"/>
      <c r="L975" s="120"/>
      <c r="M975" s="121"/>
      <c r="N975" s="73"/>
      <c r="O975" s="73"/>
      <c r="P975" s="73"/>
      <c r="Q975" s="74"/>
      <c r="R975" s="79"/>
      <c r="S975" s="80"/>
      <c r="T975" s="81"/>
      <c r="U975" s="130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130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/>
      <c r="B976" s="73"/>
      <c r="C976" s="73"/>
      <c r="D976" s="74"/>
      <c r="E976" s="79"/>
      <c r="F976" s="80"/>
      <c r="G976" s="81"/>
      <c r="H976" s="89"/>
      <c r="I976" s="118"/>
      <c r="J976" s="73"/>
      <c r="K976" s="122"/>
      <c r="L976" s="120"/>
      <c r="M976" s="121"/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/>
      <c r="B977" s="73"/>
      <c r="C977" s="73"/>
      <c r="D977" s="74"/>
      <c r="E977" s="79"/>
      <c r="F977" s="80"/>
      <c r="G977" s="81"/>
      <c r="H977" s="78"/>
      <c r="I977" s="118"/>
      <c r="J977" s="73"/>
      <c r="K977" s="122"/>
      <c r="L977" s="120"/>
      <c r="M977" s="121"/>
      <c r="N977" s="73"/>
      <c r="O977" s="73"/>
      <c r="P977" s="73"/>
      <c r="Q977" s="74"/>
      <c r="R977" s="79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spans="1:52">
      <c r="A978" s="73"/>
      <c r="B978" s="73"/>
      <c r="C978" s="73"/>
      <c r="D978" s="74"/>
      <c r="E978" s="79"/>
      <c r="F978" s="80"/>
      <c r="G978" s="81"/>
      <c r="H978" s="89"/>
      <c r="I978" s="118"/>
      <c r="J978" s="73"/>
      <c r="K978" s="122"/>
      <c r="L978" s="120"/>
      <c r="M978" s="121"/>
      <c r="N978" s="73"/>
      <c r="O978" s="73"/>
      <c r="P978" s="73"/>
      <c r="Q978" s="74"/>
      <c r="R978" s="79"/>
      <c r="S978" s="80"/>
      <c r="T978" s="81"/>
      <c r="U978" s="89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89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/>
      <c r="B979" s="73"/>
      <c r="C979" s="73"/>
      <c r="D979" s="74"/>
      <c r="E979" s="80"/>
      <c r="G979" s="81"/>
      <c r="H979" s="130"/>
      <c r="I979" s="118"/>
      <c r="J979" s="73"/>
      <c r="K979" s="122"/>
      <c r="L979" s="120"/>
      <c r="M979" s="121"/>
      <c r="N979" s="73"/>
      <c r="O979" s="73"/>
      <c r="P979" s="73"/>
      <c r="Q979" s="74"/>
      <c r="R979" s="276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/>
      <c r="B980" s="73"/>
      <c r="C980" s="73"/>
      <c r="D980" s="74"/>
      <c r="E980" s="79"/>
      <c r="F980" s="80"/>
      <c r="G980" s="81"/>
      <c r="H980" s="130"/>
      <c r="I980" s="118"/>
      <c r="J980" s="73"/>
      <c r="K980" s="122"/>
      <c r="L980" s="120"/>
      <c r="M980" s="121"/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/>
      <c r="B981" s="73"/>
      <c r="C981" s="73"/>
      <c r="D981" s="74"/>
      <c r="E981" s="79"/>
      <c r="F981" s="80"/>
      <c r="G981" s="81"/>
      <c r="H981" s="130"/>
      <c r="I981" s="118"/>
      <c r="J981" s="73"/>
      <c r="K981" s="122"/>
      <c r="L981" s="120"/>
      <c r="M981" s="121"/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/>
      <c r="B982" s="73"/>
      <c r="C982" s="73"/>
      <c r="D982" s="74"/>
      <c r="E982" s="79"/>
      <c r="F982" s="80"/>
      <c r="G982" s="81"/>
      <c r="H982" s="130"/>
      <c r="I982" s="118"/>
      <c r="J982" s="73"/>
      <c r="K982" s="122"/>
      <c r="L982" s="120"/>
      <c r="M982" s="121"/>
      <c r="N982" s="73"/>
      <c r="O982" s="73"/>
      <c r="P982" s="73"/>
      <c r="Q982" s="74"/>
      <c r="R982" s="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/>
      <c r="B983" s="73"/>
      <c r="C983" s="73"/>
      <c r="D983" s="74"/>
      <c r="E983" s="79"/>
      <c r="F983" s="80"/>
      <c r="G983" s="81"/>
      <c r="H983" s="130"/>
      <c r="I983" s="118"/>
      <c r="J983" s="73"/>
      <c r="K983" s="122"/>
      <c r="L983" s="120"/>
      <c r="M983" s="121"/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/>
      <c r="B984" s="73"/>
      <c r="C984" s="73"/>
      <c r="D984" s="74"/>
      <c r="E984" s="79"/>
      <c r="F984" s="80"/>
      <c r="G984" s="81"/>
      <c r="H984" s="130"/>
      <c r="I984" s="118"/>
      <c r="J984" s="73"/>
      <c r="K984" s="122"/>
      <c r="L984" s="120"/>
      <c r="M984" s="121"/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/>
      <c r="B985" s="73"/>
      <c r="C985" s="73"/>
      <c r="D985" s="74"/>
      <c r="E985" s="79"/>
      <c r="F985" s="80"/>
      <c r="G985" s="81"/>
      <c r="H985" s="78"/>
      <c r="I985" s="118"/>
      <c r="J985" s="73"/>
      <c r="K985" s="122"/>
      <c r="L985" s="120"/>
      <c r="M985" s="121"/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/>
      <c r="B986" s="73"/>
      <c r="C986" s="73"/>
      <c r="D986" s="74"/>
      <c r="E986" s="79"/>
      <c r="F986" s="80"/>
      <c r="G986" s="81"/>
      <c r="H986" s="78"/>
      <c r="I986" s="118"/>
      <c r="J986" s="73"/>
      <c r="K986" s="122"/>
      <c r="L986" s="120"/>
      <c r="M986" s="121"/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/>
      <c r="B987" s="73"/>
      <c r="C987" s="73"/>
      <c r="D987" s="74"/>
      <c r="E987" s="79"/>
      <c r="F987" s="80"/>
      <c r="G987" s="81"/>
      <c r="H987" s="78"/>
      <c r="I987" s="118"/>
      <c r="J987" s="73"/>
      <c r="K987" s="122"/>
      <c r="L987" s="120"/>
      <c r="M987" s="121"/>
      <c r="N987" s="73"/>
      <c r="O987" s="73"/>
      <c r="P987" s="73"/>
      <c r="Q987" s="74"/>
      <c r="R987" s="79"/>
      <c r="S987" s="80"/>
      <c r="T987" s="81"/>
      <c r="U987" s="89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/>
      <c r="B988" s="73"/>
      <c r="C988" s="73"/>
      <c r="D988" s="74"/>
      <c r="E988" s="79"/>
      <c r="F988" s="80"/>
      <c r="G988" s="81"/>
      <c r="H988" s="130"/>
      <c r="I988" s="118"/>
      <c r="J988" s="73"/>
      <c r="K988" s="122"/>
      <c r="L988" s="120"/>
      <c r="M988" s="121"/>
      <c r="N988" s="73"/>
      <c r="O988" s="73"/>
      <c r="P988" s="73"/>
      <c r="Q988" s="74"/>
      <c r="R988" s="79"/>
      <c r="S988" s="80"/>
      <c r="T988" s="81"/>
      <c r="U988" s="89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/>
      <c r="B989" s="73"/>
      <c r="C989" s="73"/>
      <c r="D989" s="74"/>
      <c r="E989" s="79"/>
      <c r="F989" s="80"/>
      <c r="G989" s="81"/>
      <c r="H989" s="130"/>
      <c r="I989" s="118"/>
      <c r="J989" s="73"/>
      <c r="K989" s="122"/>
      <c r="L989" s="120"/>
      <c r="M989" s="121"/>
      <c r="N989" s="73"/>
      <c r="O989" s="73"/>
      <c r="P989" s="73"/>
      <c r="Q989" s="74"/>
      <c r="R989" s="79"/>
      <c r="S989" s="80"/>
      <c r="T989" s="81"/>
      <c r="U989" s="130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/>
      <c r="B990" s="73"/>
      <c r="C990" s="73"/>
      <c r="D990" s="74"/>
      <c r="E990" s="79"/>
      <c r="F990" s="80"/>
      <c r="G990" s="81"/>
      <c r="H990" s="89"/>
      <c r="I990" s="118"/>
      <c r="J990" s="73"/>
      <c r="K990" s="122"/>
      <c r="L990" s="120"/>
      <c r="M990" s="121"/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/>
      <c r="B991" s="73"/>
      <c r="C991" s="73"/>
      <c r="D991" s="74"/>
      <c r="E991" s="79"/>
      <c r="F991" s="80"/>
      <c r="G991" s="81"/>
      <c r="H991" s="89"/>
      <c r="I991" s="118"/>
      <c r="J991" s="73"/>
      <c r="K991" s="122"/>
      <c r="L991" s="120"/>
      <c r="M991" s="121"/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/>
      <c r="B992" s="73"/>
      <c r="C992" s="73"/>
      <c r="D992" s="74"/>
      <c r="E992" s="79"/>
      <c r="F992" s="80"/>
      <c r="G992" s="81"/>
      <c r="H992" s="89"/>
      <c r="I992" s="118"/>
      <c r="J992" s="73"/>
      <c r="K992" s="122"/>
      <c r="L992" s="120"/>
      <c r="M992" s="121"/>
      <c r="N992" s="73"/>
      <c r="O992" s="73"/>
      <c r="P992" s="73"/>
      <c r="Q992" s="74"/>
      <c r="R992" s="79"/>
      <c r="S992" s="80"/>
      <c r="T992" s="81"/>
      <c r="U992" s="89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/>
      <c r="B993" s="73"/>
      <c r="C993" s="73"/>
      <c r="D993" s="74"/>
      <c r="E993" s="79"/>
      <c r="F993" s="80"/>
      <c r="G993" s="81"/>
      <c r="H993" s="89"/>
      <c r="I993" s="118"/>
      <c r="J993" s="73"/>
      <c r="K993" s="122"/>
      <c r="L993" s="120"/>
      <c r="M993" s="121"/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/>
      <c r="B994" s="73"/>
      <c r="C994" s="73"/>
      <c r="D994" s="74"/>
      <c r="E994" s="79"/>
      <c r="F994" s="80"/>
      <c r="G994" s="81"/>
      <c r="H994" s="89"/>
      <c r="I994" s="118"/>
      <c r="J994" s="73"/>
      <c r="K994" s="122"/>
      <c r="L994" s="120"/>
      <c r="M994" s="121"/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/>
      <c r="B995" s="73"/>
      <c r="C995" s="73"/>
      <c r="D995" s="74"/>
      <c r="E995" s="79"/>
      <c r="F995" s="80"/>
      <c r="G995" s="81"/>
      <c r="H995" s="89"/>
      <c r="I995" s="118"/>
      <c r="J995" s="73"/>
      <c r="K995" s="122"/>
      <c r="L995" s="120"/>
      <c r="M995" s="121"/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/>
      <c r="B996" s="73"/>
      <c r="C996" s="73"/>
      <c r="D996" s="74"/>
      <c r="E996" s="79"/>
      <c r="F996" s="80"/>
      <c r="G996" s="81"/>
      <c r="H996" s="89"/>
      <c r="I996" s="118"/>
      <c r="J996" s="73"/>
      <c r="K996" s="122"/>
      <c r="L996" s="120"/>
      <c r="M996" s="121"/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/>
      <c r="B997" s="73"/>
      <c r="C997" s="73"/>
      <c r="D997" s="74"/>
      <c r="E997" s="79"/>
      <c r="F997" s="80"/>
      <c r="G997" s="81"/>
      <c r="H997" s="89"/>
      <c r="I997" s="118"/>
      <c r="J997" s="73"/>
      <c r="K997" s="122"/>
      <c r="L997" s="120"/>
      <c r="M997" s="121"/>
      <c r="N997" s="73"/>
      <c r="O997" s="73"/>
      <c r="P997" s="73"/>
      <c r="Q997" s="74"/>
      <c r="R997" s="79"/>
      <c r="S997" s="80"/>
      <c r="T997" s="81"/>
      <c r="U997" s="89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/>
      <c r="B998" s="73"/>
      <c r="C998" s="73"/>
      <c r="D998" s="74"/>
      <c r="E998" s="79"/>
      <c r="F998" s="80"/>
      <c r="G998" s="81"/>
      <c r="H998" s="89"/>
      <c r="I998" s="118"/>
      <c r="J998" s="73"/>
      <c r="K998" s="122"/>
      <c r="L998" s="120"/>
      <c r="M998" s="121"/>
      <c r="N998" s="73"/>
      <c r="O998" s="73"/>
      <c r="P998" s="73"/>
      <c r="Q998" s="74"/>
      <c r="R998" s="79"/>
      <c r="S998" s="80"/>
      <c r="T998" s="81"/>
      <c r="U998" s="89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89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/>
      <c r="B999" s="73"/>
      <c r="C999" s="73"/>
      <c r="D999" s="74"/>
      <c r="E999" s="79"/>
      <c r="F999" s="80"/>
      <c r="G999" s="81"/>
      <c r="H999" s="78"/>
      <c r="I999" s="118"/>
      <c r="J999" s="73"/>
      <c r="K999" s="122"/>
      <c r="L999" s="120"/>
      <c r="M999" s="121"/>
      <c r="N999" s="73"/>
      <c r="O999" s="73"/>
      <c r="P999" s="73"/>
      <c r="Q999" s="74"/>
      <c r="R999" s="79"/>
      <c r="S999" s="80"/>
      <c r="T999" s="81"/>
      <c r="U999" s="78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89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/>
      <c r="B1000" s="73"/>
      <c r="C1000" s="73"/>
      <c r="D1000" s="74"/>
      <c r="E1000" s="79"/>
      <c r="F1000" s="80"/>
      <c r="G1000" s="81"/>
      <c r="H1000" s="78"/>
      <c r="I1000" s="118"/>
      <c r="J1000" s="73"/>
      <c r="K1000" s="122"/>
      <c r="L1000" s="120"/>
      <c r="M1000" s="121"/>
      <c r="N1000" s="73"/>
      <c r="O1000" s="73"/>
      <c r="P1000" s="73"/>
      <c r="Q1000" s="74"/>
      <c r="R1000" s="79"/>
      <c r="S1000" s="80"/>
      <c r="T1000" s="81"/>
      <c r="U1000" s="78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78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/>
      <c r="B1001" s="73"/>
      <c r="C1001" s="73"/>
      <c r="D1001" s="74"/>
      <c r="E1001" s="79"/>
      <c r="F1001" s="80"/>
      <c r="G1001" s="81"/>
      <c r="H1001" s="130"/>
      <c r="I1001" s="118"/>
      <c r="J1001" s="73"/>
      <c r="K1001" s="122"/>
      <c r="L1001" s="120"/>
      <c r="M1001" s="121"/>
      <c r="N1001" s="73"/>
      <c r="O1001" s="73"/>
      <c r="P1001" s="73"/>
      <c r="Q1001" s="74"/>
      <c r="R1001" s="79"/>
      <c r="S1001" s="80"/>
      <c r="T1001" s="81"/>
      <c r="U1001" s="130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2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/>
      <c r="B1002" s="73"/>
      <c r="C1002" s="73"/>
      <c r="D1002" s="74"/>
      <c r="E1002" s="79"/>
      <c r="F1002" s="80"/>
      <c r="G1002" s="81"/>
      <c r="H1002" s="130"/>
      <c r="I1002" s="118"/>
      <c r="J1002" s="73"/>
      <c r="K1002" s="122"/>
      <c r="L1002" s="120"/>
      <c r="M1002" s="121"/>
      <c r="N1002" s="73"/>
      <c r="O1002" s="73"/>
      <c r="P1002" s="73"/>
      <c r="Q1002" s="74"/>
      <c r="R1002" s="79"/>
      <c r="S1002" s="80"/>
      <c r="T1002" s="81"/>
      <c r="U1002" s="130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/>
      <c r="B1003" s="73"/>
      <c r="C1003" s="73"/>
      <c r="D1003" s="74"/>
      <c r="E1003" s="79"/>
      <c r="F1003" s="80"/>
      <c r="G1003" s="81"/>
      <c r="H1003" s="89"/>
      <c r="I1003" s="118"/>
      <c r="J1003" s="73"/>
      <c r="K1003" s="122"/>
      <c r="L1003" s="120"/>
      <c r="M1003" s="121"/>
      <c r="N1003" s="73"/>
      <c r="O1003" s="73"/>
      <c r="P1003" s="73"/>
      <c r="Q1003" s="74"/>
      <c r="R1003" s="79"/>
      <c r="S1003" s="80"/>
      <c r="T1003" s="81"/>
      <c r="U1003" s="89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89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/>
      <c r="B1004" s="73"/>
      <c r="C1004" s="73"/>
      <c r="D1004" s="74"/>
      <c r="E1004" s="79"/>
      <c r="F1004" s="80"/>
      <c r="G1004" s="81"/>
      <c r="H1004" s="89"/>
      <c r="I1004" s="118"/>
      <c r="J1004" s="73"/>
      <c r="K1004" s="122"/>
      <c r="L1004" s="120"/>
      <c r="M1004" s="121"/>
      <c r="N1004" s="73"/>
      <c r="O1004" s="73"/>
      <c r="P1004" s="73"/>
      <c r="Q1004" s="74"/>
      <c r="R1004" s="79"/>
      <c r="S1004" s="80"/>
      <c r="T1004" s="81"/>
      <c r="U1004" s="89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9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/>
      <c r="B1005" s="73"/>
      <c r="C1005" s="73"/>
      <c r="D1005" s="74"/>
      <c r="E1005" s="79"/>
      <c r="F1005" s="80"/>
      <c r="G1005" s="81"/>
      <c r="H1005" s="130"/>
      <c r="I1005" s="118"/>
      <c r="J1005" s="73"/>
      <c r="K1005" s="122"/>
      <c r="L1005" s="120"/>
      <c r="M1005" s="121"/>
      <c r="N1005" s="73"/>
      <c r="O1005" s="73"/>
      <c r="P1005" s="73"/>
      <c r="Q1005" s="74"/>
      <c r="R1005" s="79"/>
      <c r="S1005" s="80"/>
      <c r="T1005" s="81"/>
      <c r="U1005" s="89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/>
      <c r="B1006" s="73"/>
      <c r="C1006" s="73"/>
      <c r="D1006" s="74"/>
      <c r="E1006" s="79"/>
      <c r="F1006" s="80"/>
      <c r="G1006" s="81"/>
      <c r="H1006" s="130"/>
      <c r="I1006" s="118"/>
      <c r="J1006" s="73"/>
      <c r="K1006" s="122"/>
      <c r="L1006" s="120"/>
      <c r="M1006" s="121"/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/>
      <c r="B1007" s="73"/>
      <c r="C1007" s="73"/>
      <c r="D1007" s="74"/>
      <c r="E1007" s="79"/>
      <c r="F1007" s="80"/>
      <c r="G1007" s="81"/>
      <c r="H1007" s="89"/>
      <c r="I1007" s="118"/>
      <c r="J1007" s="73"/>
      <c r="K1007" s="122"/>
      <c r="L1007" s="120"/>
      <c r="M1007" s="121"/>
      <c r="N1007" s="73"/>
      <c r="O1007" s="73"/>
      <c r="P1007" s="73"/>
      <c r="Q1007" s="74"/>
      <c r="R1007" s="79"/>
      <c r="S1007" s="80"/>
      <c r="T1007" s="81"/>
      <c r="U1007" s="89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89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/>
      <c r="B1008" s="73"/>
      <c r="C1008" s="73"/>
      <c r="D1008" s="74"/>
      <c r="E1008" s="79"/>
      <c r="F1008" s="80"/>
      <c r="G1008" s="81"/>
      <c r="H1008" s="89"/>
      <c r="I1008" s="118"/>
      <c r="J1008" s="73"/>
      <c r="K1008" s="122"/>
      <c r="L1008" s="120"/>
      <c r="M1008" s="121"/>
      <c r="N1008" s="73"/>
      <c r="O1008" s="73"/>
      <c r="P1008" s="73"/>
      <c r="Q1008" s="74"/>
      <c r="R1008" s="79"/>
      <c r="S1008" s="80"/>
      <c r="T1008" s="81"/>
      <c r="U1008" s="89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89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/>
      <c r="B1009" s="73"/>
      <c r="C1009" s="73"/>
      <c r="D1009" s="74"/>
      <c r="E1009" s="79"/>
      <c r="F1009" s="80"/>
      <c r="G1009" s="81"/>
      <c r="H1009" s="130"/>
      <c r="I1009" s="118"/>
      <c r="J1009" s="73"/>
      <c r="K1009" s="122"/>
      <c r="L1009" s="120"/>
      <c r="M1009" s="121"/>
      <c r="N1009" s="73"/>
      <c r="O1009" s="73"/>
      <c r="P1009" s="73"/>
      <c r="Q1009" s="74"/>
      <c r="R1009" s="79"/>
      <c r="S1009" s="80"/>
      <c r="T1009" s="81"/>
      <c r="U1009" s="130"/>
      <c r="V1009" s="11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130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/>
      <c r="B1010" s="73"/>
      <c r="C1010" s="73"/>
      <c r="D1010" s="74"/>
      <c r="E1010" s="79"/>
      <c r="F1010" s="80"/>
      <c r="G1010" s="81"/>
      <c r="H1010" s="89"/>
      <c r="I1010" s="118"/>
      <c r="J1010" s="73"/>
      <c r="K1010" s="122"/>
      <c r="L1010" s="120"/>
      <c r="M1010" s="121"/>
      <c r="N1010" s="73"/>
      <c r="O1010" s="73"/>
      <c r="P1010" s="73"/>
      <c r="Q1010" s="74"/>
      <c r="R1010" s="79"/>
      <c r="S1010" s="80"/>
      <c r="T1010" s="81"/>
      <c r="U1010" s="89"/>
      <c r="V1010" s="11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/>
      <c r="B1011" s="73"/>
      <c r="C1011" s="73"/>
      <c r="D1011" s="74"/>
      <c r="E1011" s="79"/>
      <c r="F1011" s="80"/>
      <c r="G1011" s="81"/>
      <c r="H1011" s="130"/>
      <c r="I1011" s="118"/>
      <c r="J1011" s="73"/>
      <c r="K1011" s="122"/>
      <c r="L1011" s="120"/>
      <c r="M1011" s="121"/>
      <c r="N1011" s="73"/>
      <c r="O1011" s="73"/>
      <c r="P1011" s="73"/>
      <c r="Q1011" s="74"/>
      <c r="R1011" s="79"/>
      <c r="S1011" s="80"/>
      <c r="T1011" s="81"/>
      <c r="U1011" s="78"/>
      <c r="V1011" s="15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/>
      <c r="B1012" s="73"/>
      <c r="C1012" s="73"/>
      <c r="D1012" s="74"/>
      <c r="E1012" s="79"/>
      <c r="F1012" s="80"/>
      <c r="G1012" s="81"/>
      <c r="H1012" s="130"/>
      <c r="I1012" s="118"/>
      <c r="J1012" s="73"/>
      <c r="K1012" s="122"/>
      <c r="L1012" s="120"/>
      <c r="M1012" s="121"/>
      <c r="N1012" s="73"/>
      <c r="O1012" s="73"/>
      <c r="P1012" s="73"/>
      <c r="Q1012" s="74"/>
      <c r="R1012" s="79"/>
      <c r="S1012" s="80"/>
      <c r="T1012" s="81"/>
      <c r="U1012" s="82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89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/>
      <c r="B1013" s="73"/>
      <c r="C1013" s="73"/>
      <c r="D1013" s="74"/>
      <c r="E1013" s="79"/>
      <c r="F1013" s="80"/>
      <c r="G1013" s="81"/>
      <c r="H1013" s="78"/>
      <c r="I1013" s="118"/>
      <c r="J1013" s="73"/>
      <c r="K1013" s="122"/>
      <c r="L1013" s="120"/>
      <c r="M1013" s="121"/>
      <c r="N1013" s="73"/>
      <c r="O1013" s="73"/>
      <c r="P1013" s="73"/>
      <c r="Q1013" s="74"/>
      <c r="R1013" s="79"/>
      <c r="S1013" s="80"/>
      <c r="T1013" s="81"/>
      <c r="U1013" s="89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/>
      <c r="B1014" s="73"/>
      <c r="C1014" s="73"/>
      <c r="D1014" s="74"/>
      <c r="E1014" s="79"/>
      <c r="F1014" s="80"/>
      <c r="G1014" s="81"/>
      <c r="H1014" s="78"/>
      <c r="I1014" s="118"/>
      <c r="J1014" s="73"/>
      <c r="K1014" s="122"/>
      <c r="L1014" s="120"/>
      <c r="M1014" s="121"/>
      <c r="N1014" s="73"/>
      <c r="O1014" s="73"/>
      <c r="P1014" s="73"/>
      <c r="Q1014" s="74"/>
      <c r="R1014" s="79"/>
      <c r="S1014" s="80"/>
      <c r="T1014" s="81"/>
      <c r="U1014" s="89"/>
      <c r="V1014" s="11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/>
      <c r="B1015" s="73"/>
      <c r="C1015" s="73"/>
      <c r="D1015" s="74"/>
      <c r="E1015" s="79"/>
      <c r="F1015" s="80"/>
      <c r="G1015" s="81"/>
      <c r="H1015" s="78"/>
      <c r="I1015" s="118"/>
      <c r="J1015" s="73"/>
      <c r="K1015" s="122"/>
      <c r="L1015" s="120"/>
      <c r="M1015" s="121"/>
      <c r="N1015" s="73"/>
      <c r="O1015" s="73"/>
      <c r="P1015" s="73"/>
      <c r="Q1015" s="74"/>
      <c r="R1015" s="79"/>
      <c r="S1015" s="80"/>
      <c r="T1015" s="81"/>
      <c r="U1015" s="78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/>
      <c r="B1016" s="73"/>
      <c r="C1016" s="73"/>
      <c r="D1016" s="74"/>
      <c r="E1016" s="79"/>
      <c r="F1016" s="80"/>
      <c r="G1016" s="81"/>
      <c r="H1016" s="89"/>
      <c r="I1016" s="118"/>
      <c r="J1016" s="73"/>
      <c r="K1016" s="122"/>
      <c r="L1016" s="120"/>
      <c r="M1016" s="121"/>
      <c r="N1016" s="73"/>
      <c r="O1016" s="73"/>
      <c r="P1016" s="73"/>
      <c r="Q1016" s="74"/>
      <c r="R1016" s="79"/>
      <c r="S1016" s="80"/>
      <c r="T1016" s="81"/>
      <c r="U1016" s="89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/>
      <c r="B1017" s="73"/>
      <c r="C1017" s="73"/>
      <c r="D1017" s="74"/>
      <c r="E1017" s="79"/>
      <c r="F1017" s="80"/>
      <c r="G1017" s="81"/>
      <c r="H1017" s="89"/>
      <c r="I1017" s="118"/>
      <c r="J1017" s="73"/>
      <c r="K1017" s="122"/>
      <c r="L1017" s="120"/>
      <c r="M1017" s="121"/>
      <c r="N1017" s="73"/>
      <c r="O1017" s="73"/>
      <c r="P1017" s="73"/>
      <c r="Q1017" s="74"/>
      <c r="R1017" s="79"/>
      <c r="S1017" s="80"/>
      <c r="T1017" s="81"/>
      <c r="U1017" s="78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/>
      <c r="B1018" s="73"/>
      <c r="C1018" s="73"/>
      <c r="D1018" s="74"/>
      <c r="E1018" s="79"/>
      <c r="F1018" s="80"/>
      <c r="G1018" s="81"/>
      <c r="H1018" s="89"/>
      <c r="I1018" s="118"/>
      <c r="J1018" s="73"/>
      <c r="K1018" s="122"/>
      <c r="L1018" s="120"/>
      <c r="M1018" s="121"/>
      <c r="N1018" s="73"/>
      <c r="O1018" s="73"/>
      <c r="P1018" s="73"/>
      <c r="Q1018" s="74"/>
      <c r="R1018" s="79"/>
      <c r="S1018" s="80"/>
      <c r="T1018" s="81"/>
      <c r="U1018" s="89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/>
      <c r="B1019" s="73"/>
      <c r="C1019" s="73"/>
      <c r="D1019" s="74"/>
      <c r="E1019" s="79"/>
      <c r="F1019" s="80"/>
      <c r="G1019" s="81"/>
      <c r="H1019" s="89"/>
      <c r="I1019" s="118"/>
      <c r="J1019" s="73"/>
      <c r="K1019" s="122"/>
      <c r="L1019" s="120"/>
      <c r="M1019" s="121"/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/>
      <c r="B1020" s="73"/>
      <c r="C1020" s="73"/>
      <c r="D1020" s="74"/>
      <c r="E1020" s="79"/>
      <c r="F1020" s="80"/>
      <c r="G1020" s="81"/>
      <c r="H1020" s="130"/>
      <c r="I1020" s="118"/>
      <c r="J1020" s="73"/>
      <c r="K1020" s="122"/>
      <c r="L1020" s="120"/>
      <c r="M1020" s="121"/>
      <c r="N1020" s="73"/>
      <c r="O1020" s="73"/>
      <c r="P1020" s="73"/>
      <c r="Q1020" s="74"/>
      <c r="R1020" s="79"/>
      <c r="S1020" s="80"/>
      <c r="T1020" s="81"/>
      <c r="U1020" s="89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/>
      <c r="B1021" s="73"/>
      <c r="C1021" s="73"/>
      <c r="D1021" s="74"/>
      <c r="E1021" s="79"/>
      <c r="F1021" s="80"/>
      <c r="G1021" s="81"/>
      <c r="H1021" s="130"/>
      <c r="I1021" s="118"/>
      <c r="J1021" s="73"/>
      <c r="K1021" s="122"/>
      <c r="L1021" s="120"/>
      <c r="M1021" s="121"/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/>
      <c r="B1022" s="73"/>
      <c r="C1022" s="73"/>
      <c r="D1022" s="74"/>
      <c r="E1022" s="79"/>
      <c r="F1022" s="80"/>
      <c r="G1022" s="81"/>
      <c r="H1022" s="130"/>
      <c r="I1022" s="118"/>
      <c r="J1022" s="73"/>
      <c r="K1022" s="122"/>
      <c r="L1022" s="120"/>
      <c r="M1022" s="121"/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/>
      <c r="B1023" s="73"/>
      <c r="C1023" s="73"/>
      <c r="D1023" s="74"/>
      <c r="E1023" s="79"/>
      <c r="F1023" s="80"/>
      <c r="G1023" s="81"/>
      <c r="H1023" s="130"/>
      <c r="I1023" s="118"/>
      <c r="J1023" s="73"/>
      <c r="K1023" s="122"/>
      <c r="L1023" s="120"/>
      <c r="M1023" s="121"/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/>
      <c r="B1024" s="73"/>
      <c r="C1024" s="73"/>
      <c r="D1024" s="74"/>
      <c r="E1024" s="79"/>
      <c r="F1024" s="80"/>
      <c r="G1024" s="81"/>
      <c r="H1024" s="78"/>
      <c r="I1024" s="118"/>
      <c r="J1024" s="73"/>
      <c r="K1024" s="122"/>
      <c r="L1024" s="120"/>
      <c r="M1024" s="121"/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/>
      <c r="B1025" s="73"/>
      <c r="C1025" s="73"/>
      <c r="D1025" s="74"/>
      <c r="E1025" s="79"/>
      <c r="F1025" s="80"/>
      <c r="G1025" s="81"/>
      <c r="H1025" s="78"/>
      <c r="I1025" s="118"/>
      <c r="J1025" s="73"/>
      <c r="K1025" s="122"/>
      <c r="L1025" s="120"/>
      <c r="M1025" s="121"/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/>
      <c r="B1026" s="73"/>
      <c r="C1026" s="73"/>
      <c r="D1026" s="74"/>
      <c r="E1026" s="79"/>
      <c r="F1026" s="80"/>
      <c r="G1026" s="81"/>
      <c r="H1026" s="78"/>
      <c r="I1026" s="118"/>
      <c r="J1026" s="73"/>
      <c r="K1026" s="122"/>
      <c r="L1026" s="120"/>
      <c r="M1026" s="121"/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/>
      <c r="B1027" s="73"/>
      <c r="C1027" s="73"/>
      <c r="D1027" s="74"/>
      <c r="E1027" s="79"/>
      <c r="F1027" s="80"/>
      <c r="G1027" s="81"/>
      <c r="H1027" s="78"/>
      <c r="I1027" s="118"/>
      <c r="J1027" s="73"/>
      <c r="K1027" s="122"/>
      <c r="L1027" s="120"/>
      <c r="M1027" s="121"/>
      <c r="N1027" s="73"/>
      <c r="O1027" s="73"/>
      <c r="P1027" s="73"/>
      <c r="Q1027" s="74"/>
      <c r="R1027" s="79"/>
      <c r="S1027" s="80"/>
      <c r="T1027" s="81"/>
      <c r="U1027" s="89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/>
      <c r="B1028" s="73"/>
      <c r="C1028" s="73"/>
      <c r="D1028" s="74"/>
      <c r="E1028" s="79"/>
      <c r="F1028" s="80"/>
      <c r="G1028" s="81"/>
      <c r="H1028" s="130"/>
      <c r="I1028" s="118"/>
      <c r="J1028" s="73"/>
      <c r="K1028" s="122"/>
      <c r="L1028" s="120"/>
      <c r="M1028" s="121"/>
      <c r="N1028" s="73"/>
      <c r="O1028" s="73"/>
      <c r="P1028" s="73"/>
      <c r="Q1028" s="74"/>
      <c r="R1028" s="79"/>
      <c r="S1028" s="80"/>
      <c r="T1028" s="81"/>
      <c r="U1028" s="89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/>
      <c r="B1029" s="73"/>
      <c r="C1029" s="73"/>
      <c r="D1029" s="74"/>
      <c r="E1029" s="79"/>
      <c r="F1029" s="80"/>
      <c r="G1029" s="81"/>
      <c r="H1029" s="130"/>
      <c r="I1029" s="118"/>
      <c r="J1029" s="73"/>
      <c r="K1029" s="122"/>
      <c r="L1029" s="120"/>
      <c r="M1029" s="121"/>
      <c r="N1029" s="73"/>
      <c r="O1029" s="73"/>
      <c r="P1029" s="73"/>
      <c r="Q1029" s="74"/>
      <c r="R1029" s="79"/>
      <c r="S1029" s="80"/>
      <c r="T1029" s="81"/>
      <c r="U1029" s="130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/>
      <c r="B1030" s="73"/>
      <c r="C1030" s="73"/>
      <c r="D1030" s="74"/>
      <c r="E1030" s="79"/>
      <c r="F1030" s="80"/>
      <c r="G1030" s="81"/>
      <c r="H1030" s="130"/>
      <c r="I1030" s="118"/>
      <c r="J1030" s="73"/>
      <c r="K1030" s="122"/>
      <c r="L1030" s="120"/>
      <c r="M1030" s="121"/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89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/>
      <c r="B1031" s="73"/>
      <c r="C1031" s="73"/>
      <c r="D1031" s="74"/>
      <c r="E1031" s="79"/>
      <c r="F1031" s="80"/>
      <c r="G1031" s="81"/>
      <c r="H1031" s="130"/>
      <c r="I1031" s="118"/>
      <c r="J1031" s="73"/>
      <c r="K1031" s="122"/>
      <c r="L1031" s="120"/>
      <c r="M1031" s="121"/>
      <c r="N1031" s="73"/>
      <c r="O1031" s="73"/>
      <c r="P1031" s="73"/>
      <c r="Q1031" s="74"/>
      <c r="R1031" s="79"/>
      <c r="S1031" s="80"/>
      <c r="T1031" s="81"/>
      <c r="U1031" s="130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89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/>
      <c r="B1032" s="73"/>
      <c r="C1032" s="73"/>
      <c r="D1032" s="74"/>
      <c r="E1032" s="79"/>
      <c r="F1032" s="80"/>
      <c r="G1032" s="81"/>
      <c r="H1032" s="130"/>
      <c r="I1032" s="118"/>
      <c r="J1032" s="73"/>
      <c r="K1032" s="122"/>
      <c r="L1032" s="120"/>
      <c r="M1032" s="121"/>
      <c r="N1032" s="73"/>
      <c r="O1032" s="73"/>
      <c r="P1032" s="73"/>
      <c r="Q1032" s="74"/>
      <c r="R1032" s="79"/>
      <c r="S1032" s="80"/>
      <c r="T1032" s="81"/>
      <c r="U1032" s="130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130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/>
      <c r="B1033" s="73"/>
      <c r="C1033" s="73"/>
      <c r="D1033" s="74"/>
      <c r="E1033" s="79"/>
      <c r="F1033" s="80"/>
      <c r="G1033" s="81"/>
      <c r="H1033" s="89"/>
      <c r="I1033" s="118"/>
      <c r="J1033" s="73"/>
      <c r="K1033" s="122"/>
      <c r="L1033" s="120"/>
      <c r="M1033" s="121"/>
      <c r="N1033" s="73"/>
      <c r="O1033" s="73"/>
      <c r="P1033" s="73"/>
      <c r="Q1033" s="74"/>
      <c r="R1033" s="79"/>
      <c r="S1033" s="80"/>
      <c r="T1033" s="81"/>
      <c r="U1033" s="89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/>
      <c r="B1034" s="73"/>
      <c r="C1034" s="73"/>
      <c r="D1034" s="74"/>
      <c r="E1034" s="79"/>
      <c r="F1034" s="80"/>
      <c r="G1034" s="81"/>
      <c r="H1034" s="89"/>
      <c r="I1034" s="118"/>
      <c r="J1034" s="73"/>
      <c r="K1034" s="122"/>
      <c r="L1034" s="120"/>
      <c r="M1034" s="121"/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/>
      <c r="B1035" s="73"/>
      <c r="C1035" s="73"/>
      <c r="D1035" s="74"/>
      <c r="E1035" s="79"/>
      <c r="F1035" s="80"/>
      <c r="G1035" s="81"/>
      <c r="H1035" s="89"/>
      <c r="I1035" s="118"/>
      <c r="J1035" s="73"/>
      <c r="K1035" s="122"/>
      <c r="L1035" s="120"/>
      <c r="M1035" s="121"/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/>
      <c r="B1036" s="73"/>
      <c r="C1036" s="73"/>
      <c r="D1036" s="74"/>
      <c r="E1036" s="79"/>
      <c r="F1036" s="80"/>
      <c r="G1036" s="81"/>
      <c r="H1036" s="89"/>
      <c r="I1036" s="118"/>
      <c r="J1036" s="73"/>
      <c r="K1036" s="122"/>
      <c r="L1036" s="120"/>
      <c r="M1036" s="121"/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/>
      <c r="B1037" s="73"/>
      <c r="C1037" s="73"/>
      <c r="D1037" s="74"/>
      <c r="E1037" s="79"/>
      <c r="F1037" s="80"/>
      <c r="G1037" s="81"/>
      <c r="H1037" s="89"/>
      <c r="I1037" s="118"/>
      <c r="J1037" s="73"/>
      <c r="K1037" s="122"/>
      <c r="L1037" s="120"/>
      <c r="M1037" s="121"/>
      <c r="N1037" s="73"/>
      <c r="O1037" s="73"/>
      <c r="P1037" s="73"/>
      <c r="Q1037" s="74"/>
      <c r="R1037" s="79"/>
      <c r="S1037" s="80"/>
      <c r="T1037" s="81"/>
      <c r="U1037" s="89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/>
      <c r="B1038" s="73"/>
      <c r="C1038" s="73"/>
      <c r="D1038" s="74"/>
      <c r="E1038" s="79"/>
      <c r="F1038" s="80"/>
      <c r="G1038" s="81"/>
      <c r="H1038" s="89"/>
      <c r="I1038" s="118"/>
      <c r="J1038" s="73"/>
      <c r="K1038" s="122"/>
      <c r="L1038" s="120"/>
      <c r="M1038" s="121"/>
      <c r="N1038" s="73"/>
      <c r="O1038" s="73"/>
      <c r="P1038" s="73"/>
      <c r="Q1038" s="74"/>
      <c r="R1038" s="79"/>
      <c r="S1038" s="80"/>
      <c r="T1038" s="81"/>
      <c r="U1038" s="89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/>
      <c r="B1039" s="73"/>
      <c r="C1039" s="73"/>
      <c r="D1039" s="74"/>
      <c r="E1039" s="79"/>
      <c r="F1039" s="80"/>
      <c r="G1039" s="81"/>
      <c r="H1039" s="130"/>
      <c r="I1039" s="118"/>
      <c r="J1039" s="73"/>
      <c r="K1039" s="122"/>
      <c r="L1039" s="120"/>
      <c r="M1039" s="121"/>
      <c r="N1039" s="73"/>
      <c r="O1039" s="73"/>
      <c r="P1039" s="73"/>
      <c r="Q1039" s="74"/>
      <c r="R1039" s="79"/>
      <c r="S1039" s="80"/>
      <c r="T1039" s="81"/>
      <c r="U1039" s="130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89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130"/>
      <c r="I1040" s="118"/>
      <c r="J1040" s="73"/>
      <c r="K1040" s="122"/>
      <c r="L1040" s="120"/>
      <c r="M1040" s="121"/>
      <c r="N1040" s="73"/>
      <c r="O1040" s="73"/>
      <c r="P1040" s="73"/>
      <c r="Q1040" s="74"/>
      <c r="R1040" s="79"/>
      <c r="S1040" s="80"/>
      <c r="T1040" s="81"/>
      <c r="U1040" s="89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89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130"/>
      <c r="I1041" s="118"/>
      <c r="J1041" s="73"/>
      <c r="K1041" s="122"/>
      <c r="L1041" s="120"/>
      <c r="M1041" s="121"/>
      <c r="N1041" s="73"/>
      <c r="O1041" s="73"/>
      <c r="P1041" s="73"/>
      <c r="Q1041" s="74"/>
      <c r="R1041" s="79"/>
      <c r="S1041" s="80"/>
      <c r="T1041" s="81"/>
      <c r="U1041" s="130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130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89"/>
      <c r="I1042" s="118"/>
      <c r="J1042" s="73"/>
      <c r="K1042" s="122"/>
      <c r="L1042" s="120"/>
      <c r="M1042" s="121"/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130"/>
      <c r="I1043" s="118"/>
      <c r="J1043" s="73"/>
      <c r="K1043" s="122"/>
      <c r="L1043" s="120"/>
      <c r="M1043" s="121"/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130"/>
      <c r="I1044" s="118"/>
      <c r="J1044" s="73"/>
      <c r="K1044" s="122"/>
      <c r="L1044" s="120"/>
      <c r="M1044" s="121"/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spans="1:52">
      <c r="A1045" s="73"/>
      <c r="B1045" s="73"/>
      <c r="C1045" s="73"/>
      <c r="D1045" s="74"/>
      <c r="E1045" s="79"/>
      <c r="F1045" s="80"/>
      <c r="G1045" s="81"/>
      <c r="H1045" s="130"/>
      <c r="I1045" s="118"/>
      <c r="J1045" s="73"/>
      <c r="K1045" s="122"/>
      <c r="L1045" s="120"/>
      <c r="M1045" s="121"/>
      <c r="N1045" s="73"/>
      <c r="O1045" s="73"/>
      <c r="P1045" s="73"/>
      <c r="Q1045" s="74"/>
      <c r="R1045" s="79"/>
      <c r="S1045" s="80"/>
      <c r="T1045" s="81"/>
      <c r="U1045" s="89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spans="1:52">
      <c r="A1046" s="73"/>
      <c r="B1046" s="73"/>
      <c r="C1046" s="73"/>
      <c r="D1046" s="74"/>
      <c r="E1046" s="79"/>
      <c r="F1046" s="80"/>
      <c r="G1046" s="81"/>
      <c r="H1046" s="89"/>
      <c r="I1046" s="118"/>
      <c r="J1046" s="73"/>
      <c r="K1046" s="122"/>
      <c r="L1046" s="120"/>
      <c r="M1046" s="121"/>
      <c r="N1046" s="73"/>
      <c r="O1046" s="73"/>
      <c r="P1046" s="73"/>
      <c r="Q1046" s="74"/>
      <c r="R1046" s="79"/>
      <c r="S1046" s="80"/>
      <c r="T1046" s="81"/>
      <c r="U1046" s="89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ht="50" customHeight="1" spans="1:52">
      <c r="A1047" s="73"/>
      <c r="B1047" s="73"/>
      <c r="C1047" s="73"/>
      <c r="D1047" s="74"/>
      <c r="E1047" s="79"/>
      <c r="F1047" s="80"/>
      <c r="G1047" s="81"/>
      <c r="H1047" s="130"/>
      <c r="I1047" s="118"/>
      <c r="J1047" s="73"/>
      <c r="K1047" s="122"/>
      <c r="L1047" s="120"/>
      <c r="M1047" s="121"/>
      <c r="N1047" s="73"/>
      <c r="O1047" s="73"/>
      <c r="P1047" s="73"/>
      <c r="Q1047" s="74"/>
      <c r="R1047" s="79"/>
      <c r="S1047" s="80"/>
      <c r="T1047" s="81"/>
      <c r="U1047" s="130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/>
      <c r="B1048" s="73"/>
      <c r="C1048" s="73"/>
      <c r="D1048" s="74"/>
      <c r="E1048" s="79"/>
      <c r="F1048" s="80"/>
      <c r="G1048" s="81"/>
      <c r="H1048" s="78"/>
      <c r="I1048" s="118"/>
      <c r="J1048" s="73"/>
      <c r="K1048" s="122"/>
      <c r="L1048" s="120"/>
      <c r="M1048" s="121"/>
      <c r="N1048" s="73"/>
      <c r="O1048" s="73"/>
      <c r="P1048" s="73"/>
      <c r="Q1048" s="74"/>
      <c r="R1048" s="79"/>
      <c r="S1048" s="80"/>
      <c r="T1048" s="81"/>
      <c r="U1048" s="78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/>
      <c r="B1049" s="73"/>
      <c r="C1049" s="73"/>
      <c r="D1049" s="74"/>
      <c r="E1049" s="79"/>
      <c r="F1049" s="80"/>
      <c r="G1049" s="81"/>
      <c r="H1049" s="78"/>
      <c r="I1049" s="118"/>
      <c r="J1049" s="73"/>
      <c r="K1049" s="122"/>
      <c r="L1049" s="120"/>
      <c r="M1049" s="121"/>
      <c r="N1049" s="73"/>
      <c r="O1049" s="73"/>
      <c r="P1049" s="73"/>
      <c r="Q1049" s="74"/>
      <c r="R1049" s="79"/>
      <c r="S1049" s="80"/>
      <c r="T1049" s="81"/>
      <c r="U1049" s="78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/>
      <c r="B1050" s="73"/>
      <c r="C1050" s="73"/>
      <c r="D1050" s="74"/>
      <c r="E1050" s="79"/>
      <c r="F1050" s="80"/>
      <c r="G1050" s="81"/>
      <c r="H1050" s="147"/>
      <c r="I1050" s="118"/>
      <c r="J1050" s="73"/>
      <c r="K1050" s="122"/>
      <c r="L1050" s="120"/>
      <c r="M1050" s="121"/>
      <c r="N1050" s="73"/>
      <c r="O1050" s="73"/>
      <c r="P1050" s="73"/>
      <c r="Q1050" s="74"/>
      <c r="R1050" s="79"/>
      <c r="S1050" s="80"/>
      <c r="T1050" s="81"/>
      <c r="U1050" s="89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9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78"/>
      <c r="I1051" s="118"/>
      <c r="J1051" s="73"/>
      <c r="K1051" s="122"/>
      <c r="L1051" s="120"/>
      <c r="M1051" s="121"/>
      <c r="N1051" s="73"/>
      <c r="O1051" s="73"/>
      <c r="P1051" s="73"/>
      <c r="Q1051" s="74"/>
      <c r="R1051" s="79"/>
      <c r="S1051" s="80"/>
      <c r="T1051" s="81"/>
      <c r="U1051" s="78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9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89"/>
      <c r="I1052" s="118"/>
      <c r="J1052" s="73"/>
      <c r="K1052" s="122"/>
      <c r="L1052" s="120"/>
      <c r="M1052" s="121"/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2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89"/>
      <c r="I1053" s="118"/>
      <c r="J1053" s="73"/>
      <c r="K1053" s="122"/>
      <c r="L1053" s="120"/>
      <c r="M1053" s="121"/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78"/>
      <c r="I1054" s="118"/>
      <c r="J1054" s="73"/>
      <c r="K1054" s="122"/>
      <c r="L1054" s="120"/>
      <c r="M1054" s="121"/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130"/>
      <c r="I1055" s="118"/>
      <c r="J1055" s="73"/>
      <c r="K1055" s="122"/>
      <c r="L1055" s="120"/>
      <c r="M1055" s="121"/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130"/>
      <c r="I1056" s="118"/>
      <c r="J1056" s="73"/>
      <c r="K1056" s="122"/>
      <c r="L1056" s="120"/>
      <c r="M1056" s="121"/>
      <c r="N1056" s="73"/>
      <c r="O1056" s="73"/>
      <c r="P1056" s="73"/>
      <c r="Q1056" s="74"/>
      <c r="R1056" s="79"/>
      <c r="S1056" s="80"/>
      <c r="T1056" s="81"/>
      <c r="U1056" s="89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78"/>
      <c r="I1057" s="118"/>
      <c r="J1057" s="73"/>
      <c r="K1057" s="122"/>
      <c r="L1057" s="120"/>
      <c r="M1057" s="121"/>
      <c r="N1057" s="73"/>
      <c r="O1057" s="73"/>
      <c r="P1057" s="73"/>
      <c r="Q1057" s="74"/>
      <c r="R1057" s="79"/>
      <c r="S1057" s="80"/>
      <c r="T1057" s="81"/>
      <c r="U1057" s="89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78"/>
      <c r="I1058" s="118"/>
      <c r="J1058" s="73"/>
      <c r="K1058" s="122"/>
      <c r="L1058" s="120"/>
      <c r="M1058" s="121"/>
      <c r="N1058" s="73"/>
      <c r="O1058" s="73"/>
      <c r="P1058" s="73"/>
      <c r="Q1058" s="74"/>
      <c r="R1058" s="79"/>
      <c r="S1058" s="80"/>
      <c r="T1058" s="81"/>
      <c r="U1058" s="78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78"/>
      <c r="I1059" s="118"/>
      <c r="J1059" s="73"/>
      <c r="K1059" s="122"/>
      <c r="L1059" s="120"/>
      <c r="M1059" s="121"/>
      <c r="N1059" s="73"/>
      <c r="O1059" s="73"/>
      <c r="P1059" s="73"/>
      <c r="Q1059" s="74"/>
      <c r="R1059" s="79"/>
      <c r="S1059" s="80"/>
      <c r="T1059" s="81"/>
      <c r="U1059" s="89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130"/>
      <c r="I1060" s="118"/>
      <c r="J1060" s="73"/>
      <c r="K1060" s="122"/>
      <c r="L1060" s="120"/>
      <c r="M1060" s="121"/>
      <c r="N1060" s="73"/>
      <c r="O1060" s="73"/>
      <c r="P1060" s="73"/>
      <c r="Q1060" s="74"/>
      <c r="R1060" s="79"/>
      <c r="S1060" s="80"/>
      <c r="T1060" s="81"/>
      <c r="U1060" s="130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204"/>
      <c r="I1061" s="118"/>
      <c r="J1061" s="73"/>
      <c r="K1061" s="122"/>
      <c r="L1061" s="120"/>
      <c r="M1061" s="121"/>
      <c r="N1061" s="73"/>
      <c r="O1061" s="73"/>
      <c r="P1061" s="73"/>
      <c r="Q1061" s="74"/>
      <c r="R1061" s="79"/>
      <c r="S1061" s="80"/>
      <c r="T1061" s="81"/>
      <c r="U1061" s="89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256"/>
      <c r="I1062" s="118"/>
      <c r="J1062" s="73"/>
      <c r="K1062" s="122"/>
      <c r="L1062" s="120"/>
      <c r="M1062" s="121"/>
      <c r="N1062" s="73"/>
      <c r="O1062" s="73"/>
      <c r="P1062" s="73"/>
      <c r="Q1062" s="74"/>
      <c r="R1062" s="79"/>
      <c r="S1062" s="80"/>
      <c r="T1062" s="81"/>
      <c r="U1062" s="256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256"/>
      <c r="I1063" s="118"/>
      <c r="J1063" s="73"/>
      <c r="K1063" s="122"/>
      <c r="L1063" s="120"/>
      <c r="M1063" s="121"/>
      <c r="N1063" s="73"/>
      <c r="O1063" s="73"/>
      <c r="P1063" s="73"/>
      <c r="Q1063" s="74"/>
      <c r="R1063" s="79"/>
      <c r="S1063" s="80"/>
      <c r="T1063" s="81"/>
      <c r="U1063" s="256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56"/>
      <c r="I1064" s="118"/>
      <c r="J1064" s="73"/>
      <c r="K1064" s="122"/>
      <c r="L1064" s="120"/>
      <c r="M1064" s="121"/>
      <c r="N1064" s="73"/>
      <c r="O1064" s="73"/>
      <c r="P1064" s="73"/>
      <c r="Q1064" s="74"/>
      <c r="R1064" s="79"/>
      <c r="S1064" s="80"/>
      <c r="T1064" s="81"/>
      <c r="U1064" s="256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6"/>
      <c r="I1065" s="118"/>
      <c r="J1065" s="73"/>
      <c r="K1065" s="122"/>
      <c r="L1065" s="120"/>
      <c r="M1065" s="121"/>
      <c r="N1065" s="73"/>
      <c r="O1065" s="73"/>
      <c r="P1065" s="73"/>
      <c r="Q1065" s="74"/>
      <c r="R1065" s="79"/>
      <c r="S1065" s="80"/>
      <c r="T1065" s="81"/>
      <c r="U1065" s="89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79"/>
      <c r="F1066" s="80"/>
      <c r="G1066" s="81"/>
      <c r="H1066" s="256"/>
      <c r="I1066" s="118"/>
      <c r="J1066" s="73"/>
      <c r="K1066" s="122"/>
      <c r="L1066" s="120"/>
      <c r="M1066" s="121"/>
      <c r="N1066" s="73"/>
      <c r="O1066" s="73"/>
      <c r="P1066" s="73"/>
      <c r="Q1066" s="74"/>
      <c r="R1066" s="79"/>
      <c r="S1066" s="80"/>
      <c r="T1066" s="81"/>
      <c r="U1066" s="89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79"/>
      <c r="F1067" s="80"/>
      <c r="G1067" s="81"/>
      <c r="H1067" s="256"/>
      <c r="I1067" s="118"/>
      <c r="J1067" s="73"/>
      <c r="K1067" s="122"/>
      <c r="L1067" s="120"/>
      <c r="M1067" s="121"/>
      <c r="N1067" s="73"/>
      <c r="O1067" s="73"/>
      <c r="P1067" s="73"/>
      <c r="Q1067" s="74"/>
      <c r="R1067" s="79"/>
      <c r="S1067" s="80"/>
      <c r="T1067" s="81"/>
      <c r="U1067" s="256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106"/>
      <c r="F1068" s="107"/>
      <c r="G1068" s="108"/>
      <c r="H1068" s="89"/>
      <c r="I1068" s="118"/>
      <c r="J1068" s="73"/>
      <c r="K1068" s="122"/>
      <c r="L1068" s="120"/>
      <c r="M1068" s="121"/>
      <c r="N1068" s="73"/>
      <c r="O1068" s="73"/>
      <c r="P1068" s="73"/>
      <c r="Q1068" s="74"/>
      <c r="R1068" s="106"/>
      <c r="S1068" s="107"/>
      <c r="T1068" s="108"/>
      <c r="U1068" s="89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89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79"/>
      <c r="F1069" s="80"/>
      <c r="G1069" s="81"/>
      <c r="H1069" s="78"/>
      <c r="I1069" s="118"/>
      <c r="J1069" s="73"/>
      <c r="K1069" s="122"/>
      <c r="L1069" s="120"/>
      <c r="M1069" s="121"/>
      <c r="N1069" s="73"/>
      <c r="O1069" s="73"/>
      <c r="P1069" s="73"/>
      <c r="Q1069" s="74"/>
      <c r="R1069" s="79"/>
      <c r="S1069" s="80"/>
      <c r="T1069" s="81"/>
      <c r="U1069" s="78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89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79"/>
      <c r="F1070" s="80"/>
      <c r="G1070" s="81"/>
      <c r="H1070" s="78"/>
      <c r="I1070" s="118"/>
      <c r="J1070" s="73"/>
      <c r="K1070" s="122"/>
      <c r="L1070" s="120"/>
      <c r="M1070" s="121"/>
      <c r="N1070" s="73"/>
      <c r="O1070" s="73"/>
      <c r="P1070" s="73"/>
      <c r="Q1070" s="74"/>
      <c r="R1070" s="79"/>
      <c r="S1070" s="80"/>
      <c r="T1070" s="81"/>
      <c r="U1070" s="78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78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79"/>
      <c r="F1071" s="80"/>
      <c r="G1071" s="81"/>
      <c r="H1071" s="89"/>
      <c r="I1071" s="118"/>
      <c r="J1071" s="73"/>
      <c r="K1071" s="122"/>
      <c r="L1071" s="120"/>
      <c r="M1071" s="121"/>
      <c r="N1071" s="73"/>
      <c r="O1071" s="73"/>
      <c r="P1071" s="73"/>
      <c r="Q1071" s="74"/>
      <c r="R1071" s="79"/>
      <c r="S1071" s="80"/>
      <c r="T1071" s="81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78"/>
      <c r="I1072" s="118"/>
      <c r="J1072" s="73"/>
      <c r="K1072" s="122"/>
      <c r="L1072" s="120"/>
      <c r="M1072" s="121"/>
      <c r="N1072" s="73"/>
      <c r="O1072" s="73"/>
      <c r="P1072" s="73"/>
      <c r="Q1072" s="74"/>
      <c r="R1072" s="79"/>
      <c r="S1072" s="80"/>
      <c r="T1072" s="81"/>
      <c r="U1072" s="89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78"/>
      <c r="I1073" s="118"/>
      <c r="J1073" s="73"/>
      <c r="K1073" s="122"/>
      <c r="L1073" s="120"/>
      <c r="M1073" s="121"/>
      <c r="N1073" s="73"/>
      <c r="O1073" s="73"/>
      <c r="P1073" s="73"/>
      <c r="Q1073" s="74"/>
      <c r="R1073" s="79"/>
      <c r="S1073" s="80"/>
      <c r="T1073" s="81"/>
      <c r="U1073" s="89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78"/>
      <c r="I1074" s="118"/>
      <c r="J1074" s="73"/>
      <c r="K1074" s="122"/>
      <c r="L1074" s="120"/>
      <c r="M1074" s="121"/>
      <c r="N1074" s="73"/>
      <c r="O1074" s="73"/>
      <c r="P1074" s="73"/>
      <c r="Q1074" s="74"/>
      <c r="R1074" s="79"/>
      <c r="S1074" s="80"/>
      <c r="T1074" s="81"/>
      <c r="U1074" s="78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78"/>
      <c r="I1075" s="118"/>
      <c r="J1075" s="73"/>
      <c r="K1075" s="122"/>
      <c r="L1075" s="120"/>
      <c r="M1075" s="121"/>
      <c r="N1075" s="73"/>
      <c r="O1075" s="73"/>
      <c r="P1075" s="73"/>
      <c r="Q1075" s="74"/>
      <c r="R1075" s="79"/>
      <c r="S1075" s="80"/>
      <c r="T1075" s="81"/>
      <c r="U1075" s="89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78"/>
      <c r="I1076" s="118"/>
      <c r="J1076" s="73"/>
      <c r="K1076" s="122"/>
      <c r="L1076" s="120"/>
      <c r="M1076" s="121"/>
      <c r="N1076" s="73"/>
      <c r="O1076" s="73"/>
      <c r="P1076" s="73"/>
      <c r="Q1076" s="74"/>
      <c r="R1076" s="79"/>
      <c r="S1076" s="80"/>
      <c r="T1076" s="81"/>
      <c r="U1076" s="89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89"/>
      <c r="I1077" s="118"/>
      <c r="J1077" s="73"/>
      <c r="K1077" s="122"/>
      <c r="L1077" s="120"/>
      <c r="M1077" s="121"/>
      <c r="N1077" s="73"/>
      <c r="O1077" s="73"/>
      <c r="P1077" s="73"/>
      <c r="Q1077" s="74"/>
      <c r="R1077" s="79"/>
      <c r="S1077" s="80"/>
      <c r="T1077" s="81"/>
      <c r="U1077" s="82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78"/>
      <c r="I1078" s="118"/>
      <c r="J1078" s="73"/>
      <c r="K1078" s="122"/>
      <c r="L1078" s="120"/>
      <c r="M1078" s="121"/>
      <c r="N1078" s="73"/>
      <c r="O1078" s="73"/>
      <c r="P1078" s="73"/>
      <c r="Q1078" s="74"/>
      <c r="R1078" s="79"/>
      <c r="S1078" s="80"/>
      <c r="T1078" s="81"/>
      <c r="U1078" s="78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78"/>
      <c r="I1079" s="118"/>
      <c r="J1079" s="73"/>
      <c r="K1079" s="122"/>
      <c r="L1079" s="120"/>
      <c r="M1079" s="121"/>
      <c r="N1079" s="73"/>
      <c r="O1079" s="73"/>
      <c r="P1079" s="73"/>
      <c r="Q1079" s="74"/>
      <c r="R1079" s="79"/>
      <c r="S1079" s="80"/>
      <c r="T1079" s="81"/>
      <c r="U1079" s="78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130"/>
      <c r="I1080" s="118"/>
      <c r="J1080" s="73"/>
      <c r="K1080" s="122"/>
      <c r="L1080" s="120"/>
      <c r="M1080" s="121"/>
      <c r="N1080" s="73"/>
      <c r="O1080" s="73"/>
      <c r="P1080" s="73"/>
      <c r="Q1080" s="74"/>
      <c r="R1080" s="79"/>
      <c r="S1080" s="80"/>
      <c r="T1080" s="81"/>
      <c r="U1080" s="89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78"/>
      <c r="I1081" s="118"/>
      <c r="J1081" s="73"/>
      <c r="K1081" s="122"/>
      <c r="L1081" s="120"/>
      <c r="M1081" s="121"/>
      <c r="N1081" s="73"/>
      <c r="O1081" s="73"/>
      <c r="P1081" s="73"/>
      <c r="Q1081" s="74"/>
      <c r="R1081" s="79"/>
      <c r="S1081" s="80"/>
      <c r="T1081" s="81"/>
      <c r="U1081" s="78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78"/>
      <c r="I1082" s="118"/>
      <c r="J1082" s="73"/>
      <c r="K1082" s="122"/>
      <c r="L1082" s="120"/>
      <c r="M1082" s="121"/>
      <c r="N1082" s="73"/>
      <c r="O1082" s="73"/>
      <c r="P1082" s="73"/>
      <c r="Q1082" s="74"/>
      <c r="R1082" s="79"/>
      <c r="S1082" s="80"/>
      <c r="T1082" s="81"/>
      <c r="U1082" s="78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89"/>
      <c r="I1083" s="118"/>
      <c r="J1083" s="73"/>
      <c r="K1083" s="122"/>
      <c r="L1083" s="120"/>
      <c r="M1083" s="121"/>
      <c r="N1083" s="73"/>
      <c r="O1083" s="73"/>
      <c r="P1083" s="73"/>
      <c r="Q1083" s="74"/>
      <c r="R1083" s="79"/>
      <c r="S1083" s="80"/>
      <c r="T1083" s="81"/>
      <c r="U1083" s="89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89"/>
      <c r="I1084" s="118"/>
      <c r="J1084" s="73"/>
      <c r="K1084" s="122"/>
      <c r="L1084" s="120"/>
      <c r="M1084" s="121"/>
      <c r="N1084" s="73"/>
      <c r="O1084" s="73"/>
      <c r="P1084" s="73"/>
      <c r="Q1084" s="74"/>
      <c r="R1084" s="79"/>
      <c r="S1084" s="80"/>
      <c r="T1084" s="81"/>
      <c r="U1084" s="82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89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89"/>
      <c r="I1085" s="118"/>
      <c r="J1085" s="73"/>
      <c r="K1085" s="122"/>
      <c r="L1085" s="120"/>
      <c r="M1085" s="121"/>
      <c r="N1085" s="73"/>
      <c r="O1085" s="73"/>
      <c r="P1085" s="73"/>
      <c r="Q1085" s="74"/>
      <c r="R1085" s="79"/>
      <c r="S1085" s="80"/>
      <c r="T1085" s="81"/>
      <c r="U1085" s="89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89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130"/>
      <c r="I1086" s="118"/>
      <c r="J1086" s="73"/>
      <c r="K1086" s="122"/>
      <c r="L1086" s="120"/>
      <c r="M1086" s="121"/>
      <c r="N1086" s="73"/>
      <c r="O1086" s="73"/>
      <c r="P1086" s="73"/>
      <c r="Q1086" s="74"/>
      <c r="R1086" s="79"/>
      <c r="S1086" s="80"/>
      <c r="T1086" s="81"/>
      <c r="U1086" s="130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130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130"/>
      <c r="I1087" s="118"/>
      <c r="J1087" s="73"/>
      <c r="K1087" s="122"/>
      <c r="L1087" s="120"/>
      <c r="M1087" s="121"/>
      <c r="N1087" s="73"/>
      <c r="O1087" s="73"/>
      <c r="P1087" s="73"/>
      <c r="Q1087" s="74"/>
      <c r="R1087" s="79"/>
      <c r="S1087" s="80"/>
      <c r="T1087" s="81"/>
      <c r="U1087" s="82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89"/>
      <c r="I1088" s="118"/>
      <c r="J1088" s="73"/>
      <c r="K1088" s="122"/>
      <c r="L1088" s="120"/>
      <c r="M1088" s="121"/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89"/>
      <c r="I1089" s="118"/>
      <c r="J1089" s="73"/>
      <c r="K1089" s="122"/>
      <c r="L1089" s="120"/>
      <c r="M1089" s="121"/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89"/>
      <c r="I1090" s="118"/>
      <c r="J1090" s="73"/>
      <c r="K1090" s="122"/>
      <c r="L1090" s="120"/>
      <c r="M1090" s="121"/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/>
      <c r="M1091" s="121"/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/>
      <c r="M1092" s="121"/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/>
      <c r="M1093" s="121"/>
      <c r="N1093" s="73"/>
      <c r="O1093" s="73"/>
      <c r="P1093" s="73"/>
      <c r="Q1093" s="74"/>
      <c r="R1093" s="79"/>
      <c r="S1093" s="80"/>
      <c r="T1093" s="81"/>
      <c r="U1093" s="89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89"/>
      <c r="I1094" s="118"/>
      <c r="J1094" s="73"/>
      <c r="K1094" s="122"/>
      <c r="L1094" s="120"/>
      <c r="M1094" s="121"/>
      <c r="N1094" s="73"/>
      <c r="O1094" s="73"/>
      <c r="P1094" s="73"/>
      <c r="Q1094" s="74"/>
      <c r="R1094" s="79"/>
      <c r="S1094" s="80"/>
      <c r="T1094" s="81"/>
      <c r="U1094" s="89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89"/>
      <c r="I1095" s="118"/>
      <c r="J1095" s="73"/>
      <c r="K1095" s="122"/>
      <c r="L1095" s="120"/>
      <c r="M1095" s="121"/>
      <c r="N1095" s="73"/>
      <c r="O1095" s="73"/>
      <c r="P1095" s="73"/>
      <c r="Q1095" s="74"/>
      <c r="R1095" s="79"/>
      <c r="S1095" s="80"/>
      <c r="T1095" s="81"/>
      <c r="U1095" s="82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78"/>
      <c r="I1096" s="118"/>
      <c r="J1096" s="73"/>
      <c r="K1096" s="122"/>
      <c r="L1096" s="120"/>
      <c r="M1096" s="121"/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78"/>
      <c r="I1097" s="118"/>
      <c r="J1097" s="73"/>
      <c r="K1097" s="122"/>
      <c r="L1097" s="120"/>
      <c r="M1097" s="121"/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89"/>
      <c r="I1098" s="118"/>
      <c r="J1098" s="73"/>
      <c r="K1098" s="122"/>
      <c r="L1098" s="120"/>
      <c r="M1098" s="121"/>
      <c r="N1098" s="73"/>
      <c r="O1098" s="73"/>
      <c r="P1098" s="73"/>
      <c r="Q1098" s="74"/>
      <c r="R1098" s="79"/>
      <c r="S1098" s="80"/>
      <c r="T1098" s="81"/>
      <c r="U1098" s="89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78"/>
      <c r="I1099" s="118"/>
      <c r="J1099" s="73"/>
      <c r="K1099" s="122"/>
      <c r="L1099" s="120"/>
      <c r="M1099" s="121"/>
      <c r="N1099" s="73"/>
      <c r="O1099" s="73"/>
      <c r="P1099" s="73"/>
      <c r="Q1099" s="74"/>
      <c r="R1099" s="79"/>
      <c r="S1099" s="80"/>
      <c r="T1099" s="81"/>
      <c r="U1099" s="89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78"/>
      <c r="I1100" s="118"/>
      <c r="J1100" s="73"/>
      <c r="K1100" s="122"/>
      <c r="L1100" s="120"/>
      <c r="M1100" s="121"/>
      <c r="N1100" s="73"/>
      <c r="O1100" s="73"/>
      <c r="P1100" s="73"/>
      <c r="Q1100" s="74"/>
      <c r="R1100" s="79"/>
      <c r="S1100" s="80"/>
      <c r="T1100" s="81"/>
      <c r="U1100" s="78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78"/>
      <c r="I1101" s="118"/>
      <c r="J1101" s="73"/>
      <c r="K1101" s="122"/>
      <c r="L1101" s="120"/>
      <c r="M1101" s="121"/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/>
      <c r="M1102" s="121"/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/>
      <c r="M1103" s="121"/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/>
      <c r="M1104" s="121"/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/>
      <c r="M1105" s="121"/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/>
      <c r="M1106" s="121"/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/>
      <c r="M1107" s="121"/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78"/>
      <c r="I1108" s="118"/>
      <c r="J1108" s="73"/>
      <c r="K1108" s="122"/>
      <c r="L1108" s="120"/>
      <c r="M1108" s="121"/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78"/>
      <c r="I1109" s="118"/>
      <c r="J1109" s="73"/>
      <c r="K1109" s="122"/>
      <c r="L1109" s="120"/>
      <c r="M1109" s="121"/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89"/>
      <c r="I1110" s="118"/>
      <c r="J1110" s="73"/>
      <c r="K1110" s="122"/>
      <c r="L1110" s="120"/>
      <c r="M1110" s="121"/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89"/>
      <c r="I1111" s="118"/>
      <c r="J1111" s="73"/>
      <c r="K1111" s="122"/>
      <c r="L1111" s="120"/>
      <c r="M1111" s="121"/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/>
      <c r="M1112" s="121"/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/>
      <c r="M1113" s="121"/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/>
      <c r="M1114" s="121"/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/>
      <c r="M1115" s="121"/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/>
      <c r="M1116" s="121"/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74"/>
      <c r="E1117" s="79"/>
      <c r="F1117" s="80"/>
      <c r="G1117" s="81"/>
      <c r="H1117" s="89"/>
      <c r="I1117" s="118"/>
      <c r="J1117" s="73"/>
      <c r="K1117" s="122"/>
      <c r="L1117" s="120"/>
      <c r="M1117" s="121"/>
      <c r="N1117" s="73"/>
      <c r="O1117" s="73"/>
      <c r="P1117" s="73"/>
      <c r="Q1117" s="74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74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74"/>
      <c r="E1118" s="79"/>
      <c r="F1118" s="80"/>
      <c r="G1118" s="81"/>
      <c r="H1118" s="89"/>
      <c r="I1118" s="118"/>
      <c r="J1118" s="73"/>
      <c r="K1118" s="122"/>
      <c r="L1118" s="120"/>
      <c r="M1118" s="121"/>
      <c r="N1118" s="73"/>
      <c r="O1118" s="73"/>
      <c r="P1118" s="73"/>
      <c r="Q1118" s="74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74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73"/>
      <c r="C1119" s="73"/>
      <c r="D1119" s="277"/>
      <c r="E1119" s="79"/>
      <c r="F1119" s="80"/>
      <c r="G1119" s="81"/>
      <c r="H1119" s="89"/>
      <c r="I1119" s="118"/>
      <c r="J1119" s="73"/>
      <c r="K1119" s="122"/>
      <c r="L1119" s="120"/>
      <c r="M1119" s="121"/>
      <c r="N1119" s="73"/>
      <c r="O1119" s="73"/>
      <c r="P1119" s="73"/>
      <c r="Q1119" s="277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277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73"/>
      <c r="C1120" s="73"/>
      <c r="D1120" s="277"/>
      <c r="E1120" s="79"/>
      <c r="F1120" s="80"/>
      <c r="G1120" s="81"/>
      <c r="H1120" s="89"/>
      <c r="I1120" s="118"/>
      <c r="J1120" s="73"/>
      <c r="K1120" s="122"/>
      <c r="L1120" s="120"/>
      <c r="M1120" s="121"/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152"/>
      <c r="C1121" s="194"/>
      <c r="D1121" s="190"/>
      <c r="E1121" s="79"/>
      <c r="F1121" s="80"/>
      <c r="G1121" s="81"/>
      <c r="H1121" s="130"/>
      <c r="I1121" s="118"/>
      <c r="J1121" s="73"/>
      <c r="K1121" s="122"/>
      <c r="L1121" s="120"/>
      <c r="M1121" s="121"/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7"/>
      <c r="E1122" s="79"/>
      <c r="F1122" s="80"/>
      <c r="G1122" s="81"/>
      <c r="H1122" s="130"/>
      <c r="I1122" s="118"/>
      <c r="J1122" s="73"/>
      <c r="K1122" s="122"/>
      <c r="L1122" s="120"/>
      <c r="M1122" s="121"/>
      <c r="N1122" s="73"/>
      <c r="O1122" s="73"/>
      <c r="P1122" s="73"/>
      <c r="Q1122" s="74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74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277"/>
      <c r="E1123" s="79"/>
      <c r="F1123" s="80"/>
      <c r="G1123" s="81"/>
      <c r="H1123" s="89"/>
      <c r="I1123" s="118"/>
      <c r="J1123" s="73"/>
      <c r="K1123" s="122"/>
      <c r="L1123" s="120"/>
      <c r="M1123" s="121"/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277"/>
      <c r="E1124" s="79"/>
      <c r="F1124" s="80"/>
      <c r="G1124" s="81"/>
      <c r="H1124" s="130"/>
      <c r="I1124" s="118"/>
      <c r="J1124" s="73"/>
      <c r="K1124" s="122"/>
      <c r="L1124" s="120"/>
      <c r="M1124" s="121"/>
      <c r="N1124" s="73"/>
      <c r="O1124" s="73"/>
      <c r="P1124" s="73"/>
      <c r="Q1124" s="74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74"/>
      <c r="AE1124" s="79"/>
      <c r="AF1124" s="80"/>
      <c r="AG1124" s="81"/>
      <c r="AH1124" s="89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277"/>
      <c r="E1125" s="79"/>
      <c r="F1125" s="80"/>
      <c r="G1125" s="81"/>
      <c r="H1125" s="89"/>
      <c r="I1125" s="118"/>
      <c r="J1125" s="73"/>
      <c r="K1125" s="122"/>
      <c r="L1125" s="120"/>
      <c r="M1125" s="121"/>
      <c r="N1125" s="73"/>
      <c r="O1125" s="73"/>
      <c r="P1125" s="73"/>
      <c r="Q1125" s="74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74"/>
      <c r="AE1125" s="79"/>
      <c r="AF1125" s="80"/>
      <c r="AG1125" s="81"/>
      <c r="AH1125" s="89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277"/>
      <c r="E1126" s="79"/>
      <c r="F1126" s="80"/>
      <c r="G1126" s="81"/>
      <c r="H1126" s="89"/>
      <c r="I1126" s="118"/>
      <c r="J1126" s="73"/>
      <c r="K1126" s="122"/>
      <c r="L1126" s="120"/>
      <c r="M1126" s="121"/>
      <c r="N1126" s="73"/>
      <c r="O1126" s="73"/>
      <c r="P1126" s="73"/>
      <c r="Q1126" s="277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277"/>
      <c r="AE1126" s="79"/>
      <c r="AF1126" s="80"/>
      <c r="AG1126" s="81"/>
      <c r="AH1126" s="82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74"/>
      <c r="E1127" s="79"/>
      <c r="F1127" s="80"/>
      <c r="G1127" s="81"/>
      <c r="H1127" s="89"/>
      <c r="I1127" s="118"/>
      <c r="J1127" s="73"/>
      <c r="K1127" s="122"/>
      <c r="L1127" s="120"/>
      <c r="M1127" s="121"/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89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89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78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78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78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89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89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89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89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78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89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78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78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89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130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130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89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130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89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89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89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89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78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89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78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89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89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89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78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78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78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78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78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78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78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256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89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89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256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89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78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89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89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147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89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89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78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89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78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89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9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130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89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89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130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147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82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78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78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78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78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78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89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78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130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89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89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78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89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89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78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78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78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89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89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89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89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78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78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78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78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89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89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89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89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89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89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78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78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78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89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78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78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89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89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89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78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78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89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89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78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89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89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130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147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89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78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89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78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78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78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78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130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130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82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89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78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78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78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78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78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89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89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130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89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89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89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78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78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78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9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89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2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78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2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9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9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2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8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8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119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89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82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130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89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89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89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78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78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89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78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89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89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78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89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89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89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89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78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78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89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89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82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89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78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78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89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2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2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9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78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89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89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78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78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78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89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89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89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89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89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89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78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78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89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89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89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78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78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78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89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89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89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78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78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78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78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9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2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78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89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74"/>
      <c r="E1305" s="79"/>
      <c r="F1305" s="80"/>
      <c r="G1305" s="81"/>
      <c r="H1305" s="89"/>
      <c r="I1305" s="118"/>
      <c r="J1305" s="73"/>
      <c r="K1305" s="122"/>
      <c r="L1305" s="120"/>
      <c r="M1305" s="121"/>
      <c r="N1305" s="73"/>
      <c r="O1305" s="73"/>
      <c r="P1305" s="73"/>
      <c r="Q1305" s="74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74"/>
      <c r="E1306" s="79"/>
      <c r="F1306" s="80"/>
      <c r="G1306" s="81"/>
      <c r="H1306" s="78"/>
      <c r="I1306" s="118"/>
      <c r="J1306" s="73"/>
      <c r="K1306" s="122"/>
      <c r="L1306" s="120"/>
      <c r="M1306" s="121"/>
      <c r="N1306" s="73"/>
      <c r="O1306" s="73"/>
      <c r="P1306" s="73"/>
      <c r="Q1306" s="74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278"/>
      <c r="E1307" s="79"/>
      <c r="F1307" s="80"/>
      <c r="G1307" s="81"/>
      <c r="H1307" s="89"/>
      <c r="I1307" s="118"/>
      <c r="J1307" s="73"/>
      <c r="K1307" s="122"/>
      <c r="L1307" s="120"/>
      <c r="M1307" s="121"/>
      <c r="N1307" s="73"/>
      <c r="O1307" s="73"/>
      <c r="P1307" s="73"/>
      <c r="Q1307" s="278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89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78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89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89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78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78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78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110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110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19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119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147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78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130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spans="1:52">
      <c r="A1322" s="73"/>
      <c r="B1322" s="73"/>
      <c r="C1322" s="73"/>
      <c r="D1322" s="74"/>
      <c r="E1322" s="79"/>
      <c r="F1322" s="80"/>
      <c r="G1322" s="81"/>
      <c r="H1322" s="89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spans="1:52">
      <c r="A1323" s="73"/>
      <c r="B1323" s="73"/>
      <c r="C1323" s="73"/>
      <c r="D1323" s="74"/>
      <c r="E1323" s="79"/>
      <c r="F1323" s="80"/>
      <c r="G1323" s="81"/>
      <c r="H1323" s="89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ht="38" customHeight="1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ht="42" customHeight="1" spans="1:52">
      <c r="A1325" s="73"/>
      <c r="B1325" s="73"/>
      <c r="C1325" s="73"/>
      <c r="D1325" s="74"/>
      <c r="E1325" s="79"/>
      <c r="F1325" s="80"/>
      <c r="G1325" s="81"/>
      <c r="H1325" s="130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130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130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130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78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89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89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89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89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89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78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89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78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78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78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78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89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89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89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78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89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89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78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89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78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78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147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89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89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89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89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78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89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89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89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78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78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89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78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89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78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78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89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89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89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89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89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89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78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78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78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78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89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89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89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89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89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78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78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78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89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78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78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89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89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78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78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89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78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89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89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89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89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89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89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78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78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78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78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78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78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82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89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89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89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89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89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89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89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78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78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78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89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78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89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130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89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89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78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89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89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89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89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78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78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78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89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78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78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130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130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89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130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89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130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89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130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89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78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78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9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89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130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82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78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78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79"/>
      <c r="F1457" s="80"/>
      <c r="G1457" s="81"/>
      <c r="H1457" s="78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79"/>
      <c r="F1458" s="80"/>
      <c r="G1458" s="81"/>
      <c r="H1458" s="78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89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106"/>
      <c r="F1459" s="107"/>
      <c r="G1459" s="108"/>
      <c r="H1459" s="89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89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89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89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89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78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78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78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9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2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78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89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89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89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89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89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78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89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89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78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9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78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9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78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9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130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2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2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89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89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9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9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89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2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78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9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78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9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130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2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89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9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130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82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89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78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78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2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78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9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78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89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9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89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9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130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2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89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78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78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89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89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89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78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78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spans="1:52">
      <c r="A1550" s="73"/>
      <c r="B1550" s="73"/>
      <c r="C1550" s="73"/>
      <c r="D1550" s="74"/>
      <c r="E1550" s="79"/>
      <c r="F1550" s="80"/>
      <c r="G1550" s="81"/>
      <c r="H1550" s="82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spans="1:52">
      <c r="A1551" s="73"/>
      <c r="B1551" s="73"/>
      <c r="C1551" s="73"/>
      <c r="D1551" s="74"/>
      <c r="E1551" s="79"/>
      <c r="F1551" s="80"/>
      <c r="G1551" s="81"/>
      <c r="H1551" s="82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ht="30" customHeight="1" spans="1:52">
      <c r="A1552" s="73"/>
      <c r="B1552" s="73"/>
      <c r="C1552" s="73"/>
      <c r="D1552" s="74"/>
      <c r="E1552" s="79"/>
      <c r="F1552" s="80"/>
      <c r="G1552" s="81"/>
      <c r="H1552" s="89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ht="29" customHeight="1" spans="1:52">
      <c r="A1553" s="73"/>
      <c r="B1553" s="73"/>
      <c r="C1553" s="73"/>
      <c r="D1553" s="74"/>
      <c r="E1553" s="79"/>
      <c r="F1553" s="80"/>
      <c r="G1553" s="81"/>
      <c r="H1553" s="130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78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78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130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130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9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89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9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89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2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78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78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78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78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82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82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89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78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89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89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89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89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78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89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78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78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78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130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130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130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130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130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78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78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83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89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78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78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89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79"/>
      <c r="F1600" s="80"/>
      <c r="G1600" s="81"/>
      <c r="H1600" s="78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79"/>
      <c r="F1601" s="80"/>
      <c r="G1601" s="81"/>
      <c r="H1601" s="89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106"/>
      <c r="F1602" s="107"/>
      <c r="G1602" s="108"/>
      <c r="H1602" s="89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106"/>
      <c r="F1603" s="107"/>
      <c r="G1603" s="108"/>
      <c r="H1603" s="89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78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78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78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130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89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89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130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130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130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130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78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78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89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89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78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78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78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89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89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89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89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78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78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78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89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89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81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89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130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130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120"/>
      <c r="Z1668" s="121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120"/>
      <c r="Z1669" s="121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269"/>
      <c r="Z1670" s="79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79"/>
      <c r="Z1671" s="183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69"/>
      <c r="Z1672" s="79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79"/>
      <c r="Z1673" s="183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69"/>
      <c r="Z1674" s="79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79"/>
      <c r="Z1675" s="183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69"/>
      <c r="Z1676" s="79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89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79"/>
      <c r="Z1677" s="183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69"/>
      <c r="Z1678" s="79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79"/>
      <c r="Z1679" s="183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69"/>
      <c r="Z1680" s="79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78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79"/>
      <c r="Z1681" s="183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78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69"/>
      <c r="Z1682" s="79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79"/>
      <c r="Z1683" s="183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89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69"/>
      <c r="Z1684" s="79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89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79"/>
      <c r="Z1685" s="183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78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69"/>
      <c r="Z1686" s="79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78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79"/>
      <c r="Z1687" s="183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89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69"/>
      <c r="Z1688" s="79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83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79"/>
      <c r="Z1689" s="183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89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79"/>
      <c r="Z1690" s="183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69"/>
      <c r="Z1691" s="79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78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79"/>
      <c r="Z1692" s="183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89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69"/>
      <c r="Z1693" s="79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79"/>
      <c r="Z1694" s="183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69"/>
      <c r="Z1695" s="79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78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79"/>
      <c r="Z1696" s="183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83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79"/>
      <c r="Z1697" s="183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78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69"/>
      <c r="Z1698" s="79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78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79"/>
      <c r="Z1699" s="183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119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69"/>
      <c r="Z1700" s="79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119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79"/>
      <c r="Z1701" s="183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89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69"/>
      <c r="Z1702" s="79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89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79"/>
      <c r="Z1703" s="183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89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69"/>
      <c r="Z1704" s="79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79"/>
      <c r="Z1705" s="183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69"/>
      <c r="Z1706" s="79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79"/>
      <c r="Z1707" s="183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69"/>
      <c r="Z1708" s="79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78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79"/>
      <c r="Z1709" s="183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78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69"/>
      <c r="Z1710" s="79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79"/>
      <c r="Z1711" s="183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9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79"/>
      <c r="Z1712" s="183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89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69"/>
      <c r="Z1713" s="79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2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79"/>
      <c r="Z1714" s="183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89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69"/>
      <c r="Z1715" s="79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89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79"/>
      <c r="Z1716" s="183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78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69"/>
      <c r="Z1717" s="79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89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79"/>
      <c r="Z1718" s="183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78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69"/>
      <c r="Z1719" s="79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89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79"/>
      <c r="Z1720" s="183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78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69"/>
      <c r="Z1721" s="79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78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79"/>
      <c r="Z1722" s="183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130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69"/>
      <c r="Z1723" s="79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78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79"/>
      <c r="Z1724" s="183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78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69"/>
      <c r="Z1725" s="79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79"/>
      <c r="Z1726" s="183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69"/>
      <c r="Z1727" s="79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79"/>
      <c r="Z1728" s="183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69"/>
      <c r="Z1729" s="79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79"/>
      <c r="Z1730" s="183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69"/>
      <c r="Z1731" s="79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K1732" s="122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79"/>
      <c r="Z1732" s="183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K1733" s="122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69"/>
      <c r="Z1733" s="79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79"/>
      <c r="Z1734" s="183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69"/>
      <c r="Z1735" s="79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79"/>
      <c r="Z1736" s="183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69"/>
      <c r="Z1737" s="79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89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79"/>
      <c r="Z1738" s="183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89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69"/>
      <c r="Z1739" s="79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78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79"/>
      <c r="Z1740" s="183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78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69"/>
      <c r="Z1741" s="79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79"/>
      <c r="Z1742" s="183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1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79"/>
      <c r="Z1743" s="183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69"/>
      <c r="Z1744" s="79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79"/>
      <c r="Z1745" s="183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9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69"/>
      <c r="Z1746" s="79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89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79"/>
      <c r="Z1747" s="183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89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69"/>
      <c r="Z1748" s="79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78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79"/>
      <c r="Z1749" s="183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78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69"/>
      <c r="Z1750" s="79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79"/>
      <c r="Z1751" s="183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69"/>
      <c r="Z1752" s="79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79"/>
      <c r="Z1753" s="183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69"/>
      <c r="Z1754" s="79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79"/>
      <c r="Z1755" s="183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78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69"/>
      <c r="Z1756" s="79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82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79"/>
      <c r="Z1757" s="183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82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69"/>
      <c r="Z1758" s="79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82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79"/>
      <c r="Z1759" s="183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69"/>
      <c r="Z1760" s="79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78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79"/>
      <c r="Z1761" s="183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78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69"/>
      <c r="Z1762" s="79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79"/>
      <c r="Z1763" s="183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69"/>
      <c r="Z1764" s="79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2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79"/>
      <c r="Z1765" s="183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9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69"/>
      <c r="Z1766" s="79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79"/>
      <c r="Z1767" s="183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82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79"/>
      <c r="Z1768" s="183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82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69"/>
      <c r="Z1769" s="79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79"/>
      <c r="Z1770" s="183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82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69"/>
      <c r="Z1771" s="79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79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79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78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79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78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79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79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79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79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79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79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79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79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79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78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79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79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79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82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79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82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79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82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79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79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79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79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79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78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79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79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82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79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82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79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79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78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79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82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79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78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79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78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79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79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79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79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79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82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79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82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79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79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79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79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82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79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79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79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82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79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79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79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79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79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78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79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78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79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82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79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82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79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82"/>
      <c r="I1824" s="118"/>
      <c r="J1824" s="73"/>
      <c r="K1824" s="122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79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1"/>
      <c r="H1825" s="82"/>
      <c r="I1825" s="118"/>
      <c r="J1825" s="73"/>
      <c r="K1825" s="122"/>
      <c r="L1825" s="120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79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1"/>
      <c r="H1826" s="213"/>
      <c r="I1826" s="280"/>
      <c r="J1826" s="123"/>
      <c r="K1826" s="281"/>
      <c r="L1826" s="120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79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0"/>
      <c r="H1827" s="98"/>
      <c r="I1827" s="282"/>
      <c r="J1827" s="283"/>
      <c r="K1827" s="284"/>
      <c r="L1827" s="285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79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0"/>
      <c r="H1828" s="104"/>
      <c r="I1828" s="282"/>
      <c r="J1828" s="283"/>
      <c r="K1828" s="286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79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0"/>
      <c r="H1829" s="104"/>
      <c r="I1829" s="282"/>
      <c r="J1829" s="283"/>
      <c r="K1829" s="122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79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1"/>
      <c r="H1830" s="78"/>
      <c r="I1830" s="282"/>
      <c r="J1830" s="283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79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82"/>
      <c r="I1831" s="282"/>
      <c r="J1831" s="73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79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2"/>
      <c r="I1832" s="282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79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89"/>
      <c r="I1833" s="282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79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82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79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78"/>
      <c r="I1835" s="282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79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82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79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82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79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82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79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82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79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82"/>
      <c r="I1840" s="282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79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78"/>
      <c r="I1841" s="282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79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78"/>
      <c r="I1842" s="282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79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82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79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82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79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82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79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82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79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82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79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82"/>
      <c r="I1848" s="282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79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82"/>
      <c r="I1849" s="282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79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8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79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79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79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79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79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79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79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79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79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79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79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79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79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79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79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79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79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79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79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79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79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79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79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79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79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79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79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79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79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79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79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79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79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79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79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79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79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79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79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79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79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79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79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79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79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79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79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79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79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79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79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79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79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79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79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79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79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79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79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79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79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79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79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79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79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79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79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79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79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79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79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79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79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79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79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79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79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79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79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79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79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79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79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79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79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79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79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79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79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79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79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79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79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79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79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79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79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79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79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79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79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79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79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79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79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79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79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79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79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79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79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79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79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79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79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79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79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79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79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79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79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79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79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79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79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79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79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79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79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79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79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79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79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79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79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  <row r="1985" spans="1:52">
      <c r="A1985" s="73"/>
      <c r="B1985" s="73"/>
      <c r="C1985" s="73"/>
      <c r="D1985" s="74"/>
      <c r="E1985" s="79"/>
      <c r="F1985" s="80"/>
      <c r="G1985" s="81"/>
      <c r="H1985" s="78"/>
      <c r="I1985" s="118"/>
      <c r="J1985" s="73"/>
      <c r="K1985" s="122"/>
      <c r="L1985" s="120"/>
      <c r="M1985" s="121"/>
      <c r="N1985" s="73"/>
      <c r="O1985" s="73"/>
      <c r="P1985" s="73"/>
      <c r="Q1985" s="74"/>
      <c r="R1985" s="79"/>
      <c r="S1985" s="80"/>
      <c r="T1985" s="81"/>
      <c r="U1985" s="89"/>
      <c r="V1985" s="118"/>
      <c r="W1985" s="73"/>
      <c r="X1985" s="119"/>
      <c r="Y1985" s="279"/>
      <c r="Z1985" s="183"/>
      <c r="AA1985" s="73"/>
      <c r="AB1985" s="73"/>
      <c r="AC1985" s="73"/>
      <c r="AD1985" s="74"/>
      <c r="AE1985" s="79"/>
      <c r="AF1985" s="80"/>
      <c r="AG1985" s="81"/>
      <c r="AH1985" s="89"/>
      <c r="AI1985" s="118"/>
      <c r="AJ1985" s="73"/>
      <c r="AK1985" s="119"/>
      <c r="AL1985" s="120"/>
      <c r="AM1985" s="121"/>
      <c r="AN1985" s="152"/>
      <c r="AO1985" s="152"/>
      <c r="AP1985" s="152"/>
      <c r="AQ1985" s="105"/>
      <c r="AR1985" s="106"/>
      <c r="AS1985" s="107"/>
      <c r="AT1985" s="108"/>
      <c r="AU1985" s="89"/>
      <c r="AV1985" s="158"/>
      <c r="AW1985" s="152"/>
      <c r="AX1985" s="122"/>
      <c r="AY1985" s="120"/>
      <c r="AZ1985" s="121"/>
    </row>
    <row r="1986" spans="1:52">
      <c r="A1986" s="73"/>
      <c r="B1986" s="73"/>
      <c r="C1986" s="73"/>
      <c r="D1986" s="74"/>
      <c r="E1986" s="79"/>
      <c r="F1986" s="80"/>
      <c r="G1986" s="81"/>
      <c r="H1986" s="78"/>
      <c r="I1986" s="118"/>
      <c r="J1986" s="73"/>
      <c r="K1986" s="122"/>
      <c r="L1986" s="120"/>
      <c r="M1986" s="121"/>
      <c r="N1986" s="73"/>
      <c r="O1986" s="73"/>
      <c r="P1986" s="73"/>
      <c r="Q1986" s="74"/>
      <c r="R1986" s="79"/>
      <c r="S1986" s="80"/>
      <c r="T1986" s="81"/>
      <c r="U1986" s="89"/>
      <c r="V1986" s="118"/>
      <c r="W1986" s="73"/>
      <c r="X1986" s="119"/>
      <c r="Y1986" s="279"/>
      <c r="Z1986" s="183"/>
      <c r="AA1986" s="73"/>
      <c r="AB1986" s="73"/>
      <c r="AC1986" s="73"/>
      <c r="AD1986" s="74"/>
      <c r="AE1986" s="79"/>
      <c r="AF1986" s="80"/>
      <c r="AG1986" s="81"/>
      <c r="AH1986" s="89"/>
      <c r="AI1986" s="118"/>
      <c r="AJ1986" s="73"/>
      <c r="AK1986" s="119"/>
      <c r="AL1986" s="120"/>
      <c r="AM1986" s="121"/>
      <c r="AN1986" s="152"/>
      <c r="AO1986" s="152"/>
      <c r="AP1986" s="152"/>
      <c r="AQ1986" s="105"/>
      <c r="AR1986" s="106"/>
      <c r="AS1986" s="107"/>
      <c r="AT1986" s="108"/>
      <c r="AU1986" s="89"/>
      <c r="AV1986" s="158"/>
      <c r="AW1986" s="152"/>
      <c r="AX1986" s="122"/>
      <c r="AY1986" s="120"/>
      <c r="AZ1986" s="121"/>
    </row>
  </sheetData>
  <autoFilter ref="A2:AZ566">
    <extLst/>
  </autoFilter>
  <mergeCells count="7503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AE634:AG634"/>
    <mergeCell ref="AR634:AT634"/>
    <mergeCell ref="E635:G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R678:T678"/>
    <mergeCell ref="AE678:AG678"/>
    <mergeCell ref="AR678:A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AR700:AT700"/>
    <mergeCell ref="E701:G701"/>
    <mergeCell ref="E702:G702"/>
    <mergeCell ref="R702:T702"/>
    <mergeCell ref="AE702:AG702"/>
    <mergeCell ref="AR702:AT702"/>
    <mergeCell ref="E703:G703"/>
    <mergeCell ref="R703:T703"/>
    <mergeCell ref="AE703:AG703"/>
    <mergeCell ref="AR703:AT703"/>
    <mergeCell ref="E704:G704"/>
    <mergeCell ref="R704:T704"/>
    <mergeCell ref="AE704:AG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AR771:AT771"/>
    <mergeCell ref="E772:G772"/>
    <mergeCell ref="R772:T772"/>
    <mergeCell ref="AE772:AG772"/>
    <mergeCell ref="E773:G773"/>
    <mergeCell ref="R773: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AR779:AT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AR801:AT801"/>
    <mergeCell ref="E802:G802"/>
    <mergeCell ref="R802:T802"/>
    <mergeCell ref="AE802:AG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R1063:T1063"/>
    <mergeCell ref="AE1063:AG1063"/>
    <mergeCell ref="AR1063:AT1063"/>
    <mergeCell ref="E1064:G1064"/>
    <mergeCell ref="R1064:T1064"/>
    <mergeCell ref="AE1064:AG1064"/>
    <mergeCell ref="AR1064:AT1064"/>
    <mergeCell ref="E1065:G1065"/>
    <mergeCell ref="E1066:G1066"/>
    <mergeCell ref="E1067:G1067"/>
    <mergeCell ref="R1067:T1067"/>
    <mergeCell ref="E1068:G1068"/>
    <mergeCell ref="R1068:T1068"/>
    <mergeCell ref="E1069:G1069"/>
    <mergeCell ref="R1069:T1069"/>
    <mergeCell ref="E1070:G1070"/>
    <mergeCell ref="R1070:T1070"/>
    <mergeCell ref="AE1070:AG1070"/>
    <mergeCell ref="E1071:G1071"/>
    <mergeCell ref="E1072:G1072"/>
    <mergeCell ref="E1073:G1073"/>
    <mergeCell ref="E1074:G1074"/>
    <mergeCell ref="R1074:T1074"/>
    <mergeCell ref="E1075:G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E1081:G1081"/>
    <mergeCell ref="R1081:T1081"/>
    <mergeCell ref="E1082:G1082"/>
    <mergeCell ref="R1082:T1082"/>
    <mergeCell ref="E1083:G1083"/>
    <mergeCell ref="E1084:G1084"/>
    <mergeCell ref="R1084:T1084"/>
    <mergeCell ref="E1085:G1085"/>
    <mergeCell ref="R1085:T1085"/>
    <mergeCell ref="E1086:G1086"/>
    <mergeCell ref="R1086:T1086"/>
    <mergeCell ref="AE1086:AG1086"/>
    <mergeCell ref="E1087:G1087"/>
    <mergeCell ref="R1087:T1087"/>
    <mergeCell ref="E1088:G1088"/>
    <mergeCell ref="E1089:G1089"/>
    <mergeCell ref="R1089:T1089"/>
    <mergeCell ref="E1090:G1090"/>
    <mergeCell ref="R1090:T1090"/>
    <mergeCell ref="E1091:G1091"/>
    <mergeCell ref="R1091:T1091"/>
    <mergeCell ref="E1092:G1092"/>
    <mergeCell ref="R1092:T1092"/>
    <mergeCell ref="E1093:G1093"/>
    <mergeCell ref="R1093:T1093"/>
    <mergeCell ref="AE1093:AG1093"/>
    <mergeCell ref="E1094:G1094"/>
    <mergeCell ref="E1095:G1095"/>
    <mergeCell ref="R1095:T1095"/>
    <mergeCell ref="E1096:G1096"/>
    <mergeCell ref="E1097:G1097"/>
    <mergeCell ref="E1098:G1098"/>
    <mergeCell ref="E1099:G1099"/>
    <mergeCell ref="R1099:T1099"/>
    <mergeCell ref="AE1099:AG1099"/>
    <mergeCell ref="AR1099:AT1099"/>
    <mergeCell ref="E1100:G1100"/>
    <mergeCell ref="R1100:T1100"/>
    <mergeCell ref="E1101:G1101"/>
    <mergeCell ref="E1102:G1102"/>
    <mergeCell ref="R1102:T1102"/>
    <mergeCell ref="AE1102:AG1102"/>
    <mergeCell ref="AR1102:AT1102"/>
    <mergeCell ref="E1103:G1103"/>
    <mergeCell ref="R1103:T1103"/>
    <mergeCell ref="AE1103:AG1103"/>
    <mergeCell ref="AR1103:AT1103"/>
    <mergeCell ref="E1104:G1104"/>
    <mergeCell ref="R1104:T1104"/>
    <mergeCell ref="AE1104:AG1104"/>
    <mergeCell ref="AR1104:AT1104"/>
    <mergeCell ref="E1105:G1105"/>
    <mergeCell ref="E1107:G1107"/>
    <mergeCell ref="R1107:T1107"/>
    <mergeCell ref="AE1107:AG1107"/>
    <mergeCell ref="AR1107:AT1107"/>
    <mergeCell ref="E1108:G1108"/>
    <mergeCell ref="E1109:G1109"/>
    <mergeCell ref="E1110:G1110"/>
    <mergeCell ref="E1111:G1111"/>
    <mergeCell ref="E1112:G1112"/>
    <mergeCell ref="E1113:G1113"/>
    <mergeCell ref="R1113:T1113"/>
    <mergeCell ref="E1114:G1114"/>
    <mergeCell ref="R1114:T1114"/>
    <mergeCell ref="E1115:G1115"/>
    <mergeCell ref="E1116:G1116"/>
    <mergeCell ref="R1116:T1116"/>
    <mergeCell ref="E1117:G1117"/>
    <mergeCell ref="E1118:G1118"/>
    <mergeCell ref="E1119:G1119"/>
    <mergeCell ref="R1119:T1119"/>
    <mergeCell ref="AE1119:AG1119"/>
    <mergeCell ref="E1120:G1120"/>
    <mergeCell ref="E1121:G1121"/>
    <mergeCell ref="E1122:G1122"/>
    <mergeCell ref="E1123:G1123"/>
    <mergeCell ref="E1124:G1124"/>
    <mergeCell ref="E1125:G1125"/>
    <mergeCell ref="E1126:G1126"/>
    <mergeCell ref="R1126:T1126"/>
    <mergeCell ref="AE1126:AG1126"/>
    <mergeCell ref="E1127:G1127"/>
    <mergeCell ref="E1128:G1128"/>
    <mergeCell ref="E1129:G1129"/>
    <mergeCell ref="R1129:T1129"/>
    <mergeCell ref="E1130:G1130"/>
    <mergeCell ref="E1131:G1131"/>
    <mergeCell ref="E1132:G1132"/>
    <mergeCell ref="E1133:G1133"/>
    <mergeCell ref="E1134:G1134"/>
    <mergeCell ref="E1135:G1135"/>
    <mergeCell ref="E1136:G1136"/>
    <mergeCell ref="R1136:T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E1145:G1145"/>
    <mergeCell ref="E1146:G1146"/>
    <mergeCell ref="R1146:T1146"/>
    <mergeCell ref="E1147:G1147"/>
    <mergeCell ref="E1148:G1148"/>
    <mergeCell ref="E1149:G1149"/>
    <mergeCell ref="E1150:G1150"/>
    <mergeCell ref="E1151:G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E1155:G1155"/>
    <mergeCell ref="R1155:T1155"/>
    <mergeCell ref="E1156:G1156"/>
    <mergeCell ref="R1156:T1156"/>
    <mergeCell ref="AE1156:AG1156"/>
    <mergeCell ref="AR1156:AT1156"/>
    <mergeCell ref="E1157:G1157"/>
    <mergeCell ref="R1157:T1157"/>
    <mergeCell ref="AE1157:AG1157"/>
    <mergeCell ref="E1158:G1158"/>
    <mergeCell ref="R1158:T1158"/>
    <mergeCell ref="AE1158:AG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</mergeCells>
  <conditionalFormatting sqref="Z43">
    <cfRule type="cellIs" dxfId="0" priority="29" operator="lessThan">
      <formula>30</formula>
    </cfRule>
  </conditionalFormatting>
  <conditionalFormatting sqref="Z44">
    <cfRule type="cellIs" dxfId="0" priority="30" operator="lessThan">
      <formula>30</formula>
    </cfRule>
  </conditionalFormatting>
  <conditionalFormatting sqref="Z588">
    <cfRule type="cellIs" dxfId="0" priority="21" operator="lessThan">
      <formula>30</formula>
    </cfRule>
  </conditionalFormatting>
  <conditionalFormatting sqref="M681">
    <cfRule type="cellIs" dxfId="0" priority="67" operator="lessThan">
      <formula>30</formula>
    </cfRule>
  </conditionalFormatting>
  <conditionalFormatting sqref="M710">
    <cfRule type="cellIs" dxfId="0" priority="77" operator="lessThan">
      <formula>30</formula>
    </cfRule>
  </conditionalFormatting>
  <conditionalFormatting sqref="M713">
    <cfRule type="cellIs" dxfId="0" priority="50" operator="lessThan">
      <formula>30</formula>
    </cfRule>
  </conditionalFormatting>
  <conditionalFormatting sqref="M715">
    <cfRule type="cellIs" dxfId="0" priority="62" operator="lessThan">
      <formula>30</formula>
    </cfRule>
  </conditionalFormatting>
  <conditionalFormatting sqref="M729">
    <cfRule type="cellIs" dxfId="0" priority="72" operator="lessThan">
      <formula>30</formula>
    </cfRule>
  </conditionalFormatting>
  <conditionalFormatting sqref="M1572">
    <cfRule type="cellIs" dxfId="0" priority="20" operator="lessThan">
      <formula>30</formula>
    </cfRule>
  </conditionalFormatting>
  <conditionalFormatting sqref="M3:M589">
    <cfRule type="cellIs" dxfId="0" priority="5" operator="lessThan">
      <formula>30</formula>
    </cfRule>
  </conditionalFormatting>
  <conditionalFormatting sqref="M687:M688">
    <cfRule type="cellIs" dxfId="0" priority="73" operator="lessThan">
      <formula>30</formula>
    </cfRule>
  </conditionalFormatting>
  <conditionalFormatting sqref="M1005:M1015">
    <cfRule type="cellIs" dxfId="0" priority="31" operator="lessThan">
      <formula>30</formula>
    </cfRule>
  </conditionalFormatting>
  <conditionalFormatting sqref="Z3:Z4">
    <cfRule type="cellIs" dxfId="0" priority="3" operator="lessThan">
      <formula>30</formula>
    </cfRule>
  </conditionalFormatting>
  <conditionalFormatting sqref="Z5:Z8">
    <cfRule type="cellIs" dxfId="0" priority="11" operator="lessThan">
      <formula>30</formula>
    </cfRule>
  </conditionalFormatting>
  <conditionalFormatting sqref="Z256:Z257">
    <cfRule type="cellIs" dxfId="0" priority="28" operator="lessThan">
      <formula>30</formula>
    </cfRule>
  </conditionalFormatting>
  <conditionalFormatting sqref="Z1670:Z1986">
    <cfRule type="cellIs" dxfId="0" priority="548" operator="lessThan">
      <formula>30</formula>
    </cfRule>
  </conditionalFormatting>
  <conditionalFormatting sqref="AM3:AM4">
    <cfRule type="cellIs" dxfId="0" priority="2" operator="lessThan">
      <formula>30</formula>
    </cfRule>
  </conditionalFormatting>
  <conditionalFormatting sqref="AM5:AM8">
    <cfRule type="cellIs" dxfId="0" priority="9" operator="lessThan">
      <formula>30</formula>
    </cfRule>
  </conditionalFormatting>
  <conditionalFormatting sqref="AM9:AM1986">
    <cfRule type="cellIs" dxfId="0" priority="26" operator="lessThan">
      <formula>30</formula>
    </cfRule>
  </conditionalFormatting>
  <conditionalFormatting sqref="AZ3:AZ4">
    <cfRule type="cellIs" dxfId="0" priority="1" operator="lessThan">
      <formula>30</formula>
    </cfRule>
  </conditionalFormatting>
  <conditionalFormatting sqref="AZ5:AZ8">
    <cfRule type="cellIs" dxfId="0" priority="7" operator="lessThan">
      <formula>30</formula>
    </cfRule>
  </conditionalFormatting>
  <conditionalFormatting sqref="AZ9:AZ1986">
    <cfRule type="cellIs" dxfId="0" priority="18" operator="lessThan">
      <formula>30</formula>
    </cfRule>
  </conditionalFormatting>
  <conditionalFormatting sqref="Z9:Z42 Z45:Z255 Z258:Z587 Z589:Z1669">
    <cfRule type="cellIs" dxfId="0" priority="33" operator="lessThan">
      <formula>30</formula>
    </cfRule>
  </conditionalFormatting>
  <conditionalFormatting sqref="M590:M680 M1573:M1986 M1016:M1571 M714 M711:M712 M682:M686 M730:M1004 M716:M728 M689:M709">
    <cfRule type="cellIs" dxfId="0" priority="251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77" max="51" man="1"/>
  </rowBreaks>
  <colBreaks count="2" manualBreakCount="2">
    <brk id="22" max="1945" man="1"/>
    <brk id="25" max="194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1200</v>
      </c>
      <c r="B1" s="2"/>
      <c r="C1" s="3"/>
      <c r="D1" s="4" t="s">
        <v>1201</v>
      </c>
      <c r="E1" s="5"/>
      <c r="F1" s="6" t="s">
        <v>1202</v>
      </c>
      <c r="G1" s="6"/>
      <c r="H1" s="6"/>
      <c r="I1" s="35"/>
      <c r="J1" s="35"/>
      <c r="K1" s="35"/>
      <c r="L1" s="35"/>
      <c r="M1" s="3"/>
      <c r="N1" s="3"/>
      <c r="O1" s="36" t="s">
        <v>1203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1204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1205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1206</v>
      </c>
      <c r="D4" s="20"/>
      <c r="E4" s="21"/>
      <c r="F4" s="18" t="s">
        <v>1207</v>
      </c>
      <c r="G4" s="19" t="s">
        <v>1208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1209</v>
      </c>
      <c r="Q4" s="18" t="s">
        <v>1210</v>
      </c>
      <c r="R4" s="18" t="s">
        <v>10</v>
      </c>
      <c r="S4" s="18" t="s">
        <v>1211</v>
      </c>
    </row>
    <row r="5" spans="1:19">
      <c r="A5" s="22">
        <v>1</v>
      </c>
      <c r="B5" s="23" t="s">
        <v>27</v>
      </c>
      <c r="C5" s="24" t="s">
        <v>1212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1213</v>
      </c>
      <c r="Q5" s="52" t="s">
        <v>1214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1215</v>
      </c>
      <c r="C6" s="24" t="s">
        <v>1216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1217</v>
      </c>
      <c r="Q6" s="52" t="s">
        <v>1218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1219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1217</v>
      </c>
      <c r="Q7" s="52" t="s">
        <v>1220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1221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1217</v>
      </c>
      <c r="Q8" s="52" t="s">
        <v>1214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1217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1217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1217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1217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1217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2026-01-31T00:50:33Z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