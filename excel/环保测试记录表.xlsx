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总览表!$A$2:$AZ$2336</definedName>
    <definedName name="_xlnm.Print_Area" localSheetId="0">总览表!$A$1:$AZ$2430</definedName>
  </definedNames>
  <calcPr calcId="144525"/>
</workbook>
</file>

<file path=xl/sharedStrings.xml><?xml version="1.0" encoding="utf-8"?>
<sst xmlns="http://schemas.openxmlformats.org/spreadsheetml/2006/main" count="20793" uniqueCount="5621">
  <si>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</si>
  <si>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</si>
  <si>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</si>
  <si>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</si>
  <si>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</si>
  <si>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</si>
  <si>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</si>
  <si>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</si>
  <si>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</si>
  <si>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</si>
  <si>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</si>
  <si>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</si>
  <si>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</si>
  <si>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</si>
  <si>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</si>
  <si>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</si>
  <si>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</si>
  <si>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</si>
  <si>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</si>
  <si>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</si>
  <si>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</si>
  <si>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H20260928004</t>
  </si>
  <si>
    <t>223020010051A</t>
  </si>
  <si>
    <t>HSL胶壳</t>
  </si>
  <si>
    <t>H20260105020</t>
  </si>
  <si>
    <t>H20260422057</t>
  </si>
  <si>
    <t>H20260903006</t>
  </si>
  <si>
    <t>224642100021A</t>
  </si>
  <si>
    <t>线夹</t>
  </si>
  <si>
    <t>H20260105021</t>
  </si>
  <si>
    <t>H20260416003</t>
  </si>
  <si>
    <t>H20260709048</t>
  </si>
  <si>
    <t>H20261004001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</si>
  <si>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</si>
  <si>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</si>
  <si>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</si>
  <si>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</si>
  <si>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</si>
  <si>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</si>
  <si>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</si>
  <si>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</si>
  <si>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</si>
  <si>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</si>
  <si>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</si>
  <si>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</si>
  <si>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</si>
  <si>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</si>
  <si>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</si>
  <si>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</si>
  <si>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H20261008060-061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</si>
  <si>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</si>
  <si>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</si>
  <si>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</si>
  <si>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</si>
  <si>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</si>
  <si>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</si>
  <si>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</si>
  <si>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</si>
  <si>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</si>
  <si>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</si>
  <si>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H20260924050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</si>
  <si>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</si>
  <si>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</si>
  <si>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</si>
  <si>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</si>
  <si>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</si>
  <si>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</si>
  <si>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H20260924052</t>
  </si>
  <si>
    <t>221072010151A</t>
  </si>
  <si>
    <t>铜芯+绝缘</t>
  </si>
  <si>
    <t>H20260105028-029</t>
  </si>
  <si>
    <t>H20260407034-035</t>
  </si>
  <si>
    <t>H20260626010-011</t>
  </si>
  <si>
    <t>H20260924053-054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</si>
  <si>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</si>
  <si>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</si>
  <si>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</si>
  <si>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</si>
  <si>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</si>
  <si>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</si>
  <si>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</si>
  <si>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</si>
  <si>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</si>
  <si>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</si>
  <si>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</si>
  <si>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</si>
  <si>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H20260831005-006</t>
  </si>
  <si>
    <t>2230600J0011A</t>
  </si>
  <si>
    <t>线盖</t>
  </si>
  <si>
    <t>H20260105038</t>
  </si>
  <si>
    <t>H20260416016</t>
  </si>
  <si>
    <t>H20260831004</t>
  </si>
  <si>
    <t>意顿</t>
  </si>
  <si>
    <t>3010400D0031A</t>
  </si>
  <si>
    <t>透明件</t>
  </si>
  <si>
    <t>H20260105039</t>
  </si>
  <si>
    <t>H20260407024</t>
  </si>
  <si>
    <t>H20260706034</t>
  </si>
  <si>
    <t>H20261004010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</si>
  <si>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</si>
  <si>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</si>
  <si>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</si>
  <si>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</si>
  <si>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</si>
  <si>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</si>
  <si>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</si>
  <si>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H20260926004-005</t>
  </si>
  <si>
    <t>221075010011A</t>
  </si>
  <si>
    <t>H20260105047-048</t>
  </si>
  <si>
    <t>H20260407031-032</t>
  </si>
  <si>
    <t>H20260702001-002</t>
  </si>
  <si>
    <t>H20260924048-049</t>
  </si>
  <si>
    <t>223030040011A</t>
  </si>
  <si>
    <t>咖喱色胶壳</t>
  </si>
  <si>
    <t>H20260105049-050</t>
  </si>
  <si>
    <t>H20260410009-010</t>
  </si>
  <si>
    <t>H20260702007-008</t>
  </si>
  <si>
    <t>H20260923004-005</t>
  </si>
  <si>
    <t>223030090041A</t>
  </si>
  <si>
    <t>H20260105051-052</t>
  </si>
  <si>
    <t>223030090031A</t>
  </si>
  <si>
    <t>H20260105053-054</t>
  </si>
  <si>
    <t>H20260410012-013</t>
  </si>
  <si>
    <t>H20260701054-055</t>
  </si>
  <si>
    <t>H20260923002-003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</si>
  <si>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</si>
  <si>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</si>
  <si>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</si>
  <si>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</si>
  <si>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</si>
  <si>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</si>
  <si>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</si>
  <si>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</si>
  <si>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H20260915003-004</t>
  </si>
  <si>
    <t>电连</t>
  </si>
  <si>
    <t>223180020020A</t>
  </si>
  <si>
    <t>酒红色胶壳</t>
  </si>
  <si>
    <t>H20260105060</t>
  </si>
  <si>
    <t>H20260822004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</si>
  <si>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</si>
  <si>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</si>
  <si>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</si>
  <si>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</si>
  <si>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</si>
  <si>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</si>
  <si>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</si>
  <si>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</si>
  <si>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</si>
  <si>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</si>
  <si>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</si>
  <si>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</si>
  <si>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</si>
  <si>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</si>
  <si>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H20260916009</t>
  </si>
  <si>
    <t>224031210041A</t>
  </si>
  <si>
    <t>上马口铁</t>
  </si>
  <si>
    <t>H20260105064</t>
  </si>
  <si>
    <t>H20260407042</t>
  </si>
  <si>
    <t>H20260916008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</si>
  <si>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</si>
  <si>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</si>
  <si>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</si>
  <si>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</si>
  <si>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</si>
  <si>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</si>
  <si>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</si>
  <si>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</si>
  <si>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</si>
  <si>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</si>
  <si>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</si>
  <si>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</si>
  <si>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</si>
  <si>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</si>
  <si>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</si>
  <si>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</si>
  <si>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</si>
  <si>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</si>
  <si>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</si>
  <si>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</si>
  <si>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</si>
  <si>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</si>
  <si>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</si>
  <si>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</si>
  <si>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H20260819059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</si>
  <si>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</si>
  <si>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</si>
  <si>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</si>
  <si>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</si>
  <si>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</si>
  <si>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</si>
  <si>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</si>
  <si>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</si>
  <si>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</si>
  <si>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</si>
  <si>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</si>
  <si>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</si>
  <si>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</si>
  <si>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H20261006001-002</t>
  </si>
  <si>
    <t>221073203011A</t>
  </si>
  <si>
    <t>H20260106003-005</t>
  </si>
  <si>
    <t>H20260411009-011</t>
  </si>
  <si>
    <t>H20260703002-004</t>
  </si>
  <si>
    <t>H20260927001-003</t>
  </si>
  <si>
    <t>221072010181A</t>
  </si>
  <si>
    <t>H20260106006-009</t>
  </si>
  <si>
    <t>H20260410014-017</t>
  </si>
  <si>
    <t>H20260703008-012</t>
  </si>
  <si>
    <t>H20261005003-007</t>
  </si>
  <si>
    <t>221073030021A</t>
  </si>
  <si>
    <t>H20260106010-012</t>
  </si>
  <si>
    <t>H20260423010-012</t>
  </si>
  <si>
    <t>H20260715004-006</t>
  </si>
  <si>
    <t>H20261007001-003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</si>
  <si>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</si>
  <si>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</si>
  <si>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</si>
  <si>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</si>
  <si>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</si>
  <si>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</si>
  <si>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</si>
  <si>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</si>
  <si>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</si>
  <si>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</si>
  <si>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</si>
  <si>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</si>
  <si>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</si>
  <si>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</si>
  <si>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</si>
  <si>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</si>
  <si>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</si>
  <si>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</si>
  <si>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</si>
  <si>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</si>
  <si>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</si>
  <si>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</si>
  <si>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</si>
  <si>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</si>
  <si>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</si>
  <si>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</si>
  <si>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</si>
  <si>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</si>
  <si>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</si>
  <si>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H20260928015</t>
  </si>
  <si>
    <t>221072150131A</t>
  </si>
  <si>
    <t>H20260106028</t>
  </si>
  <si>
    <t>H20260407033</t>
  </si>
  <si>
    <t>H20260627004</t>
  </si>
  <si>
    <t>H20260918004</t>
  </si>
  <si>
    <t>221072120041A</t>
  </si>
  <si>
    <t>H20260106029</t>
  </si>
  <si>
    <t>H20260407030</t>
  </si>
  <si>
    <t>H20260629011</t>
  </si>
  <si>
    <t>H20260924047</t>
  </si>
  <si>
    <t>223030000171A</t>
  </si>
  <si>
    <t>H20260106030-031</t>
  </si>
  <si>
    <t>旭柏智连（罗森博格）</t>
  </si>
  <si>
    <t>H20260331004-005</t>
  </si>
  <si>
    <t>H20260625014-015</t>
  </si>
  <si>
    <t>H20260915005-006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</si>
  <si>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</si>
  <si>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</si>
  <si>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</si>
  <si>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</si>
  <si>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</si>
  <si>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</si>
  <si>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</si>
  <si>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</si>
  <si>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</si>
  <si>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</si>
  <si>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</si>
  <si>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</si>
  <si>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</si>
  <si>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</si>
  <si>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</si>
  <si>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</si>
  <si>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H20260827014-022</t>
  </si>
  <si>
    <t>101150200011A</t>
  </si>
  <si>
    <t>UL2464</t>
  </si>
  <si>
    <t>H20260106052-057</t>
  </si>
  <si>
    <t>H20260416039-044</t>
  </si>
  <si>
    <t>H20260907019-024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</si>
  <si>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</si>
  <si>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</si>
  <si>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</si>
  <si>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</si>
  <si>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</si>
  <si>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</si>
  <si>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</si>
  <si>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</si>
  <si>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</si>
  <si>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</si>
  <si>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</si>
  <si>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</si>
  <si>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</si>
  <si>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</si>
  <si>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</si>
  <si>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</si>
  <si>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</si>
  <si>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</si>
  <si>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</si>
  <si>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</si>
  <si>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</si>
  <si>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</si>
  <si>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</si>
  <si>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H20260828006-008</t>
  </si>
  <si>
    <t>223030090191A</t>
  </si>
  <si>
    <t>H20260107004</t>
  </si>
  <si>
    <t>H20260525004</t>
  </si>
  <si>
    <t>H20260828001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</si>
  <si>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</si>
  <si>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</si>
  <si>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</si>
  <si>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</si>
  <si>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</si>
  <si>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</si>
  <si>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</si>
  <si>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</si>
  <si>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</si>
  <si>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</si>
  <si>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</si>
  <si>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</si>
  <si>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</si>
  <si>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</si>
  <si>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</si>
  <si>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H20260926006-007</t>
  </si>
  <si>
    <t>223020080221A</t>
  </si>
  <si>
    <t>H20260107009</t>
  </si>
  <si>
    <t>H20260407005</t>
  </si>
  <si>
    <t>H20260702005</t>
  </si>
  <si>
    <t>H20261004004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</si>
  <si>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</si>
  <si>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</si>
  <si>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</si>
  <si>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</si>
  <si>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</si>
  <si>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</si>
  <si>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</si>
  <si>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</si>
  <si>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</si>
  <si>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</si>
  <si>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</si>
  <si>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</si>
  <si>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</si>
  <si>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</si>
  <si>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</si>
  <si>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</si>
  <si>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H20260911009</t>
  </si>
  <si>
    <t>221073100011A</t>
  </si>
  <si>
    <t>H20260107019-021</t>
  </si>
  <si>
    <t>H20260411012-014</t>
  </si>
  <si>
    <t>H20260720022-024</t>
  </si>
  <si>
    <t>H20261010003-005</t>
  </si>
  <si>
    <t>224602000021A</t>
  </si>
  <si>
    <t>H20260107022</t>
  </si>
  <si>
    <t>H20260417002</t>
  </si>
  <si>
    <t>肯耐特（泰科）</t>
  </si>
  <si>
    <t>H20260713010</t>
  </si>
  <si>
    <t>新衡焱（泰科）</t>
  </si>
  <si>
    <t>H20261008059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</si>
  <si>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</si>
  <si>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</si>
  <si>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</si>
  <si>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</si>
  <si>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</si>
  <si>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</si>
  <si>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</si>
  <si>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</si>
  <si>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</si>
  <si>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</si>
  <si>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</si>
  <si>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</si>
  <si>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</si>
  <si>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H20261004026-033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</si>
  <si>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</si>
  <si>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</si>
  <si>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</si>
  <si>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</si>
  <si>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</si>
  <si>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</si>
  <si>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</si>
  <si>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</si>
  <si>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</si>
  <si>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</si>
  <si>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</si>
  <si>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</si>
  <si>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</si>
  <si>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</si>
  <si>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</si>
  <si>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</si>
  <si>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</si>
  <si>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</si>
  <si>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</si>
  <si>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</si>
  <si>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</si>
  <si>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</si>
  <si>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</si>
  <si>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</si>
  <si>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H20260920032</t>
  </si>
  <si>
    <t>223070400011A</t>
  </si>
  <si>
    <t>H20260107045</t>
  </si>
  <si>
    <t>H20260424013</t>
  </si>
  <si>
    <t>H20260814006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</si>
  <si>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</si>
  <si>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</si>
  <si>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</si>
  <si>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</si>
  <si>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</si>
  <si>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</si>
  <si>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</si>
  <si>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</si>
  <si>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</si>
  <si>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</si>
  <si>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H20261005015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</si>
  <si>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</si>
  <si>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</si>
  <si>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</si>
  <si>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</si>
  <si>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</si>
  <si>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</si>
  <si>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</si>
  <si>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H20260915007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</si>
  <si>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</si>
  <si>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</si>
  <si>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</si>
  <si>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</si>
  <si>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</si>
  <si>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</si>
  <si>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</si>
  <si>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</si>
  <si>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</si>
  <si>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</si>
  <si>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</si>
  <si>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H20261005018-020</t>
  </si>
  <si>
    <t>224640100021A</t>
  </si>
  <si>
    <t>/</t>
  </si>
  <si>
    <t>H20260108004</t>
  </si>
  <si>
    <t>H20260408007</t>
  </si>
  <si>
    <t>H20260706039</t>
  </si>
  <si>
    <t>026/10/15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</si>
  <si>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</si>
  <si>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</si>
  <si>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</si>
  <si>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</si>
  <si>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</si>
  <si>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</si>
  <si>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</si>
  <si>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</si>
  <si>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</si>
  <si>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</si>
  <si>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H20260930013</t>
  </si>
  <si>
    <t>221072120021A</t>
  </si>
  <si>
    <t>H20260108005</t>
  </si>
  <si>
    <t>H20260413027</t>
  </si>
  <si>
    <t>H20260710016</t>
  </si>
  <si>
    <t>H20261006003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</si>
  <si>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</si>
  <si>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</si>
  <si>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</si>
  <si>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</si>
  <si>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</si>
  <si>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</si>
  <si>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</si>
  <si>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</si>
  <si>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</si>
  <si>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</si>
  <si>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H20261005010-011</t>
  </si>
  <si>
    <t>223030000201A</t>
  </si>
  <si>
    <t>H20260108011</t>
  </si>
  <si>
    <t>H20260411005</t>
  </si>
  <si>
    <t>H20260818004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</si>
  <si>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</si>
  <si>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</si>
  <si>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</si>
  <si>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</si>
  <si>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</si>
  <si>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</si>
  <si>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</si>
  <si>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2230200F0031A</t>
  </si>
  <si>
    <t>H20260108014</t>
  </si>
  <si>
    <t>H20260411001</t>
  </si>
  <si>
    <t>H20260703015</t>
  </si>
  <si>
    <t>H20260929003</t>
  </si>
  <si>
    <t>肯耐特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</si>
  <si>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</si>
  <si>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</si>
  <si>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</si>
  <si>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</si>
  <si>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</si>
  <si>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</si>
  <si>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</si>
  <si>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</si>
  <si>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</si>
  <si>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</si>
  <si>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</si>
  <si>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</si>
  <si>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</si>
  <si>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</si>
  <si>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</si>
  <si>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</si>
  <si>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</si>
  <si>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</si>
  <si>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</si>
  <si>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</si>
  <si>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</si>
  <si>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</si>
  <si>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H20260828005</t>
  </si>
  <si>
    <t>223130030081A</t>
  </si>
  <si>
    <t>橙色防水圈</t>
  </si>
  <si>
    <t>H20260108023</t>
  </si>
  <si>
    <t>H20260604001</t>
  </si>
  <si>
    <t>H20260908016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</si>
  <si>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</si>
  <si>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</si>
  <si>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</si>
  <si>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</si>
  <si>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</si>
  <si>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</si>
  <si>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</si>
  <si>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</si>
  <si>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</si>
  <si>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</si>
  <si>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</si>
  <si>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</si>
  <si>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</si>
  <si>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H20261009007</t>
  </si>
  <si>
    <t>224070100011A</t>
  </si>
  <si>
    <t>主体</t>
  </si>
  <si>
    <t>H20260108027-029</t>
  </si>
  <si>
    <t>H20260407010-012</t>
  </si>
  <si>
    <t>H20260710012-014</t>
  </si>
  <si>
    <t>H20261009008-010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</si>
  <si>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</si>
  <si>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</si>
  <si>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</si>
  <si>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</si>
  <si>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</si>
  <si>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</si>
  <si>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</si>
  <si>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</si>
  <si>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</si>
  <si>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</si>
  <si>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</si>
  <si>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</si>
  <si>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</si>
  <si>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</si>
  <si>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</si>
  <si>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</si>
  <si>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</si>
  <si>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</si>
  <si>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</si>
  <si>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</si>
  <si>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</si>
  <si>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</si>
  <si>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</si>
  <si>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</si>
  <si>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</si>
  <si>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</si>
  <si>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</si>
  <si>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</si>
  <si>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</si>
  <si>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H20260923011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</si>
  <si>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</si>
  <si>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</si>
  <si>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</si>
  <si>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</si>
  <si>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</si>
  <si>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</si>
  <si>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</si>
  <si>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</si>
  <si>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</si>
  <si>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</si>
  <si>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</si>
  <si>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</si>
  <si>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</si>
  <si>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</si>
  <si>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</si>
  <si>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</si>
  <si>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</si>
  <si>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</si>
  <si>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</si>
  <si>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</si>
  <si>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</si>
  <si>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</si>
  <si>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</si>
  <si>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</si>
  <si>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</si>
  <si>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</si>
  <si>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</si>
  <si>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</si>
  <si>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</si>
  <si>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</si>
  <si>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</si>
  <si>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</si>
  <si>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</si>
  <si>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</si>
  <si>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</si>
  <si>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</si>
  <si>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</si>
  <si>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</si>
  <si>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</si>
  <si>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</si>
  <si>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</si>
  <si>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</si>
  <si>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</si>
  <si>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</si>
  <si>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</si>
  <si>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</si>
  <si>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</si>
  <si>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</si>
  <si>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</si>
  <si>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</si>
  <si>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</si>
  <si>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</si>
  <si>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</si>
  <si>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H20260822002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</si>
  <si>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</si>
  <si>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</si>
  <si>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</si>
  <si>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</si>
  <si>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</si>
  <si>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</si>
  <si>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</si>
  <si>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</si>
  <si>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</si>
  <si>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</si>
  <si>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</si>
  <si>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</si>
  <si>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H20260927005-007</t>
  </si>
  <si>
    <t>221071210021A</t>
  </si>
  <si>
    <t>H20260109020-021</t>
  </si>
  <si>
    <t>H20260411018-019</t>
  </si>
  <si>
    <t>H20260704003-004</t>
  </si>
  <si>
    <t>H20261006012-013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</si>
  <si>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</si>
  <si>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</si>
  <si>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</si>
  <si>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</si>
  <si>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</si>
  <si>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</si>
  <si>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</si>
  <si>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</si>
  <si>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</si>
  <si>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</si>
  <si>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</si>
  <si>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</si>
  <si>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</si>
  <si>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</si>
  <si>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</si>
  <si>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</si>
  <si>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</si>
  <si>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</si>
  <si>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</si>
  <si>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</si>
  <si>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</si>
  <si>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</si>
  <si>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</si>
  <si>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</si>
  <si>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H20260825030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</si>
  <si>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</si>
  <si>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</si>
  <si>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</si>
  <si>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</si>
  <si>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</si>
  <si>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</si>
  <si>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</si>
  <si>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</si>
  <si>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</si>
  <si>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</si>
  <si>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</si>
  <si>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</si>
  <si>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</si>
  <si>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H20260825031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</si>
  <si>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</si>
  <si>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</si>
  <si>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</si>
  <si>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</si>
  <si>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</si>
  <si>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</si>
  <si>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</si>
  <si>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</si>
  <si>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</si>
  <si>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</si>
  <si>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</si>
  <si>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</si>
  <si>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H20260930001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</si>
  <si>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</si>
  <si>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</si>
  <si>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</si>
  <si>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</si>
  <si>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</si>
  <si>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</si>
  <si>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</si>
  <si>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</si>
  <si>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</si>
  <si>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</si>
  <si>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</si>
  <si>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</si>
  <si>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</si>
  <si>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</si>
  <si>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</si>
  <si>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</si>
  <si>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</si>
  <si>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</si>
  <si>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</si>
  <si>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</si>
  <si>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</si>
  <si>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H20260818001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</si>
  <si>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</si>
  <si>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</si>
  <si>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</si>
  <si>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</si>
  <si>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</si>
  <si>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</si>
  <si>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</si>
  <si>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</si>
  <si>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</si>
  <si>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</si>
  <si>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</si>
  <si>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</si>
  <si>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</si>
  <si>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</si>
  <si>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</si>
  <si>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</si>
  <si>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</si>
  <si>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</si>
  <si>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</si>
  <si>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</si>
  <si>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</si>
  <si>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</si>
  <si>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</si>
  <si>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H20261009011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</si>
  <si>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</si>
  <si>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</si>
  <si>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</si>
  <si>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</si>
  <si>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</si>
  <si>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</si>
  <si>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</si>
  <si>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</si>
  <si>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</si>
  <si>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</si>
  <si>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</si>
  <si>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</si>
  <si>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</si>
  <si>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</si>
  <si>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</si>
  <si>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</si>
  <si>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</si>
  <si>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</si>
  <si>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</si>
  <si>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H20260907053-056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</si>
  <si>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</si>
  <si>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</si>
  <si>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</si>
  <si>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</si>
  <si>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</si>
  <si>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</si>
  <si>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</si>
  <si>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</si>
  <si>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</si>
  <si>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</si>
  <si>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</si>
  <si>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H20261010018-031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</si>
  <si>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</si>
  <si>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</si>
  <si>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</si>
  <si>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</si>
  <si>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</si>
  <si>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</si>
  <si>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</si>
  <si>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</si>
  <si>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</si>
  <si>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</si>
  <si>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</si>
  <si>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</si>
  <si>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</si>
  <si>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</si>
  <si>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</si>
  <si>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</si>
  <si>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</si>
  <si>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</si>
  <si>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H20260831032</t>
  </si>
  <si>
    <t>沃尔</t>
  </si>
  <si>
    <t>307145100011A</t>
  </si>
  <si>
    <t>H20260110061</t>
  </si>
  <si>
    <t>H20260424036</t>
  </si>
  <si>
    <t>H20260824018</t>
  </si>
  <si>
    <t>307110100011A</t>
  </si>
  <si>
    <t>H20260110062</t>
  </si>
  <si>
    <t>H20260612003</t>
  </si>
  <si>
    <t>H20260907015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</si>
  <si>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</si>
  <si>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</si>
  <si>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</si>
  <si>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</si>
  <si>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</si>
  <si>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</si>
  <si>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</si>
  <si>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</si>
  <si>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</si>
  <si>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</si>
  <si>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</si>
  <si>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</si>
  <si>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</si>
  <si>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</si>
  <si>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</si>
  <si>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</si>
  <si>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</si>
  <si>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H20260930002-004</t>
  </si>
  <si>
    <t>223030400061A</t>
  </si>
  <si>
    <t>H20260112004</t>
  </si>
  <si>
    <t>H20260411003</t>
  </si>
  <si>
    <t>H20260718002</t>
  </si>
  <si>
    <t>H20260112005-009</t>
  </si>
  <si>
    <t>H20260411037-041</t>
  </si>
  <si>
    <t>H20260927013-017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</si>
  <si>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</si>
  <si>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</si>
  <si>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</si>
  <si>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</si>
  <si>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</si>
  <si>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</si>
  <si>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</si>
  <si>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</si>
  <si>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</si>
  <si>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</si>
  <si>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</si>
  <si>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H20260817031</t>
  </si>
  <si>
    <t>224041210021A</t>
  </si>
  <si>
    <t>H20260112015</t>
  </si>
  <si>
    <t>H202604220049</t>
  </si>
  <si>
    <t>H20260817029</t>
  </si>
  <si>
    <t>224041220021A</t>
  </si>
  <si>
    <t>H20260112016</t>
  </si>
  <si>
    <t>H202604220048</t>
  </si>
  <si>
    <t>H20260817028</t>
  </si>
  <si>
    <t>H20260112017</t>
  </si>
  <si>
    <t>H20260408005</t>
  </si>
  <si>
    <t>H20260817030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</si>
  <si>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</si>
  <si>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</si>
  <si>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</si>
  <si>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</si>
  <si>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</si>
  <si>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</si>
  <si>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</si>
  <si>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</si>
  <si>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</si>
  <si>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H20260926010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</si>
  <si>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</si>
  <si>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</si>
  <si>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</si>
  <si>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</si>
  <si>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</si>
  <si>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</si>
  <si>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</si>
  <si>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</si>
  <si>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</si>
  <si>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</si>
  <si>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</si>
  <si>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</si>
  <si>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</si>
  <si>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</si>
  <si>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</si>
  <si>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</si>
  <si>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</si>
  <si>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H20260815006007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</si>
  <si>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</si>
  <si>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</si>
  <si>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</si>
  <si>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</si>
  <si>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</si>
  <si>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</si>
  <si>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</si>
  <si>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</si>
  <si>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</si>
  <si>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</si>
  <si>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</si>
  <si>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</si>
  <si>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</si>
  <si>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</si>
  <si>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</si>
  <si>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</si>
  <si>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</si>
  <si>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</si>
  <si>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H20260922028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</si>
  <si>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</si>
  <si>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</si>
  <si>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</si>
  <si>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</si>
  <si>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</si>
  <si>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</si>
  <si>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</si>
  <si>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</si>
  <si>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</si>
  <si>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</si>
  <si>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</si>
  <si>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</si>
  <si>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</si>
  <si>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</si>
  <si>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</si>
  <si>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</si>
  <si>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</si>
  <si>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</si>
  <si>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</si>
  <si>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</si>
  <si>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H20260819063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</si>
  <si>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</si>
  <si>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</si>
  <si>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</si>
  <si>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</si>
  <si>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</si>
  <si>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</si>
  <si>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</si>
  <si>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</si>
  <si>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</si>
  <si>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</si>
  <si>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</si>
  <si>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</si>
  <si>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H20260926009</t>
  </si>
  <si>
    <t>219131050031A</t>
  </si>
  <si>
    <t>H20260112050</t>
  </si>
  <si>
    <t>22404Y210021A</t>
  </si>
  <si>
    <t>H20260112051-052</t>
  </si>
  <si>
    <t>H20260530001-002</t>
  </si>
  <si>
    <t>H20260820004-005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</si>
  <si>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</si>
  <si>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</si>
  <si>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</si>
  <si>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</si>
  <si>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</si>
  <si>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</si>
  <si>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</si>
  <si>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</si>
  <si>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</si>
  <si>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</si>
  <si>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</si>
  <si>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</si>
  <si>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</si>
  <si>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</si>
  <si>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H20260912001</t>
  </si>
  <si>
    <t>223020060151A</t>
  </si>
  <si>
    <t>H20260113003</t>
  </si>
  <si>
    <t>H20260507020</t>
  </si>
  <si>
    <t>H20260827001</t>
  </si>
  <si>
    <t>221072140041A</t>
  </si>
  <si>
    <t>H20260113005</t>
  </si>
  <si>
    <t>H20260410001</t>
  </si>
  <si>
    <t>H20260629009</t>
  </si>
  <si>
    <t>H20261009003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</si>
  <si>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</si>
  <si>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</si>
  <si>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</si>
  <si>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</si>
  <si>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</si>
  <si>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</si>
  <si>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</si>
  <si>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</si>
  <si>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</si>
  <si>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</si>
  <si>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</si>
  <si>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</si>
  <si>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</si>
  <si>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</si>
  <si>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</si>
  <si>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</si>
  <si>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</si>
  <si>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</si>
  <si>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</si>
  <si>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</si>
  <si>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</si>
  <si>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</si>
  <si>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</si>
  <si>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</si>
  <si>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</si>
  <si>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</si>
  <si>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</si>
  <si>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</si>
  <si>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</si>
  <si>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</si>
  <si>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</si>
  <si>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</si>
  <si>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H20260919017</t>
  </si>
  <si>
    <t>701D0C5D0011R</t>
  </si>
  <si>
    <t>H20260113041</t>
  </si>
  <si>
    <t>H20260416027</t>
  </si>
  <si>
    <t>H 20260711015</t>
  </si>
  <si>
    <t>H20261009012</t>
  </si>
  <si>
    <t>223030270021A</t>
  </si>
  <si>
    <t>紫色二次锁扣</t>
  </si>
  <si>
    <t>H20260114053</t>
  </si>
  <si>
    <t>H20260710019</t>
  </si>
  <si>
    <t>H20261005021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</si>
  <si>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</si>
  <si>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</si>
  <si>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</si>
  <si>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</si>
  <si>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</si>
  <si>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</si>
  <si>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</si>
  <si>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</si>
  <si>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H20261004005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</si>
  <si>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</si>
  <si>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</si>
  <si>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</si>
  <si>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</si>
  <si>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</si>
  <si>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</si>
  <si>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</si>
  <si>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</si>
  <si>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</si>
  <si>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</si>
  <si>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</si>
  <si>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</si>
  <si>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</si>
  <si>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</si>
  <si>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</si>
  <si>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</si>
  <si>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</si>
  <si>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</si>
  <si>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</si>
  <si>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</si>
  <si>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</si>
  <si>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</si>
  <si>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</si>
  <si>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</si>
  <si>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</si>
  <si>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</si>
  <si>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</si>
  <si>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</si>
  <si>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</si>
  <si>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</si>
  <si>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</si>
  <si>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</si>
  <si>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</si>
  <si>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</si>
  <si>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</si>
  <si>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</si>
  <si>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</si>
  <si>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</si>
  <si>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</si>
  <si>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</si>
  <si>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</si>
  <si>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</si>
  <si>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</si>
  <si>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</si>
  <si>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</si>
  <si>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</si>
  <si>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</si>
  <si>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</si>
  <si>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</si>
  <si>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</si>
  <si>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</si>
  <si>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</si>
  <si>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</si>
  <si>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</si>
  <si>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</si>
  <si>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</si>
  <si>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</si>
  <si>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</si>
  <si>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</si>
  <si>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</si>
  <si>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</si>
  <si>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</si>
  <si>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</si>
  <si>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</si>
  <si>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</si>
  <si>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</si>
  <si>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</si>
  <si>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</si>
  <si>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</si>
  <si>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</si>
  <si>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</si>
  <si>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</si>
  <si>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</si>
  <si>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</si>
  <si>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</si>
  <si>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</si>
  <si>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</si>
  <si>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</si>
  <si>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</si>
  <si>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</si>
  <si>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</si>
  <si>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</si>
  <si>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</si>
  <si>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</si>
  <si>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</si>
  <si>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</si>
  <si>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</si>
  <si>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</si>
  <si>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</si>
  <si>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</si>
  <si>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</si>
  <si>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</si>
  <si>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</si>
  <si>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</si>
  <si>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</si>
  <si>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</si>
  <si>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</si>
  <si>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</si>
  <si>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</si>
  <si>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</si>
  <si>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</si>
  <si>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</si>
  <si>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</si>
  <si>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</si>
  <si>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</si>
  <si>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</si>
  <si>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</si>
  <si>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</si>
  <si>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</si>
  <si>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</si>
  <si>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</si>
  <si>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H20261009001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</si>
  <si>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</si>
  <si>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</si>
  <si>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</si>
  <si>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</si>
  <si>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</si>
  <si>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</si>
  <si>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</si>
  <si>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</si>
  <si>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</si>
  <si>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</si>
  <si>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</si>
  <si>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</si>
  <si>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</si>
  <si>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</si>
  <si>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</si>
  <si>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</si>
  <si>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H20261005013</t>
  </si>
  <si>
    <t>223100000041A</t>
  </si>
  <si>
    <t>塑胶后盖</t>
  </si>
  <si>
    <t>H20260115029</t>
  </si>
  <si>
    <t>H20260414007</t>
  </si>
  <si>
    <t>H20260706006</t>
  </si>
  <si>
    <t>H20261009005</t>
  </si>
  <si>
    <t>224200000011A</t>
  </si>
  <si>
    <t>H20260115030</t>
  </si>
  <si>
    <t>H20260413024</t>
  </si>
  <si>
    <t>H20260702010</t>
  </si>
  <si>
    <t>H20261009004</t>
  </si>
  <si>
    <t>223030070061A</t>
  </si>
  <si>
    <t>H20260115031</t>
  </si>
  <si>
    <t>H20260413025</t>
  </si>
  <si>
    <t>H20260713005</t>
  </si>
  <si>
    <t>H20261005012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</si>
  <si>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</si>
  <si>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</si>
  <si>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</si>
  <si>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</si>
  <si>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</si>
  <si>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</si>
  <si>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</si>
  <si>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</si>
  <si>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</si>
  <si>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</si>
  <si>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</si>
  <si>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</si>
  <si>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</si>
  <si>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</si>
  <si>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</si>
  <si>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</si>
  <si>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</si>
  <si>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</si>
  <si>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</si>
  <si>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</si>
  <si>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</si>
  <si>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</si>
  <si>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</si>
  <si>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H20260930012</t>
  </si>
  <si>
    <t>223020020141A</t>
  </si>
  <si>
    <t>H20260116002</t>
  </si>
  <si>
    <t>223020060181A</t>
  </si>
  <si>
    <t>H20260116003</t>
  </si>
  <si>
    <t>H20260629007</t>
  </si>
  <si>
    <t>H20261005017</t>
  </si>
  <si>
    <t>223070490021A</t>
  </si>
  <si>
    <t>H20260116004</t>
  </si>
  <si>
    <t>H20260410004</t>
  </si>
  <si>
    <t>H20260709054</t>
  </si>
  <si>
    <t>H20261004007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</si>
  <si>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</si>
  <si>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</si>
  <si>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</si>
  <si>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</si>
  <si>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</si>
  <si>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</si>
  <si>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</si>
  <si>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</si>
  <si>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</si>
  <si>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</si>
  <si>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</si>
  <si>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</si>
  <si>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H20261005016</t>
  </si>
  <si>
    <t>224540200061A</t>
  </si>
  <si>
    <t>H20260116008</t>
  </si>
  <si>
    <t>H20260413028</t>
  </si>
  <si>
    <t>H20260706032</t>
  </si>
  <si>
    <t>H20260928013</t>
  </si>
  <si>
    <t>223180000101A</t>
  </si>
  <si>
    <t>H20260116009</t>
  </si>
  <si>
    <t>H20260418007</t>
  </si>
  <si>
    <t>H20260713022</t>
  </si>
  <si>
    <t>H20261008063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</si>
  <si>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</si>
  <si>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</si>
  <si>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</si>
  <si>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</si>
  <si>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</si>
  <si>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</si>
  <si>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</si>
  <si>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</si>
  <si>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</si>
  <si>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</si>
  <si>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</si>
  <si>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</si>
  <si>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</si>
  <si>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</si>
  <si>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</si>
  <si>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</si>
  <si>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</si>
  <si>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</si>
  <si>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</si>
  <si>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</si>
  <si>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</si>
  <si>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</si>
  <si>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</si>
  <si>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</si>
  <si>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</si>
  <si>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</si>
  <si>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</si>
  <si>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</si>
  <si>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</si>
  <si>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</si>
  <si>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</si>
  <si>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</si>
  <si>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</si>
  <si>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</si>
  <si>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</si>
  <si>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</si>
  <si>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</si>
  <si>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</si>
  <si>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</si>
  <si>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</si>
  <si>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</si>
  <si>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</si>
  <si>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</si>
  <si>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</si>
  <si>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</si>
  <si>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</si>
  <si>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</si>
  <si>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</si>
  <si>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</si>
  <si>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</si>
  <si>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H20260919011</t>
  </si>
  <si>
    <t>223020060081A</t>
  </si>
  <si>
    <t>H20260117001</t>
  </si>
  <si>
    <t>H20260602001</t>
  </si>
  <si>
    <t>H20260903005</t>
  </si>
  <si>
    <t>宝嘉通</t>
  </si>
  <si>
    <t>221079010011A</t>
  </si>
  <si>
    <t>H20260117002-003</t>
  </si>
  <si>
    <t>H20260605004-005</t>
  </si>
  <si>
    <t>H20260903007-008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</si>
  <si>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</si>
  <si>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</si>
  <si>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</si>
  <si>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</si>
  <si>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</si>
  <si>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</si>
  <si>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</si>
  <si>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</si>
  <si>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</si>
  <si>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</si>
  <si>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</si>
  <si>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</si>
  <si>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</si>
  <si>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</si>
  <si>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</si>
  <si>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</si>
  <si>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</si>
  <si>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</si>
  <si>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</si>
  <si>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H20260817001-002</t>
  </si>
  <si>
    <t>223030000321A</t>
  </si>
  <si>
    <t>H20260117012</t>
  </si>
  <si>
    <t>H20260410011</t>
  </si>
  <si>
    <t>H20260701056</t>
  </si>
  <si>
    <t>H20260923001</t>
  </si>
  <si>
    <t>223130060021A</t>
  </si>
  <si>
    <t>防水塞</t>
  </si>
  <si>
    <t>H20260117013</t>
  </si>
  <si>
    <t>H20260526014</t>
  </si>
  <si>
    <t>H20260820003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</si>
  <si>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</si>
  <si>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</si>
  <si>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</si>
  <si>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</si>
  <si>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</si>
  <si>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</si>
  <si>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</si>
  <si>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</si>
  <si>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</si>
  <si>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</si>
  <si>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</si>
  <si>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</si>
  <si>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</si>
  <si>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</si>
  <si>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</si>
  <si>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H20260824017</t>
  </si>
  <si>
    <t>705A65010041A</t>
  </si>
  <si>
    <t>纸卡</t>
  </si>
  <si>
    <t>H20260117019</t>
  </si>
  <si>
    <t>H20260413021</t>
  </si>
  <si>
    <t>H20260706027</t>
  </si>
  <si>
    <t>H20260927021</t>
  </si>
  <si>
    <t>224640100041A</t>
  </si>
  <si>
    <t>H20260119001</t>
  </si>
  <si>
    <t>H20260422063</t>
  </si>
  <si>
    <t>H20260717004</t>
  </si>
  <si>
    <t>H20261010006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</si>
  <si>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</si>
  <si>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</si>
  <si>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</si>
  <si>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</si>
  <si>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</si>
  <si>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</si>
  <si>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</si>
  <si>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</si>
  <si>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H20260903003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</si>
  <si>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</si>
  <si>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</si>
  <si>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</si>
  <si>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</si>
  <si>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</si>
  <si>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</si>
  <si>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</si>
  <si>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</si>
  <si>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</si>
  <si>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</si>
  <si>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</si>
  <si>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</si>
  <si>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</si>
  <si>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</si>
  <si>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</si>
  <si>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</si>
  <si>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</si>
  <si>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H20260927008-012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</si>
  <si>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</si>
  <si>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</si>
  <si>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</si>
  <si>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</si>
  <si>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</si>
  <si>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</si>
  <si>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H20260831008</t>
  </si>
  <si>
    <t>H20260119022</t>
  </si>
  <si>
    <t>H20260416017</t>
  </si>
  <si>
    <t>H20260831007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</si>
  <si>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</si>
  <si>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</si>
  <si>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</si>
  <si>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</si>
  <si>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</si>
  <si>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</si>
  <si>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</si>
  <si>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</si>
  <si>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</si>
  <si>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</si>
  <si>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</si>
  <si>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</si>
  <si>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H20260929004</t>
  </si>
  <si>
    <t>221072120051A</t>
  </si>
  <si>
    <t>H20260119028</t>
  </si>
  <si>
    <t>H20260720026</t>
  </si>
  <si>
    <t>221029010051A</t>
  </si>
  <si>
    <t>H20260119029</t>
  </si>
  <si>
    <t>凌志链接（TE）</t>
  </si>
  <si>
    <t>221029010211A</t>
  </si>
  <si>
    <t>H20260119030</t>
  </si>
  <si>
    <t>百生（TE）</t>
  </si>
  <si>
    <t>H20260829008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</si>
  <si>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</si>
  <si>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</si>
  <si>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</si>
  <si>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</si>
  <si>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</si>
  <si>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</si>
  <si>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</si>
  <si>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</si>
  <si>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</si>
  <si>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</si>
  <si>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</si>
  <si>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</si>
  <si>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</si>
  <si>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</si>
  <si>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</si>
  <si>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</si>
  <si>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H20260828035-038</t>
  </si>
  <si>
    <t>昌盛旨</t>
  </si>
  <si>
    <t>716801510011R</t>
  </si>
  <si>
    <t>空白标签</t>
  </si>
  <si>
    <t>H20260119042</t>
  </si>
  <si>
    <t>H20260418051</t>
  </si>
  <si>
    <t>H20260819062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</si>
  <si>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</si>
  <si>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</si>
  <si>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</si>
  <si>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</si>
  <si>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</si>
  <si>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</si>
  <si>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</si>
  <si>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</si>
  <si>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H20260905011</t>
  </si>
  <si>
    <t>307150190041A</t>
  </si>
  <si>
    <t>H20260119045</t>
  </si>
  <si>
    <t>H20260422103</t>
  </si>
  <si>
    <t>H20260905010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</si>
  <si>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</si>
  <si>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</si>
  <si>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</si>
  <si>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</si>
  <si>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</si>
  <si>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</si>
  <si>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</si>
  <si>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</si>
  <si>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H20260907018</t>
  </si>
  <si>
    <t>707806500021R</t>
  </si>
  <si>
    <t>H20260119048</t>
  </si>
  <si>
    <t>H20260528040</t>
  </si>
  <si>
    <t>H20260814027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</si>
  <si>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</si>
  <si>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</si>
  <si>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</si>
  <si>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</si>
  <si>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</si>
  <si>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</si>
  <si>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</si>
  <si>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</si>
  <si>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H20261004011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</si>
  <si>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</si>
  <si>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</si>
  <si>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</si>
  <si>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</si>
  <si>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</si>
  <si>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</si>
  <si>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</si>
  <si>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</si>
  <si>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</si>
  <si>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</si>
  <si>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</si>
  <si>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</si>
  <si>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</si>
  <si>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</si>
  <si>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</si>
  <si>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</si>
  <si>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</si>
  <si>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</si>
  <si>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</si>
  <si>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</si>
  <si>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</si>
  <si>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</si>
  <si>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</si>
  <si>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</si>
  <si>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</si>
  <si>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</si>
  <si>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H20260827003</t>
  </si>
  <si>
    <t>221071030021A</t>
  </si>
  <si>
    <t>H20260120003-004</t>
  </si>
  <si>
    <t>H20260411047-048</t>
  </si>
  <si>
    <t>H20260825023-024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</si>
  <si>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</si>
  <si>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</si>
  <si>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</si>
  <si>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</si>
  <si>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</si>
  <si>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</si>
  <si>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</si>
  <si>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</si>
  <si>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</si>
  <si>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H20260922024</t>
  </si>
  <si>
    <t>221072200071A</t>
  </si>
  <si>
    <t>H20260120012</t>
  </si>
  <si>
    <t>H20260417016</t>
  </si>
  <si>
    <t>H20260710015</t>
  </si>
  <si>
    <t>H20261007005</t>
  </si>
  <si>
    <t>223080060041A</t>
  </si>
  <si>
    <t>H20260120013-014</t>
  </si>
  <si>
    <t>H20260507056-057</t>
  </si>
  <si>
    <t>H20260827004-005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</si>
  <si>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</si>
  <si>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</si>
  <si>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</si>
  <si>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</si>
  <si>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</si>
  <si>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</si>
  <si>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</si>
  <si>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</si>
  <si>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</si>
  <si>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</si>
  <si>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</si>
  <si>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</si>
  <si>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</si>
  <si>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</si>
  <si>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</si>
  <si>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</si>
  <si>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</si>
  <si>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</si>
  <si>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</si>
  <si>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</si>
  <si>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</si>
  <si>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</si>
  <si>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</si>
  <si>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</si>
  <si>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</si>
  <si>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</si>
  <si>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H20260528031</t>
  </si>
  <si>
    <t>223040100011A</t>
  </si>
  <si>
    <t>H20260121057</t>
  </si>
  <si>
    <t>H20260622011</t>
  </si>
  <si>
    <t>H20260910003</t>
  </si>
  <si>
    <t>223040200011A</t>
  </si>
  <si>
    <t>H20260121058</t>
  </si>
  <si>
    <t>H20260622012</t>
  </si>
  <si>
    <t>H20260910002</t>
  </si>
  <si>
    <t>401001010021A</t>
  </si>
  <si>
    <t>上壳</t>
  </si>
  <si>
    <t>H20260121059</t>
  </si>
  <si>
    <t>H20260613001</t>
  </si>
  <si>
    <t>H20260907001</t>
  </si>
  <si>
    <t>401001020021A</t>
  </si>
  <si>
    <t>下壳</t>
  </si>
  <si>
    <t>H20260121060</t>
  </si>
  <si>
    <t>H20260613002</t>
  </si>
  <si>
    <t>H20260908011</t>
  </si>
  <si>
    <t>223130050011A</t>
  </si>
  <si>
    <t>前防水圈</t>
  </si>
  <si>
    <t>H20260121061</t>
  </si>
  <si>
    <t>H20260522016</t>
  </si>
  <si>
    <t>H20260815005</t>
  </si>
  <si>
    <t>223130040011A</t>
  </si>
  <si>
    <t>后防水圈</t>
  </si>
  <si>
    <t>H20260121062</t>
  </si>
  <si>
    <t>H20260522015</t>
  </si>
  <si>
    <t>H20260822005</t>
  </si>
  <si>
    <t>224640200041A</t>
  </si>
  <si>
    <t>H20260121063</t>
  </si>
  <si>
    <t>H20260528017</t>
  </si>
  <si>
    <t>H20260819058</t>
  </si>
  <si>
    <t>221079120081A</t>
  </si>
  <si>
    <t>H20260121064</t>
  </si>
  <si>
    <t>H20260522018</t>
  </si>
  <si>
    <t>H20260920035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</si>
  <si>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</si>
  <si>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</si>
  <si>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</si>
  <si>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</si>
  <si>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</si>
  <si>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</si>
  <si>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</si>
  <si>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</si>
  <si>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</si>
  <si>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</si>
  <si>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</si>
  <si>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</si>
  <si>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</si>
  <si>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</si>
  <si>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</si>
  <si>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</si>
  <si>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</si>
  <si>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</si>
  <si>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</si>
  <si>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</si>
  <si>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</si>
  <si>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</si>
  <si>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</si>
  <si>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</si>
  <si>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</si>
  <si>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</si>
  <si>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</si>
  <si>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</si>
  <si>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</si>
  <si>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</si>
  <si>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H20260814028-031</t>
  </si>
  <si>
    <t>101201000021A</t>
  </si>
  <si>
    <t>H20260121080-091</t>
  </si>
  <si>
    <t>H20260829033-044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</si>
  <si>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</si>
  <si>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</si>
  <si>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</si>
  <si>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</si>
  <si>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</si>
  <si>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</si>
  <si>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</si>
  <si>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</si>
  <si>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</si>
  <si>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</si>
  <si>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</si>
  <si>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</si>
  <si>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</si>
  <si>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H20260924066</t>
  </si>
  <si>
    <t>701A8A6D0031R</t>
  </si>
  <si>
    <t>H20260121096</t>
  </si>
  <si>
    <t>H20260528036</t>
  </si>
  <si>
    <t>H20260930014</t>
  </si>
  <si>
    <t>701A7B3D0011A</t>
  </si>
  <si>
    <t>H20260121097</t>
  </si>
  <si>
    <t>H20260608013</t>
  </si>
  <si>
    <t>H20260924063</t>
  </si>
  <si>
    <t>7174822H0011A</t>
  </si>
  <si>
    <t>H20260121098</t>
  </si>
  <si>
    <t>H20260929023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</si>
  <si>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</si>
  <si>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</si>
  <si>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</si>
  <si>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</si>
  <si>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</si>
  <si>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</si>
  <si>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</si>
  <si>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</si>
  <si>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</si>
  <si>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H20260817012-015</t>
  </si>
  <si>
    <t>223020090311A</t>
  </si>
  <si>
    <t>H20260122009-010</t>
  </si>
  <si>
    <t>H20260706008-009</t>
  </si>
  <si>
    <t>H20260919001-002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</si>
  <si>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</si>
  <si>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</si>
  <si>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</si>
  <si>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</si>
  <si>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</si>
  <si>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</si>
  <si>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</si>
  <si>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</si>
  <si>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</si>
  <si>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H20261004008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</si>
  <si>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</si>
  <si>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</si>
  <si>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</si>
  <si>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</si>
  <si>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</si>
  <si>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</si>
  <si>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</si>
  <si>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H20260902067</t>
  </si>
  <si>
    <t>223070490011A</t>
  </si>
  <si>
    <t>H20260122017</t>
  </si>
  <si>
    <t>H20260512001</t>
  </si>
  <si>
    <t>H20260815001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</si>
  <si>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</si>
  <si>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</si>
  <si>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</si>
  <si>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</si>
  <si>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</si>
  <si>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</si>
  <si>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</si>
  <si>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</si>
  <si>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</si>
  <si>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</si>
  <si>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</si>
  <si>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</si>
  <si>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</si>
  <si>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</si>
  <si>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</si>
  <si>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</si>
  <si>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</si>
  <si>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</si>
  <si>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</si>
  <si>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H20261008062</t>
  </si>
  <si>
    <t>219302030011A</t>
  </si>
  <si>
    <t>H20260122023</t>
  </si>
  <si>
    <t>浩宝源（3M）</t>
  </si>
  <si>
    <t>103282680011A</t>
  </si>
  <si>
    <t>3M排线</t>
  </si>
  <si>
    <t>H20260122024-025</t>
  </si>
  <si>
    <t>凌志链接（3M）</t>
  </si>
  <si>
    <t>H20260512019-020</t>
  </si>
  <si>
    <t>美亚创新（3M）</t>
  </si>
  <si>
    <t>H20260910005-006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</si>
  <si>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</si>
  <si>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</si>
  <si>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</si>
  <si>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</si>
  <si>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</si>
  <si>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</si>
  <si>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</si>
  <si>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</si>
  <si>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</si>
  <si>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</si>
  <si>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</si>
  <si>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</si>
  <si>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</si>
  <si>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</si>
  <si>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H20261009006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</si>
  <si>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</si>
  <si>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</si>
  <si>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</si>
  <si>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</si>
  <si>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</si>
  <si>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</si>
  <si>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</si>
  <si>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</si>
  <si>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</si>
  <si>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</si>
  <si>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</si>
  <si>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</si>
  <si>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</si>
  <si>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</si>
  <si>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</si>
  <si>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</si>
  <si>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</si>
  <si>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</si>
  <si>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</si>
  <si>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</si>
  <si>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</si>
  <si>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</si>
  <si>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</si>
  <si>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</si>
  <si>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</si>
  <si>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</si>
  <si>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</si>
  <si>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</si>
  <si>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</si>
  <si>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</si>
  <si>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</si>
  <si>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</si>
  <si>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</si>
  <si>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</si>
  <si>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</si>
  <si>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</si>
  <si>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</si>
  <si>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</si>
  <si>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</si>
  <si>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H20260814024</t>
  </si>
  <si>
    <t>717701280371R</t>
  </si>
  <si>
    <t>H20260123016</t>
  </si>
  <si>
    <t>H20260429038</t>
  </si>
  <si>
    <t>H20260814021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</si>
  <si>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</si>
  <si>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</si>
  <si>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</si>
  <si>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</si>
  <si>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</si>
  <si>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</si>
  <si>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</si>
  <si>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</si>
  <si>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</si>
  <si>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H20260917065</t>
  </si>
  <si>
    <t>717500680011R</t>
  </si>
  <si>
    <t>H20260123020</t>
  </si>
  <si>
    <t>H20260814020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</si>
  <si>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</si>
  <si>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</si>
  <si>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</si>
  <si>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</si>
  <si>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</si>
  <si>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</si>
  <si>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</si>
  <si>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</si>
  <si>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</si>
  <si>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</si>
  <si>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</si>
  <si>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</si>
  <si>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</si>
  <si>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</si>
  <si>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</si>
  <si>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</si>
  <si>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</si>
  <si>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</si>
  <si>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</si>
  <si>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</si>
  <si>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</si>
  <si>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</si>
  <si>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</si>
  <si>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</si>
  <si>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</si>
  <si>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H20260826009-010</t>
  </si>
  <si>
    <t>223110000041A</t>
  </si>
  <si>
    <t>H20260124003</t>
  </si>
  <si>
    <t>H20260514015</t>
  </si>
  <si>
    <t>H20260817011</t>
  </si>
  <si>
    <t>223020000241A</t>
  </si>
  <si>
    <t>长体防水胶壳</t>
  </si>
  <si>
    <t>H20260124004</t>
  </si>
  <si>
    <t>H20260526002</t>
  </si>
  <si>
    <t>H20260820001</t>
  </si>
  <si>
    <t>223100020021A</t>
  </si>
  <si>
    <t>H20260124005</t>
  </si>
  <si>
    <t>H20260525042</t>
  </si>
  <si>
    <t>H20260826011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</si>
  <si>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</si>
  <si>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</si>
  <si>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</si>
  <si>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</si>
  <si>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</si>
  <si>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</si>
  <si>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</si>
  <si>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H20260902062-063</t>
  </si>
  <si>
    <t>223020060231A</t>
  </si>
  <si>
    <t>H20260124010-011</t>
  </si>
  <si>
    <t>H20260518007-008</t>
  </si>
  <si>
    <t>H20260814003-004</t>
  </si>
  <si>
    <t>223030000121A</t>
  </si>
  <si>
    <t>H20260124012-013</t>
  </si>
  <si>
    <t>223020000231A</t>
  </si>
  <si>
    <t>H20260124014-015</t>
  </si>
  <si>
    <t>H20260418010-011</t>
  </si>
  <si>
    <t>H20260713001-002</t>
  </si>
  <si>
    <t>H20261008057-058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</si>
  <si>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</si>
  <si>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</si>
  <si>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</si>
  <si>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</si>
  <si>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</si>
  <si>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</si>
  <si>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</si>
  <si>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</si>
  <si>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</si>
  <si>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</si>
  <si>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</si>
  <si>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</si>
  <si>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</si>
  <si>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</si>
  <si>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</si>
  <si>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</si>
  <si>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</si>
  <si>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</si>
  <si>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</si>
  <si>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</si>
  <si>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</si>
  <si>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</si>
  <si>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H20260815030-033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</si>
  <si>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</si>
  <si>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</si>
  <si>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</si>
  <si>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</si>
  <si>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</si>
  <si>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</si>
  <si>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</si>
  <si>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</si>
  <si>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</si>
  <si>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</si>
  <si>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H20260902064-065</t>
  </si>
  <si>
    <t>224042200011A</t>
  </si>
  <si>
    <t>H20260126006</t>
  </si>
  <si>
    <t>H20260417013</t>
  </si>
  <si>
    <t>H20260710017</t>
  </si>
  <si>
    <t>H20261009002</t>
  </si>
  <si>
    <t>224542200151A</t>
  </si>
  <si>
    <t>H20260126007</t>
  </si>
  <si>
    <t>H20260511005</t>
  </si>
  <si>
    <t>H20260815002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</si>
  <si>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</si>
  <si>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</si>
  <si>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</si>
  <si>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</si>
  <si>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</si>
  <si>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</si>
  <si>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</si>
  <si>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</si>
  <si>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</si>
  <si>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</si>
  <si>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</si>
  <si>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</si>
  <si>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</si>
  <si>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H20260903009-012</t>
  </si>
  <si>
    <t>221079010021A</t>
  </si>
  <si>
    <t>H20260126015-016</t>
  </si>
  <si>
    <t>H20260515006-007</t>
  </si>
  <si>
    <t>H20260916005-006</t>
  </si>
  <si>
    <t>223030060271A</t>
  </si>
  <si>
    <t>H20260126017-018</t>
  </si>
  <si>
    <t>H20260511017-018</t>
  </si>
  <si>
    <t>H20260821007-008</t>
  </si>
  <si>
    <t>224000010051A</t>
  </si>
  <si>
    <t>H20260126020-022</t>
  </si>
  <si>
    <t>H20260507053-055</t>
  </si>
  <si>
    <t>H20260919007-009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</si>
  <si>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</si>
  <si>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</si>
  <si>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</si>
  <si>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</si>
  <si>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</si>
  <si>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</si>
  <si>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</si>
  <si>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</si>
  <si>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H20260818006</t>
  </si>
  <si>
    <t>401031200031A</t>
  </si>
  <si>
    <t>H20260126027</t>
  </si>
  <si>
    <t>H20260429010</t>
  </si>
  <si>
    <t>H20260818005</t>
  </si>
  <si>
    <t>223080000291A</t>
  </si>
  <si>
    <t>内胶壳</t>
  </si>
  <si>
    <t>H20260126028</t>
  </si>
  <si>
    <t>H20260428057</t>
  </si>
  <si>
    <t>H20260817035</t>
  </si>
  <si>
    <t>306020020011A</t>
  </si>
  <si>
    <t>红色锁扣</t>
  </si>
  <si>
    <t>H20260126029</t>
  </si>
  <si>
    <t>H20260428056</t>
  </si>
  <si>
    <t>H20260817034</t>
  </si>
  <si>
    <t>306060000011A</t>
  </si>
  <si>
    <t>H20260126030</t>
  </si>
  <si>
    <t>H20260428058</t>
  </si>
  <si>
    <t>H20260817033</t>
  </si>
  <si>
    <t>223080000281A</t>
  </si>
  <si>
    <t>H20260126031</t>
  </si>
  <si>
    <t>H20260429006</t>
  </si>
  <si>
    <t>H20260817032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</si>
  <si>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</si>
  <si>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</si>
  <si>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</si>
  <si>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</si>
  <si>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</si>
  <si>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</si>
  <si>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</si>
  <si>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</si>
  <si>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</si>
  <si>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</si>
  <si>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</si>
  <si>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</si>
  <si>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</si>
  <si>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</si>
  <si>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</si>
  <si>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</si>
  <si>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</si>
  <si>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</si>
  <si>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</si>
  <si>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</si>
  <si>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</si>
  <si>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</si>
  <si>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</si>
  <si>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</si>
  <si>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</si>
  <si>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</si>
  <si>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</si>
  <si>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</si>
  <si>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</si>
  <si>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</si>
  <si>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</si>
  <si>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</si>
  <si>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</si>
  <si>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</si>
  <si>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</si>
  <si>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H20261008068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</si>
  <si>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</si>
  <si>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</si>
  <si>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</si>
  <si>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</si>
  <si>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</si>
  <si>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</si>
  <si>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</si>
  <si>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</si>
  <si>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</si>
  <si>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</si>
  <si>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</si>
  <si>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</si>
  <si>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H20260923013</t>
  </si>
  <si>
    <t>703C0B500011R</t>
  </si>
  <si>
    <t>H20260126051</t>
  </si>
  <si>
    <t>H20260609017</t>
  </si>
  <si>
    <t>H20260919016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</si>
  <si>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</si>
  <si>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</si>
  <si>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</si>
  <si>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</si>
  <si>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</si>
  <si>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</si>
  <si>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</si>
  <si>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</si>
  <si>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</si>
  <si>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</si>
  <si>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</si>
  <si>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H20260923012</t>
  </si>
  <si>
    <t>2010129Z0031A</t>
  </si>
  <si>
    <t>H20260127001-002</t>
  </si>
  <si>
    <t>H20260512002-003</t>
  </si>
  <si>
    <t>H20260818002-003</t>
  </si>
  <si>
    <t>223100000031A</t>
  </si>
  <si>
    <t>H20260127003</t>
  </si>
  <si>
    <t>H20260526001</t>
  </si>
  <si>
    <t>H20260826012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</si>
  <si>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</si>
  <si>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</si>
  <si>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</si>
  <si>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</si>
  <si>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</si>
  <si>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</si>
  <si>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</si>
  <si>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</si>
  <si>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</si>
  <si>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H20260821002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</si>
  <si>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</si>
  <si>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</si>
  <si>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</si>
  <si>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</si>
  <si>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</si>
  <si>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</si>
  <si>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</si>
  <si>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</si>
  <si>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</si>
  <si>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</si>
  <si>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H20260825022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</si>
  <si>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</si>
  <si>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</si>
  <si>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</si>
  <si>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</si>
  <si>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</si>
  <si>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</si>
  <si>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</si>
  <si>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</si>
  <si>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</si>
  <si>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</si>
  <si>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</si>
  <si>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</si>
  <si>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</si>
  <si>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</si>
  <si>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</si>
  <si>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H20260820007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</si>
  <si>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</si>
  <si>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</si>
  <si>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</si>
  <si>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</si>
  <si>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</si>
  <si>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</si>
  <si>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</si>
  <si>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</si>
  <si>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</si>
  <si>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</si>
  <si>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</si>
  <si>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</si>
  <si>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</si>
  <si>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</si>
  <si>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</si>
  <si>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</si>
  <si>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</si>
  <si>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</si>
  <si>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</si>
  <si>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</si>
  <si>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</si>
  <si>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</si>
  <si>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</si>
  <si>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H20260831017-018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</si>
  <si>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</si>
  <si>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</si>
  <si>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</si>
  <si>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</si>
  <si>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</si>
  <si>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</si>
  <si>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</si>
  <si>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</si>
  <si>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</si>
  <si>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</si>
  <si>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</si>
  <si>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H20260911010-014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</si>
  <si>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</si>
  <si>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</si>
  <si>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</si>
  <si>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</si>
  <si>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</si>
  <si>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</si>
  <si>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</si>
  <si>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</si>
  <si>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</si>
  <si>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</si>
  <si>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</si>
  <si>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FDC526线材</t>
  </si>
  <si>
    <t>H20260128082-088</t>
  </si>
  <si>
    <t>H20260825006-012</t>
  </si>
  <si>
    <t>104200260011A</t>
  </si>
  <si>
    <t>蓝色 UL1007</t>
  </si>
  <si>
    <t>H20260128089-090</t>
  </si>
  <si>
    <t>H20260506034-035</t>
  </si>
  <si>
    <t>H20260817025-026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</si>
  <si>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</si>
  <si>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</si>
  <si>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</si>
  <si>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</si>
  <si>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</si>
  <si>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</si>
  <si>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</si>
  <si>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</si>
  <si>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H20260824016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</si>
  <si>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</si>
  <si>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</si>
  <si>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</si>
  <si>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</si>
  <si>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</si>
  <si>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</si>
  <si>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</si>
  <si>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</si>
  <si>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</si>
  <si>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</si>
  <si>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</si>
  <si>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</si>
  <si>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</si>
  <si>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</si>
  <si>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</si>
  <si>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</si>
  <si>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</si>
  <si>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</si>
  <si>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</si>
  <si>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</si>
  <si>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</si>
  <si>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</si>
  <si>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</si>
  <si>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H20260928002-003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</si>
  <si>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</si>
  <si>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</si>
  <si>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</si>
  <si>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</si>
  <si>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</si>
  <si>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</si>
  <si>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</si>
  <si>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</si>
  <si>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</si>
  <si>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</si>
  <si>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</si>
  <si>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</si>
  <si>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</si>
  <si>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</si>
  <si>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</si>
  <si>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</si>
  <si>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</si>
  <si>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</si>
  <si>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</si>
  <si>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</si>
  <si>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</si>
  <si>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</si>
  <si>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</si>
  <si>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H20260831021-022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</si>
  <si>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</si>
  <si>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</si>
  <si>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</si>
  <si>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</si>
  <si>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</si>
  <si>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</si>
  <si>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</si>
  <si>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H20260828039</t>
  </si>
  <si>
    <t>801A05010011A</t>
  </si>
  <si>
    <t>H20260128109</t>
  </si>
  <si>
    <t>H20260519029</t>
  </si>
  <si>
    <t>H20261008070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</si>
  <si>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</si>
  <si>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</si>
  <si>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</si>
  <si>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</si>
  <si>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</si>
  <si>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</si>
  <si>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</si>
  <si>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H20260915010</t>
  </si>
  <si>
    <t>22454Y200041A</t>
  </si>
  <si>
    <t>H20260129001</t>
  </si>
  <si>
    <t>H20260525003</t>
  </si>
  <si>
    <t>H20260907002</t>
  </si>
  <si>
    <t>221079120091A</t>
  </si>
  <si>
    <t>H20260129002</t>
  </si>
  <si>
    <t>H20260929005</t>
  </si>
  <si>
    <t>223080070021A</t>
  </si>
  <si>
    <t>H20260129003</t>
  </si>
  <si>
    <t>H20260511003</t>
  </si>
  <si>
    <t>H20260902068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</si>
  <si>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</si>
  <si>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</si>
  <si>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</si>
  <si>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</si>
  <si>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</si>
  <si>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</si>
  <si>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</si>
  <si>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</si>
  <si>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</si>
  <si>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</si>
  <si>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</si>
  <si>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</si>
  <si>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</si>
  <si>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H20260905006</t>
  </si>
  <si>
    <t>221079120021A</t>
  </si>
  <si>
    <t>H20260129011</t>
  </si>
  <si>
    <t>H20260507014</t>
  </si>
  <si>
    <t>H20260828009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</si>
  <si>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</si>
  <si>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</si>
  <si>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</si>
  <si>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</si>
  <si>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</si>
  <si>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</si>
  <si>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</si>
  <si>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H20260929008-012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</si>
  <si>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</si>
  <si>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</si>
  <si>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</si>
  <si>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</si>
  <si>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</si>
  <si>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</si>
  <si>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</si>
  <si>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</si>
  <si>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</si>
  <si>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</si>
  <si>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</si>
  <si>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</si>
  <si>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</si>
  <si>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H20260923009-010</t>
  </si>
  <si>
    <t>202017100101A</t>
  </si>
  <si>
    <t>H20260129023-024</t>
  </si>
  <si>
    <t>H20260701062-063</t>
  </si>
  <si>
    <t>H20260923007-008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</si>
  <si>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</si>
  <si>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</si>
  <si>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</si>
  <si>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</si>
  <si>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</si>
  <si>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</si>
  <si>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</si>
  <si>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</si>
  <si>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H20260815003</t>
  </si>
  <si>
    <t>221072010231A</t>
  </si>
  <si>
    <t>H20260130003-004</t>
  </si>
  <si>
    <t>H20260601001-002</t>
  </si>
  <si>
    <t>223030000541A</t>
  </si>
  <si>
    <t>H20260130005-006</t>
  </si>
  <si>
    <t>H20260507025-026</t>
  </si>
  <si>
    <t>H20260814001-002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</si>
  <si>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</si>
  <si>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</si>
  <si>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</si>
  <si>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</si>
  <si>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</si>
  <si>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</si>
  <si>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</si>
  <si>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</si>
  <si>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</si>
  <si>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</si>
  <si>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</si>
  <si>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</si>
  <si>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H20261005014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</si>
  <si>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</si>
  <si>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</si>
  <si>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</si>
  <si>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</si>
  <si>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</si>
  <si>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</si>
  <si>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</si>
  <si>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</si>
  <si>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</si>
  <si>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</si>
  <si>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</si>
  <si>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</si>
  <si>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</si>
  <si>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</si>
  <si>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</si>
  <si>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</si>
  <si>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</si>
  <si>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H20260820002</t>
  </si>
  <si>
    <t>221072030091A</t>
  </si>
  <si>
    <t>H20260131003-004</t>
  </si>
  <si>
    <t>H20260422046-047</t>
  </si>
  <si>
    <t>H20260710006-007</t>
  </si>
  <si>
    <t>H20261005008-009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</si>
  <si>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</si>
  <si>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</si>
  <si>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</si>
  <si>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</si>
  <si>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</si>
  <si>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</si>
  <si>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</si>
  <si>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</si>
  <si>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</si>
  <si>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</si>
  <si>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</si>
  <si>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</si>
  <si>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</si>
  <si>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H20260824003</t>
  </si>
  <si>
    <t>223070020011A</t>
  </si>
  <si>
    <t>H20260131012</t>
  </si>
  <si>
    <t>H20260815004</t>
  </si>
  <si>
    <t>223070090051A</t>
  </si>
  <si>
    <t>H20260131013</t>
  </si>
  <si>
    <t>H20260902069</t>
  </si>
  <si>
    <t>223070060061A</t>
  </si>
  <si>
    <t>H20260131014</t>
  </si>
  <si>
    <t>H20260824005</t>
  </si>
  <si>
    <t>2010129Z0041A</t>
  </si>
  <si>
    <t>H20260131015-016</t>
  </si>
  <si>
    <t>H20260514016-017</t>
  </si>
  <si>
    <t>224500000011A</t>
  </si>
  <si>
    <t>H20260131018</t>
  </si>
  <si>
    <t>H20260507015</t>
  </si>
  <si>
    <t>H20260904005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</si>
  <si>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</si>
  <si>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</si>
  <si>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</si>
  <si>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</si>
  <si>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</si>
  <si>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</si>
  <si>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</si>
  <si>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</si>
  <si>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</si>
  <si>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</si>
  <si>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H20260917059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</si>
  <si>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</si>
  <si>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</si>
  <si>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</si>
  <si>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</si>
  <si>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</si>
  <si>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</si>
  <si>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</si>
  <si>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</si>
  <si>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</si>
  <si>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</si>
  <si>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</si>
  <si>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</si>
  <si>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</si>
  <si>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H20260829018</t>
  </si>
  <si>
    <t>716A0A0D0011A</t>
  </si>
  <si>
    <t>H20260131026</t>
  </si>
  <si>
    <t>H20260424038</t>
  </si>
  <si>
    <t>H20260824014</t>
  </si>
  <si>
    <t>221052010011A</t>
  </si>
  <si>
    <t>H20260202001</t>
  </si>
  <si>
    <t>H20260507017</t>
  </si>
  <si>
    <t>220407010021A</t>
  </si>
  <si>
    <t>H20260202002</t>
  </si>
  <si>
    <t>H20260921001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</si>
  <si>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</si>
  <si>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</si>
  <si>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</si>
  <si>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</si>
  <si>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</si>
  <si>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</si>
  <si>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</si>
  <si>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</si>
  <si>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</si>
  <si>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</si>
  <si>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</si>
  <si>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</si>
  <si>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</si>
  <si>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</si>
  <si>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</si>
  <si>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</si>
  <si>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H20260831003</t>
  </si>
  <si>
    <t>223070460041A</t>
  </si>
  <si>
    <t>H20260202009</t>
  </si>
  <si>
    <t>H20260513056</t>
  </si>
  <si>
    <t>H20260827002</t>
  </si>
  <si>
    <t>223180090141H</t>
  </si>
  <si>
    <t>H20260202010</t>
  </si>
  <si>
    <t>H20260528034</t>
  </si>
  <si>
    <t>H20260822003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</si>
  <si>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</si>
  <si>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</si>
  <si>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</si>
  <si>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</si>
  <si>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</si>
  <si>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</si>
  <si>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</si>
  <si>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H20260909056-061</t>
  </si>
  <si>
    <t>206161060031A</t>
  </si>
  <si>
    <t>H20260202019-024</t>
  </si>
  <si>
    <t>H20260518015-020</t>
  </si>
  <si>
    <t>H20260909062-067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</si>
  <si>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</si>
  <si>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</si>
  <si>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</si>
  <si>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</si>
  <si>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</si>
  <si>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</si>
  <si>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</si>
  <si>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</si>
  <si>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</si>
  <si>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</si>
  <si>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</si>
  <si>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H20260919003-006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</si>
  <si>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</si>
  <si>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</si>
  <si>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</si>
  <si>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</si>
  <si>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</si>
  <si>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</si>
  <si>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</si>
  <si>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</si>
  <si>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</si>
  <si>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</si>
  <si>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</si>
  <si>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</si>
  <si>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</si>
  <si>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</si>
  <si>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</si>
  <si>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H20260824004</t>
  </si>
  <si>
    <t>223080000041A</t>
  </si>
  <si>
    <t>黑色支架</t>
  </si>
  <si>
    <t>H20260203007</t>
  </si>
  <si>
    <t>223080070011A</t>
  </si>
  <si>
    <t>H20260203008</t>
  </si>
  <si>
    <t>H20260428053</t>
  </si>
  <si>
    <t>H20260914034</t>
  </si>
  <si>
    <t>223020000841A</t>
  </si>
  <si>
    <t>H20260203009-010</t>
  </si>
  <si>
    <t>H20260514011-012</t>
  </si>
  <si>
    <t>H20260817003-004</t>
  </si>
  <si>
    <t>223020001011A</t>
  </si>
  <si>
    <t>H20260203011-012</t>
  </si>
  <si>
    <t>H20260901007-008</t>
  </si>
  <si>
    <t>223020010141A</t>
  </si>
  <si>
    <t>H20260203013-014</t>
  </si>
  <si>
    <t>H20260514007-008</t>
  </si>
  <si>
    <t>H20260926001-002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</si>
  <si>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</si>
  <si>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</si>
  <si>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</si>
  <si>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</si>
  <si>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</si>
  <si>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</si>
  <si>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</si>
  <si>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H20260825020-021</t>
  </si>
  <si>
    <t>22407Y110011A</t>
  </si>
  <si>
    <t>H20260203019-021</t>
  </si>
  <si>
    <t>H20260509007-009</t>
  </si>
  <si>
    <t>H20260826006-008</t>
  </si>
  <si>
    <t>104180590011A</t>
  </si>
  <si>
    <t>UL1015 #18 白色</t>
  </si>
  <si>
    <t>H20260203022-023</t>
  </si>
  <si>
    <t>H20260506038-039</t>
  </si>
  <si>
    <t>H20260815010-011</t>
  </si>
  <si>
    <t>104180550011A</t>
  </si>
  <si>
    <t>UL1015 #18绿色</t>
  </si>
  <si>
    <t>H20260203024-025</t>
  </si>
  <si>
    <t>H20260506036-037</t>
  </si>
  <si>
    <t>H20260815012-013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</si>
  <si>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</si>
  <si>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</si>
  <si>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</si>
  <si>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</si>
  <si>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</si>
  <si>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</si>
  <si>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</si>
  <si>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</si>
  <si>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</si>
  <si>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</si>
  <si>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</si>
  <si>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</si>
  <si>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H20260912018</t>
  </si>
  <si>
    <t>223070000051A</t>
  </si>
  <si>
    <t>H20260203055</t>
  </si>
  <si>
    <t>H20260424015</t>
  </si>
  <si>
    <t>223070090061A</t>
  </si>
  <si>
    <t>H20260203048</t>
  </si>
  <si>
    <t>H20260518006</t>
  </si>
  <si>
    <t>H20260915008</t>
  </si>
  <si>
    <t>美洋</t>
  </si>
  <si>
    <t>601188050011A</t>
  </si>
  <si>
    <t>H20260203049</t>
  </si>
  <si>
    <t>H20260603056</t>
  </si>
  <si>
    <t>H20260911005</t>
  </si>
  <si>
    <t>唯信</t>
  </si>
  <si>
    <t>223080060011A</t>
  </si>
  <si>
    <t>H20260203054</t>
  </si>
  <si>
    <t>H20260512006</t>
  </si>
  <si>
    <t>H20260814013</t>
  </si>
  <si>
    <t>225020500021A</t>
  </si>
  <si>
    <t>内胶芯</t>
  </si>
  <si>
    <t>H20260203050-051</t>
  </si>
  <si>
    <t>H20260512008-009</t>
  </si>
  <si>
    <t>H20260814011-012</t>
  </si>
  <si>
    <t>224000000011A</t>
  </si>
  <si>
    <t>上铁壳</t>
  </si>
  <si>
    <t>H20260203052</t>
  </si>
  <si>
    <t>H20260512007</t>
  </si>
  <si>
    <t>H20260814015</t>
  </si>
  <si>
    <t>224000020021A</t>
  </si>
  <si>
    <t>下铁壳</t>
  </si>
  <si>
    <t>H20260203053</t>
  </si>
  <si>
    <t>H20260512010</t>
  </si>
  <si>
    <t>H20260814014</t>
  </si>
  <si>
    <t>223030060191A</t>
  </si>
  <si>
    <t>H20260204059-060</t>
  </si>
  <si>
    <t>H20260428042-043</t>
  </si>
  <si>
    <t>2230700G0021A</t>
  </si>
  <si>
    <t>H20260204061</t>
  </si>
  <si>
    <t>H20260428054</t>
  </si>
  <si>
    <t>H20261004006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</si>
  <si>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</si>
  <si>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</si>
  <si>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</si>
  <si>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</si>
  <si>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</si>
  <si>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</si>
  <si>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</si>
  <si>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</si>
  <si>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</si>
  <si>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</si>
  <si>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</si>
  <si>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</si>
  <si>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</si>
  <si>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</si>
  <si>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H20260817005-006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</si>
  <si>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</si>
  <si>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</si>
  <si>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</si>
  <si>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</si>
  <si>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</si>
  <si>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</si>
  <si>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</si>
  <si>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</si>
  <si>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</si>
  <si>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</si>
  <si>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</si>
  <si>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</si>
  <si>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</si>
  <si>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</si>
  <si>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</si>
  <si>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</si>
  <si>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</si>
  <si>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</si>
  <si>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</si>
  <si>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</si>
  <si>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</si>
  <si>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</si>
  <si>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</si>
  <si>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</si>
  <si>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</si>
  <si>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</si>
  <si>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</si>
  <si>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</si>
  <si>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</si>
  <si>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</si>
  <si>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</si>
  <si>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</si>
  <si>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</si>
  <si>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</si>
  <si>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</si>
  <si>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</si>
  <si>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</si>
  <si>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</si>
  <si>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</si>
  <si>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</si>
  <si>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</si>
  <si>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</si>
  <si>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</si>
  <si>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H20260825003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</si>
  <si>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</si>
  <si>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</si>
  <si>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</si>
  <si>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</si>
  <si>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</si>
  <si>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</si>
  <si>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</si>
  <si>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</si>
  <si>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</si>
  <si>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</si>
  <si>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</si>
  <si>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</si>
  <si>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</si>
  <si>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H20260828043-044</t>
  </si>
  <si>
    <t>双舟</t>
  </si>
  <si>
    <t>101260400051A</t>
  </si>
  <si>
    <t>H20260205013-020</t>
  </si>
  <si>
    <t>H20260817017-024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</si>
  <si>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</si>
  <si>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</si>
  <si>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</si>
  <si>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</si>
  <si>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</si>
  <si>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</si>
  <si>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</si>
  <si>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</si>
  <si>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</si>
  <si>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</si>
  <si>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H20260904002-003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</si>
  <si>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</si>
  <si>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</si>
  <si>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</si>
  <si>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</si>
  <si>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</si>
  <si>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</si>
  <si>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</si>
  <si>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</si>
  <si>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</si>
  <si>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</si>
  <si>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</si>
  <si>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</si>
  <si>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</si>
  <si>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</si>
  <si>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</si>
  <si>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</si>
  <si>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</si>
  <si>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</si>
  <si>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</si>
  <si>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</si>
  <si>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</si>
  <si>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</si>
  <si>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</si>
  <si>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</si>
  <si>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</si>
  <si>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</si>
  <si>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</si>
  <si>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H20260921002-003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</si>
  <si>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</si>
  <si>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</si>
  <si>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</si>
  <si>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</si>
  <si>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</si>
  <si>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</si>
  <si>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</si>
  <si>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</si>
  <si>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H20260831034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</si>
  <si>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</si>
  <si>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</si>
  <si>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</si>
  <si>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</si>
  <si>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</si>
  <si>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</si>
  <si>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</si>
  <si>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H20260905012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</si>
  <si>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</si>
  <si>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</si>
  <si>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</si>
  <si>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</si>
  <si>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</si>
  <si>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</si>
  <si>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</si>
  <si>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</si>
  <si>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</si>
  <si>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</si>
  <si>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</si>
  <si>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</si>
  <si>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</si>
  <si>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</si>
  <si>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</si>
  <si>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</si>
  <si>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</si>
  <si>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</si>
  <si>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</si>
  <si>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</si>
  <si>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</si>
  <si>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</si>
  <si>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</si>
  <si>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</si>
  <si>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</si>
  <si>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</si>
  <si>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</si>
  <si>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</si>
  <si>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</si>
  <si>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</si>
  <si>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</si>
  <si>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</si>
  <si>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</si>
  <si>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</si>
  <si>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</si>
  <si>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</si>
  <si>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</si>
  <si>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</si>
  <si>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</si>
  <si>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</si>
  <si>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</si>
  <si>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</si>
  <si>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</si>
  <si>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</si>
  <si>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防水泡棉</t>
  </si>
  <si>
    <t>H20260702038</t>
  </si>
  <si>
    <t>H20260929022</t>
  </si>
  <si>
    <t>H20260209022</t>
  </si>
  <si>
    <t>H20260702037</t>
  </si>
  <si>
    <t>H20260929021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</si>
  <si>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</si>
  <si>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</si>
  <si>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</si>
  <si>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</si>
  <si>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</si>
  <si>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</si>
  <si>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</si>
  <si>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</si>
  <si>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H20260904001</t>
  </si>
  <si>
    <t>309180200061A</t>
  </si>
  <si>
    <t>H20260209025</t>
  </si>
  <si>
    <t>H20260523012</t>
  </si>
  <si>
    <t>H20260905008</t>
  </si>
  <si>
    <t>309130200031A</t>
  </si>
  <si>
    <t>H20260209026</t>
  </si>
  <si>
    <t>H20260523010</t>
  </si>
  <si>
    <t>H20260905007</t>
  </si>
  <si>
    <t>221079120051A</t>
  </si>
  <si>
    <t>H20260209027</t>
  </si>
  <si>
    <t>国进科技</t>
  </si>
  <si>
    <t>206000090011A</t>
  </si>
  <si>
    <t>H20260209028-031</t>
  </si>
  <si>
    <t>H20260523004-007</t>
  </si>
  <si>
    <t>H20260905002-005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</si>
  <si>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</si>
  <si>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</si>
  <si>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</si>
  <si>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</si>
  <si>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</si>
  <si>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</si>
  <si>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</si>
  <si>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</si>
  <si>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</si>
  <si>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</si>
  <si>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</si>
  <si>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</si>
  <si>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</si>
  <si>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</si>
  <si>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</si>
  <si>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</si>
  <si>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</si>
  <si>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</si>
  <si>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</si>
  <si>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H20261007019-027</t>
  </si>
  <si>
    <t>101200500041A</t>
  </si>
  <si>
    <t>黑色圆线</t>
  </si>
  <si>
    <t>H20260209070-079</t>
  </si>
  <si>
    <t>101220200091A</t>
  </si>
  <si>
    <t>H20260209080-085</t>
  </si>
  <si>
    <t xml:space="preserve"> 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</si>
  <si>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</si>
  <si>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</si>
  <si>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</si>
  <si>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</si>
  <si>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</si>
  <si>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</si>
  <si>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</si>
  <si>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</si>
  <si>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</si>
  <si>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</si>
  <si>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</si>
  <si>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</si>
  <si>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</si>
  <si>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H20260825014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</si>
  <si>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</si>
  <si>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</si>
  <si>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</si>
  <si>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</si>
  <si>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</si>
  <si>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</si>
  <si>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</si>
  <si>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</si>
  <si>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</si>
  <si>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</si>
  <si>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</si>
  <si>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</si>
  <si>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</si>
  <si>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</si>
  <si>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</si>
  <si>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</si>
  <si>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</si>
  <si>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</si>
  <si>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</si>
  <si>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</si>
  <si>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</si>
  <si>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</si>
  <si>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</si>
  <si>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</si>
  <si>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</si>
  <si>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</si>
  <si>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</si>
  <si>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</si>
  <si>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</si>
  <si>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</si>
  <si>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</si>
  <si>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</si>
  <si>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</si>
  <si>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</si>
  <si>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H20260914050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</si>
  <si>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</si>
  <si>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</si>
  <si>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</si>
  <si>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</si>
  <si>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</si>
  <si>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</si>
  <si>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</si>
  <si>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</si>
  <si>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</si>
  <si>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H20260915001-002</t>
  </si>
  <si>
    <t>223020001081A</t>
  </si>
  <si>
    <t>H20260227004-005</t>
  </si>
  <si>
    <t>H20260514003-004</t>
  </si>
  <si>
    <t>H20260817007-008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</si>
  <si>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</si>
  <si>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</si>
  <si>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</si>
  <si>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</si>
  <si>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</si>
  <si>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</si>
  <si>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</si>
  <si>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</si>
  <si>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</si>
  <si>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</si>
  <si>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</si>
  <si>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</si>
  <si>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</si>
  <si>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</si>
  <si>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</si>
  <si>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</si>
  <si>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</si>
  <si>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</si>
  <si>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</si>
  <si>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</si>
  <si>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</si>
  <si>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</si>
  <si>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</si>
  <si>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H20260903001</t>
  </si>
  <si>
    <t>223020000181A</t>
  </si>
  <si>
    <t>H20260228006</t>
  </si>
  <si>
    <t>H20260611058</t>
  </si>
  <si>
    <t>H20260917050</t>
  </si>
  <si>
    <t>223020010151A</t>
  </si>
  <si>
    <t>H20260228007-008</t>
  </si>
  <si>
    <t>H20260601029-030</t>
  </si>
  <si>
    <t>H20260901005-006</t>
  </si>
  <si>
    <t>223020001071A</t>
  </si>
  <si>
    <t>H20260228009-010</t>
  </si>
  <si>
    <t>H20260601031-032</t>
  </si>
  <si>
    <t>H20260901001-002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</si>
  <si>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</si>
  <si>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</si>
  <si>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</si>
  <si>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</si>
  <si>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</si>
  <si>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</si>
  <si>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</si>
  <si>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</si>
  <si>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</si>
  <si>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</si>
  <si>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</si>
  <si>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</si>
  <si>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</si>
  <si>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</si>
  <si>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</si>
  <si>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</si>
  <si>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</si>
  <si>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</si>
  <si>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</si>
  <si>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</si>
  <si>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</si>
  <si>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</si>
  <si>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</si>
  <si>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</si>
  <si>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</si>
  <si>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</si>
  <si>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H20260825017</t>
  </si>
  <si>
    <t>220202010031A</t>
  </si>
  <si>
    <t>H20260302014</t>
  </si>
  <si>
    <t>H20260520003</t>
  </si>
  <si>
    <t>H20260825015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</si>
  <si>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</si>
  <si>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</si>
  <si>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</si>
  <si>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</si>
  <si>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</si>
  <si>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</si>
  <si>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</si>
  <si>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</si>
  <si>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</si>
  <si>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</si>
  <si>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</si>
  <si>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</si>
  <si>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</si>
  <si>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H0260818007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</si>
  <si>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</si>
  <si>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</si>
  <si>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</si>
  <si>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</si>
  <si>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</si>
  <si>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</si>
  <si>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</si>
  <si>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</si>
  <si>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</si>
  <si>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</si>
  <si>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</si>
  <si>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</si>
  <si>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</si>
  <si>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</si>
  <si>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</si>
  <si>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</si>
  <si>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</si>
  <si>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</si>
  <si>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</si>
  <si>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</si>
  <si>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</si>
  <si>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</si>
  <si>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</si>
  <si>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H20260903002</t>
  </si>
  <si>
    <t>223180000171A</t>
  </si>
  <si>
    <t>H20260304003</t>
  </si>
  <si>
    <t xml:space="preserve">223020070111A </t>
  </si>
  <si>
    <t>H20260304004</t>
  </si>
  <si>
    <t>H20260527014</t>
  </si>
  <si>
    <t>H0260818008</t>
  </si>
  <si>
    <t>223180060091A</t>
  </si>
  <si>
    <t>H20260304005</t>
  </si>
  <si>
    <t>H20260813009</t>
  </si>
  <si>
    <t>223180060081A</t>
  </si>
  <si>
    <t>H20260304006</t>
  </si>
  <si>
    <t>H20260916007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</si>
  <si>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</si>
  <si>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</si>
  <si>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</si>
  <si>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</si>
  <si>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</si>
  <si>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</si>
  <si>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</si>
  <si>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</si>
  <si>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</si>
  <si>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</si>
  <si>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</si>
  <si>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</si>
  <si>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</si>
  <si>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</si>
  <si>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</si>
  <si>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</si>
  <si>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</si>
  <si>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</si>
  <si>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</si>
  <si>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</si>
  <si>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</si>
  <si>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</si>
  <si>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</si>
  <si>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</si>
  <si>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</si>
  <si>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</si>
  <si>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</si>
  <si>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</si>
  <si>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</si>
  <si>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</si>
  <si>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</si>
  <si>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</si>
  <si>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</si>
  <si>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</si>
  <si>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</si>
  <si>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</si>
  <si>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H20261008066</t>
  </si>
  <si>
    <t>223070000081A</t>
  </si>
  <si>
    <t>H20260306003</t>
  </si>
  <si>
    <t>221079200071A</t>
  </si>
  <si>
    <t>H20260306004-006</t>
  </si>
  <si>
    <t>H20260611061-063</t>
  </si>
  <si>
    <t>H20260917054-057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</si>
  <si>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</si>
  <si>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</si>
  <si>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</si>
  <si>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</si>
  <si>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</si>
  <si>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</si>
  <si>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</si>
  <si>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</si>
  <si>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</si>
  <si>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H 20260913023-036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</si>
  <si>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</si>
  <si>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</si>
  <si>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</si>
  <si>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</si>
  <si>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</si>
  <si>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</si>
  <si>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</si>
  <si>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H20260928008-009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</si>
  <si>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</si>
  <si>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</si>
  <si>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</si>
  <si>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</si>
  <si>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</si>
  <si>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</si>
  <si>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</si>
  <si>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</si>
  <si>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</si>
  <si>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</si>
  <si>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</si>
  <si>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</si>
  <si>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</si>
  <si>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H20260828010</t>
  </si>
  <si>
    <t>306020070021A</t>
  </si>
  <si>
    <t>H20260307007</t>
  </si>
  <si>
    <t>H20260703027</t>
  </si>
  <si>
    <t>223180060021A</t>
  </si>
  <si>
    <t>H20260307008</t>
  </si>
  <si>
    <t>H20260609002</t>
  </si>
  <si>
    <t>H20260929006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</si>
  <si>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</si>
  <si>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</si>
  <si>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</si>
  <si>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</si>
  <si>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</si>
  <si>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</si>
  <si>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</si>
  <si>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</si>
  <si>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</si>
  <si>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</si>
  <si>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</si>
  <si>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</si>
  <si>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</si>
  <si>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</si>
  <si>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</si>
  <si>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</si>
  <si>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</si>
  <si>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</si>
  <si>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</si>
  <si>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</si>
  <si>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</si>
  <si>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</si>
  <si>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</si>
  <si>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</si>
  <si>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H20260908003-004</t>
  </si>
  <si>
    <t>306000000091A</t>
  </si>
  <si>
    <t>H20260309005</t>
  </si>
  <si>
    <t>H20260601006</t>
  </si>
  <si>
    <t>H20260821009</t>
  </si>
  <si>
    <t>平方线</t>
  </si>
  <si>
    <t>黑色胶料</t>
  </si>
  <si>
    <t>H20260309006</t>
  </si>
  <si>
    <t>223180090111A</t>
  </si>
  <si>
    <t>H20260309021</t>
  </si>
  <si>
    <t>H20260706030</t>
  </si>
  <si>
    <t>H20261008064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</si>
  <si>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</si>
  <si>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</si>
  <si>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</si>
  <si>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</si>
  <si>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</si>
  <si>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</si>
  <si>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</si>
  <si>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</si>
  <si>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</si>
  <si>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</si>
  <si>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</si>
  <si>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</si>
  <si>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</si>
  <si>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</si>
  <si>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0.35平方灰色电子线</t>
  </si>
  <si>
    <t>H20260820012-013</t>
  </si>
  <si>
    <t>307135190011A</t>
  </si>
  <si>
    <t>白色套管</t>
  </si>
  <si>
    <t>H20260309017</t>
  </si>
  <si>
    <t>307120100011A</t>
  </si>
  <si>
    <t>H20260309018</t>
  </si>
  <si>
    <t>H20260612002</t>
  </si>
  <si>
    <t>H20260919012</t>
  </si>
  <si>
    <t>307245100011A</t>
  </si>
  <si>
    <t>黑色超薄套管</t>
  </si>
  <si>
    <t>H20260309019</t>
  </si>
  <si>
    <t>H20260824019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</si>
  <si>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</si>
  <si>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</si>
  <si>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</si>
  <si>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</si>
  <si>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</si>
  <si>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</si>
  <si>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</si>
  <si>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</si>
  <si>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</si>
  <si>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</si>
  <si>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</si>
  <si>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</si>
  <si>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</si>
  <si>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</si>
  <si>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</si>
  <si>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</si>
  <si>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</si>
  <si>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</si>
  <si>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</si>
  <si>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</si>
  <si>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</si>
  <si>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</si>
  <si>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</si>
  <si>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</si>
  <si>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</si>
  <si>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</si>
  <si>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</si>
  <si>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</si>
  <si>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</si>
  <si>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</si>
  <si>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</si>
  <si>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</si>
  <si>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</si>
  <si>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</si>
  <si>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</si>
  <si>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</si>
  <si>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</si>
  <si>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</si>
  <si>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</si>
  <si>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</si>
  <si>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</si>
  <si>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</si>
  <si>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</si>
  <si>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</si>
  <si>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中扬通（泰科）</t>
  </si>
  <si>
    <t>221079220201A</t>
  </si>
  <si>
    <t>H20260310017</t>
  </si>
  <si>
    <t>H20260825013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</si>
  <si>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</si>
  <si>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</si>
  <si>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</si>
  <si>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</si>
  <si>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</si>
  <si>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</si>
  <si>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</si>
  <si>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</si>
  <si>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</si>
  <si>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</si>
  <si>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</si>
  <si>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</si>
  <si>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</si>
  <si>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</si>
  <si>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</si>
  <si>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</si>
  <si>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</si>
  <si>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</si>
  <si>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</si>
  <si>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</si>
  <si>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</si>
  <si>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</si>
  <si>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</si>
  <si>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</si>
  <si>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</si>
  <si>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</si>
  <si>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</si>
  <si>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</si>
  <si>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</si>
  <si>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</si>
  <si>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</si>
  <si>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</si>
  <si>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</si>
  <si>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</si>
  <si>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</si>
  <si>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</si>
  <si>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</si>
  <si>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</si>
  <si>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</si>
  <si>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</si>
  <si>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</si>
  <si>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</si>
  <si>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</si>
  <si>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</si>
  <si>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</si>
  <si>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</si>
  <si>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</si>
  <si>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</si>
  <si>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</si>
  <si>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</si>
  <si>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</si>
  <si>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H20261006016-019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</si>
  <si>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</si>
  <si>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</si>
  <si>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</si>
  <si>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</si>
  <si>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</si>
  <si>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</si>
  <si>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</si>
  <si>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</si>
  <si>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</si>
  <si>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</si>
  <si>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</si>
  <si>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</si>
  <si>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</si>
  <si>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</si>
  <si>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</si>
  <si>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</si>
  <si>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</si>
  <si>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</si>
  <si>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</si>
  <si>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</si>
  <si>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</si>
  <si>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</si>
  <si>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</si>
  <si>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</si>
  <si>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H20260825016</t>
  </si>
  <si>
    <t>219202100011A</t>
  </si>
  <si>
    <t>H20260313003-004</t>
  </si>
  <si>
    <t>H20260629001-002</t>
  </si>
  <si>
    <t>H20260930010</t>
  </si>
  <si>
    <t>219181040011A</t>
  </si>
  <si>
    <t>H20260313005-006</t>
  </si>
  <si>
    <t>H20260629004-005</t>
  </si>
  <si>
    <t>304090080011A</t>
  </si>
  <si>
    <t>H20260313007</t>
  </si>
  <si>
    <t>H20260622013</t>
  </si>
  <si>
    <t>H20260930011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</si>
  <si>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</si>
  <si>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</si>
  <si>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</si>
  <si>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</si>
  <si>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</si>
  <si>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</si>
  <si>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</si>
  <si>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</si>
  <si>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</si>
  <si>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</si>
  <si>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</si>
  <si>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</si>
  <si>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</si>
  <si>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</si>
  <si>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</si>
  <si>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</si>
  <si>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</si>
  <si>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</si>
  <si>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</si>
  <si>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</si>
  <si>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</si>
  <si>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</si>
  <si>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H20260910001</t>
  </si>
  <si>
    <t>223180090161A</t>
  </si>
  <si>
    <t>H20260314002</t>
  </si>
  <si>
    <t>H20260623001</t>
  </si>
  <si>
    <t>223180090131H</t>
  </si>
  <si>
    <t>H20260314003</t>
  </si>
  <si>
    <t>H20260610003</t>
  </si>
  <si>
    <t>H20260908015</t>
  </si>
  <si>
    <t>223180000121H</t>
  </si>
  <si>
    <t>H20260314004</t>
  </si>
  <si>
    <t>H20260625007</t>
  </si>
  <si>
    <t>H20260928014</t>
  </si>
  <si>
    <t>223180060031H</t>
  </si>
  <si>
    <t>H20260314005</t>
  </si>
  <si>
    <t>H20260610002</t>
  </si>
  <si>
    <t>H20260929007</t>
  </si>
  <si>
    <t>223110000071A</t>
  </si>
  <si>
    <t>H20260314006</t>
  </si>
  <si>
    <t>H20260629003</t>
  </si>
  <si>
    <t>219251040021A</t>
  </si>
  <si>
    <t>H20260314007</t>
  </si>
  <si>
    <t>H20260828011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</si>
  <si>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</si>
  <si>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</si>
  <si>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</si>
  <si>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</si>
  <si>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</si>
  <si>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</si>
  <si>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</si>
  <si>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</si>
  <si>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</si>
  <si>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</si>
  <si>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</si>
  <si>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</si>
  <si>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</si>
  <si>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</si>
  <si>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</si>
  <si>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H20260914040-049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</si>
  <si>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</si>
  <si>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</si>
  <si>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</si>
  <si>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</si>
  <si>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</si>
  <si>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</si>
  <si>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</si>
  <si>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</si>
  <si>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</si>
  <si>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</si>
  <si>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</si>
  <si>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</si>
  <si>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</si>
  <si>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</si>
  <si>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</si>
  <si>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</si>
  <si>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</si>
  <si>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</si>
  <si>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</si>
  <si>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</si>
  <si>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</si>
  <si>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</si>
  <si>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</si>
  <si>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</si>
  <si>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</si>
  <si>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</si>
  <si>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</si>
  <si>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</si>
  <si>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</si>
  <si>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</si>
  <si>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</si>
  <si>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</si>
  <si>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</si>
  <si>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</si>
  <si>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</si>
  <si>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</si>
  <si>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</si>
  <si>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</si>
  <si>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</si>
  <si>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</si>
  <si>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</si>
  <si>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</si>
  <si>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</si>
  <si>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</si>
  <si>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</si>
  <si>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</si>
  <si>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</si>
  <si>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</si>
  <si>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</si>
  <si>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</si>
  <si>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</si>
  <si>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</si>
  <si>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</si>
  <si>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</si>
  <si>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H20260923006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</si>
  <si>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</si>
  <si>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</si>
  <si>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</si>
  <si>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</si>
  <si>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</si>
  <si>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</si>
  <si>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</si>
  <si>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</si>
  <si>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</si>
  <si>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</si>
  <si>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</si>
  <si>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</si>
  <si>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</si>
  <si>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</si>
  <si>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</si>
  <si>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</si>
  <si>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</si>
  <si>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H20260916015</t>
  </si>
  <si>
    <t>717701280031R</t>
  </si>
  <si>
    <t>H20260317015</t>
  </si>
  <si>
    <t>H20260917068</t>
  </si>
  <si>
    <t>717701280061R</t>
  </si>
  <si>
    <t>H20260317016</t>
  </si>
  <si>
    <t>H20260907016</t>
  </si>
  <si>
    <t>717701280071R</t>
  </si>
  <si>
    <t>H20260317017</t>
  </si>
  <si>
    <t>H20260907017</t>
  </si>
  <si>
    <t>717701280081R</t>
  </si>
  <si>
    <t>H20260317018</t>
  </si>
  <si>
    <t>H20260916010</t>
  </si>
  <si>
    <t>717701280091R</t>
  </si>
  <si>
    <t>H20260317019</t>
  </si>
  <si>
    <t>H20260916011</t>
  </si>
  <si>
    <t>717701280101R</t>
  </si>
  <si>
    <t>H20260317020</t>
  </si>
  <si>
    <t>H20260916012</t>
  </si>
  <si>
    <t>717701280111R</t>
  </si>
  <si>
    <t>H20260317021</t>
  </si>
  <si>
    <t>H20260916013</t>
  </si>
  <si>
    <t>717701280121R</t>
  </si>
  <si>
    <t>H20260317022</t>
  </si>
  <si>
    <t>H20260916014</t>
  </si>
  <si>
    <t>717701280131R</t>
  </si>
  <si>
    <t>H20260317023</t>
  </si>
  <si>
    <t>H20260917069</t>
  </si>
  <si>
    <t>717701280141R</t>
  </si>
  <si>
    <t>H20260317024</t>
  </si>
  <si>
    <t>H20260917070</t>
  </si>
  <si>
    <t>717701280151R</t>
  </si>
  <si>
    <t>H20260317025</t>
  </si>
  <si>
    <t>H20260916016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</si>
  <si>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</si>
  <si>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</si>
  <si>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</si>
  <si>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</si>
  <si>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</si>
  <si>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</si>
  <si>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</si>
  <si>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</si>
  <si>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</si>
  <si>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</si>
  <si>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</si>
  <si>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</si>
  <si>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</si>
  <si>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</si>
  <si>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</si>
  <si>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</si>
  <si>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</si>
  <si>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</si>
  <si>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</si>
  <si>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</si>
  <si>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</si>
  <si>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</si>
  <si>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</si>
  <si>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</si>
  <si>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</si>
  <si>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</si>
  <si>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</si>
  <si>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</si>
  <si>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</si>
  <si>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</si>
  <si>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H20260916017</t>
  </si>
  <si>
    <t>717090680011R</t>
  </si>
  <si>
    <t>H20260317041</t>
  </si>
  <si>
    <t>H20260917067</t>
  </si>
  <si>
    <t>707090680011R</t>
  </si>
  <si>
    <t>H20260317042</t>
  </si>
  <si>
    <t>717A25580181A</t>
  </si>
  <si>
    <t>H20260317043</t>
  </si>
  <si>
    <t>H20260917066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</si>
  <si>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</si>
  <si>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</si>
  <si>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</si>
  <si>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</si>
  <si>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</si>
  <si>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</si>
  <si>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</si>
  <si>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</si>
  <si>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</si>
  <si>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</si>
  <si>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</si>
  <si>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</si>
  <si>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</si>
  <si>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</si>
  <si>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</si>
  <si>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</si>
  <si>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</si>
  <si>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</si>
  <si>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</si>
  <si>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</si>
  <si>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</si>
  <si>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</si>
  <si>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</si>
  <si>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</si>
  <si>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</si>
  <si>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</si>
  <si>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</si>
  <si>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</si>
  <si>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</si>
  <si>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</si>
  <si>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</si>
  <si>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</si>
  <si>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</si>
  <si>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</si>
  <si>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</si>
  <si>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</si>
  <si>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</si>
  <si>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</si>
  <si>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</si>
  <si>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</si>
  <si>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</si>
  <si>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</si>
  <si>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</si>
  <si>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</si>
  <si>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</si>
  <si>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H20260814023</t>
  </si>
  <si>
    <t>717701280491R</t>
  </si>
  <si>
    <t>H20260318025</t>
  </si>
  <si>
    <t>H20260814022</t>
  </si>
  <si>
    <t>223020000461A</t>
  </si>
  <si>
    <t>H20260319001</t>
  </si>
  <si>
    <t>H20260625002</t>
  </si>
  <si>
    <t>H20260920031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</si>
  <si>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</si>
  <si>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</si>
  <si>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</si>
  <si>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</si>
  <si>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</si>
  <si>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</si>
  <si>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</si>
  <si>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</si>
  <si>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</si>
  <si>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</si>
  <si>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</si>
  <si>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</si>
  <si>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</si>
  <si>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</si>
  <si>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</si>
  <si>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</si>
  <si>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</si>
  <si>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H20260916001-004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</si>
  <si>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</si>
  <si>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</si>
  <si>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</si>
  <si>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</si>
  <si>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</si>
  <si>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</si>
  <si>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</si>
  <si>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H20261010047-054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</si>
  <si>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</si>
  <si>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</si>
  <si>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</si>
  <si>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</si>
  <si>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</si>
  <si>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</si>
  <si>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</si>
  <si>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</si>
  <si>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</si>
  <si>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</si>
  <si>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</si>
  <si>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</si>
  <si>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</si>
  <si>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</si>
  <si>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</si>
  <si>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</si>
  <si>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</si>
  <si>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</si>
  <si>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</si>
  <si>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</si>
  <si>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</si>
  <si>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</si>
  <si>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H20260910007-008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</si>
  <si>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</si>
  <si>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</si>
  <si>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</si>
  <si>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</si>
  <si>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</si>
  <si>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</si>
  <si>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</si>
  <si>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</si>
  <si>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</si>
  <si>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</si>
  <si>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</si>
  <si>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</si>
  <si>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</si>
  <si>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</si>
  <si>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</si>
  <si>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H20260911036-037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</si>
  <si>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</si>
  <si>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</si>
  <si>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</si>
  <si>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</si>
  <si>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</si>
  <si>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</si>
  <si>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</si>
  <si>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</si>
  <si>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</si>
  <si>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</si>
  <si>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</si>
  <si>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</si>
  <si>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</si>
  <si>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</si>
  <si>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</si>
  <si>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</si>
  <si>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</si>
  <si>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</si>
  <si>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</si>
  <si>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</si>
  <si>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</si>
  <si>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</si>
  <si>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</si>
  <si>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</si>
  <si>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</si>
  <si>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</si>
  <si>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H20260820006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</si>
  <si>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</si>
  <si>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</si>
  <si>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</si>
  <si>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</si>
  <si>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</si>
  <si>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</si>
  <si>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</si>
  <si>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</si>
  <si>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</si>
  <si>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</si>
  <si>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</si>
  <si>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</si>
  <si>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</si>
  <si>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</si>
  <si>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</si>
  <si>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</si>
  <si>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</si>
  <si>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</si>
  <si>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</si>
  <si>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</si>
  <si>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</si>
  <si>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</si>
  <si>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H20260930050-070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</si>
  <si>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</si>
  <si>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</si>
  <si>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</si>
  <si>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</si>
  <si>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</si>
  <si>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</si>
  <si>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</si>
  <si>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</si>
  <si>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</si>
  <si>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</si>
  <si>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</si>
  <si>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</si>
  <si>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</si>
  <si>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</si>
  <si>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</si>
  <si>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</si>
  <si>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</si>
  <si>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</si>
  <si>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</si>
  <si>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</si>
  <si>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</si>
  <si>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</si>
  <si>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</si>
  <si>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</si>
  <si>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</si>
  <si>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</si>
  <si>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</si>
  <si>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</si>
  <si>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</si>
  <si>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</si>
  <si>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</si>
  <si>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</si>
  <si>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</si>
  <si>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</si>
  <si>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</si>
  <si>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</si>
  <si>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</si>
  <si>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</si>
  <si>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</si>
  <si>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</si>
  <si>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</si>
  <si>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</si>
  <si>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</si>
  <si>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</si>
  <si>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</si>
  <si>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</si>
  <si>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</si>
  <si>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</si>
  <si>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</si>
  <si>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</si>
  <si>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</si>
  <si>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</si>
  <si>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</si>
  <si>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</si>
  <si>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</si>
  <si>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</si>
  <si>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</si>
  <si>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</si>
  <si>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</si>
  <si>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</si>
  <si>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H20260829028-032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</si>
  <si>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</si>
  <si>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</si>
  <si>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</si>
  <si>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</si>
  <si>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</si>
  <si>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</si>
  <si>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</si>
  <si>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</si>
  <si>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</si>
  <si>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</si>
  <si>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</si>
  <si>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H20260926003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</si>
  <si>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</si>
  <si>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</si>
  <si>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</si>
  <si>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</si>
  <si>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</si>
  <si>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</si>
  <si>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</si>
  <si>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</si>
  <si>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</si>
  <si>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</si>
  <si>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</si>
  <si>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</si>
  <si>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</si>
  <si>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</si>
  <si>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</si>
  <si>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</si>
  <si>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</si>
  <si>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</si>
  <si>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</si>
  <si>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</si>
  <si>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</si>
  <si>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</si>
  <si>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</si>
  <si>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</si>
  <si>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</si>
  <si>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</si>
  <si>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</si>
  <si>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</si>
  <si>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</si>
  <si>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</si>
  <si>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</si>
  <si>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</si>
  <si>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</si>
  <si>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</si>
  <si>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</si>
  <si>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</si>
  <si>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</si>
  <si>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</si>
  <si>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</si>
  <si>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</si>
  <si>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H20260903004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</si>
  <si>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</si>
  <si>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</si>
  <si>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</si>
  <si>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</si>
  <si>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</si>
  <si>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</si>
  <si>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</si>
  <si>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</si>
  <si>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</si>
  <si>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</si>
  <si>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</si>
  <si>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</si>
  <si>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</si>
  <si>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</si>
  <si>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</si>
  <si>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</si>
  <si>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</si>
  <si>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</si>
  <si>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</si>
  <si>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</si>
  <si>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</si>
  <si>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</si>
  <si>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</si>
  <si>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</si>
  <si>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</si>
  <si>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</si>
  <si>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</si>
  <si>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</si>
  <si>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</si>
  <si>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H20261007007-018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</si>
  <si>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</si>
  <si>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</si>
  <si>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</si>
  <si>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</si>
  <si>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</si>
  <si>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</si>
  <si>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</si>
  <si>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H20260828002-004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</si>
  <si>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</si>
  <si>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</si>
  <si>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</si>
  <si>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</si>
  <si>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</si>
  <si>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</si>
  <si>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</si>
  <si>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H20260928016</t>
  </si>
  <si>
    <t>101280100011A</t>
  </si>
  <si>
    <t>H20260407025-028</t>
  </si>
  <si>
    <t>H20260824028-031</t>
  </si>
  <si>
    <t>22454Y200021A</t>
  </si>
  <si>
    <t>H20260407021</t>
  </si>
  <si>
    <t>H20260629010</t>
  </si>
  <si>
    <t>H20260920034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</si>
  <si>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</si>
  <si>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</si>
  <si>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</si>
  <si>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</si>
  <si>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</si>
  <si>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</si>
  <si>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</si>
  <si>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</si>
  <si>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H20260924051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</si>
  <si>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</si>
  <si>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</si>
  <si>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</si>
  <si>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</si>
  <si>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</si>
  <si>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</si>
  <si>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</si>
  <si>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</si>
  <si>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</si>
  <si>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</si>
  <si>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</si>
  <si>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</si>
  <si>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</si>
  <si>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</si>
  <si>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</si>
  <si>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</si>
  <si>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</si>
  <si>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</si>
  <si>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</si>
  <si>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</si>
  <si>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</si>
  <si>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</si>
  <si>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</si>
  <si>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</si>
  <si>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</si>
  <si>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</si>
  <si>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</si>
  <si>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</si>
  <si>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</si>
  <si>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</si>
  <si>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</si>
  <si>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</si>
  <si>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</si>
  <si>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</si>
  <si>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</si>
  <si>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</si>
  <si>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</si>
  <si>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</si>
  <si>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</si>
  <si>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</si>
  <si>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</si>
  <si>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</si>
  <si>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</si>
  <si>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</si>
  <si>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</si>
  <si>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</si>
  <si>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</si>
  <si>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</si>
  <si>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</si>
  <si>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</si>
  <si>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</si>
  <si>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</si>
  <si>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</si>
  <si>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</si>
  <si>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</si>
  <si>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</si>
  <si>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</si>
  <si>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</si>
  <si>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</si>
  <si>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</si>
  <si>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</si>
  <si>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H20261004018-025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</si>
  <si>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</si>
  <si>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</si>
  <si>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</si>
  <si>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</si>
  <si>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</si>
  <si>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</si>
  <si>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</si>
  <si>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H20261008067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</si>
  <si>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</si>
  <si>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</si>
  <si>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</si>
  <si>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</si>
  <si>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</si>
  <si>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</si>
  <si>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</si>
  <si>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</si>
  <si>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</si>
  <si>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</si>
  <si>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</si>
  <si>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H20261006014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</si>
  <si>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</si>
  <si>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</si>
  <si>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</si>
  <si>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</si>
  <si>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</si>
  <si>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</si>
  <si>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</si>
  <si>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</si>
  <si>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H20261008065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</si>
  <si>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</si>
  <si>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</si>
  <si>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</si>
  <si>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</si>
  <si>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</si>
  <si>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</si>
  <si>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</si>
  <si>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H20260908001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</si>
  <si>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</si>
  <si>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</si>
  <si>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</si>
  <si>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</si>
  <si>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</si>
  <si>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</si>
  <si>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</si>
  <si>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</si>
  <si>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</si>
  <si>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H20260927004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</si>
  <si>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</si>
  <si>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</si>
  <si>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</si>
  <si>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</si>
  <si>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</si>
  <si>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</si>
  <si>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</si>
  <si>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</si>
  <si>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</si>
  <si>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</si>
  <si>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</si>
  <si>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</si>
  <si>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</si>
  <si>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</si>
  <si>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</si>
  <si>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</si>
  <si>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</si>
  <si>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</si>
  <si>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</si>
  <si>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H20260825025-026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</si>
  <si>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</si>
  <si>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</si>
  <si>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</si>
  <si>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</si>
  <si>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</si>
  <si>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</si>
  <si>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</si>
  <si>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</si>
  <si>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</si>
  <si>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</si>
  <si>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</si>
  <si>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</si>
  <si>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</si>
  <si>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</si>
  <si>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</si>
  <si>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</si>
  <si>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</si>
  <si>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</si>
  <si>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</si>
  <si>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</si>
  <si>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</si>
  <si>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</si>
  <si>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</si>
  <si>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</si>
  <si>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</si>
  <si>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</si>
  <si>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</si>
  <si>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</si>
  <si>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</si>
  <si>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</si>
  <si>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</si>
  <si>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</si>
  <si>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</si>
  <si>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</si>
  <si>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</si>
  <si>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</si>
  <si>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</si>
  <si>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</si>
  <si>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</si>
  <si>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</si>
  <si>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</si>
  <si>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</si>
  <si>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</si>
  <si>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</si>
  <si>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</si>
  <si>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H20261006004-006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</si>
  <si>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</si>
  <si>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</si>
  <si>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</si>
  <si>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</si>
  <si>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</si>
  <si>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</si>
  <si>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</si>
  <si>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</si>
  <si>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H20260828012-020</t>
  </si>
  <si>
    <t>2250200Z0021A</t>
  </si>
  <si>
    <t>母插座</t>
  </si>
  <si>
    <t>H20260418032-039</t>
  </si>
  <si>
    <t>H20260828021-034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</si>
  <si>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</si>
  <si>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</si>
  <si>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</si>
  <si>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</si>
  <si>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</si>
  <si>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</si>
  <si>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</si>
  <si>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</si>
  <si>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</si>
  <si>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</si>
  <si>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</si>
  <si>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</si>
  <si>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</si>
  <si>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</si>
  <si>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</si>
  <si>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H20260928006-007</t>
  </si>
  <si>
    <t>223020080351A</t>
  </si>
  <si>
    <t>H20260420020-021</t>
  </si>
  <si>
    <t>H20260901003-004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</si>
  <si>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</si>
  <si>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</si>
  <si>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</si>
  <si>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</si>
  <si>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</si>
  <si>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</si>
  <si>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</si>
  <si>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</si>
  <si>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</si>
  <si>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</si>
  <si>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</si>
  <si>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</si>
  <si>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</si>
  <si>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</si>
  <si>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H20260831019-020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</si>
  <si>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</si>
  <si>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</si>
  <si>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</si>
  <si>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</si>
  <si>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</si>
  <si>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</si>
  <si>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</si>
  <si>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</si>
  <si>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</si>
  <si>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</si>
  <si>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</si>
  <si>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</si>
  <si>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</si>
  <si>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</si>
  <si>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</si>
  <si>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</si>
  <si>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</si>
  <si>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</si>
  <si>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</si>
  <si>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</si>
  <si>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</si>
  <si>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</si>
  <si>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</si>
  <si>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H20260908017-018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</si>
  <si>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</si>
  <si>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</si>
  <si>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</si>
  <si>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</si>
  <si>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</si>
  <si>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</si>
  <si>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</si>
  <si>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</si>
  <si>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</si>
  <si>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</si>
  <si>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</si>
  <si>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</si>
  <si>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</si>
  <si>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H20260424035</t>
  </si>
  <si>
    <t>2010129Z0051A</t>
  </si>
  <si>
    <t>H20260425003-004</t>
  </si>
  <si>
    <t>H20260927018-019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</si>
  <si>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</si>
  <si>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</si>
  <si>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</si>
  <si>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</si>
  <si>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</si>
  <si>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</si>
  <si>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</si>
  <si>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H20260923023-030</t>
  </si>
  <si>
    <t>223020020041A</t>
  </si>
  <si>
    <t>H20260427010-013</t>
  </si>
  <si>
    <t>223080000271A</t>
  </si>
  <si>
    <t>H20260427014-015</t>
  </si>
  <si>
    <t>H20260814007-008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</si>
  <si>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</si>
  <si>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</si>
  <si>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</si>
  <si>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</si>
  <si>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</si>
  <si>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</si>
  <si>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</si>
  <si>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</si>
  <si>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</si>
  <si>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</si>
  <si>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</si>
  <si>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</si>
  <si>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</si>
  <si>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</si>
  <si>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</si>
  <si>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</si>
  <si>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</si>
  <si>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</si>
  <si>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</si>
  <si>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</si>
  <si>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</si>
  <si>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</si>
  <si>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</si>
  <si>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H20260829005-006</t>
  </si>
  <si>
    <t>206001050091A</t>
  </si>
  <si>
    <t>H20260428059-063</t>
  </si>
  <si>
    <t>H20260729009-014</t>
  </si>
  <si>
    <t>庆龙</t>
  </si>
  <si>
    <t>101230480011A</t>
  </si>
  <si>
    <t>H20260428064-070</t>
  </si>
  <si>
    <t>H20260815014-020</t>
  </si>
  <si>
    <t>101280400061A</t>
  </si>
  <si>
    <t>H20260428071-080</t>
  </si>
  <si>
    <t>H20260828054-065</t>
  </si>
  <si>
    <t>220132030061A</t>
  </si>
  <si>
    <t>H20260429016</t>
  </si>
  <si>
    <t>H20261010008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</si>
  <si>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</si>
  <si>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</si>
  <si>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</si>
  <si>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</si>
  <si>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</si>
  <si>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</si>
  <si>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</si>
  <si>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</si>
  <si>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</si>
  <si>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</si>
  <si>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</si>
  <si>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</si>
  <si>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</si>
  <si>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</si>
  <si>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</si>
  <si>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</si>
  <si>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</si>
  <si>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</si>
  <si>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</si>
  <si>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</si>
  <si>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</si>
  <si>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</si>
  <si>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</si>
  <si>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</si>
  <si>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</si>
  <si>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</si>
  <si>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</si>
  <si>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</si>
  <si>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</si>
  <si>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</si>
  <si>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</si>
  <si>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</si>
  <si>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</si>
  <si>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</si>
  <si>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</si>
  <si>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</si>
  <si>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H20260825004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</si>
  <si>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</si>
  <si>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</si>
  <si>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</si>
  <si>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</si>
  <si>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</si>
  <si>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</si>
  <si>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</si>
  <si>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H20260924061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</si>
  <si>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</si>
  <si>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</si>
  <si>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</si>
  <si>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</si>
  <si>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</si>
  <si>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</si>
  <si>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</si>
  <si>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</si>
  <si>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</si>
  <si>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</si>
  <si>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</si>
  <si>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</si>
  <si>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</si>
  <si>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</si>
  <si>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</si>
  <si>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</si>
  <si>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</si>
  <si>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</si>
  <si>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</si>
  <si>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</si>
  <si>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</si>
  <si>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</si>
  <si>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</si>
  <si>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</si>
  <si>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</si>
  <si>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</si>
  <si>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</si>
  <si>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</si>
  <si>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</si>
  <si>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</si>
  <si>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</si>
  <si>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</si>
  <si>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</si>
  <si>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</si>
  <si>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</si>
  <si>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</si>
  <si>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</si>
  <si>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</si>
  <si>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</si>
  <si>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</si>
  <si>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</si>
  <si>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</si>
  <si>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</si>
  <si>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</si>
  <si>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</si>
  <si>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</si>
  <si>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</si>
  <si>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</si>
  <si>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</si>
  <si>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</si>
  <si>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</si>
  <si>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</si>
  <si>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</si>
  <si>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</si>
  <si>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</si>
  <si>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</si>
  <si>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</si>
  <si>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</si>
  <si>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</si>
  <si>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</si>
  <si>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</si>
  <si>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</si>
  <si>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</si>
  <si>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</si>
  <si>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</si>
  <si>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</si>
  <si>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</si>
  <si>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</si>
  <si>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</si>
  <si>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</si>
  <si>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</si>
  <si>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</si>
  <si>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</si>
  <si>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</si>
  <si>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</si>
  <si>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</si>
  <si>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</si>
  <si>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H20260821005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</si>
  <si>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</si>
  <si>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</si>
  <si>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</si>
  <si>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</si>
  <si>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</si>
  <si>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</si>
  <si>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</si>
  <si>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</si>
  <si>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</si>
  <si>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</si>
  <si>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H20260814005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</si>
  <si>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</si>
  <si>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</si>
  <si>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</si>
  <si>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</si>
  <si>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</si>
  <si>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</si>
  <si>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</si>
  <si>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</si>
  <si>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</si>
  <si>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H20260831033</t>
  </si>
  <si>
    <t>307140190101A</t>
  </si>
  <si>
    <t>H20260512018</t>
  </si>
  <si>
    <t>H20260824020</t>
  </si>
  <si>
    <t>2010129Z0071A</t>
  </si>
  <si>
    <t>H20260513058-059</t>
  </si>
  <si>
    <t>H20260817009-010</t>
  </si>
  <si>
    <t>223030090221A</t>
  </si>
  <si>
    <t>H20260513061-062</t>
  </si>
  <si>
    <t>宏腾（TE）</t>
  </si>
  <si>
    <t>H20260924059-060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</si>
  <si>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</si>
  <si>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</si>
  <si>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</si>
  <si>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</si>
  <si>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</si>
  <si>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</si>
  <si>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</si>
  <si>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H20260910004</t>
  </si>
  <si>
    <t>101230490011A</t>
  </si>
  <si>
    <t>USB2.0编网线</t>
  </si>
  <si>
    <t>H20260514020-028</t>
  </si>
  <si>
    <t>H20260922029-037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</si>
  <si>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</si>
  <si>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</si>
  <si>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</si>
  <si>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</si>
  <si>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</si>
  <si>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</si>
  <si>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</si>
  <si>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</si>
  <si>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H20260929013-015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</si>
  <si>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</si>
  <si>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</si>
  <si>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</si>
  <si>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</si>
  <si>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</si>
  <si>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</si>
  <si>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</si>
  <si>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H20260814009-010</t>
  </si>
  <si>
    <t>2010129Z0061A</t>
  </si>
  <si>
    <t>H20260518003-004</t>
  </si>
  <si>
    <t>501150000051A</t>
  </si>
  <si>
    <t>H20260518012</t>
  </si>
  <si>
    <t>H20261004014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</si>
  <si>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</si>
  <si>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</si>
  <si>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</si>
  <si>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</si>
  <si>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</si>
  <si>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</si>
  <si>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</si>
  <si>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H20260829013-014</t>
  </si>
  <si>
    <t>101120200051A</t>
  </si>
  <si>
    <t>H20260519018-021</t>
  </si>
  <si>
    <t>上海矽川</t>
  </si>
  <si>
    <t>甩线</t>
  </si>
  <si>
    <t>219201020131A</t>
  </si>
  <si>
    <t>H20260520001-002</t>
  </si>
  <si>
    <t>H20260825018-019</t>
  </si>
  <si>
    <t>402441800021A</t>
  </si>
  <si>
    <t>铜环</t>
  </si>
  <si>
    <t>H20260520006</t>
  </si>
  <si>
    <t>801P05020041A</t>
  </si>
  <si>
    <t>H20260520007</t>
  </si>
  <si>
    <t>H20260817016</t>
  </si>
  <si>
    <t>705403010011H</t>
  </si>
  <si>
    <t>H20260520008</t>
  </si>
  <si>
    <t>H 20260912020</t>
  </si>
  <si>
    <t>H20260520009</t>
  </si>
  <si>
    <t>219202080021A</t>
  </si>
  <si>
    <t>H20260521055</t>
  </si>
  <si>
    <t>浩宝源（JST）</t>
  </si>
  <si>
    <t>H20260904007</t>
  </si>
  <si>
    <t>云汉芯城（JST）</t>
  </si>
  <si>
    <t>220202030041A</t>
  </si>
  <si>
    <t>H20260521054</t>
  </si>
  <si>
    <t>H20260904006</t>
  </si>
  <si>
    <t>H20260521076</t>
  </si>
  <si>
    <t>H20260829019</t>
  </si>
  <si>
    <t>101300600021A</t>
  </si>
  <si>
    <t>UL21394</t>
  </si>
  <si>
    <t>H20260521062-075</t>
  </si>
  <si>
    <t>224542100091A</t>
  </si>
  <si>
    <t>H20260522008</t>
  </si>
  <si>
    <t>H20260829007</t>
  </si>
  <si>
    <t>221072100101A</t>
  </si>
  <si>
    <t>H20260522007</t>
  </si>
  <si>
    <t>H20260930009</t>
  </si>
  <si>
    <t>223020050261A</t>
  </si>
  <si>
    <t>H20260522003-006</t>
  </si>
  <si>
    <t>223020000271A</t>
  </si>
  <si>
    <t>网尾扣</t>
  </si>
  <si>
    <t>H20260522013</t>
  </si>
  <si>
    <t>H20260917051</t>
  </si>
  <si>
    <t>223090030011A</t>
  </si>
  <si>
    <t>H20260522014</t>
  </si>
  <si>
    <t>H20260917052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</si>
  <si>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</si>
  <si>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</si>
  <si>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</si>
  <si>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</si>
  <si>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</si>
  <si>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</si>
  <si>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</si>
  <si>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</si>
  <si>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</si>
  <si>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H20260829009</t>
  </si>
  <si>
    <t>801214040011A</t>
  </si>
  <si>
    <t>H20260525006</t>
  </si>
  <si>
    <t>乐庭</t>
  </si>
  <si>
    <t>101300600011A</t>
  </si>
  <si>
    <t>H20260525025-039</t>
  </si>
  <si>
    <t>H20260914002-015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</si>
  <si>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</si>
  <si>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</si>
  <si>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</si>
  <si>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</si>
  <si>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</si>
  <si>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</si>
  <si>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</si>
  <si>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</si>
  <si>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</si>
  <si>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</si>
  <si>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</si>
  <si>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</si>
  <si>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</si>
  <si>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</si>
  <si>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</si>
  <si>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</si>
  <si>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</si>
  <si>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</si>
  <si>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</si>
  <si>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</si>
  <si>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</si>
  <si>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</si>
  <si>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</si>
  <si>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</si>
  <si>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H20260829001-004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</si>
  <si>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</si>
  <si>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</si>
  <si>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</si>
  <si>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</si>
  <si>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</si>
  <si>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</si>
  <si>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</si>
  <si>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</si>
  <si>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</si>
  <si>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</si>
  <si>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</si>
  <si>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</si>
  <si>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</si>
  <si>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</si>
  <si>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</si>
  <si>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</si>
  <si>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H20261010043-046</t>
  </si>
  <si>
    <t>USB线材</t>
  </si>
  <si>
    <t>吉海</t>
  </si>
  <si>
    <t>224000010081A</t>
  </si>
  <si>
    <t>USB短体三件式</t>
  </si>
  <si>
    <t>H20260528018-021</t>
  </si>
  <si>
    <t>H20260827006-009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</si>
  <si>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</si>
  <si>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</si>
  <si>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</si>
  <si>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</si>
  <si>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</si>
  <si>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</si>
  <si>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</si>
  <si>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</si>
  <si>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</si>
  <si>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</si>
  <si>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</si>
  <si>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</si>
  <si>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</si>
  <si>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</si>
  <si>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凌志链接（泰科）</t>
  </si>
  <si>
    <t>223020000381A</t>
  </si>
  <si>
    <t>H20260528032-033</t>
  </si>
  <si>
    <t>H20260928005</t>
  </si>
  <si>
    <t>励鹏</t>
  </si>
  <si>
    <t>304100000041A</t>
  </si>
  <si>
    <t>硅胶圈</t>
  </si>
  <si>
    <t>H20260528035</t>
  </si>
  <si>
    <t>H20260829017</t>
  </si>
  <si>
    <t>710B0A000011R</t>
  </si>
  <si>
    <t>H20260528038</t>
  </si>
  <si>
    <t>H20260924062</t>
  </si>
  <si>
    <t>307130100081A</t>
  </si>
  <si>
    <t>H20260529011</t>
  </si>
  <si>
    <t>H20260824021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</si>
  <si>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</si>
  <si>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</si>
  <si>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</si>
  <si>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</si>
  <si>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</si>
  <si>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</si>
  <si>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</si>
  <si>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</si>
  <si>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</si>
  <si>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</si>
  <si>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H20260821006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</si>
  <si>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</si>
  <si>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</si>
  <si>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</si>
  <si>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</si>
  <si>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</si>
  <si>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</si>
  <si>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</si>
  <si>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</si>
  <si>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</si>
  <si>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</si>
  <si>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</si>
  <si>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</si>
  <si>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</si>
  <si>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</si>
  <si>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H20260908042-051</t>
  </si>
  <si>
    <t>101280690011A</t>
  </si>
  <si>
    <t>H20260601007-015</t>
  </si>
  <si>
    <t>H20260908032-041</t>
  </si>
  <si>
    <t>223100000051A</t>
  </si>
  <si>
    <t>黑色后塞</t>
  </si>
  <si>
    <t>H20260601028</t>
  </si>
  <si>
    <t>H20260826001</t>
  </si>
  <si>
    <t>UA9CS0000042A</t>
  </si>
  <si>
    <t>红色电子线+防水圈</t>
  </si>
  <si>
    <t>H20260601033-039</t>
  </si>
  <si>
    <t>H20260903013-019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</si>
  <si>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</si>
  <si>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</si>
  <si>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</si>
  <si>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</si>
  <si>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</si>
  <si>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</si>
  <si>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</si>
  <si>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</si>
  <si>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</si>
  <si>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</si>
  <si>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</si>
  <si>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</si>
  <si>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H20260908012-013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</si>
  <si>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</si>
  <si>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</si>
  <si>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</si>
  <si>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</si>
  <si>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</si>
  <si>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</si>
  <si>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</si>
  <si>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</si>
  <si>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</si>
  <si>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H20260929024</t>
  </si>
  <si>
    <t>310052000011A</t>
  </si>
  <si>
    <t>H20260603075</t>
  </si>
  <si>
    <t>H20260905009</t>
  </si>
  <si>
    <t xml:space="preserve">3071401D0021A </t>
  </si>
  <si>
    <t>H20260603076</t>
  </si>
  <si>
    <t>H 20260912021</t>
  </si>
  <si>
    <t>223080060101A</t>
  </si>
  <si>
    <t>H20260604004</t>
  </si>
  <si>
    <t>H20260821001</t>
  </si>
  <si>
    <t>223080090231A</t>
  </si>
  <si>
    <t>H20260604005</t>
  </si>
  <si>
    <t>223080000441A</t>
  </si>
  <si>
    <t>H20260604006</t>
  </si>
  <si>
    <t>H20260822001</t>
  </si>
  <si>
    <t>206152050031A</t>
  </si>
  <si>
    <t>H20260604007-011</t>
  </si>
  <si>
    <t>H20260912002-006</t>
  </si>
  <si>
    <t>223030090171A</t>
  </si>
  <si>
    <t>H20260604002-003</t>
  </si>
  <si>
    <t>101130200011A</t>
  </si>
  <si>
    <t>H20260604013-018</t>
  </si>
  <si>
    <t>220202030011A</t>
  </si>
  <si>
    <t>H20260605006</t>
  </si>
  <si>
    <t>H20260904008</t>
  </si>
  <si>
    <t>224540200171A</t>
  </si>
  <si>
    <t>H20260605002</t>
  </si>
  <si>
    <t>H20261010007</t>
  </si>
  <si>
    <t>洋美</t>
  </si>
  <si>
    <t>501615000011A</t>
  </si>
  <si>
    <t>弹力绳</t>
  </si>
  <si>
    <t>H20260605007-008</t>
  </si>
  <si>
    <t>H20260605027-032</t>
  </si>
  <si>
    <t>H20260911026-031</t>
  </si>
  <si>
    <t>H20260605017-026</t>
  </si>
  <si>
    <t>H20260908022-031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</si>
  <si>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</si>
  <si>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</si>
  <si>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</si>
  <si>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</si>
  <si>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</si>
  <si>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</si>
  <si>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</si>
  <si>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</si>
  <si>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H20260918005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</si>
  <si>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</si>
  <si>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</si>
  <si>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</si>
  <si>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</si>
  <si>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</si>
  <si>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</si>
  <si>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</si>
  <si>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H20260908002</t>
  </si>
  <si>
    <t>221079120061A</t>
  </si>
  <si>
    <t>H20260608012</t>
  </si>
  <si>
    <t>404141120031A</t>
  </si>
  <si>
    <t>H20260608010</t>
  </si>
  <si>
    <t>H20260918006</t>
  </si>
  <si>
    <t>404141120021A</t>
  </si>
  <si>
    <t>H20260608009</t>
  </si>
  <si>
    <t>H20260918007</t>
  </si>
  <si>
    <t>404141120011A</t>
  </si>
  <si>
    <t>H20260608008</t>
  </si>
  <si>
    <t>H20260918008</t>
  </si>
  <si>
    <t>404143120011A</t>
  </si>
  <si>
    <t>H20260608011</t>
  </si>
  <si>
    <t>H20260918009</t>
  </si>
  <si>
    <t>223030060331A</t>
  </si>
  <si>
    <t>淡蓝色胶壳</t>
  </si>
  <si>
    <t>H20260608006</t>
  </si>
  <si>
    <t>2230300Z0031A</t>
  </si>
  <si>
    <t>坚果褐色后盖</t>
  </si>
  <si>
    <t>H20260608007</t>
  </si>
  <si>
    <t>H20260908019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</si>
  <si>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</si>
  <si>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</si>
  <si>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</si>
  <si>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</si>
  <si>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</si>
  <si>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</si>
  <si>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</si>
  <si>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</si>
  <si>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</si>
  <si>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</si>
  <si>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</si>
  <si>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</si>
  <si>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</si>
  <si>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</si>
  <si>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</si>
  <si>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</si>
  <si>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</si>
  <si>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</si>
  <si>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</si>
  <si>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</si>
  <si>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</si>
  <si>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</si>
  <si>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</si>
  <si>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</si>
  <si>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H20260911021-025</t>
  </si>
  <si>
    <t>H20260610033-037</t>
  </si>
  <si>
    <t>H20260914029-033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</si>
  <si>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</si>
  <si>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</si>
  <si>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</si>
  <si>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</si>
  <si>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</si>
  <si>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</si>
  <si>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</si>
  <si>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</si>
  <si>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</si>
  <si>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</si>
  <si>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</si>
  <si>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</si>
  <si>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</si>
  <si>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</si>
  <si>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</si>
  <si>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</si>
  <si>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</si>
  <si>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</si>
  <si>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</si>
  <si>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</si>
  <si>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</si>
  <si>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</si>
  <si>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</si>
  <si>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</si>
  <si>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H20260917053</t>
  </si>
  <si>
    <t>2170120Z0011A</t>
  </si>
  <si>
    <t>H20260611064-065</t>
  </si>
  <si>
    <t>H20260911015-016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</si>
  <si>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</si>
  <si>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</si>
  <si>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</si>
  <si>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</si>
  <si>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</si>
  <si>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</si>
  <si>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</si>
  <si>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H20260908052-057</t>
  </si>
  <si>
    <t>101220300091A</t>
  </si>
  <si>
    <t>H20260612011-016</t>
  </si>
  <si>
    <t>H 20260914016-021</t>
  </si>
  <si>
    <t>101120200021A</t>
  </si>
  <si>
    <t>UL2733</t>
  </si>
  <si>
    <t>H20260612022-025</t>
  </si>
  <si>
    <t>101260100041A</t>
  </si>
  <si>
    <t>H20260612017-021</t>
  </si>
  <si>
    <t>H20260920036-040</t>
  </si>
  <si>
    <t>101240290051A</t>
  </si>
  <si>
    <t>H20260613026-031</t>
  </si>
  <si>
    <t>101240300091A</t>
  </si>
  <si>
    <t>黑色磨砂线材</t>
  </si>
  <si>
    <t>H20260613032-038</t>
  </si>
  <si>
    <t>H0260828047-053</t>
  </si>
  <si>
    <t>101240390041A</t>
  </si>
  <si>
    <t>H20260613039-045</t>
  </si>
  <si>
    <t>H 20260914022-028</t>
  </si>
  <si>
    <t>国进</t>
  </si>
  <si>
    <t>206022050011A</t>
  </si>
  <si>
    <t>H20260613003-006</t>
  </si>
  <si>
    <t>H20260831023-026</t>
  </si>
  <si>
    <t>223080000321A</t>
  </si>
  <si>
    <t>H20260613021-025</t>
  </si>
  <si>
    <t>新东精密</t>
  </si>
  <si>
    <t>225005000001A</t>
  </si>
  <si>
    <t>接触开关</t>
  </si>
  <si>
    <t>H20260613007-011</t>
  </si>
  <si>
    <t>H20260831027-031</t>
  </si>
  <si>
    <t>瑞格思</t>
  </si>
  <si>
    <t>2061510Z0001B</t>
  </si>
  <si>
    <t>H20260613012-015</t>
  </si>
  <si>
    <t>H20260908005-008</t>
  </si>
  <si>
    <t>2120910A0011A</t>
  </si>
  <si>
    <t>电池底座</t>
  </si>
  <si>
    <t>H20260613016-017</t>
  </si>
  <si>
    <t>H20260908009-010</t>
  </si>
  <si>
    <t>214041000011A</t>
  </si>
  <si>
    <t>DIN插头</t>
  </si>
  <si>
    <t>H20260613018-020</t>
  </si>
  <si>
    <t>701B2A5D0011A</t>
  </si>
  <si>
    <t>H20260613052</t>
  </si>
  <si>
    <t>H20260924064</t>
  </si>
  <si>
    <t>304100000051A</t>
  </si>
  <si>
    <t>黑色硅胶圈</t>
  </si>
  <si>
    <t>H20260613049</t>
  </si>
  <si>
    <t>H20260829016</t>
  </si>
  <si>
    <t>801D20040011A</t>
  </si>
  <si>
    <t>电池拉片</t>
  </si>
  <si>
    <t>H20260613050</t>
  </si>
  <si>
    <t>H 20260912019</t>
  </si>
  <si>
    <t>707806500031R</t>
  </si>
  <si>
    <t>H20260613053</t>
  </si>
  <si>
    <t>H 20260912022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</si>
  <si>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</si>
  <si>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</si>
  <si>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</si>
  <si>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</si>
  <si>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</si>
  <si>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</si>
  <si>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</si>
  <si>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</si>
  <si>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H20260911019</t>
  </si>
  <si>
    <t>801M00040011A</t>
  </si>
  <si>
    <t>电池泡棉</t>
  </si>
  <si>
    <t>H20260615009</t>
  </si>
  <si>
    <t>H20260911018</t>
  </si>
  <si>
    <t>801G11240021A</t>
  </si>
  <si>
    <t>H20260615007</t>
  </si>
  <si>
    <t>H20260911017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</si>
  <si>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</si>
  <si>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</si>
  <si>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</si>
  <si>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</si>
  <si>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</si>
  <si>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</si>
  <si>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</si>
  <si>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</si>
  <si>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</si>
  <si>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</si>
  <si>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</si>
  <si>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</si>
  <si>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</si>
  <si>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</si>
  <si>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</si>
  <si>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</si>
  <si>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</si>
  <si>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</si>
  <si>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</si>
  <si>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</si>
  <si>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</si>
  <si>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</si>
  <si>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</si>
  <si>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</si>
  <si>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</si>
  <si>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</si>
  <si>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</si>
  <si>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</si>
  <si>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</si>
  <si>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</si>
  <si>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</si>
  <si>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</si>
  <si>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H20260914035-039</t>
  </si>
  <si>
    <t>601184150031A</t>
  </si>
  <si>
    <t>H20260618009</t>
  </si>
  <si>
    <t>H20260911007</t>
  </si>
  <si>
    <t>601154750011A</t>
  </si>
  <si>
    <t>H20260618011</t>
  </si>
  <si>
    <t>H20260911001</t>
  </si>
  <si>
    <t>601184150011A</t>
  </si>
  <si>
    <t>H20260618007</t>
  </si>
  <si>
    <t>H20260928001</t>
  </si>
  <si>
    <t>601184150021A</t>
  </si>
  <si>
    <t>H20260618008</t>
  </si>
  <si>
    <t>H20260911004</t>
  </si>
  <si>
    <t>601184150041A</t>
  </si>
  <si>
    <t>H20260618010</t>
  </si>
  <si>
    <t>H20260911002</t>
  </si>
  <si>
    <t>601188550011A</t>
  </si>
  <si>
    <t>H20260618012</t>
  </si>
  <si>
    <t>H20260911003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</si>
  <si>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</si>
  <si>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</si>
  <si>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</si>
  <si>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</si>
  <si>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</si>
  <si>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</si>
  <si>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</si>
  <si>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</si>
  <si>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</si>
  <si>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</si>
  <si>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</si>
  <si>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</si>
  <si>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H 20260912042-046</t>
  </si>
  <si>
    <t>101280200051A</t>
  </si>
  <si>
    <t>黑色弹簧线</t>
  </si>
  <si>
    <t>H20260618019-023</t>
  </si>
  <si>
    <t>H 20260912037-041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</si>
  <si>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</si>
  <si>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</si>
  <si>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</si>
  <si>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</si>
  <si>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</si>
  <si>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</si>
  <si>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</si>
  <si>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</si>
  <si>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</si>
  <si>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>H20260922021-023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</si>
  <si>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</si>
  <si>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</si>
  <si>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</si>
  <si>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</si>
  <si>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</si>
  <si>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</si>
  <si>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</si>
  <si>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</si>
  <si>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</si>
  <si>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</si>
  <si>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</si>
  <si>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</si>
  <si>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</si>
  <si>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</si>
  <si>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</si>
  <si>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</si>
  <si>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</si>
  <si>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</si>
  <si>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</si>
  <si>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</si>
  <si>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</si>
  <si>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</si>
  <si>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</si>
  <si>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</si>
  <si>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</si>
  <si>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</si>
  <si>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H20260924055-058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</si>
  <si>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</si>
  <si>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</si>
  <si>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</si>
  <si>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</si>
  <si>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</si>
  <si>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</si>
  <si>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</si>
  <si>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</si>
  <si>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</si>
  <si>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</si>
  <si>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</si>
  <si>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</si>
  <si>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</si>
  <si>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</si>
  <si>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</si>
  <si>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</si>
  <si>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</si>
  <si>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</si>
  <si>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</si>
  <si>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</si>
  <si>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</si>
  <si>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</si>
  <si>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</si>
  <si>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</si>
  <si>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H20260926008</t>
  </si>
  <si>
    <t>白色PA66</t>
  </si>
  <si>
    <t>H20260626024</t>
  </si>
  <si>
    <t>H 20260914001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</si>
  <si>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</si>
  <si>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</si>
  <si>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</si>
  <si>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</si>
  <si>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</si>
  <si>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</si>
  <si>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</si>
  <si>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</si>
  <si>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</si>
  <si>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</si>
  <si>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</si>
  <si>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</si>
  <si>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</si>
  <si>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</si>
  <si>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</si>
  <si>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</si>
  <si>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</si>
  <si>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</si>
  <si>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</si>
  <si>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</si>
  <si>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</si>
  <si>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</si>
  <si>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</si>
  <si>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</si>
  <si>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</si>
  <si>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</si>
  <si>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</si>
  <si>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</si>
  <si>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</si>
  <si>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</si>
  <si>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</si>
  <si>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</si>
  <si>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</si>
  <si>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</si>
  <si>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</si>
  <si>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</si>
  <si>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</si>
  <si>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</si>
  <si>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</si>
  <si>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</si>
  <si>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</si>
  <si>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</si>
  <si>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</si>
  <si>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</si>
  <si>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</si>
  <si>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</si>
  <si>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</si>
  <si>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</si>
  <si>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</si>
  <si>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</si>
  <si>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</si>
  <si>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</si>
  <si>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</si>
  <si>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</si>
  <si>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</si>
  <si>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</si>
  <si>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</si>
  <si>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</si>
  <si>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</si>
  <si>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</si>
  <si>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</si>
  <si>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</si>
  <si>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</si>
  <si>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</si>
  <si>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</si>
  <si>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</si>
  <si>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</si>
  <si>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</si>
  <si>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</si>
  <si>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</si>
  <si>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</si>
  <si>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</si>
  <si>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</si>
  <si>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</si>
  <si>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</si>
  <si>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</si>
  <si>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</si>
  <si>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</si>
  <si>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</si>
  <si>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</si>
  <si>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</si>
  <si>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</si>
  <si>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</si>
  <si>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</si>
  <si>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</si>
  <si>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</si>
  <si>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</si>
  <si>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</si>
  <si>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</si>
  <si>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600188600021A</t>
  </si>
  <si>
    <t>H20260703031</t>
  </si>
  <si>
    <t>600180000021A</t>
  </si>
  <si>
    <t>H20260703032</t>
  </si>
  <si>
    <t>600188550011A</t>
  </si>
  <si>
    <t>H20260703033</t>
  </si>
  <si>
    <t>H20260924046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</si>
  <si>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</si>
  <si>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</si>
  <si>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</si>
  <si>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</si>
  <si>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</si>
  <si>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</si>
  <si>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</si>
  <si>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</si>
  <si>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H20261010002</t>
  </si>
  <si>
    <t>600184150051A</t>
  </si>
  <si>
    <t>H20260703038</t>
  </si>
  <si>
    <t>H20261010001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</si>
  <si>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</si>
  <si>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</si>
  <si>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</si>
  <si>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</si>
  <si>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</si>
  <si>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</si>
  <si>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</si>
  <si>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</si>
  <si>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</si>
  <si>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</si>
  <si>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</si>
  <si>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</si>
  <si>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</si>
  <si>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</si>
  <si>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</si>
  <si>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</si>
  <si>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</si>
  <si>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</si>
  <si>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</si>
  <si>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</si>
  <si>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</si>
  <si>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</si>
  <si>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</si>
  <si>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</si>
  <si>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</si>
  <si>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</si>
  <si>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</si>
  <si>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</si>
  <si>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</si>
  <si>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</si>
  <si>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</si>
  <si>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</si>
  <si>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</si>
  <si>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</si>
  <si>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</si>
  <si>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</si>
  <si>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</si>
  <si>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</si>
  <si>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H20260930016-023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</si>
  <si>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</si>
  <si>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</si>
  <si>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</si>
  <si>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</si>
  <si>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</si>
  <si>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</si>
  <si>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</si>
  <si>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</si>
  <si>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H20260919015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</si>
  <si>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</si>
  <si>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</si>
  <si>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</si>
  <si>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</si>
  <si>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</si>
  <si>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</si>
  <si>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</si>
  <si>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</si>
  <si>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</si>
  <si>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</si>
  <si>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</si>
  <si>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</si>
  <si>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</si>
  <si>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</si>
  <si>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</si>
  <si>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</si>
  <si>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</si>
  <si>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H20260917075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</si>
  <si>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</si>
  <si>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</si>
  <si>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</si>
  <si>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</si>
  <si>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</si>
  <si>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</si>
  <si>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</si>
  <si>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</si>
  <si>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</si>
  <si>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</si>
  <si>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</si>
  <si>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</si>
  <si>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</si>
  <si>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</si>
  <si>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</si>
  <si>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</si>
  <si>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</si>
  <si>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</si>
  <si>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</si>
  <si>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</si>
  <si>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</si>
  <si>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</si>
  <si>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</si>
  <si>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</si>
  <si>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</si>
  <si>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</si>
  <si>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</si>
  <si>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</si>
  <si>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</si>
  <si>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H20261008071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</si>
  <si>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</si>
  <si>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</si>
  <si>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</si>
  <si>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</si>
  <si>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</si>
  <si>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</si>
  <si>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</si>
  <si>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</si>
  <si>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</si>
  <si>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</si>
  <si>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</si>
  <si>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</si>
  <si>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</si>
  <si>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</si>
  <si>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H20261006020-023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</si>
  <si>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</si>
  <si>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</si>
  <si>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</si>
  <si>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</si>
  <si>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</si>
  <si>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</si>
  <si>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</si>
  <si>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</si>
  <si>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</si>
  <si>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</si>
  <si>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</si>
  <si>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</si>
  <si>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</si>
  <si>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</si>
  <si>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</si>
  <si>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</si>
  <si>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</si>
  <si>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</si>
  <si>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</si>
  <si>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</si>
  <si>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</si>
  <si>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</si>
  <si>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</si>
  <si>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</si>
  <si>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</si>
  <si>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</si>
  <si>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</si>
  <si>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</si>
  <si>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</si>
  <si>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</si>
  <si>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</si>
  <si>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</si>
  <si>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</si>
  <si>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</si>
  <si>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</si>
  <si>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</si>
  <si>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</si>
  <si>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</si>
  <si>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</si>
  <si>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</si>
  <si>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</si>
  <si>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</si>
  <si>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</si>
  <si>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</si>
  <si>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</si>
  <si>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</si>
  <si>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</si>
  <si>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</si>
  <si>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</si>
  <si>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</si>
  <si>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</si>
  <si>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</si>
  <si>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</si>
  <si>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</si>
  <si>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</si>
  <si>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</si>
  <si>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</si>
  <si>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</si>
  <si>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</si>
  <si>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</si>
  <si>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</si>
  <si>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</si>
  <si>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</si>
  <si>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</si>
  <si>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</si>
  <si>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</si>
  <si>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</si>
  <si>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</si>
  <si>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</si>
  <si>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</si>
  <si>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</si>
  <si>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</si>
  <si>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</si>
  <si>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</si>
  <si>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</si>
  <si>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</si>
  <si>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</si>
  <si>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</si>
  <si>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</si>
  <si>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</si>
  <si>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</si>
  <si>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</si>
  <si>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</si>
  <si>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</si>
  <si>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</si>
  <si>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</si>
  <si>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</si>
  <si>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</si>
  <si>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</si>
  <si>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</si>
  <si>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</si>
  <si>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</si>
  <si>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</si>
  <si>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</si>
  <si>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</si>
  <si>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</si>
  <si>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</si>
  <si>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</si>
  <si>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</si>
  <si>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</si>
  <si>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</si>
  <si>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</si>
  <si>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</si>
  <si>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</si>
  <si>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</si>
  <si>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</si>
  <si>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</si>
  <si>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</si>
  <si>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</si>
  <si>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</si>
  <si>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</si>
  <si>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</si>
  <si>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</si>
  <si>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</si>
  <si>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</si>
  <si>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</si>
  <si>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</si>
  <si>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</si>
  <si>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</si>
  <si>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</si>
  <si>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</si>
  <si>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</si>
  <si>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</si>
  <si>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</si>
  <si>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</si>
  <si>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</si>
  <si>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</si>
  <si>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</si>
  <si>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</si>
  <si>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</si>
  <si>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</si>
  <si>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</si>
  <si>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</si>
  <si>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</si>
  <si>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</si>
  <si>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</si>
  <si>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</si>
  <si>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</si>
  <si>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</si>
  <si>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</si>
  <si>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</si>
  <si>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</si>
  <si>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</si>
  <si>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</si>
  <si>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</si>
  <si>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</si>
  <si>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</si>
  <si>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</si>
  <si>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</si>
  <si>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</si>
  <si>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</si>
  <si>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</si>
  <si>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</si>
  <si>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</si>
  <si>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</si>
  <si>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</si>
  <si>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</si>
  <si>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</si>
  <si>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</si>
  <si>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</si>
  <si>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</si>
  <si>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</si>
  <si>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</si>
  <si>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</si>
  <si>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</si>
  <si>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</si>
  <si>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</si>
  <si>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</si>
  <si>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</si>
  <si>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</si>
  <si>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</si>
  <si>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</si>
  <si>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</si>
  <si>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</si>
  <si>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</si>
  <si>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</si>
  <si>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</si>
  <si>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</si>
  <si>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</si>
  <si>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</si>
  <si>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</si>
  <si>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</si>
  <si>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</si>
  <si>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</si>
  <si>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</si>
  <si>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</si>
  <si>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</si>
  <si>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</si>
  <si>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</si>
  <si>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</si>
  <si>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</si>
  <si>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</si>
  <si>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</si>
  <si>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</si>
  <si>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</si>
  <si>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</si>
  <si>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</si>
  <si>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</si>
  <si>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</si>
  <si>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</si>
  <si>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</si>
  <si>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</si>
  <si>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</si>
  <si>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</si>
  <si>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</si>
  <si>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</si>
  <si>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</si>
  <si>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</si>
  <si>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</si>
  <si>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</si>
  <si>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</si>
  <si>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</si>
  <si>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</si>
  <si>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</si>
  <si>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</si>
  <si>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</si>
  <si>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</si>
  <si>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</si>
  <si>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</si>
  <si>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</si>
  <si>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</si>
  <si>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</si>
  <si>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</si>
  <si>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</si>
  <si>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</si>
  <si>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</si>
  <si>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</si>
  <si>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</si>
  <si>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</si>
  <si>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</si>
  <si>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</si>
  <si>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</si>
  <si>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</si>
  <si>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</si>
  <si>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</si>
  <si>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</si>
  <si>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</si>
  <si>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</si>
  <si>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</si>
  <si>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</si>
  <si>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</si>
  <si>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</si>
  <si>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</si>
  <si>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</si>
  <si>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</si>
  <si>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</si>
  <si>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</si>
  <si>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</si>
  <si>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H20260814016-019</t>
  </si>
  <si>
    <t>701C0A5D0011R</t>
  </si>
  <si>
    <t>H20260814026</t>
  </si>
  <si>
    <t xml:space="preserve">717751280011R </t>
  </si>
  <si>
    <t>H20260814025</t>
  </si>
  <si>
    <t>金泽</t>
  </si>
  <si>
    <t>223150090011A</t>
  </si>
  <si>
    <t>H20260815008</t>
  </si>
  <si>
    <t>306080000531A</t>
  </si>
  <si>
    <t>黑色线夹</t>
  </si>
  <si>
    <t>H20260815009</t>
  </si>
  <si>
    <t>104031200011A</t>
  </si>
  <si>
    <t>H20260815028-029</t>
  </si>
  <si>
    <t>101130400021A</t>
  </si>
  <si>
    <t>H20260815021-027</t>
  </si>
  <si>
    <t>白色磨砂线</t>
  </si>
  <si>
    <t>223180090071A</t>
  </si>
  <si>
    <t>H20260817027</t>
  </si>
  <si>
    <t>UA9CSAD00240A</t>
  </si>
  <si>
    <t>保险插座</t>
  </si>
  <si>
    <t>H2060818009-010</t>
  </si>
  <si>
    <t>UA9CSAD00230A</t>
  </si>
  <si>
    <t>喇叭接线座</t>
  </si>
  <si>
    <t>H2060818011-012</t>
  </si>
  <si>
    <t xml:space="preserve">223020060071A </t>
  </si>
  <si>
    <t>H20260819060</t>
  </si>
  <si>
    <t>5010ZZ000011A</t>
  </si>
  <si>
    <t>黑色PE料</t>
  </si>
  <si>
    <t>H20260819061</t>
  </si>
  <si>
    <t>101180200031A</t>
  </si>
  <si>
    <t>UL2516</t>
  </si>
  <si>
    <t>H20260820008-011</t>
  </si>
  <si>
    <t>104240280011A</t>
  </si>
  <si>
    <t>UL1007#24灰色</t>
  </si>
  <si>
    <t>H20260820016-017</t>
  </si>
  <si>
    <t>0.35平方黑色电子线</t>
  </si>
  <si>
    <t>H20260820014-015</t>
  </si>
  <si>
    <t>224000020031A</t>
  </si>
  <si>
    <t>H20260821003-004</t>
  </si>
  <si>
    <t>101170300011A</t>
  </si>
  <si>
    <t>H20260824038-042</t>
  </si>
  <si>
    <t>101280190011A</t>
  </si>
  <si>
    <t>UL1533</t>
  </si>
  <si>
    <t>H20260824032-035</t>
  </si>
  <si>
    <t>103260280011A</t>
  </si>
  <si>
    <t>UL2651</t>
  </si>
  <si>
    <t>H20260824036-037</t>
  </si>
  <si>
    <t>101220400031A</t>
  </si>
  <si>
    <t>H20260824022-027</t>
  </si>
  <si>
    <t>802200500011A</t>
  </si>
  <si>
    <t>H20260824001</t>
  </si>
  <si>
    <t>307135190071A</t>
  </si>
  <si>
    <t>H20260824011</t>
  </si>
  <si>
    <t>307135190061A</t>
  </si>
  <si>
    <t>H20260824010</t>
  </si>
  <si>
    <t>307180190021A</t>
  </si>
  <si>
    <t>H20260824013</t>
  </si>
  <si>
    <t>307140100031A</t>
  </si>
  <si>
    <t>H20260824012</t>
  </si>
  <si>
    <t>硅宝正基</t>
  </si>
  <si>
    <t>802485160011A</t>
  </si>
  <si>
    <t>H20260824002</t>
  </si>
  <si>
    <t>众贝</t>
  </si>
  <si>
    <t>701B4A3D0011A</t>
  </si>
  <si>
    <t>H20260824008</t>
  </si>
  <si>
    <t>701B365D0011A</t>
  </si>
  <si>
    <t>H20260824006</t>
  </si>
  <si>
    <t>701A4A3D0011A</t>
  </si>
  <si>
    <t>H20260824007</t>
  </si>
  <si>
    <t>元启</t>
  </si>
  <si>
    <t>716061010011A</t>
  </si>
  <si>
    <t>H20260824009</t>
  </si>
  <si>
    <t>H20260824043-047</t>
  </si>
  <si>
    <t>221031010311A</t>
  </si>
  <si>
    <t>H20260825001-002</t>
  </si>
  <si>
    <t>219201060041A</t>
  </si>
  <si>
    <t>H20260825005</t>
  </si>
  <si>
    <t>224004020021A</t>
  </si>
  <si>
    <t>H20260825027-029</t>
  </si>
  <si>
    <t>H20260825032-036</t>
  </si>
  <si>
    <t>223130020011A</t>
  </si>
  <si>
    <t>H20260826002</t>
  </si>
  <si>
    <t>221072200041A</t>
  </si>
  <si>
    <t>H20260826003-005</t>
  </si>
  <si>
    <t>221031010511A</t>
  </si>
  <si>
    <t>圆环端子</t>
  </si>
  <si>
    <t>H20260826016</t>
  </si>
  <si>
    <t>221031010491A</t>
  </si>
  <si>
    <t>H20260826015</t>
  </si>
  <si>
    <t>221031010521A</t>
  </si>
  <si>
    <t>H20260826014</t>
  </si>
  <si>
    <t>221031010531A</t>
  </si>
  <si>
    <t>H20260826013</t>
  </si>
  <si>
    <t>305020010011A</t>
  </si>
  <si>
    <t>H20260826017</t>
  </si>
  <si>
    <t>102300260011A</t>
  </si>
  <si>
    <t>UL22018</t>
  </si>
  <si>
    <t>H20260827010-013</t>
  </si>
  <si>
    <t>改善品</t>
  </si>
  <si>
    <t>H20260827023-029</t>
  </si>
  <si>
    <t>501BZZ4Z0011A</t>
  </si>
  <si>
    <t>热熔胶</t>
  </si>
  <si>
    <t>H20260827030</t>
  </si>
  <si>
    <t>221079220141A</t>
  </si>
  <si>
    <t>H20260828040</t>
  </si>
  <si>
    <t>801115020031A</t>
  </si>
  <si>
    <t>H20260828041</t>
  </si>
  <si>
    <t>701B4A9D0011A</t>
  </si>
  <si>
    <t>H20260828042</t>
  </si>
  <si>
    <t>104201460031A</t>
  </si>
  <si>
    <t>H20260828045-046</t>
  </si>
  <si>
    <t>2250200Z0191A</t>
  </si>
  <si>
    <t>座子</t>
  </si>
  <si>
    <t>H20260829010-012</t>
  </si>
  <si>
    <t>104181300011A</t>
  </si>
  <si>
    <t>H20260829020-021</t>
  </si>
  <si>
    <t>104181340011A</t>
  </si>
  <si>
    <t>H20260829022-023</t>
  </si>
  <si>
    <t>1041813B0011A</t>
  </si>
  <si>
    <t>粉色电子线</t>
  </si>
  <si>
    <t>H20260829024-025</t>
  </si>
  <si>
    <t>104181370011A</t>
  </si>
  <si>
    <t>H20260829026-027</t>
  </si>
  <si>
    <t>3091A0250011A</t>
  </si>
  <si>
    <t>绿色编网</t>
  </si>
  <si>
    <t>H20260829015</t>
  </si>
  <si>
    <t>和适电子</t>
  </si>
  <si>
    <t>223020001211A</t>
  </si>
  <si>
    <t>H20260831011</t>
  </si>
  <si>
    <t>223020000751A</t>
  </si>
  <si>
    <t>H20260831009-010</t>
  </si>
  <si>
    <t>221079140021A</t>
  </si>
  <si>
    <t>H20260831012-015</t>
  </si>
  <si>
    <t>221029010191A</t>
  </si>
  <si>
    <t>H20260831016</t>
  </si>
  <si>
    <t>华秋</t>
  </si>
  <si>
    <t>H20260831001</t>
  </si>
  <si>
    <t>601V57050011A</t>
  </si>
  <si>
    <t>H20260831002</t>
  </si>
  <si>
    <t>501150090021A</t>
  </si>
  <si>
    <t>H20260831035</t>
  </si>
  <si>
    <t>401062500011A</t>
  </si>
  <si>
    <t>铝合金外壳</t>
  </si>
  <si>
    <t>H20260901009-010</t>
  </si>
  <si>
    <t>223180000071A</t>
  </si>
  <si>
    <t>H20260902066</t>
  </si>
  <si>
    <t>501255000011A</t>
  </si>
  <si>
    <t>黑色TPE</t>
  </si>
  <si>
    <t>H20260902070</t>
  </si>
  <si>
    <t>307190120011A</t>
  </si>
  <si>
    <t>H20260902071</t>
  </si>
  <si>
    <t>人禾</t>
  </si>
  <si>
    <t>H20260903020</t>
  </si>
  <si>
    <t>H20260903021</t>
  </si>
  <si>
    <t>501E850C0011A</t>
  </si>
  <si>
    <t>白色PBT</t>
  </si>
  <si>
    <t>H20260903022</t>
  </si>
  <si>
    <t>UL1007# 24灰色</t>
  </si>
  <si>
    <t>白色PE料</t>
  </si>
  <si>
    <t>6000T7550021A</t>
  </si>
  <si>
    <t>H20260904004</t>
  </si>
  <si>
    <t>703C9C300011A</t>
  </si>
  <si>
    <t>H20260904016</t>
  </si>
  <si>
    <t>705C8C210011A</t>
  </si>
  <si>
    <t>H20260904015</t>
  </si>
  <si>
    <t>706380010011A</t>
  </si>
  <si>
    <t>刀卡</t>
  </si>
  <si>
    <t>H20260904014</t>
  </si>
  <si>
    <t>706320010011A</t>
  </si>
  <si>
    <t>H20260904013</t>
  </si>
  <si>
    <t>705B4B110011A</t>
  </si>
  <si>
    <t>H20260904012</t>
  </si>
  <si>
    <t>706475010011A</t>
  </si>
  <si>
    <t>H20260904011</t>
  </si>
  <si>
    <t>706215010011A</t>
  </si>
  <si>
    <t>H20260904010</t>
  </si>
  <si>
    <t>703D2A500011B</t>
  </si>
  <si>
    <t>H20260904009</t>
  </si>
  <si>
    <t>801319010041A</t>
  </si>
  <si>
    <t>布基胶带</t>
  </si>
  <si>
    <t>H20260904017</t>
  </si>
  <si>
    <t>坚宝</t>
  </si>
  <si>
    <t>101100120011A</t>
  </si>
  <si>
    <t>红色1*10mm²线材</t>
  </si>
  <si>
    <t>H20260904021-023</t>
  </si>
  <si>
    <t>101100100011A</t>
  </si>
  <si>
    <t>黑色1*10mm²线材</t>
  </si>
  <si>
    <t>H20260904018-020</t>
  </si>
  <si>
    <t>601192800011A</t>
  </si>
  <si>
    <t>H20260905001</t>
  </si>
  <si>
    <t>立讯</t>
  </si>
  <si>
    <t>U81CSLV00091A</t>
  </si>
  <si>
    <t>LVDS连接器</t>
  </si>
  <si>
    <t>H20260907003-014</t>
  </si>
  <si>
    <t>101230480021A</t>
  </si>
  <si>
    <t>灰色USB2.0线材</t>
  </si>
  <si>
    <t>H20260907025-032</t>
  </si>
  <si>
    <t>101240300101A</t>
  </si>
  <si>
    <t>黑色扁平线</t>
  </si>
  <si>
    <t>H20260907033-038</t>
  </si>
  <si>
    <t>101240600031A</t>
  </si>
  <si>
    <t>H20260907039-052</t>
  </si>
  <si>
    <t>302120000101A</t>
  </si>
  <si>
    <t>H20260908020</t>
  </si>
  <si>
    <t>302120000021A</t>
  </si>
  <si>
    <t>H20260908014</t>
  </si>
  <si>
    <t>701A280D0031A</t>
  </si>
  <si>
    <t>H20260908021</t>
  </si>
  <si>
    <t>104240250011A</t>
  </si>
  <si>
    <t>UL1007#24绿色</t>
  </si>
  <si>
    <t>H20260910009-010</t>
  </si>
  <si>
    <t>中富盈创</t>
  </si>
  <si>
    <t>601MCI050011A</t>
  </si>
  <si>
    <t>H20260911006</t>
  </si>
  <si>
    <t>H20260911008</t>
  </si>
  <si>
    <t>717A0B010011A</t>
  </si>
  <si>
    <t>电池标签</t>
  </si>
  <si>
    <t>H20260911020</t>
  </si>
  <si>
    <t>101180290011A</t>
  </si>
  <si>
    <t>白色麻面线材</t>
  </si>
  <si>
    <t>H20260911032-035</t>
  </si>
  <si>
    <t>600192800011A</t>
  </si>
  <si>
    <t>H20260912007-013</t>
  </si>
  <si>
    <t>立鲲光电</t>
  </si>
  <si>
    <t>624000100001A</t>
  </si>
  <si>
    <t>变压器</t>
  </si>
  <si>
    <t>H20260912014-017</t>
  </si>
  <si>
    <t>501250080031A</t>
  </si>
  <si>
    <t>灰色PTE</t>
  </si>
  <si>
    <t>H20260915009</t>
  </si>
  <si>
    <t>802100000031A</t>
  </si>
  <si>
    <t>H20260915011</t>
  </si>
  <si>
    <t>104260400011A</t>
  </si>
  <si>
    <t>UL1571#26 黑色</t>
  </si>
  <si>
    <t>H20260916018-019</t>
  </si>
  <si>
    <t>104260420011A</t>
  </si>
  <si>
    <t>UL1571#26 红色</t>
  </si>
  <si>
    <t>H20260916020-021</t>
  </si>
  <si>
    <t>104200210011A</t>
  </si>
  <si>
    <t>UL1007#20 棕色</t>
  </si>
  <si>
    <t>H20260916022-023</t>
  </si>
  <si>
    <t>1042002E0131A</t>
  </si>
  <si>
    <t>UL1007#20 棕注黑</t>
  </si>
  <si>
    <t>H20260916024-025</t>
  </si>
  <si>
    <t>1042002E0151A</t>
  </si>
  <si>
    <t>UL1007#20 橙注黑</t>
  </si>
  <si>
    <t>H20260916026-027</t>
  </si>
  <si>
    <t>223180000091A</t>
  </si>
  <si>
    <t>H20260917058</t>
  </si>
  <si>
    <t>219262040021A</t>
  </si>
  <si>
    <t>H20260917062-063</t>
  </si>
  <si>
    <t>220261010041A</t>
  </si>
  <si>
    <t>H20260917061</t>
  </si>
  <si>
    <t>306080000481A</t>
  </si>
  <si>
    <t>H20260917060</t>
  </si>
  <si>
    <t>716271510011H</t>
  </si>
  <si>
    <t>H20260917064</t>
  </si>
  <si>
    <t>717701280291R</t>
  </si>
  <si>
    <t>H20260917074</t>
  </si>
  <si>
    <t>717701280181R</t>
  </si>
  <si>
    <t>H20260917072</t>
  </si>
  <si>
    <t>717701280171R</t>
  </si>
  <si>
    <t>H20260917073</t>
  </si>
  <si>
    <t>716A07010011R</t>
  </si>
  <si>
    <t>H20260917071</t>
  </si>
  <si>
    <t>223020001221A</t>
  </si>
  <si>
    <t>H20260918002</t>
  </si>
  <si>
    <t>221019010031A</t>
  </si>
  <si>
    <t>H20260918001</t>
  </si>
  <si>
    <t>220302010061A</t>
  </si>
  <si>
    <t>H20260918003</t>
  </si>
  <si>
    <t>UL1330#20 蓝色</t>
  </si>
  <si>
    <t>307190190081A</t>
  </si>
  <si>
    <t>H20260919010</t>
  </si>
  <si>
    <t>716806050011A</t>
  </si>
  <si>
    <t>H20260919014</t>
  </si>
  <si>
    <t>601000090011H</t>
  </si>
  <si>
    <t>H20260920033</t>
  </si>
  <si>
    <t>201012020011A</t>
  </si>
  <si>
    <t>H20260922025-027</t>
  </si>
  <si>
    <t>703F2B900011A</t>
  </si>
  <si>
    <t>H20260923014</t>
  </si>
  <si>
    <t>101260400211A</t>
  </si>
  <si>
    <t>灰色线材</t>
  </si>
  <si>
    <t>H20260923015-022</t>
  </si>
  <si>
    <t>206151090041A</t>
  </si>
  <si>
    <t>H202602924068-072</t>
  </si>
  <si>
    <t>224000200101A</t>
  </si>
  <si>
    <t>H20260924067</t>
  </si>
  <si>
    <t>701A3B1D0011A</t>
  </si>
  <si>
    <t>H20260924065</t>
  </si>
  <si>
    <t>UL1015 #18 绿色</t>
  </si>
  <si>
    <t>101280590011A</t>
  </si>
  <si>
    <t>H20260926011-018</t>
  </si>
  <si>
    <t>701A8A6D0061A</t>
  </si>
  <si>
    <t>H20260927022</t>
  </si>
  <si>
    <t>220137010011A</t>
  </si>
  <si>
    <t>H20260927020</t>
  </si>
  <si>
    <t>221072200031A</t>
  </si>
  <si>
    <t>H20260928010-012</t>
  </si>
  <si>
    <t>223020060411A</t>
  </si>
  <si>
    <t>H20260929001-002</t>
  </si>
  <si>
    <t xml:space="preserve">五金 </t>
  </si>
  <si>
    <t>600188050011A</t>
  </si>
  <si>
    <t>H20260929016-020</t>
  </si>
  <si>
    <t>801020030031A</t>
  </si>
  <si>
    <t>H20260929025</t>
  </si>
  <si>
    <t>223020020081A</t>
  </si>
  <si>
    <t>H20260930006-008</t>
  </si>
  <si>
    <t>224060020041A</t>
  </si>
  <si>
    <t>H20260930005</t>
  </si>
  <si>
    <t>701A8A3D0021A</t>
  </si>
  <si>
    <t>H20260930015</t>
  </si>
  <si>
    <t>101260300011A</t>
  </si>
  <si>
    <t>H20260930024-031</t>
  </si>
  <si>
    <t>缆普</t>
  </si>
  <si>
    <t>101230600011A</t>
  </si>
  <si>
    <t>H20260930032-044</t>
  </si>
  <si>
    <t>H20260930041-049</t>
  </si>
  <si>
    <t>国联</t>
  </si>
  <si>
    <t>223080000511A</t>
  </si>
  <si>
    <t>H20261004012-013</t>
  </si>
  <si>
    <t>223080000501A</t>
  </si>
  <si>
    <t>H20261004002-003</t>
  </si>
  <si>
    <t>223020230011A</t>
  </si>
  <si>
    <t>橙色二次锁扣</t>
  </si>
  <si>
    <t>H20261004009</t>
  </si>
  <si>
    <t>308104010011A</t>
  </si>
  <si>
    <t>H20261004015</t>
  </si>
  <si>
    <t>103200200021A</t>
  </si>
  <si>
    <t>红黑双并线</t>
  </si>
  <si>
    <t>H20261004016-017</t>
  </si>
  <si>
    <t xml:space="preserve">力缘 </t>
  </si>
  <si>
    <t>223080090271A</t>
  </si>
  <si>
    <t>H20261005001-002</t>
  </si>
  <si>
    <t>221072110031A</t>
  </si>
  <si>
    <t>H20261006011</t>
  </si>
  <si>
    <t>睿祥鑫</t>
  </si>
  <si>
    <t>404141Z10011A</t>
  </si>
  <si>
    <t>H20261007006</t>
  </si>
  <si>
    <t>223020001241A</t>
  </si>
  <si>
    <t>H20261007004</t>
  </si>
  <si>
    <t>307150190091A</t>
  </si>
  <si>
    <t>H20261008069</t>
  </si>
  <si>
    <t>801A12010011A</t>
  </si>
  <si>
    <t>H20261008072</t>
  </si>
  <si>
    <t>223180090261A</t>
  </si>
  <si>
    <t>H20261010009</t>
  </si>
  <si>
    <t>101260300061H</t>
  </si>
  <si>
    <t>H20261010010-017</t>
  </si>
  <si>
    <t>101240900041A</t>
  </si>
  <si>
    <t>H20261010032-042</t>
  </si>
  <si>
    <t>501130090031A</t>
  </si>
  <si>
    <t>30P白色PVC</t>
  </si>
  <si>
    <t>223180060111A</t>
  </si>
  <si>
    <t>22404Y100121A</t>
  </si>
  <si>
    <t>707808000011R</t>
  </si>
  <si>
    <t>101250100011A</t>
  </si>
  <si>
    <t>101220290011A</t>
  </si>
  <si>
    <t>1012305E0011H</t>
  </si>
  <si>
    <t>青色编织线</t>
  </si>
  <si>
    <t>104180220011A</t>
  </si>
  <si>
    <t>UL1007 #18 红色</t>
  </si>
  <si>
    <t>UL1015 #18白色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</si>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</sst>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8">
    <numFmt numFmtId="43" formatCode="_ * #,##0.00_ ;_ * \-#,##0.00_ ;_ * &quot;-&quot;??_ ;_ @_ "/>
    <numFmt numFmtId="176" formatCode="yyyy/m/d;@"/>
    <numFmt numFmtId="177" formatCode="#\ ?/?"/>
    <numFmt numFmtId="178" formatCode="[$-804]General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9" formatCode="0_ "/>
  </numFmts>
  <fonts count="67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1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59" fillId="22" borderId="24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52" fillId="12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49" fillId="29" borderId="25" applyNumberFormat="0" applyFont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8" fillId="0" borderId="19" applyNumberFormat="0" applyFill="0" applyAlignment="0" applyProtection="0">
      <alignment vertical="center"/>
    </xf>
    <xf numFmtId="0" fontId="63" fillId="0" borderId="19" applyNumberFormat="0" applyFill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53" fillId="0" borderId="21" applyNumberFormat="0" applyFill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54" fillId="19" borderId="22" applyNumberFormat="0" applyAlignment="0" applyProtection="0">
      <alignment vertical="center"/>
    </xf>
    <xf numFmtId="0" fontId="58" fillId="19" borderId="24" applyNumberFormat="0" applyAlignment="0" applyProtection="0">
      <alignment vertical="center"/>
    </xf>
    <xf numFmtId="0" fontId="47" fillId="10" borderId="18" applyNumberFormat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57" fillId="0" borderId="23" applyNumberFormat="0" applyFill="0" applyAlignment="0" applyProtection="0">
      <alignment vertical="center"/>
    </xf>
    <xf numFmtId="0" fontId="50" fillId="0" borderId="20" applyNumberFormat="0" applyFill="0" applyAlignment="0" applyProtection="0">
      <alignment vertical="center"/>
    </xf>
    <xf numFmtId="0" fontId="62" fillId="31" borderId="0" applyNumberFormat="0" applyBorder="0" applyAlignment="0" applyProtection="0">
      <alignment vertical="center"/>
    </xf>
    <xf numFmtId="0" fontId="56" fillId="20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4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6" fillId="38" borderId="0" applyNumberFormat="0" applyBorder="0" applyAlignment="0" applyProtection="0">
      <alignment vertical="center"/>
    </xf>
    <xf numFmtId="0" fontId="65" fillId="0" borderId="0"/>
  </cellStyleXfs>
  <cellXfs count="238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0" fontId="30" fillId="5" borderId="1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wrapText="1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6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76" fontId="30" fillId="7" borderId="1" xfId="0" applyNumberFormat="1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9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4" fillId="2" borderId="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vertical="center"/>
    </xf>
    <xf numFmtId="0" fontId="34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9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9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9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9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9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9" fontId="43" fillId="0" borderId="5" xfId="0" applyNumberFormat="1" applyFont="1" applyFill="1" applyBorder="1" applyAlignment="1">
      <alignment horizontal="center" vertical="center"/>
    </xf>
    <xf numFmtId="178" fontId="30" fillId="5" borderId="5" xfId="0" applyNumberFormat="1" applyFont="1" applyFill="1" applyBorder="1" applyAlignment="1" applyProtection="1">
      <alignment horizontal="center" vertical="center" wrapText="1"/>
      <protection locked="0"/>
    </xf>
    <xf numFmtId="0" fontId="30" fillId="2" borderId="2" xfId="0" applyFont="1" applyFill="1" applyBorder="1" applyAlignment="1">
      <alignment horizontal="center"/>
    </xf>
    <xf numFmtId="0" fontId="33" fillId="0" borderId="5" xfId="0" applyFont="1" applyFill="1" applyBorder="1" applyAlignment="1">
      <alignment horizontal="center"/>
    </xf>
    <xf numFmtId="0" fontId="29" fillId="0" borderId="5" xfId="0" applyFont="1" applyBorder="1" applyAlignment="1">
      <alignment horizontal="center" vertical="center"/>
    </xf>
    <xf numFmtId="0" fontId="33" fillId="0" borderId="10" xfId="0" applyFont="1" applyFill="1" applyBorder="1" applyAlignment="1">
      <alignment horizontal="center" vertical="center"/>
    </xf>
    <xf numFmtId="0" fontId="29" fillId="7" borderId="0" xfId="0" applyFont="1" applyFill="1"/>
    <xf numFmtId="0" fontId="44" fillId="0" borderId="5" xfId="0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30"/>
  <sheetViews>
    <sheetView tabSelected="1" view="pageBreakPreview" zoomScale="133" zoomScaleNormal="100" zoomScaleSheetLayoutView="133" topLeftCell="AM1" workbookViewId="0">
      <pane ySplit="2" topLeftCell="A92" activePane="bottomLeft" state="frozen"/>
      <selection/>
      <selection pane="bottomLeft" activeCell="AZ92" sqref="AZ92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1.62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-198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-94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-10</v>
      </c>
      <c r="AN3" s="115"/>
      <c r="AO3" s="70" t="s">
        <v>12</v>
      </c>
      <c r="AP3" s="70" t="s">
        <v>13</v>
      </c>
      <c r="AQ3" s="71" t="s">
        <v>14</v>
      </c>
      <c r="AR3" s="71" t="s">
        <v>15</v>
      </c>
      <c r="AS3" s="72"/>
      <c r="AT3" s="73"/>
      <c r="AU3" s="74" t="s">
        <v>16</v>
      </c>
      <c r="AV3" s="117">
        <v>46292</v>
      </c>
      <c r="AW3" s="115">
        <v>3</v>
      </c>
      <c r="AX3" s="106" t="s">
        <v>21</v>
      </c>
      <c r="AY3" s="104">
        <f t="shared" ref="AY3:AY9" si="4">EDATE(AV3,AW3)</f>
        <v>46383</v>
      </c>
      <c r="AZ3" s="105">
        <f ca="1" t="shared" ref="AZ3:AZ11" si="5">AY3-TODAY()</f>
        <v>70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22</v>
      </c>
      <c r="E4" s="71" t="s">
        <v>23</v>
      </c>
      <c r="F4" s="72"/>
      <c r="G4" s="73"/>
      <c r="H4" s="74" t="s">
        <v>16</v>
      </c>
      <c r="I4" s="102">
        <v>46025</v>
      </c>
      <c r="J4" s="70">
        <v>3</v>
      </c>
      <c r="K4" s="103" t="s">
        <v>24</v>
      </c>
      <c r="L4" s="104">
        <f t="shared" si="0"/>
        <v>46115</v>
      </c>
      <c r="M4" s="105">
        <f ca="1" t="shared" si="1"/>
        <v>-198</v>
      </c>
      <c r="N4" s="70"/>
      <c r="O4" s="70" t="s">
        <v>12</v>
      </c>
      <c r="P4" s="70" t="s">
        <v>13</v>
      </c>
      <c r="Q4" s="71" t="s">
        <v>22</v>
      </c>
      <c r="R4" s="71" t="s">
        <v>23</v>
      </c>
      <c r="S4" s="72"/>
      <c r="T4" s="73"/>
      <c r="U4" s="74" t="s">
        <v>16</v>
      </c>
      <c r="V4" s="104">
        <v>46133</v>
      </c>
      <c r="W4" s="70">
        <v>3</v>
      </c>
      <c r="X4" s="103" t="s">
        <v>25</v>
      </c>
      <c r="Y4" s="104">
        <f t="shared" ref="Y4:Y35" si="6">EDATE(V4,W4)</f>
        <v>46224</v>
      </c>
      <c r="Z4" s="105">
        <f ca="1" t="shared" ref="Z4:Z35" si="7">Y4-TODAY()</f>
        <v>-89</v>
      </c>
      <c r="AA4" s="70"/>
      <c r="AB4" s="70" t="s">
        <v>12</v>
      </c>
      <c r="AC4" s="70" t="s">
        <v>13</v>
      </c>
      <c r="AD4" s="71" t="s">
        <v>22</v>
      </c>
      <c r="AE4" s="71" t="s">
        <v>23</v>
      </c>
      <c r="AF4" s="72"/>
      <c r="AG4" s="73"/>
      <c r="AH4" s="74" t="s">
        <v>16</v>
      </c>
      <c r="AI4" s="102">
        <v>46267</v>
      </c>
      <c r="AJ4" s="70">
        <v>3</v>
      </c>
      <c r="AK4" s="103" t="s">
        <v>26</v>
      </c>
      <c r="AL4" s="104">
        <f t="shared" si="2"/>
        <v>46358</v>
      </c>
      <c r="AM4" s="105">
        <f ca="1" t="shared" si="3"/>
        <v>45</v>
      </c>
      <c r="AN4" s="115"/>
      <c r="AO4" s="115"/>
      <c r="AP4" s="115"/>
      <c r="AQ4" s="93"/>
      <c r="AR4" s="93"/>
      <c r="AS4" s="94"/>
      <c r="AT4" s="95"/>
      <c r="AU4" s="79"/>
      <c r="AV4" s="117"/>
      <c r="AW4" s="115"/>
      <c r="AX4" s="106"/>
      <c r="AY4" s="104">
        <f t="shared" si="4"/>
        <v>0</v>
      </c>
      <c r="AZ4" s="105">
        <f ca="1" t="shared" si="5"/>
        <v>-46313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27</v>
      </c>
      <c r="E5" s="71" t="s">
        <v>28</v>
      </c>
      <c r="F5" s="72"/>
      <c r="G5" s="73"/>
      <c r="H5" s="74" t="s">
        <v>16</v>
      </c>
      <c r="I5" s="102">
        <v>46025</v>
      </c>
      <c r="J5" s="70">
        <v>3</v>
      </c>
      <c r="K5" s="103" t="s">
        <v>29</v>
      </c>
      <c r="L5" s="104">
        <f t="shared" si="0"/>
        <v>46115</v>
      </c>
      <c r="M5" s="105">
        <f ca="1" t="shared" si="1"/>
        <v>-198</v>
      </c>
      <c r="N5" s="70"/>
      <c r="O5" s="70" t="s">
        <v>12</v>
      </c>
      <c r="P5" s="70" t="s">
        <v>13</v>
      </c>
      <c r="Q5" s="71" t="s">
        <v>27</v>
      </c>
      <c r="R5" s="71" t="s">
        <v>28</v>
      </c>
      <c r="S5" s="72"/>
      <c r="T5" s="73"/>
      <c r="U5" s="74" t="s">
        <v>16</v>
      </c>
      <c r="V5" s="102">
        <v>46127</v>
      </c>
      <c r="W5" s="70">
        <v>3</v>
      </c>
      <c r="X5" s="103" t="s">
        <v>30</v>
      </c>
      <c r="Y5" s="104">
        <f t="shared" si="6"/>
        <v>46218</v>
      </c>
      <c r="Z5" s="105">
        <f ca="1" t="shared" si="7"/>
        <v>-95</v>
      </c>
      <c r="AA5" s="70"/>
      <c r="AB5" s="70" t="s">
        <v>12</v>
      </c>
      <c r="AC5" s="70" t="s">
        <v>13</v>
      </c>
      <c r="AD5" s="71" t="s">
        <v>27</v>
      </c>
      <c r="AE5" s="71" t="s">
        <v>28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31</v>
      </c>
      <c r="AL5" s="104">
        <f t="shared" si="2"/>
        <v>46303</v>
      </c>
      <c r="AM5" s="105">
        <f ca="1" t="shared" si="3"/>
        <v>-10</v>
      </c>
      <c r="AN5" s="115"/>
      <c r="AO5" s="70" t="s">
        <v>12</v>
      </c>
      <c r="AP5" s="70" t="s">
        <v>13</v>
      </c>
      <c r="AQ5" s="71" t="s">
        <v>27</v>
      </c>
      <c r="AR5" s="71" t="s">
        <v>28</v>
      </c>
      <c r="AS5" s="72"/>
      <c r="AT5" s="73"/>
      <c r="AU5" s="74" t="s">
        <v>16</v>
      </c>
      <c r="AV5" s="117">
        <v>46295</v>
      </c>
      <c r="AW5" s="115">
        <v>3</v>
      </c>
      <c r="AX5" s="106" t="s">
        <v>32</v>
      </c>
      <c r="AY5" s="104">
        <f t="shared" si="4"/>
        <v>46386</v>
      </c>
      <c r="AZ5" s="105">
        <f ca="1" t="shared" si="5"/>
        <v>73</v>
      </c>
    </row>
    <row r="6" customHeight="1" spans="1:52">
      <c r="A6" s="70">
        <v>4</v>
      </c>
      <c r="B6" s="70" t="s">
        <v>12</v>
      </c>
      <c r="C6" s="70" t="s">
        <v>13</v>
      </c>
      <c r="D6" s="71" t="s">
        <v>33</v>
      </c>
      <c r="E6" s="71" t="s">
        <v>34</v>
      </c>
      <c r="F6" s="72"/>
      <c r="G6" s="73"/>
      <c r="H6" s="75"/>
      <c r="I6" s="102">
        <v>46025</v>
      </c>
      <c r="J6" s="70">
        <v>3</v>
      </c>
      <c r="K6" s="103" t="s">
        <v>35</v>
      </c>
      <c r="L6" s="104">
        <f t="shared" si="0"/>
        <v>46115</v>
      </c>
      <c r="M6" s="105">
        <f ca="1" t="shared" si="1"/>
        <v>-198</v>
      </c>
      <c r="N6" s="70"/>
      <c r="O6" s="70" t="s">
        <v>12</v>
      </c>
      <c r="P6" s="70" t="s">
        <v>13</v>
      </c>
      <c r="Q6" s="71" t="s">
        <v>33</v>
      </c>
      <c r="R6" s="71" t="s">
        <v>34</v>
      </c>
      <c r="S6" s="72"/>
      <c r="T6" s="73"/>
      <c r="U6" s="75"/>
      <c r="V6" s="102">
        <v>46147</v>
      </c>
      <c r="W6" s="70">
        <v>3</v>
      </c>
      <c r="X6" s="103" t="s">
        <v>36</v>
      </c>
      <c r="Y6" s="104">
        <f t="shared" si="6"/>
        <v>46239</v>
      </c>
      <c r="Z6" s="105">
        <f ca="1" t="shared" si="7"/>
        <v>-74</v>
      </c>
      <c r="AA6" s="70"/>
      <c r="AB6" s="70" t="s">
        <v>12</v>
      </c>
      <c r="AC6" s="70" t="s">
        <v>13</v>
      </c>
      <c r="AD6" s="71" t="s">
        <v>33</v>
      </c>
      <c r="AE6" s="71" t="s">
        <v>34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37</v>
      </c>
      <c r="AL6" s="104">
        <f t="shared" si="2"/>
        <v>46331</v>
      </c>
      <c r="AM6" s="105">
        <f ca="1" t="shared" si="3"/>
        <v>18</v>
      </c>
      <c r="AN6" s="115"/>
      <c r="AO6" s="70"/>
      <c r="AP6" s="70"/>
      <c r="AQ6" s="71"/>
      <c r="AR6" s="71"/>
      <c r="AS6" s="72"/>
      <c r="AT6" s="73"/>
      <c r="AU6" s="114"/>
      <c r="AV6" s="117"/>
      <c r="AW6" s="115"/>
      <c r="AX6" s="106"/>
      <c r="AY6" s="104">
        <f t="shared" si="4"/>
        <v>0</v>
      </c>
      <c r="AZ6" s="105">
        <f ca="1" t="shared" si="5"/>
        <v>-46313</v>
      </c>
    </row>
    <row r="7" customHeight="1" spans="1:52">
      <c r="A7" s="70">
        <v>5</v>
      </c>
      <c r="B7" s="70" t="s">
        <v>12</v>
      </c>
      <c r="C7" s="70" t="s">
        <v>38</v>
      </c>
      <c r="D7" s="71" t="s">
        <v>39</v>
      </c>
      <c r="E7" s="71" t="s">
        <v>40</v>
      </c>
      <c r="F7" s="72"/>
      <c r="G7" s="73"/>
      <c r="H7" s="76" t="s">
        <v>16</v>
      </c>
      <c r="I7" s="102">
        <v>46025</v>
      </c>
      <c r="J7" s="70">
        <v>3</v>
      </c>
      <c r="K7" s="103" t="s">
        <v>41</v>
      </c>
      <c r="L7" s="104">
        <f t="shared" si="0"/>
        <v>46115</v>
      </c>
      <c r="M7" s="105">
        <f ca="1" t="shared" si="1"/>
        <v>-198</v>
      </c>
      <c r="N7" s="70"/>
      <c r="O7" s="70" t="s">
        <v>12</v>
      </c>
      <c r="P7" s="70" t="s">
        <v>38</v>
      </c>
      <c r="Q7" s="71" t="s">
        <v>39</v>
      </c>
      <c r="R7" s="71" t="s">
        <v>40</v>
      </c>
      <c r="S7" s="72"/>
      <c r="T7" s="73"/>
      <c r="U7" s="76" t="s">
        <v>16</v>
      </c>
      <c r="V7" s="102">
        <v>46134</v>
      </c>
      <c r="W7" s="70">
        <v>3</v>
      </c>
      <c r="X7" s="103" t="s">
        <v>42</v>
      </c>
      <c r="Y7" s="104">
        <f t="shared" si="6"/>
        <v>46225</v>
      </c>
      <c r="Z7" s="105">
        <f ca="1" t="shared" si="7"/>
        <v>-88</v>
      </c>
      <c r="AA7" s="70"/>
      <c r="AB7" s="70" t="s">
        <v>12</v>
      </c>
      <c r="AC7" s="70" t="s">
        <v>38</v>
      </c>
      <c r="AD7" s="71" t="s">
        <v>39</v>
      </c>
      <c r="AE7" s="71" t="s">
        <v>40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43</v>
      </c>
      <c r="AL7" s="104">
        <f t="shared" si="2"/>
        <v>46311</v>
      </c>
      <c r="AM7" s="105">
        <f ca="1" t="shared" si="3"/>
        <v>-2</v>
      </c>
      <c r="AN7" s="115"/>
      <c r="AO7" s="115"/>
      <c r="AP7" s="115"/>
      <c r="AQ7" s="93"/>
      <c r="AR7" s="93"/>
      <c r="AS7" s="94"/>
      <c r="AT7" s="95"/>
      <c r="AU7" s="114"/>
      <c r="AV7" s="117"/>
      <c r="AW7" s="115"/>
      <c r="AX7" s="106"/>
      <c r="AY7" s="104">
        <f t="shared" si="4"/>
        <v>0</v>
      </c>
      <c r="AZ7" s="105">
        <f ca="1" t="shared" si="5"/>
        <v>-46313</v>
      </c>
    </row>
    <row r="8" customHeight="1" spans="1:52">
      <c r="A8" s="70">
        <v>6</v>
      </c>
      <c r="B8" s="70" t="s">
        <v>12</v>
      </c>
      <c r="C8" s="70" t="s">
        <v>13</v>
      </c>
      <c r="D8" s="71" t="s">
        <v>44</v>
      </c>
      <c r="E8" s="71" t="s">
        <v>45</v>
      </c>
      <c r="F8" s="72"/>
      <c r="G8" s="73"/>
      <c r="H8" s="76" t="s">
        <v>16</v>
      </c>
      <c r="I8" s="102">
        <v>46025</v>
      </c>
      <c r="J8" s="70">
        <v>3</v>
      </c>
      <c r="K8" s="103" t="s">
        <v>46</v>
      </c>
      <c r="L8" s="104">
        <f t="shared" si="0"/>
        <v>46115</v>
      </c>
      <c r="M8" s="105">
        <f ca="1" t="shared" si="1"/>
        <v>-198</v>
      </c>
      <c r="N8" s="70"/>
      <c r="O8" s="70" t="s">
        <v>12</v>
      </c>
      <c r="P8" s="70" t="s">
        <v>13</v>
      </c>
      <c r="Q8" s="71" t="s">
        <v>44</v>
      </c>
      <c r="R8" s="71" t="s">
        <v>45</v>
      </c>
      <c r="S8" s="72"/>
      <c r="T8" s="73"/>
      <c r="U8" s="76" t="s">
        <v>16</v>
      </c>
      <c r="V8" s="102">
        <v>46114</v>
      </c>
      <c r="W8" s="70">
        <v>3</v>
      </c>
      <c r="X8" s="103" t="s">
        <v>47</v>
      </c>
      <c r="Y8" s="104">
        <f t="shared" si="6"/>
        <v>46205</v>
      </c>
      <c r="Z8" s="105">
        <f ca="1" t="shared" si="7"/>
        <v>-108</v>
      </c>
      <c r="AA8" s="70"/>
      <c r="AB8" s="70" t="s">
        <v>12</v>
      </c>
      <c r="AC8" s="70" t="s">
        <v>13</v>
      </c>
      <c r="AD8" s="71" t="s">
        <v>44</v>
      </c>
      <c r="AE8" s="71" t="s">
        <v>45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48</v>
      </c>
      <c r="AL8" s="104">
        <f t="shared" si="2"/>
        <v>46290</v>
      </c>
      <c r="AM8" s="105">
        <f ca="1" t="shared" si="3"/>
        <v>-23</v>
      </c>
      <c r="AN8" s="115"/>
      <c r="AO8" s="70" t="s">
        <v>12</v>
      </c>
      <c r="AP8" s="70" t="s">
        <v>13</v>
      </c>
      <c r="AQ8" s="71" t="s">
        <v>44</v>
      </c>
      <c r="AR8" s="71" t="s">
        <v>45</v>
      </c>
      <c r="AS8" s="72"/>
      <c r="AT8" s="73"/>
      <c r="AU8" s="76" t="s">
        <v>16</v>
      </c>
      <c r="AV8" s="117">
        <v>46302</v>
      </c>
      <c r="AW8" s="115">
        <v>3</v>
      </c>
      <c r="AX8" s="58" t="s">
        <v>49</v>
      </c>
      <c r="AY8" s="104">
        <f t="shared" si="4"/>
        <v>46394</v>
      </c>
      <c r="AZ8" s="105">
        <f ca="1" t="shared" si="5"/>
        <v>81</v>
      </c>
    </row>
    <row r="9" customHeight="1" spans="1:52">
      <c r="A9" s="70">
        <v>7</v>
      </c>
      <c r="B9" s="70" t="s">
        <v>12</v>
      </c>
      <c r="C9" s="70" t="s">
        <v>38</v>
      </c>
      <c r="D9" s="71" t="s">
        <v>50</v>
      </c>
      <c r="E9" s="71" t="s">
        <v>51</v>
      </c>
      <c r="F9" s="72"/>
      <c r="G9" s="73"/>
      <c r="H9" s="76" t="s">
        <v>16</v>
      </c>
      <c r="I9" s="102">
        <v>46025</v>
      </c>
      <c r="J9" s="70">
        <v>3</v>
      </c>
      <c r="K9" s="103" t="s">
        <v>52</v>
      </c>
      <c r="L9" s="104">
        <f t="shared" si="0"/>
        <v>46115</v>
      </c>
      <c r="M9" s="105">
        <f ca="1" t="shared" si="1"/>
        <v>-198</v>
      </c>
      <c r="N9" s="70"/>
      <c r="O9" s="70" t="s">
        <v>12</v>
      </c>
      <c r="P9" s="70" t="s">
        <v>38</v>
      </c>
      <c r="Q9" s="71" t="s">
        <v>50</v>
      </c>
      <c r="R9" s="71" t="s">
        <v>51</v>
      </c>
      <c r="S9" s="72"/>
      <c r="T9" s="73"/>
      <c r="U9" s="76" t="s">
        <v>16</v>
      </c>
      <c r="V9" s="102">
        <v>46113</v>
      </c>
      <c r="W9" s="70">
        <v>3</v>
      </c>
      <c r="X9" s="103" t="s">
        <v>53</v>
      </c>
      <c r="Y9" s="104">
        <f t="shared" si="6"/>
        <v>46204</v>
      </c>
      <c r="Z9" s="105">
        <f ca="1" t="shared" si="7"/>
        <v>-109</v>
      </c>
      <c r="AA9" s="70"/>
      <c r="AB9" s="70" t="s">
        <v>12</v>
      </c>
      <c r="AC9" s="70" t="s">
        <v>38</v>
      </c>
      <c r="AD9" s="71" t="s">
        <v>50</v>
      </c>
      <c r="AE9" s="71" t="s">
        <v>51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54</v>
      </c>
      <c r="AL9" s="104">
        <f t="shared" si="2"/>
        <v>46305</v>
      </c>
      <c r="AM9" s="105">
        <f ca="1" t="shared" si="3"/>
        <v>-8</v>
      </c>
      <c r="AN9" s="115"/>
      <c r="AO9" s="115"/>
      <c r="AP9" s="115"/>
      <c r="AQ9" s="93"/>
      <c r="AR9" s="93"/>
      <c r="AS9" s="94"/>
      <c r="AT9" s="95"/>
      <c r="AU9" s="79"/>
      <c r="AV9" s="117"/>
      <c r="AW9" s="115"/>
      <c r="AX9" s="106"/>
      <c r="AY9" s="104">
        <f t="shared" si="4"/>
        <v>0</v>
      </c>
      <c r="AZ9" s="105">
        <f ca="1" t="shared" si="5"/>
        <v>-46313</v>
      </c>
    </row>
    <row r="10" customHeight="1" spans="1:52">
      <c r="A10" s="70">
        <v>8</v>
      </c>
      <c r="B10" s="70" t="s">
        <v>55</v>
      </c>
      <c r="C10" s="70" t="s">
        <v>38</v>
      </c>
      <c r="D10" s="77" t="s">
        <v>56</v>
      </c>
      <c r="E10" s="71" t="s">
        <v>28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57</v>
      </c>
      <c r="L10" s="104">
        <f t="shared" si="0"/>
        <v>46115</v>
      </c>
      <c r="M10" s="105">
        <f ca="1" t="shared" si="1"/>
        <v>-198</v>
      </c>
      <c r="N10" s="70"/>
      <c r="O10" s="70" t="s">
        <v>55</v>
      </c>
      <c r="P10" s="70" t="s">
        <v>38</v>
      </c>
      <c r="Q10" s="77" t="s">
        <v>56</v>
      </c>
      <c r="R10" s="71" t="s">
        <v>28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58</v>
      </c>
      <c r="Y10" s="104">
        <f t="shared" si="6"/>
        <v>46205</v>
      </c>
      <c r="Z10" s="105">
        <f ca="1" t="shared" si="7"/>
        <v>-108</v>
      </c>
      <c r="AA10" s="70"/>
      <c r="AB10" s="70" t="s">
        <v>55</v>
      </c>
      <c r="AC10" s="70" t="s">
        <v>38</v>
      </c>
      <c r="AD10" s="77" t="s">
        <v>56</v>
      </c>
      <c r="AE10" s="71" t="s">
        <v>28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59</v>
      </c>
      <c r="AL10" s="104">
        <f t="shared" si="2"/>
        <v>46296</v>
      </c>
      <c r="AM10" s="105">
        <f ca="1" t="shared" si="3"/>
        <v>-17</v>
      </c>
      <c r="AN10" s="115"/>
      <c r="AO10" s="70" t="s">
        <v>55</v>
      </c>
      <c r="AP10" s="70" t="s">
        <v>38</v>
      </c>
      <c r="AQ10" s="77" t="s">
        <v>56</v>
      </c>
      <c r="AR10" s="71" t="s">
        <v>28</v>
      </c>
      <c r="AS10" s="72"/>
      <c r="AT10" s="73"/>
      <c r="AU10" s="76" t="s">
        <v>16</v>
      </c>
      <c r="AV10" s="117">
        <v>46288</v>
      </c>
      <c r="AW10" s="115">
        <v>3</v>
      </c>
      <c r="AX10" s="107" t="s">
        <v>60</v>
      </c>
      <c r="AY10" s="104">
        <f t="shared" ref="AY10:AY13" si="8">EDATE(AV10,AW10)</f>
        <v>46379</v>
      </c>
      <c r="AZ10" s="105">
        <f ca="1" t="shared" si="5"/>
        <v>66</v>
      </c>
    </row>
    <row r="11" customHeight="1" spans="1:52">
      <c r="A11" s="70">
        <v>9</v>
      </c>
      <c r="B11" s="70" t="s">
        <v>61</v>
      </c>
      <c r="C11" s="70" t="s">
        <v>38</v>
      </c>
      <c r="D11" s="78" t="s">
        <v>62</v>
      </c>
      <c r="E11" s="71" t="s">
        <v>28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63</v>
      </c>
      <c r="L11" s="104">
        <f t="shared" si="0"/>
        <v>46115</v>
      </c>
      <c r="M11" s="105">
        <f ca="1" t="shared" si="1"/>
        <v>-198</v>
      </c>
      <c r="N11" s="70"/>
      <c r="O11" s="70" t="s">
        <v>61</v>
      </c>
      <c r="P11" s="70" t="s">
        <v>38</v>
      </c>
      <c r="Q11" s="78" t="s">
        <v>62</v>
      </c>
      <c r="R11" s="71" t="s">
        <v>28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64</v>
      </c>
      <c r="Y11" s="104">
        <f t="shared" si="6"/>
        <v>46207</v>
      </c>
      <c r="Z11" s="105">
        <f ca="1" t="shared" si="7"/>
        <v>-106</v>
      </c>
      <c r="AA11" s="70"/>
      <c r="AB11" s="70" t="s">
        <v>65</v>
      </c>
      <c r="AC11" s="70" t="s">
        <v>38</v>
      </c>
      <c r="AD11" s="78" t="s">
        <v>62</v>
      </c>
      <c r="AE11" s="71" t="s">
        <v>28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66</v>
      </c>
      <c r="AL11" s="104">
        <f t="shared" si="2"/>
        <v>46291</v>
      </c>
      <c r="AM11" s="105">
        <f ca="1" t="shared" si="3"/>
        <v>-22</v>
      </c>
      <c r="AN11" s="115"/>
      <c r="AO11" s="70" t="s">
        <v>61</v>
      </c>
      <c r="AP11" s="70" t="s">
        <v>38</v>
      </c>
      <c r="AQ11" s="78" t="s">
        <v>62</v>
      </c>
      <c r="AR11" s="71" t="s">
        <v>28</v>
      </c>
      <c r="AS11" s="72"/>
      <c r="AT11" s="73"/>
      <c r="AU11" s="76" t="s">
        <v>16</v>
      </c>
      <c r="AV11" s="117">
        <v>46288</v>
      </c>
      <c r="AW11" s="115">
        <v>3</v>
      </c>
      <c r="AX11" s="107" t="s">
        <v>67</v>
      </c>
      <c r="AY11" s="104">
        <f t="shared" si="8"/>
        <v>46379</v>
      </c>
      <c r="AZ11" s="105">
        <f ca="1" t="shared" si="5"/>
        <v>66</v>
      </c>
    </row>
    <row r="12" customHeight="1" spans="1:52">
      <c r="A12" s="70">
        <v>10</v>
      </c>
      <c r="B12" s="70" t="s">
        <v>55</v>
      </c>
      <c r="C12" s="70" t="s">
        <v>38</v>
      </c>
      <c r="D12" s="77" t="s">
        <v>68</v>
      </c>
      <c r="E12" s="71" t="s">
        <v>69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70</v>
      </c>
      <c r="L12" s="104">
        <f t="shared" si="0"/>
        <v>46115</v>
      </c>
      <c r="M12" s="105">
        <f ca="1" t="shared" si="1"/>
        <v>-198</v>
      </c>
      <c r="N12" s="70"/>
      <c r="O12" s="70" t="s">
        <v>55</v>
      </c>
      <c r="P12" s="70" t="s">
        <v>38</v>
      </c>
      <c r="Q12" s="77" t="s">
        <v>68</v>
      </c>
      <c r="R12" s="71" t="s">
        <v>69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71</v>
      </c>
      <c r="Y12" s="104">
        <f t="shared" si="6"/>
        <v>46207</v>
      </c>
      <c r="Z12" s="105">
        <f ca="1" t="shared" si="7"/>
        <v>-106</v>
      </c>
      <c r="AA12" s="70"/>
      <c r="AB12" s="70" t="s">
        <v>61</v>
      </c>
      <c r="AC12" s="70" t="s">
        <v>38</v>
      </c>
      <c r="AD12" s="77" t="s">
        <v>68</v>
      </c>
      <c r="AE12" s="71" t="s">
        <v>69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72</v>
      </c>
      <c r="AL12" s="104">
        <f t="shared" si="2"/>
        <v>46290</v>
      </c>
      <c r="AM12" s="105">
        <f ca="1" t="shared" si="3"/>
        <v>-23</v>
      </c>
      <c r="AN12" s="115"/>
      <c r="AO12" s="70" t="s">
        <v>61</v>
      </c>
      <c r="AP12" s="70" t="s">
        <v>38</v>
      </c>
      <c r="AQ12" s="77" t="s">
        <v>68</v>
      </c>
      <c r="AR12" s="71" t="s">
        <v>69</v>
      </c>
      <c r="AS12" s="72"/>
      <c r="AT12" s="73"/>
      <c r="AU12" s="76" t="s">
        <v>16</v>
      </c>
      <c r="AV12" s="117">
        <v>46288</v>
      </c>
      <c r="AW12" s="115">
        <v>3</v>
      </c>
      <c r="AX12" s="107" t="s">
        <v>73</v>
      </c>
      <c r="AY12" s="104">
        <f t="shared" si="8"/>
        <v>46379</v>
      </c>
      <c r="AZ12" s="105">
        <f ca="1" t="shared" ref="AZ12:AZ21" si="9">AY12-TODAY()</f>
        <v>66</v>
      </c>
    </row>
    <row r="13" customHeight="1" spans="1:52">
      <c r="A13" s="70">
        <v>11</v>
      </c>
      <c r="B13" s="70" t="s">
        <v>74</v>
      </c>
      <c r="C13" s="78" t="s">
        <v>13</v>
      </c>
      <c r="D13" s="77" t="s">
        <v>75</v>
      </c>
      <c r="E13" s="71" t="s">
        <v>76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77</v>
      </c>
      <c r="L13" s="104">
        <f t="shared" si="0"/>
        <v>46116</v>
      </c>
      <c r="M13" s="105">
        <f ca="1" t="shared" si="1"/>
        <v>-197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6"/>
        <v>0</v>
      </c>
      <c r="Z13" s="105">
        <f ca="1" t="shared" si="7"/>
        <v>-46313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-46313</v>
      </c>
      <c r="AN13" s="115"/>
      <c r="AO13" s="115"/>
      <c r="AP13" s="116"/>
      <c r="AQ13" s="118"/>
      <c r="AR13" s="93"/>
      <c r="AS13" s="94"/>
      <c r="AT13" s="95"/>
      <c r="AU13" s="79"/>
      <c r="AV13" s="117"/>
      <c r="AW13" s="115"/>
      <c r="AX13" s="107"/>
      <c r="AY13" s="104">
        <f t="shared" si="8"/>
        <v>0</v>
      </c>
      <c r="AZ13" s="105">
        <f ca="1" t="shared" si="9"/>
        <v>-46313</v>
      </c>
    </row>
    <row r="14" customHeight="1" spans="1:52">
      <c r="A14" s="70">
        <v>12</v>
      </c>
      <c r="B14" s="70" t="s">
        <v>78</v>
      </c>
      <c r="C14" s="78" t="s">
        <v>13</v>
      </c>
      <c r="D14" s="77" t="s">
        <v>79</v>
      </c>
      <c r="E14" s="71" t="s">
        <v>80</v>
      </c>
      <c r="F14" s="72"/>
      <c r="G14" s="73"/>
      <c r="H14" s="75"/>
      <c r="I14" s="102">
        <v>46026</v>
      </c>
      <c r="J14" s="70">
        <v>3</v>
      </c>
      <c r="K14" s="106" t="s">
        <v>81</v>
      </c>
      <c r="L14" s="104">
        <f t="shared" si="0"/>
        <v>46116</v>
      </c>
      <c r="M14" s="105">
        <f ca="1" t="shared" si="1"/>
        <v>-197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6"/>
        <v>0</v>
      </c>
      <c r="Z14" s="105">
        <f ca="1" t="shared" si="7"/>
        <v>-46313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-46313</v>
      </c>
      <c r="AN14" s="115"/>
      <c r="AO14" s="115"/>
      <c r="AP14" s="116"/>
      <c r="AQ14" s="118"/>
      <c r="AR14" s="93"/>
      <c r="AS14" s="94"/>
      <c r="AT14" s="95"/>
      <c r="AU14" s="79"/>
      <c r="AV14" s="117"/>
      <c r="AW14" s="115"/>
      <c r="AX14" s="107"/>
      <c r="AY14" s="104">
        <f t="shared" ref="AY12:AY21" si="10">EDATE(AV14,AW14)</f>
        <v>0</v>
      </c>
      <c r="AZ14" s="105">
        <f ca="1" t="shared" si="9"/>
        <v>-46313</v>
      </c>
    </row>
    <row r="15" customHeight="1" spans="1:52">
      <c r="A15" s="70">
        <v>13</v>
      </c>
      <c r="B15" s="70" t="s">
        <v>78</v>
      </c>
      <c r="C15" s="78" t="s">
        <v>38</v>
      </c>
      <c r="D15" s="77" t="s">
        <v>82</v>
      </c>
      <c r="E15" s="71" t="s">
        <v>83</v>
      </c>
      <c r="F15" s="72"/>
      <c r="G15" s="73"/>
      <c r="H15" s="75"/>
      <c r="I15" s="102">
        <v>46026</v>
      </c>
      <c r="J15" s="70">
        <v>3</v>
      </c>
      <c r="K15" s="106" t="s">
        <v>84</v>
      </c>
      <c r="L15" s="104">
        <f t="shared" si="0"/>
        <v>46116</v>
      </c>
      <c r="M15" s="105">
        <f ca="1" t="shared" si="1"/>
        <v>-197</v>
      </c>
      <c r="N15" s="70"/>
      <c r="O15" s="70" t="s">
        <v>78</v>
      </c>
      <c r="P15" s="78" t="s">
        <v>38</v>
      </c>
      <c r="Q15" s="77" t="s">
        <v>82</v>
      </c>
      <c r="R15" s="71" t="s">
        <v>83</v>
      </c>
      <c r="S15" s="72"/>
      <c r="T15" s="73"/>
      <c r="U15" s="75"/>
      <c r="V15" s="102">
        <v>46127</v>
      </c>
      <c r="W15" s="70">
        <v>3</v>
      </c>
      <c r="X15" s="97" t="s">
        <v>85</v>
      </c>
      <c r="Y15" s="104">
        <f t="shared" si="6"/>
        <v>46218</v>
      </c>
      <c r="Z15" s="105">
        <f ca="1" t="shared" si="7"/>
        <v>-95</v>
      </c>
      <c r="AA15" s="70"/>
      <c r="AB15" s="70" t="s">
        <v>78</v>
      </c>
      <c r="AC15" s="78" t="s">
        <v>38</v>
      </c>
      <c r="AD15" s="77" t="s">
        <v>82</v>
      </c>
      <c r="AE15" s="71" t="s">
        <v>83</v>
      </c>
      <c r="AF15" s="72"/>
      <c r="AG15" s="73"/>
      <c r="AH15" s="75"/>
      <c r="AI15" s="102">
        <v>46263</v>
      </c>
      <c r="AJ15" s="70">
        <v>3</v>
      </c>
      <c r="AK15" s="97" t="s">
        <v>86</v>
      </c>
      <c r="AL15" s="104">
        <f t="shared" si="2"/>
        <v>46355</v>
      </c>
      <c r="AM15" s="105">
        <f ca="1" t="shared" si="3"/>
        <v>42</v>
      </c>
      <c r="AN15" s="115"/>
      <c r="AO15" s="115"/>
      <c r="AP15" s="116"/>
      <c r="AQ15" s="118"/>
      <c r="AR15" s="93"/>
      <c r="AS15" s="94"/>
      <c r="AT15" s="95"/>
      <c r="AU15" s="79"/>
      <c r="AV15" s="117"/>
      <c r="AW15" s="115"/>
      <c r="AX15" s="107"/>
      <c r="AY15" s="104">
        <f t="shared" si="10"/>
        <v>0</v>
      </c>
      <c r="AZ15" s="105">
        <f ca="1" t="shared" si="9"/>
        <v>-46313</v>
      </c>
    </row>
    <row r="16" customHeight="1" spans="1:52">
      <c r="A16" s="70">
        <v>14</v>
      </c>
      <c r="B16" s="70" t="s">
        <v>78</v>
      </c>
      <c r="C16" s="78" t="s">
        <v>13</v>
      </c>
      <c r="D16" s="77" t="s">
        <v>87</v>
      </c>
      <c r="E16" s="71" t="s">
        <v>88</v>
      </c>
      <c r="F16" s="72"/>
      <c r="G16" s="73"/>
      <c r="H16" s="75"/>
      <c r="I16" s="102">
        <v>46026</v>
      </c>
      <c r="J16" s="70">
        <v>3</v>
      </c>
      <c r="K16" s="106" t="s">
        <v>89</v>
      </c>
      <c r="L16" s="104">
        <f t="shared" si="0"/>
        <v>46116</v>
      </c>
      <c r="M16" s="105">
        <f ca="1" t="shared" si="1"/>
        <v>-197</v>
      </c>
      <c r="N16" s="70"/>
      <c r="O16" s="70" t="s">
        <v>78</v>
      </c>
      <c r="P16" s="78" t="s">
        <v>13</v>
      </c>
      <c r="Q16" s="77" t="s">
        <v>87</v>
      </c>
      <c r="R16" s="71" t="s">
        <v>88</v>
      </c>
      <c r="S16" s="72"/>
      <c r="T16" s="73"/>
      <c r="U16" s="75"/>
      <c r="V16" s="102">
        <v>46127</v>
      </c>
      <c r="W16" s="70">
        <v>3</v>
      </c>
      <c r="X16" s="97" t="s">
        <v>90</v>
      </c>
      <c r="Y16" s="104">
        <f t="shared" si="6"/>
        <v>46218</v>
      </c>
      <c r="Z16" s="105">
        <f ca="1" t="shared" si="7"/>
        <v>-95</v>
      </c>
      <c r="AA16" s="70"/>
      <c r="AB16" s="70" t="s">
        <v>78</v>
      </c>
      <c r="AC16" s="78" t="s">
        <v>13</v>
      </c>
      <c r="AD16" s="77" t="s">
        <v>87</v>
      </c>
      <c r="AE16" s="71" t="s">
        <v>88</v>
      </c>
      <c r="AF16" s="72"/>
      <c r="AG16" s="73"/>
      <c r="AH16" s="75"/>
      <c r="AI16" s="102">
        <v>46263</v>
      </c>
      <c r="AJ16" s="70">
        <v>3</v>
      </c>
      <c r="AK16" s="97" t="s">
        <v>91</v>
      </c>
      <c r="AL16" s="104">
        <f t="shared" si="2"/>
        <v>46355</v>
      </c>
      <c r="AM16" s="105">
        <f ca="1" t="shared" si="3"/>
        <v>42</v>
      </c>
      <c r="AN16" s="115"/>
      <c r="AO16" s="115"/>
      <c r="AP16" s="116"/>
      <c r="AQ16" s="118"/>
      <c r="AR16" s="93"/>
      <c r="AS16" s="94"/>
      <c r="AT16" s="95"/>
      <c r="AU16" s="79"/>
      <c r="AV16" s="117"/>
      <c r="AW16" s="115"/>
      <c r="AX16" s="107"/>
      <c r="AY16" s="104">
        <f t="shared" si="10"/>
        <v>0</v>
      </c>
      <c r="AZ16" s="105">
        <f ca="1" t="shared" si="9"/>
        <v>-46313</v>
      </c>
    </row>
    <row r="17" customHeight="1" spans="1:52">
      <c r="A17" s="70">
        <v>15</v>
      </c>
      <c r="B17" s="70" t="s">
        <v>92</v>
      </c>
      <c r="C17" s="78" t="s">
        <v>13</v>
      </c>
      <c r="D17" s="77" t="s">
        <v>93</v>
      </c>
      <c r="E17" s="71" t="s">
        <v>94</v>
      </c>
      <c r="F17" s="72"/>
      <c r="G17" s="73"/>
      <c r="H17" s="75"/>
      <c r="I17" s="102">
        <v>46026</v>
      </c>
      <c r="J17" s="70">
        <v>3</v>
      </c>
      <c r="K17" s="106" t="s">
        <v>95</v>
      </c>
      <c r="L17" s="104">
        <f t="shared" si="0"/>
        <v>46116</v>
      </c>
      <c r="M17" s="105">
        <f ca="1" t="shared" si="1"/>
        <v>-197</v>
      </c>
      <c r="N17" s="70"/>
      <c r="O17" s="70" t="s">
        <v>92</v>
      </c>
      <c r="P17" s="78" t="s">
        <v>13</v>
      </c>
      <c r="Q17" s="77" t="s">
        <v>93</v>
      </c>
      <c r="R17" s="71" t="s">
        <v>94</v>
      </c>
      <c r="S17" s="72"/>
      <c r="T17" s="73"/>
      <c r="U17" s="75"/>
      <c r="V17" s="102">
        <v>46115</v>
      </c>
      <c r="W17" s="70">
        <v>3</v>
      </c>
      <c r="X17" s="97" t="s">
        <v>96</v>
      </c>
      <c r="Y17" s="104">
        <f t="shared" si="6"/>
        <v>46206</v>
      </c>
      <c r="Z17" s="105">
        <f ca="1" t="shared" si="7"/>
        <v>-107</v>
      </c>
      <c r="AA17" s="70"/>
      <c r="AB17" s="70" t="s">
        <v>92</v>
      </c>
      <c r="AC17" s="78" t="s">
        <v>13</v>
      </c>
      <c r="AD17" s="77" t="s">
        <v>93</v>
      </c>
      <c r="AE17" s="71" t="s">
        <v>94</v>
      </c>
      <c r="AF17" s="72"/>
      <c r="AG17" s="73"/>
      <c r="AH17" s="75"/>
      <c r="AI17" s="102">
        <v>46208</v>
      </c>
      <c r="AJ17" s="70">
        <v>3</v>
      </c>
      <c r="AK17" s="97" t="s">
        <v>97</v>
      </c>
      <c r="AL17" s="104">
        <f t="shared" si="2"/>
        <v>46300</v>
      </c>
      <c r="AM17" s="105">
        <f ca="1" t="shared" si="3"/>
        <v>-13</v>
      </c>
      <c r="AN17" s="115"/>
      <c r="AO17" s="70" t="s">
        <v>92</v>
      </c>
      <c r="AP17" s="78" t="s">
        <v>13</v>
      </c>
      <c r="AQ17" s="77" t="s">
        <v>93</v>
      </c>
      <c r="AR17" s="71" t="s">
        <v>94</v>
      </c>
      <c r="AS17" s="72"/>
      <c r="AT17" s="73"/>
      <c r="AU17" s="75"/>
      <c r="AV17" s="117">
        <v>46295</v>
      </c>
      <c r="AW17" s="115">
        <v>3</v>
      </c>
      <c r="AX17" s="107" t="s">
        <v>98</v>
      </c>
      <c r="AY17" s="104">
        <f t="shared" si="10"/>
        <v>46386</v>
      </c>
      <c r="AZ17" s="105">
        <f ca="1" t="shared" si="9"/>
        <v>73</v>
      </c>
    </row>
    <row r="18" customHeight="1" spans="1:52">
      <c r="A18" s="70">
        <v>16</v>
      </c>
      <c r="B18" s="70" t="s">
        <v>55</v>
      </c>
      <c r="C18" s="78" t="s">
        <v>38</v>
      </c>
      <c r="D18" s="77" t="s">
        <v>99</v>
      </c>
      <c r="E18" s="71" t="s">
        <v>100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101</v>
      </c>
      <c r="L18" s="104">
        <f t="shared" si="0"/>
        <v>46116</v>
      </c>
      <c r="M18" s="105">
        <f ca="1" t="shared" si="1"/>
        <v>-197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6"/>
        <v>0</v>
      </c>
      <c r="Z18" s="105">
        <f ca="1" t="shared" si="7"/>
        <v>-46313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-46313</v>
      </c>
      <c r="AN18" s="115"/>
      <c r="AO18" s="115"/>
      <c r="AP18" s="116"/>
      <c r="AQ18" s="118"/>
      <c r="AR18" s="93"/>
      <c r="AS18" s="94"/>
      <c r="AT18" s="95"/>
      <c r="AU18" s="79"/>
      <c r="AV18" s="117"/>
      <c r="AW18" s="115"/>
      <c r="AX18" s="107"/>
      <c r="AY18" s="104">
        <f t="shared" si="10"/>
        <v>0</v>
      </c>
      <c r="AZ18" s="105">
        <f ca="1" t="shared" si="9"/>
        <v>-46313</v>
      </c>
    </row>
    <row r="19" customHeight="1" spans="1:52">
      <c r="A19" s="70">
        <v>17</v>
      </c>
      <c r="B19" s="70" t="s">
        <v>61</v>
      </c>
      <c r="C19" s="78" t="s">
        <v>38</v>
      </c>
      <c r="D19" s="77" t="s">
        <v>102</v>
      </c>
      <c r="E19" s="71" t="s">
        <v>69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103</v>
      </c>
      <c r="L19" s="104">
        <f t="shared" si="0"/>
        <v>46116</v>
      </c>
      <c r="M19" s="105">
        <f ca="1" t="shared" si="1"/>
        <v>-197</v>
      </c>
      <c r="N19" s="70"/>
      <c r="O19" s="70" t="s">
        <v>61</v>
      </c>
      <c r="P19" s="78" t="s">
        <v>38</v>
      </c>
      <c r="Q19" s="77" t="s">
        <v>102</v>
      </c>
      <c r="R19" s="71" t="s">
        <v>69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104</v>
      </c>
      <c r="Y19" s="104">
        <f t="shared" si="6"/>
        <v>46207</v>
      </c>
      <c r="Z19" s="105">
        <f ca="1" t="shared" si="7"/>
        <v>-106</v>
      </c>
      <c r="AA19" s="70"/>
      <c r="AB19" s="70" t="s">
        <v>61</v>
      </c>
      <c r="AC19" s="78" t="s">
        <v>38</v>
      </c>
      <c r="AD19" s="77" t="s">
        <v>102</v>
      </c>
      <c r="AE19" s="71" t="s">
        <v>69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105</v>
      </c>
      <c r="AL19" s="104">
        <f t="shared" si="2"/>
        <v>46296</v>
      </c>
      <c r="AM19" s="105">
        <f ca="1" t="shared" si="3"/>
        <v>-17</v>
      </c>
      <c r="AN19" s="115"/>
      <c r="AO19" s="70" t="s">
        <v>61</v>
      </c>
      <c r="AP19" s="78" t="s">
        <v>38</v>
      </c>
      <c r="AQ19" s="77" t="s">
        <v>102</v>
      </c>
      <c r="AR19" s="71" t="s">
        <v>69</v>
      </c>
      <c r="AS19" s="72"/>
      <c r="AT19" s="73"/>
      <c r="AU19" s="79" t="s">
        <v>16</v>
      </c>
      <c r="AV19" s="117">
        <v>46289</v>
      </c>
      <c r="AW19" s="115">
        <v>3</v>
      </c>
      <c r="AX19" s="107" t="s">
        <v>106</v>
      </c>
      <c r="AY19" s="104">
        <f t="shared" si="10"/>
        <v>46380</v>
      </c>
      <c r="AZ19" s="105">
        <f ca="1" t="shared" si="9"/>
        <v>67</v>
      </c>
    </row>
    <row r="20" customHeight="1" spans="1:52">
      <c r="A20" s="70">
        <v>18</v>
      </c>
      <c r="B20" s="70" t="s">
        <v>61</v>
      </c>
      <c r="C20" s="78" t="s">
        <v>38</v>
      </c>
      <c r="D20" s="77" t="s">
        <v>107</v>
      </c>
      <c r="E20" s="71" t="s">
        <v>69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108</v>
      </c>
      <c r="L20" s="104">
        <f t="shared" si="0"/>
        <v>46116</v>
      </c>
      <c r="M20" s="105">
        <f ca="1" t="shared" si="1"/>
        <v>-197</v>
      </c>
      <c r="N20" s="70"/>
      <c r="O20" s="70" t="s">
        <v>61</v>
      </c>
      <c r="P20" s="78" t="s">
        <v>38</v>
      </c>
      <c r="Q20" s="77" t="s">
        <v>107</v>
      </c>
      <c r="R20" s="71" t="s">
        <v>69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109</v>
      </c>
      <c r="Y20" s="104">
        <f t="shared" si="6"/>
        <v>46207</v>
      </c>
      <c r="Z20" s="105">
        <f ca="1" t="shared" si="7"/>
        <v>-106</v>
      </c>
      <c r="AA20" s="70"/>
      <c r="AB20" s="70" t="s">
        <v>61</v>
      </c>
      <c r="AC20" s="78" t="s">
        <v>38</v>
      </c>
      <c r="AD20" s="77" t="s">
        <v>107</v>
      </c>
      <c r="AE20" s="71" t="s">
        <v>69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110</v>
      </c>
      <c r="AL20" s="104">
        <f t="shared" si="2"/>
        <v>46296</v>
      </c>
      <c r="AM20" s="105">
        <f ca="1" t="shared" si="3"/>
        <v>-17</v>
      </c>
      <c r="AN20" s="115"/>
      <c r="AO20" s="70" t="s">
        <v>61</v>
      </c>
      <c r="AP20" s="78" t="s">
        <v>38</v>
      </c>
      <c r="AQ20" s="77" t="s">
        <v>107</v>
      </c>
      <c r="AR20" s="71" t="s">
        <v>69</v>
      </c>
      <c r="AS20" s="72"/>
      <c r="AT20" s="73"/>
      <c r="AU20" s="79" t="s">
        <v>16</v>
      </c>
      <c r="AV20" s="117">
        <v>46288</v>
      </c>
      <c r="AW20" s="115">
        <v>3</v>
      </c>
      <c r="AX20" s="107" t="s">
        <v>111</v>
      </c>
      <c r="AY20" s="104">
        <f t="shared" si="10"/>
        <v>46379</v>
      </c>
      <c r="AZ20" s="105">
        <f ca="1" t="shared" ref="AZ20:AZ26" si="11">AY20-TODAY()</f>
        <v>66</v>
      </c>
    </row>
    <row r="21" customHeight="1" spans="1:52">
      <c r="A21" s="70">
        <v>19</v>
      </c>
      <c r="B21" s="70" t="s">
        <v>61</v>
      </c>
      <c r="C21" s="78" t="s">
        <v>13</v>
      </c>
      <c r="D21" s="80" t="s">
        <v>112</v>
      </c>
      <c r="E21" s="77" t="s">
        <v>113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114</v>
      </c>
      <c r="L21" s="104">
        <f t="shared" si="0"/>
        <v>46116</v>
      </c>
      <c r="M21" s="105">
        <f ca="1" t="shared" si="1"/>
        <v>-197</v>
      </c>
      <c r="N21" s="70"/>
      <c r="O21" s="70" t="s">
        <v>61</v>
      </c>
      <c r="P21" s="78" t="s">
        <v>13</v>
      </c>
      <c r="Q21" s="80" t="s">
        <v>112</v>
      </c>
      <c r="R21" s="77" t="s">
        <v>113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115</v>
      </c>
      <c r="Y21" s="104">
        <f t="shared" si="6"/>
        <v>46212</v>
      </c>
      <c r="Z21" s="105">
        <f ca="1" t="shared" si="7"/>
        <v>-101</v>
      </c>
      <c r="AA21" s="70"/>
      <c r="AB21" s="70" t="s">
        <v>61</v>
      </c>
      <c r="AC21" s="78" t="s">
        <v>13</v>
      </c>
      <c r="AD21" s="80" t="s">
        <v>112</v>
      </c>
      <c r="AE21" s="77" t="s">
        <v>113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116</v>
      </c>
      <c r="AL21" s="104">
        <f t="shared" si="2"/>
        <v>46296</v>
      </c>
      <c r="AM21" s="105">
        <f ca="1" t="shared" si="3"/>
        <v>-17</v>
      </c>
      <c r="AN21" s="115"/>
      <c r="AO21" s="70" t="s">
        <v>61</v>
      </c>
      <c r="AP21" s="78" t="s">
        <v>13</v>
      </c>
      <c r="AQ21" s="80" t="s">
        <v>112</v>
      </c>
      <c r="AR21" s="77" t="s">
        <v>113</v>
      </c>
      <c r="AS21" s="81"/>
      <c r="AT21" s="82"/>
      <c r="AU21" s="79" t="s">
        <v>16</v>
      </c>
      <c r="AV21" s="119">
        <v>46287</v>
      </c>
      <c r="AW21" s="115">
        <v>3</v>
      </c>
      <c r="AX21" s="107" t="s">
        <v>117</v>
      </c>
      <c r="AY21" s="104">
        <f t="shared" si="10"/>
        <v>46378</v>
      </c>
      <c r="AZ21" s="105">
        <f ca="1" t="shared" si="11"/>
        <v>65</v>
      </c>
    </row>
    <row r="22" customHeight="1" spans="1:52">
      <c r="A22" s="70">
        <v>20</v>
      </c>
      <c r="B22" s="70" t="s">
        <v>55</v>
      </c>
      <c r="C22" s="78" t="s">
        <v>13</v>
      </c>
      <c r="D22" s="70" t="s">
        <v>118</v>
      </c>
      <c r="E22" s="72" t="s">
        <v>76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119</v>
      </c>
      <c r="L22" s="104">
        <f t="shared" si="0"/>
        <v>46116</v>
      </c>
      <c r="M22" s="105">
        <f ca="1" t="shared" si="1"/>
        <v>-197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6"/>
        <v>0</v>
      </c>
      <c r="Z22" s="105">
        <f ca="1" t="shared" si="7"/>
        <v>-46313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-46313</v>
      </c>
      <c r="AN22" s="115"/>
      <c r="AO22" s="70"/>
      <c r="AP22" s="70"/>
      <c r="AQ22" s="70"/>
      <c r="AR22" s="72"/>
      <c r="AS22" s="72"/>
      <c r="AT22" s="73"/>
      <c r="AU22" s="79"/>
      <c r="AV22" s="119"/>
      <c r="AW22" s="115"/>
      <c r="AX22" s="106"/>
      <c r="AY22" s="104">
        <f t="shared" ref="AY21:AY24" si="12">EDATE(AV22,AW22)</f>
        <v>0</v>
      </c>
      <c r="AZ22" s="105">
        <f ca="1" t="shared" si="11"/>
        <v>-46313</v>
      </c>
    </row>
    <row r="23" customHeight="1" spans="1:52">
      <c r="A23" s="70">
        <v>21</v>
      </c>
      <c r="B23" s="70" t="s">
        <v>61</v>
      </c>
      <c r="C23" s="78" t="s">
        <v>13</v>
      </c>
      <c r="D23" s="70" t="s">
        <v>120</v>
      </c>
      <c r="E23" s="72" t="s">
        <v>76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121</v>
      </c>
      <c r="L23" s="104">
        <f t="shared" si="0"/>
        <v>46116</v>
      </c>
      <c r="M23" s="105">
        <f ca="1" t="shared" si="1"/>
        <v>-197</v>
      </c>
      <c r="N23" s="70"/>
      <c r="O23" s="70" t="s">
        <v>61</v>
      </c>
      <c r="P23" s="78" t="s">
        <v>13</v>
      </c>
      <c r="Q23" s="70" t="s">
        <v>120</v>
      </c>
      <c r="R23" s="72" t="s">
        <v>76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122</v>
      </c>
      <c r="Y23" s="104">
        <f t="shared" si="6"/>
        <v>46212</v>
      </c>
      <c r="Z23" s="105">
        <f ca="1" t="shared" si="7"/>
        <v>-101</v>
      </c>
      <c r="AA23" s="70"/>
      <c r="AB23" s="70" t="s">
        <v>61</v>
      </c>
      <c r="AC23" s="78" t="s">
        <v>13</v>
      </c>
      <c r="AD23" s="70" t="s">
        <v>120</v>
      </c>
      <c r="AE23" s="72" t="s">
        <v>76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123</v>
      </c>
      <c r="AL23" s="104">
        <f t="shared" si="2"/>
        <v>46295</v>
      </c>
      <c r="AM23" s="105">
        <f ca="1" t="shared" si="3"/>
        <v>-18</v>
      </c>
      <c r="AN23" s="115"/>
      <c r="AO23" s="70" t="s">
        <v>61</v>
      </c>
      <c r="AP23" s="78" t="s">
        <v>13</v>
      </c>
      <c r="AQ23" s="70" t="s">
        <v>120</v>
      </c>
      <c r="AR23" s="72" t="s">
        <v>76</v>
      </c>
      <c r="AS23" s="72"/>
      <c r="AT23" s="73"/>
      <c r="AU23" s="114" t="s">
        <v>16</v>
      </c>
      <c r="AV23" s="119">
        <v>46287</v>
      </c>
      <c r="AW23" s="115">
        <v>3</v>
      </c>
      <c r="AX23" s="106" t="s">
        <v>124</v>
      </c>
      <c r="AY23" s="104">
        <f t="shared" si="12"/>
        <v>46378</v>
      </c>
      <c r="AZ23" s="105">
        <f ca="1" t="shared" si="11"/>
        <v>65</v>
      </c>
    </row>
    <row r="24" customHeight="1" spans="1:52">
      <c r="A24" s="70">
        <v>22</v>
      </c>
      <c r="B24" s="70" t="s">
        <v>55</v>
      </c>
      <c r="C24" s="78" t="s">
        <v>13</v>
      </c>
      <c r="D24" s="83" t="s">
        <v>125</v>
      </c>
      <c r="E24" s="72" t="s">
        <v>126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127</v>
      </c>
      <c r="L24" s="104">
        <f t="shared" si="0"/>
        <v>46116</v>
      </c>
      <c r="M24" s="105">
        <f ca="1" t="shared" si="1"/>
        <v>-197</v>
      </c>
      <c r="N24" s="70"/>
      <c r="O24" s="70" t="s">
        <v>55</v>
      </c>
      <c r="P24" s="78" t="s">
        <v>13</v>
      </c>
      <c r="Q24" s="83" t="s">
        <v>125</v>
      </c>
      <c r="R24" s="72" t="s">
        <v>126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128</v>
      </c>
      <c r="Y24" s="104">
        <f t="shared" si="6"/>
        <v>46205</v>
      </c>
      <c r="Z24" s="105">
        <f ca="1" t="shared" si="7"/>
        <v>-108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-46313</v>
      </c>
      <c r="AN24" s="115"/>
      <c r="AO24" s="115"/>
      <c r="AP24" s="115"/>
      <c r="AQ24" s="120"/>
      <c r="AR24" s="94"/>
      <c r="AS24" s="94"/>
      <c r="AT24" s="95"/>
      <c r="AU24" s="114"/>
      <c r="AV24" s="119"/>
      <c r="AW24" s="115"/>
      <c r="AX24" s="106"/>
      <c r="AY24" s="104">
        <f t="shared" si="12"/>
        <v>0</v>
      </c>
      <c r="AZ24" s="105">
        <f ca="1" t="shared" si="11"/>
        <v>-46313</v>
      </c>
    </row>
    <row r="25" customHeight="1" spans="1:52">
      <c r="A25" s="70">
        <v>23</v>
      </c>
      <c r="B25" s="70" t="s">
        <v>61</v>
      </c>
      <c r="C25" s="78" t="s">
        <v>13</v>
      </c>
      <c r="D25" s="83" t="s">
        <v>129</v>
      </c>
      <c r="E25" s="72" t="s">
        <v>76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130</v>
      </c>
      <c r="L25" s="104">
        <f t="shared" si="0"/>
        <v>46116</v>
      </c>
      <c r="M25" s="105">
        <f ca="1" t="shared" si="1"/>
        <v>-197</v>
      </c>
      <c r="N25" s="70"/>
      <c r="O25" s="70" t="s">
        <v>61</v>
      </c>
      <c r="P25" s="78" t="s">
        <v>13</v>
      </c>
      <c r="Q25" s="83" t="s">
        <v>129</v>
      </c>
      <c r="R25" s="72" t="s">
        <v>76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131</v>
      </c>
      <c r="Y25" s="104">
        <f t="shared" si="6"/>
        <v>46206</v>
      </c>
      <c r="Z25" s="105">
        <f ca="1" t="shared" si="7"/>
        <v>-107</v>
      </c>
      <c r="AA25" s="70"/>
      <c r="AB25" s="70" t="s">
        <v>61</v>
      </c>
      <c r="AC25" s="78" t="s">
        <v>13</v>
      </c>
      <c r="AD25" s="83" t="s">
        <v>129</v>
      </c>
      <c r="AE25" s="72" t="s">
        <v>76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132</v>
      </c>
      <c r="AL25" s="104">
        <f t="shared" si="2"/>
        <v>46289</v>
      </c>
      <c r="AM25" s="105">
        <f ca="1" t="shared" si="3"/>
        <v>-24</v>
      </c>
      <c r="AN25" s="115"/>
      <c r="AO25" s="70" t="s">
        <v>61</v>
      </c>
      <c r="AP25" s="78" t="s">
        <v>13</v>
      </c>
      <c r="AQ25" s="83" t="s">
        <v>129</v>
      </c>
      <c r="AR25" s="72" t="s">
        <v>76</v>
      </c>
      <c r="AS25" s="72"/>
      <c r="AT25" s="73"/>
      <c r="AU25" s="79" t="s">
        <v>16</v>
      </c>
      <c r="AV25" s="119">
        <v>46279</v>
      </c>
      <c r="AW25" s="115">
        <v>3</v>
      </c>
      <c r="AX25" s="106" t="s">
        <v>133</v>
      </c>
      <c r="AY25" s="104">
        <f t="shared" ref="AY25:AY54" si="13">EDATE(AV25,AW25)</f>
        <v>46370</v>
      </c>
      <c r="AZ25" s="105">
        <f ca="1" t="shared" si="11"/>
        <v>57</v>
      </c>
    </row>
    <row r="26" customHeight="1" spans="1:52">
      <c r="A26" s="70">
        <v>24</v>
      </c>
      <c r="B26" s="70" t="s">
        <v>134</v>
      </c>
      <c r="C26" s="70" t="s">
        <v>13</v>
      </c>
      <c r="D26" s="83" t="s">
        <v>135</v>
      </c>
      <c r="E26" s="72" t="s">
        <v>136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137</v>
      </c>
      <c r="L26" s="104">
        <f t="shared" si="0"/>
        <v>46116</v>
      </c>
      <c r="M26" s="105">
        <f ca="1" t="shared" si="1"/>
        <v>-197</v>
      </c>
      <c r="N26" s="70"/>
      <c r="O26" s="70" t="s">
        <v>134</v>
      </c>
      <c r="P26" s="70" t="s">
        <v>13</v>
      </c>
      <c r="Q26" s="83" t="s">
        <v>135</v>
      </c>
      <c r="R26" s="72" t="s">
        <v>136</v>
      </c>
      <c r="S26" s="72"/>
      <c r="T26" s="73"/>
      <c r="U26" s="75"/>
      <c r="V26" s="110">
        <v>46255</v>
      </c>
      <c r="W26" s="70">
        <v>3</v>
      </c>
      <c r="X26" s="103" t="s">
        <v>138</v>
      </c>
      <c r="Y26" s="104">
        <f t="shared" si="6"/>
        <v>46347</v>
      </c>
      <c r="Z26" s="105">
        <f ca="1" t="shared" si="7"/>
        <v>34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14">EDATE(AI26,AJ26)</f>
        <v>0</v>
      </c>
      <c r="AM26" s="105">
        <f ca="1" t="shared" ref="AM25:AM48" si="15">AL26-TODAY()</f>
        <v>-46313</v>
      </c>
      <c r="AN26" s="115"/>
      <c r="AO26" s="115"/>
      <c r="AP26" s="115"/>
      <c r="AQ26" s="120"/>
      <c r="AR26" s="94"/>
      <c r="AS26" s="94"/>
      <c r="AT26" s="95"/>
      <c r="AU26" s="79"/>
      <c r="AV26" s="119"/>
      <c r="AW26" s="115"/>
      <c r="AX26" s="106"/>
      <c r="AY26" s="104">
        <f t="shared" si="13"/>
        <v>0</v>
      </c>
      <c r="AZ26" s="105">
        <f ca="1" t="shared" si="11"/>
        <v>-46313</v>
      </c>
    </row>
    <row r="27" customHeight="1" spans="1:52">
      <c r="A27" s="70">
        <v>25</v>
      </c>
      <c r="B27" s="70" t="s">
        <v>134</v>
      </c>
      <c r="C27" s="70" t="s">
        <v>13</v>
      </c>
      <c r="D27" s="83" t="s">
        <v>139</v>
      </c>
      <c r="E27" s="72" t="s">
        <v>76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140</v>
      </c>
      <c r="L27" s="104">
        <f t="shared" si="0"/>
        <v>46116</v>
      </c>
      <c r="M27" s="105">
        <f ca="1" t="shared" si="1"/>
        <v>-197</v>
      </c>
      <c r="N27" s="70"/>
      <c r="O27" s="70" t="s">
        <v>134</v>
      </c>
      <c r="P27" s="70" t="s">
        <v>13</v>
      </c>
      <c r="Q27" s="83" t="s">
        <v>139</v>
      </c>
      <c r="R27" s="72" t="s">
        <v>76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141</v>
      </c>
      <c r="Y27" s="104">
        <f t="shared" si="6"/>
        <v>46204</v>
      </c>
      <c r="Z27" s="105">
        <f ca="1" t="shared" si="7"/>
        <v>-109</v>
      </c>
      <c r="AA27" s="70"/>
      <c r="AB27" s="70" t="s">
        <v>134</v>
      </c>
      <c r="AC27" s="70" t="s">
        <v>13</v>
      </c>
      <c r="AD27" s="83" t="s">
        <v>139</v>
      </c>
      <c r="AE27" s="72" t="s">
        <v>76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142</v>
      </c>
      <c r="AL27" s="104">
        <f t="shared" si="14"/>
        <v>46307</v>
      </c>
      <c r="AM27" s="105">
        <f ca="1" t="shared" si="15"/>
        <v>-6</v>
      </c>
      <c r="AN27" s="115"/>
      <c r="AO27" s="115"/>
      <c r="AP27" s="115"/>
      <c r="AQ27" s="120"/>
      <c r="AR27" s="94"/>
      <c r="AS27" s="94"/>
      <c r="AT27" s="95"/>
      <c r="AU27" s="79"/>
      <c r="AV27" s="119"/>
      <c r="AW27" s="115"/>
      <c r="AX27" s="106"/>
      <c r="AY27" s="104">
        <f t="shared" si="13"/>
        <v>0</v>
      </c>
      <c r="AZ27" s="105">
        <f ca="1" t="shared" ref="AZ25:AZ54" si="16">AY27-TODAY()</f>
        <v>-46313</v>
      </c>
    </row>
    <row r="28" customHeight="1" spans="1:52">
      <c r="A28" s="70">
        <v>26</v>
      </c>
      <c r="B28" s="70" t="s">
        <v>143</v>
      </c>
      <c r="C28" s="70" t="s">
        <v>38</v>
      </c>
      <c r="D28" s="70" t="s">
        <v>144</v>
      </c>
      <c r="E28" s="72" t="s">
        <v>145</v>
      </c>
      <c r="F28" s="72"/>
      <c r="G28" s="73"/>
      <c r="H28" s="75"/>
      <c r="I28" s="102">
        <v>46026</v>
      </c>
      <c r="J28" s="70">
        <v>3</v>
      </c>
      <c r="K28" s="106" t="s">
        <v>146</v>
      </c>
      <c r="L28" s="104">
        <f t="shared" si="0"/>
        <v>46116</v>
      </c>
      <c r="M28" s="105">
        <f ca="1" t="shared" si="1"/>
        <v>-197</v>
      </c>
      <c r="N28" s="70"/>
      <c r="O28" s="70" t="s">
        <v>143</v>
      </c>
      <c r="P28" s="70" t="s">
        <v>38</v>
      </c>
      <c r="Q28" s="70" t="s">
        <v>144</v>
      </c>
      <c r="R28" s="72" t="s">
        <v>145</v>
      </c>
      <c r="S28" s="72"/>
      <c r="T28" s="73"/>
      <c r="U28" s="75"/>
      <c r="V28" s="110">
        <v>46156</v>
      </c>
      <c r="W28" s="70">
        <v>3</v>
      </c>
      <c r="X28" s="103" t="s">
        <v>147</v>
      </c>
      <c r="Y28" s="104">
        <f t="shared" si="6"/>
        <v>46248</v>
      </c>
      <c r="Z28" s="105">
        <f ca="1" t="shared" si="7"/>
        <v>-65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14"/>
        <v>0</v>
      </c>
      <c r="AM28" s="105">
        <f ca="1" t="shared" si="15"/>
        <v>-46313</v>
      </c>
      <c r="AN28" s="115"/>
      <c r="AO28" s="70"/>
      <c r="AP28" s="70"/>
      <c r="AQ28" s="70"/>
      <c r="AR28" s="72"/>
      <c r="AS28" s="72"/>
      <c r="AT28" s="73"/>
      <c r="AU28" s="79"/>
      <c r="AV28" s="119"/>
      <c r="AW28" s="115"/>
      <c r="AX28" s="106"/>
      <c r="AY28" s="104">
        <f t="shared" si="13"/>
        <v>0</v>
      </c>
      <c r="AZ28" s="105">
        <f ca="1" t="shared" si="16"/>
        <v>-46313</v>
      </c>
    </row>
    <row r="29" customHeight="1" spans="1:52">
      <c r="A29" s="70">
        <v>27</v>
      </c>
      <c r="B29" s="70" t="s">
        <v>148</v>
      </c>
      <c r="C29" s="70" t="s">
        <v>38</v>
      </c>
      <c r="D29" s="83" t="s">
        <v>149</v>
      </c>
      <c r="E29" s="72" t="s">
        <v>150</v>
      </c>
      <c r="F29" s="72"/>
      <c r="G29" s="73"/>
      <c r="H29" s="75"/>
      <c r="I29" s="102">
        <v>46026</v>
      </c>
      <c r="J29" s="70">
        <v>3</v>
      </c>
      <c r="K29" s="106" t="s">
        <v>151</v>
      </c>
      <c r="L29" s="104">
        <f t="shared" si="0"/>
        <v>46116</v>
      </c>
      <c r="M29" s="105">
        <f ca="1" t="shared" si="1"/>
        <v>-197</v>
      </c>
      <c r="N29" s="70"/>
      <c r="O29" s="70" t="s">
        <v>148</v>
      </c>
      <c r="P29" s="70" t="s">
        <v>38</v>
      </c>
      <c r="Q29" s="83" t="s">
        <v>149</v>
      </c>
      <c r="R29" s="72" t="s">
        <v>150</v>
      </c>
      <c r="S29" s="72"/>
      <c r="T29" s="73"/>
      <c r="U29" s="75"/>
      <c r="V29" s="102">
        <v>46116</v>
      </c>
      <c r="W29" s="70">
        <v>3</v>
      </c>
      <c r="X29" s="103" t="s">
        <v>152</v>
      </c>
      <c r="Y29" s="104">
        <f t="shared" si="6"/>
        <v>46207</v>
      </c>
      <c r="Z29" s="105">
        <f ca="1" t="shared" si="7"/>
        <v>-106</v>
      </c>
      <c r="AA29" s="70"/>
      <c r="AB29" s="70" t="s">
        <v>148</v>
      </c>
      <c r="AC29" s="70" t="s">
        <v>38</v>
      </c>
      <c r="AD29" s="83" t="s">
        <v>149</v>
      </c>
      <c r="AE29" s="72" t="s">
        <v>150</v>
      </c>
      <c r="AF29" s="72"/>
      <c r="AG29" s="73"/>
      <c r="AH29" s="75"/>
      <c r="AI29" s="102">
        <v>46280</v>
      </c>
      <c r="AJ29" s="70">
        <v>3</v>
      </c>
      <c r="AK29" s="103" t="s">
        <v>153</v>
      </c>
      <c r="AL29" s="104">
        <f t="shared" si="14"/>
        <v>46371</v>
      </c>
      <c r="AM29" s="105">
        <f ca="1" t="shared" si="15"/>
        <v>58</v>
      </c>
      <c r="AN29" s="115"/>
      <c r="AO29" s="115"/>
      <c r="AP29" s="115"/>
      <c r="AQ29" s="93"/>
      <c r="AR29" s="93"/>
      <c r="AS29" s="94"/>
      <c r="AT29" s="95"/>
      <c r="AU29" s="79"/>
      <c r="AV29" s="117"/>
      <c r="AW29" s="115"/>
      <c r="AX29" s="106"/>
      <c r="AY29" s="104">
        <f t="shared" si="13"/>
        <v>0</v>
      </c>
      <c r="AZ29" s="105">
        <f ca="1" t="shared" si="16"/>
        <v>-46313</v>
      </c>
    </row>
    <row r="30" customHeight="1" spans="1:52">
      <c r="A30" s="70">
        <v>28</v>
      </c>
      <c r="B30" s="70" t="s">
        <v>148</v>
      </c>
      <c r="C30" s="70" t="s">
        <v>38</v>
      </c>
      <c r="D30" s="83" t="s">
        <v>154</v>
      </c>
      <c r="E30" s="72" t="s">
        <v>155</v>
      </c>
      <c r="F30" s="72"/>
      <c r="G30" s="73"/>
      <c r="H30" s="75"/>
      <c r="I30" s="102">
        <v>46026</v>
      </c>
      <c r="J30" s="70">
        <v>3</v>
      </c>
      <c r="K30" s="106" t="s">
        <v>156</v>
      </c>
      <c r="L30" s="104">
        <f t="shared" si="0"/>
        <v>46116</v>
      </c>
      <c r="M30" s="105">
        <f ca="1" t="shared" si="1"/>
        <v>-197</v>
      </c>
      <c r="N30" s="70"/>
      <c r="O30" s="70" t="s">
        <v>148</v>
      </c>
      <c r="P30" s="70" t="s">
        <v>38</v>
      </c>
      <c r="Q30" s="83" t="s">
        <v>154</v>
      </c>
      <c r="R30" s="72" t="s">
        <v>155</v>
      </c>
      <c r="S30" s="72"/>
      <c r="T30" s="73"/>
      <c r="U30" s="75"/>
      <c r="V30" s="102">
        <v>46116</v>
      </c>
      <c r="W30" s="70">
        <v>3</v>
      </c>
      <c r="X30" s="103" t="s">
        <v>157</v>
      </c>
      <c r="Y30" s="104">
        <f t="shared" si="6"/>
        <v>46207</v>
      </c>
      <c r="Z30" s="105">
        <f ca="1" t="shared" si="7"/>
        <v>-106</v>
      </c>
      <c r="AA30" s="70"/>
      <c r="AB30" s="70" t="s">
        <v>148</v>
      </c>
      <c r="AC30" s="70" t="s">
        <v>38</v>
      </c>
      <c r="AD30" s="83" t="s">
        <v>154</v>
      </c>
      <c r="AE30" s="72" t="s">
        <v>155</v>
      </c>
      <c r="AF30" s="72"/>
      <c r="AG30" s="73"/>
      <c r="AH30" s="75"/>
      <c r="AI30" s="102">
        <v>46280</v>
      </c>
      <c r="AJ30" s="70">
        <v>3</v>
      </c>
      <c r="AK30" s="103" t="s">
        <v>158</v>
      </c>
      <c r="AL30" s="104">
        <f t="shared" si="14"/>
        <v>46371</v>
      </c>
      <c r="AM30" s="105">
        <f ca="1" t="shared" si="15"/>
        <v>58</v>
      </c>
      <c r="AN30" s="115"/>
      <c r="AO30" s="115"/>
      <c r="AP30" s="115"/>
      <c r="AQ30" s="120"/>
      <c r="AR30" s="94"/>
      <c r="AS30" s="94"/>
      <c r="AT30" s="95"/>
      <c r="AU30" s="79"/>
      <c r="AV30" s="119"/>
      <c r="AW30" s="115"/>
      <c r="AX30" s="106"/>
      <c r="AY30" s="104">
        <f t="shared" si="13"/>
        <v>0</v>
      </c>
      <c r="AZ30" s="105">
        <f ca="1" t="shared" si="16"/>
        <v>-46313</v>
      </c>
    </row>
    <row r="31" customHeight="1" spans="1:52">
      <c r="A31" s="70">
        <v>29</v>
      </c>
      <c r="B31" s="70" t="s">
        <v>159</v>
      </c>
      <c r="C31" s="70" t="s">
        <v>38</v>
      </c>
      <c r="D31" s="83" t="s">
        <v>160</v>
      </c>
      <c r="E31" s="72" t="s">
        <v>161</v>
      </c>
      <c r="F31" s="72"/>
      <c r="G31" s="73"/>
      <c r="H31" s="75"/>
      <c r="I31" s="102">
        <v>46026</v>
      </c>
      <c r="J31" s="70">
        <v>3</v>
      </c>
      <c r="K31" s="106" t="s">
        <v>162</v>
      </c>
      <c r="L31" s="104">
        <f t="shared" si="0"/>
        <v>46116</v>
      </c>
      <c r="M31" s="105">
        <f ca="1" t="shared" si="1"/>
        <v>-197</v>
      </c>
      <c r="N31" s="70"/>
      <c r="O31" s="70" t="s">
        <v>159</v>
      </c>
      <c r="P31" s="70" t="s">
        <v>38</v>
      </c>
      <c r="Q31" s="83" t="s">
        <v>160</v>
      </c>
      <c r="R31" s="72" t="s">
        <v>161</v>
      </c>
      <c r="S31" s="72"/>
      <c r="T31" s="73"/>
      <c r="U31" s="75"/>
      <c r="V31" s="110">
        <v>46125</v>
      </c>
      <c r="W31" s="70">
        <v>3</v>
      </c>
      <c r="X31" s="103" t="s">
        <v>163</v>
      </c>
      <c r="Y31" s="104">
        <f t="shared" si="6"/>
        <v>46216</v>
      </c>
      <c r="Z31" s="105">
        <f ca="1" t="shared" si="7"/>
        <v>-97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14"/>
        <v>0</v>
      </c>
      <c r="AM31" s="105">
        <f ca="1" t="shared" si="15"/>
        <v>-46313</v>
      </c>
      <c r="AN31" s="115"/>
      <c r="AO31" s="115"/>
      <c r="AP31" s="115"/>
      <c r="AQ31" s="120"/>
      <c r="AR31" s="94"/>
      <c r="AS31" s="94"/>
      <c r="AT31" s="95"/>
      <c r="AU31" s="79"/>
      <c r="AV31" s="119"/>
      <c r="AW31" s="115"/>
      <c r="AX31" s="106"/>
      <c r="AY31" s="104">
        <f t="shared" si="13"/>
        <v>0</v>
      </c>
      <c r="AZ31" s="105">
        <f ca="1" t="shared" si="16"/>
        <v>-46313</v>
      </c>
    </row>
    <row r="32" customHeight="1" spans="1:52">
      <c r="A32" s="70">
        <v>30</v>
      </c>
      <c r="B32" s="70" t="s">
        <v>164</v>
      </c>
      <c r="C32" s="70" t="s">
        <v>13</v>
      </c>
      <c r="D32" s="83" t="s">
        <v>165</v>
      </c>
      <c r="E32" s="72" t="s">
        <v>76</v>
      </c>
      <c r="F32" s="72"/>
      <c r="G32" s="73"/>
      <c r="H32" s="75"/>
      <c r="I32" s="102">
        <v>46026</v>
      </c>
      <c r="J32" s="70">
        <v>3</v>
      </c>
      <c r="K32" s="106" t="s">
        <v>166</v>
      </c>
      <c r="L32" s="104">
        <f t="shared" si="0"/>
        <v>46116</v>
      </c>
      <c r="M32" s="105">
        <f ca="1" t="shared" si="1"/>
        <v>-197</v>
      </c>
      <c r="N32" s="70"/>
      <c r="O32" s="70" t="s">
        <v>164</v>
      </c>
      <c r="P32" s="70" t="s">
        <v>13</v>
      </c>
      <c r="Q32" s="83" t="s">
        <v>165</v>
      </c>
      <c r="R32" s="72" t="s">
        <v>76</v>
      </c>
      <c r="S32" s="72"/>
      <c r="T32" s="73"/>
      <c r="U32" s="75"/>
      <c r="V32" s="110">
        <v>46129</v>
      </c>
      <c r="W32" s="70">
        <v>3</v>
      </c>
      <c r="X32" s="103" t="s">
        <v>167</v>
      </c>
      <c r="Y32" s="104">
        <f t="shared" si="6"/>
        <v>46220</v>
      </c>
      <c r="Z32" s="105">
        <f ca="1" t="shared" si="7"/>
        <v>-93</v>
      </c>
      <c r="AA32" s="70"/>
      <c r="AB32" s="70" t="s">
        <v>164</v>
      </c>
      <c r="AC32" s="70" t="s">
        <v>13</v>
      </c>
      <c r="AD32" s="83" t="s">
        <v>165</v>
      </c>
      <c r="AE32" s="72" t="s">
        <v>76</v>
      </c>
      <c r="AF32" s="72"/>
      <c r="AG32" s="73"/>
      <c r="AH32" s="75"/>
      <c r="AI32" s="110">
        <v>46236</v>
      </c>
      <c r="AJ32" s="70">
        <v>3</v>
      </c>
      <c r="AK32" s="103" t="s">
        <v>168</v>
      </c>
      <c r="AL32" s="104">
        <f t="shared" si="14"/>
        <v>46328</v>
      </c>
      <c r="AM32" s="105">
        <f ca="1" t="shared" si="15"/>
        <v>15</v>
      </c>
      <c r="AN32" s="115"/>
      <c r="AO32" s="115"/>
      <c r="AP32" s="115"/>
      <c r="AQ32" s="120"/>
      <c r="AR32" s="94"/>
      <c r="AS32" s="94"/>
      <c r="AT32" s="95"/>
      <c r="AU32" s="79"/>
      <c r="AV32" s="119"/>
      <c r="AW32" s="115"/>
      <c r="AX32" s="106"/>
      <c r="AY32" s="104">
        <f t="shared" si="13"/>
        <v>0</v>
      </c>
      <c r="AZ32" s="105">
        <f ca="1" t="shared" si="16"/>
        <v>-46313</v>
      </c>
    </row>
    <row r="33" customHeight="1" spans="1:52">
      <c r="A33" s="70">
        <v>31</v>
      </c>
      <c r="B33" s="70" t="s">
        <v>169</v>
      </c>
      <c r="C33" s="70" t="s">
        <v>38</v>
      </c>
      <c r="D33" s="83" t="s">
        <v>170</v>
      </c>
      <c r="E33" s="72" t="s">
        <v>171</v>
      </c>
      <c r="F33" s="72"/>
      <c r="G33" s="73"/>
      <c r="H33" s="75"/>
      <c r="I33" s="102">
        <v>46026</v>
      </c>
      <c r="J33" s="70">
        <v>3</v>
      </c>
      <c r="K33" s="106" t="s">
        <v>172</v>
      </c>
      <c r="L33" s="104">
        <f t="shared" si="0"/>
        <v>46116</v>
      </c>
      <c r="M33" s="105">
        <f ca="1" t="shared" si="1"/>
        <v>-197</v>
      </c>
      <c r="N33" s="70"/>
      <c r="O33" s="70" t="s">
        <v>169</v>
      </c>
      <c r="P33" s="70" t="s">
        <v>38</v>
      </c>
      <c r="Q33" s="83" t="s">
        <v>170</v>
      </c>
      <c r="R33" s="72" t="s">
        <v>171</v>
      </c>
      <c r="S33" s="72"/>
      <c r="T33" s="73"/>
      <c r="U33" s="75"/>
      <c r="V33" s="102">
        <v>46114</v>
      </c>
      <c r="W33" s="70">
        <v>3</v>
      </c>
      <c r="X33" s="103" t="s">
        <v>173</v>
      </c>
      <c r="Y33" s="104">
        <f t="shared" si="6"/>
        <v>46205</v>
      </c>
      <c r="Z33" s="105">
        <f ca="1" t="shared" si="7"/>
        <v>-108</v>
      </c>
      <c r="AA33" s="70"/>
      <c r="AB33" s="70" t="s">
        <v>169</v>
      </c>
      <c r="AC33" s="70" t="s">
        <v>38</v>
      </c>
      <c r="AD33" s="83" t="s">
        <v>170</v>
      </c>
      <c r="AE33" s="72" t="s">
        <v>171</v>
      </c>
      <c r="AF33" s="72"/>
      <c r="AG33" s="73"/>
      <c r="AH33" s="75"/>
      <c r="AI33" s="110">
        <v>46211</v>
      </c>
      <c r="AJ33" s="70">
        <v>3</v>
      </c>
      <c r="AK33" s="103" t="s">
        <v>174</v>
      </c>
      <c r="AL33" s="104">
        <f t="shared" si="14"/>
        <v>46303</v>
      </c>
      <c r="AM33" s="105">
        <f ca="1" t="shared" si="15"/>
        <v>-10</v>
      </c>
      <c r="AN33" s="115"/>
      <c r="AO33" s="115"/>
      <c r="AP33" s="115"/>
      <c r="AQ33" s="120"/>
      <c r="AR33" s="94"/>
      <c r="AS33" s="94"/>
      <c r="AT33" s="95"/>
      <c r="AU33" s="79"/>
      <c r="AV33" s="119"/>
      <c r="AW33" s="115"/>
      <c r="AX33" s="106"/>
      <c r="AY33" s="104">
        <f t="shared" si="13"/>
        <v>0</v>
      </c>
      <c r="AZ33" s="105">
        <f ca="1" t="shared" si="16"/>
        <v>-46313</v>
      </c>
    </row>
    <row r="34" customHeight="1" spans="1:52">
      <c r="A34" s="70">
        <v>32</v>
      </c>
      <c r="B34" s="70" t="s">
        <v>175</v>
      </c>
      <c r="C34" s="70" t="s">
        <v>38</v>
      </c>
      <c r="D34" s="84" t="s">
        <v>176</v>
      </c>
      <c r="E34" s="72" t="s">
        <v>51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177</v>
      </c>
      <c r="L34" s="104">
        <f t="shared" si="0"/>
        <v>46116</v>
      </c>
      <c r="M34" s="105">
        <f ca="1" t="shared" si="1"/>
        <v>-197</v>
      </c>
      <c r="N34" s="70"/>
      <c r="O34" s="70" t="s">
        <v>175</v>
      </c>
      <c r="P34" s="70" t="s">
        <v>38</v>
      </c>
      <c r="Q34" s="84" t="s">
        <v>176</v>
      </c>
      <c r="R34" s="72" t="s">
        <v>51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178</v>
      </c>
      <c r="Y34" s="104">
        <f t="shared" si="6"/>
        <v>46233</v>
      </c>
      <c r="Z34" s="105">
        <f ca="1" t="shared" si="7"/>
        <v>-80</v>
      </c>
      <c r="AA34" s="70"/>
      <c r="AB34" s="70" t="s">
        <v>175</v>
      </c>
      <c r="AC34" s="70" t="s">
        <v>38</v>
      </c>
      <c r="AD34" s="84" t="s">
        <v>176</v>
      </c>
      <c r="AE34" s="72" t="s">
        <v>51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179</v>
      </c>
      <c r="AL34" s="104">
        <f t="shared" si="14"/>
        <v>46328</v>
      </c>
      <c r="AM34" s="105">
        <f ca="1" t="shared" si="15"/>
        <v>15</v>
      </c>
      <c r="AN34" s="115"/>
      <c r="AO34" s="115"/>
      <c r="AP34" s="115"/>
      <c r="AQ34" s="84"/>
      <c r="AR34" s="94"/>
      <c r="AS34" s="94"/>
      <c r="AT34" s="95"/>
      <c r="AU34" s="86"/>
      <c r="AV34" s="119"/>
      <c r="AW34" s="115"/>
      <c r="AX34" s="106"/>
      <c r="AY34" s="104">
        <f t="shared" si="13"/>
        <v>0</v>
      </c>
      <c r="AZ34" s="105">
        <f ca="1" t="shared" si="16"/>
        <v>-46313</v>
      </c>
    </row>
    <row r="35" customHeight="1" spans="1:52">
      <c r="A35" s="70">
        <v>33</v>
      </c>
      <c r="B35" s="70" t="s">
        <v>175</v>
      </c>
      <c r="C35" s="70" t="s">
        <v>38</v>
      </c>
      <c r="D35" s="84" t="s">
        <v>180</v>
      </c>
      <c r="E35" s="72" t="s">
        <v>40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181</v>
      </c>
      <c r="L35" s="104">
        <f t="shared" si="0"/>
        <v>46116</v>
      </c>
      <c r="M35" s="105">
        <f ca="1" t="shared" si="1"/>
        <v>-197</v>
      </c>
      <c r="N35" s="71"/>
      <c r="O35" s="70" t="s">
        <v>175</v>
      </c>
      <c r="P35" s="70" t="s">
        <v>38</v>
      </c>
      <c r="Q35" s="84" t="s">
        <v>180</v>
      </c>
      <c r="R35" s="72" t="s">
        <v>40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182</v>
      </c>
      <c r="Y35" s="104">
        <f t="shared" si="6"/>
        <v>46233</v>
      </c>
      <c r="Z35" s="105">
        <f ca="1" t="shared" si="7"/>
        <v>-80</v>
      </c>
      <c r="AA35" s="70"/>
      <c r="AB35" s="70" t="s">
        <v>175</v>
      </c>
      <c r="AC35" s="70" t="s">
        <v>38</v>
      </c>
      <c r="AD35" s="84" t="s">
        <v>180</v>
      </c>
      <c r="AE35" s="72" t="s">
        <v>40</v>
      </c>
      <c r="AF35" s="72"/>
      <c r="AG35" s="73"/>
      <c r="AH35" s="86" t="s">
        <v>16</v>
      </c>
      <c r="AI35" s="111">
        <v>46252</v>
      </c>
      <c r="AJ35" s="70">
        <v>3</v>
      </c>
      <c r="AK35" s="103" t="s">
        <v>183</v>
      </c>
      <c r="AL35" s="104">
        <f t="shared" si="14"/>
        <v>46344</v>
      </c>
      <c r="AM35" s="105">
        <f ca="1" t="shared" si="15"/>
        <v>31</v>
      </c>
      <c r="AN35" s="115"/>
      <c r="AO35" s="115"/>
      <c r="AP35" s="115"/>
      <c r="AQ35" s="87"/>
      <c r="AR35" s="94"/>
      <c r="AS35" s="94"/>
      <c r="AT35" s="95"/>
      <c r="AU35" s="86"/>
      <c r="AV35" s="121"/>
      <c r="AW35" s="115"/>
      <c r="AX35" s="106"/>
      <c r="AY35" s="104">
        <f t="shared" si="13"/>
        <v>0</v>
      </c>
      <c r="AZ35" s="105">
        <f ca="1" t="shared" si="16"/>
        <v>-46313</v>
      </c>
    </row>
    <row r="36" customHeight="1" spans="1:52">
      <c r="A36" s="70">
        <v>34</v>
      </c>
      <c r="B36" s="70" t="s">
        <v>175</v>
      </c>
      <c r="C36" s="70" t="s">
        <v>13</v>
      </c>
      <c r="D36" s="87" t="s">
        <v>184</v>
      </c>
      <c r="E36" s="88" t="s">
        <v>136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185</v>
      </c>
      <c r="L36" s="104">
        <f t="shared" si="0"/>
        <v>46116</v>
      </c>
      <c r="M36" s="105">
        <f ca="1" t="shared" si="1"/>
        <v>-197</v>
      </c>
      <c r="N36" s="71"/>
      <c r="O36" s="70" t="s">
        <v>175</v>
      </c>
      <c r="P36" s="70" t="s">
        <v>13</v>
      </c>
      <c r="Q36" s="87" t="s">
        <v>184</v>
      </c>
      <c r="R36" s="88" t="s">
        <v>136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186</v>
      </c>
      <c r="Y36" s="104">
        <f t="shared" ref="Y36:Y61" si="17">EDATE(V36,W36)</f>
        <v>46233</v>
      </c>
      <c r="Z36" s="105">
        <f ca="1" t="shared" ref="Z36:Z61" si="18">Y36-TODAY()</f>
        <v>-80</v>
      </c>
      <c r="AA36" s="70"/>
      <c r="AB36" s="70" t="s">
        <v>175</v>
      </c>
      <c r="AC36" s="70" t="s">
        <v>13</v>
      </c>
      <c r="AD36" s="87" t="s">
        <v>184</v>
      </c>
      <c r="AE36" s="88" t="s">
        <v>136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187</v>
      </c>
      <c r="AL36" s="104">
        <f t="shared" si="14"/>
        <v>46327</v>
      </c>
      <c r="AM36" s="105">
        <f ca="1" t="shared" si="15"/>
        <v>14</v>
      </c>
      <c r="AN36" s="115"/>
      <c r="AO36" s="115"/>
      <c r="AP36" s="84"/>
      <c r="AQ36" s="87"/>
      <c r="AR36" s="88"/>
      <c r="AS36" s="89"/>
      <c r="AT36" s="90"/>
      <c r="AU36" s="86"/>
      <c r="AV36" s="121"/>
      <c r="AW36" s="115"/>
      <c r="AX36" s="106"/>
      <c r="AY36" s="104">
        <f t="shared" si="13"/>
        <v>0</v>
      </c>
      <c r="AZ36" s="105">
        <f ca="1" t="shared" si="16"/>
        <v>-46313</v>
      </c>
    </row>
    <row r="37" customHeight="1" spans="1:52">
      <c r="A37" s="70">
        <v>35</v>
      </c>
      <c r="B37" s="70" t="s">
        <v>175</v>
      </c>
      <c r="C37" s="91" t="s">
        <v>38</v>
      </c>
      <c r="D37" s="87" t="s">
        <v>188</v>
      </c>
      <c r="E37" s="88" t="s">
        <v>189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190</v>
      </c>
      <c r="L37" s="104">
        <f t="shared" si="0"/>
        <v>46116</v>
      </c>
      <c r="M37" s="105">
        <f ca="1" t="shared" si="1"/>
        <v>-197</v>
      </c>
      <c r="N37" s="70"/>
      <c r="O37" s="70" t="s">
        <v>175</v>
      </c>
      <c r="P37" s="91" t="s">
        <v>38</v>
      </c>
      <c r="Q37" s="87" t="s">
        <v>188</v>
      </c>
      <c r="R37" s="88" t="s">
        <v>189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191</v>
      </c>
      <c r="Y37" s="104">
        <f t="shared" si="17"/>
        <v>46233</v>
      </c>
      <c r="Z37" s="105">
        <f ca="1" t="shared" si="18"/>
        <v>-80</v>
      </c>
      <c r="AA37" s="70"/>
      <c r="AB37" s="70" t="s">
        <v>175</v>
      </c>
      <c r="AC37" s="91" t="s">
        <v>38</v>
      </c>
      <c r="AD37" s="87" t="s">
        <v>188</v>
      </c>
      <c r="AE37" s="88" t="s">
        <v>189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192</v>
      </c>
      <c r="AL37" s="104">
        <f t="shared" si="14"/>
        <v>46327</v>
      </c>
      <c r="AM37" s="105">
        <f ca="1" t="shared" si="15"/>
        <v>14</v>
      </c>
      <c r="AN37" s="115"/>
      <c r="AO37" s="115"/>
      <c r="AP37" s="84"/>
      <c r="AQ37" s="87"/>
      <c r="AR37" s="88"/>
      <c r="AS37" s="89"/>
      <c r="AT37" s="90"/>
      <c r="AU37" s="86"/>
      <c r="AV37" s="121"/>
      <c r="AW37" s="115"/>
      <c r="AX37" s="106"/>
      <c r="AY37" s="104">
        <f t="shared" si="13"/>
        <v>0</v>
      </c>
      <c r="AZ37" s="105">
        <f ca="1" t="shared" si="16"/>
        <v>-46313</v>
      </c>
    </row>
    <row r="38" customHeight="1" spans="1:52">
      <c r="A38" s="70">
        <v>36</v>
      </c>
      <c r="B38" s="70" t="s">
        <v>12</v>
      </c>
      <c r="C38" s="91" t="s">
        <v>13</v>
      </c>
      <c r="D38" s="87" t="s">
        <v>193</v>
      </c>
      <c r="E38" s="88" t="s">
        <v>34</v>
      </c>
      <c r="F38" s="89"/>
      <c r="G38" s="90"/>
      <c r="H38" s="92"/>
      <c r="I38" s="102">
        <v>46027</v>
      </c>
      <c r="J38" s="70">
        <v>3</v>
      </c>
      <c r="K38" s="107" t="s">
        <v>194</v>
      </c>
      <c r="L38" s="104">
        <f t="shared" si="0"/>
        <v>46117</v>
      </c>
      <c r="M38" s="105">
        <f ca="1" t="shared" si="1"/>
        <v>-196</v>
      </c>
      <c r="N38" s="70"/>
      <c r="O38" s="70" t="s">
        <v>12</v>
      </c>
      <c r="P38" s="91" t="s">
        <v>13</v>
      </c>
      <c r="Q38" s="87" t="s">
        <v>193</v>
      </c>
      <c r="R38" s="88" t="s">
        <v>34</v>
      </c>
      <c r="S38" s="89"/>
      <c r="T38" s="90"/>
      <c r="U38" s="92"/>
      <c r="V38" s="111">
        <v>46120</v>
      </c>
      <c r="W38" s="70">
        <v>3</v>
      </c>
      <c r="X38" s="103" t="s">
        <v>195</v>
      </c>
      <c r="Y38" s="104">
        <f t="shared" si="17"/>
        <v>46211</v>
      </c>
      <c r="Z38" s="105">
        <f ca="1" t="shared" si="18"/>
        <v>-102</v>
      </c>
      <c r="AA38" s="70"/>
      <c r="AB38" s="70" t="s">
        <v>12</v>
      </c>
      <c r="AC38" s="91" t="s">
        <v>13</v>
      </c>
      <c r="AD38" s="87" t="s">
        <v>193</v>
      </c>
      <c r="AE38" s="88" t="s">
        <v>34</v>
      </c>
      <c r="AF38" s="89"/>
      <c r="AG38" s="90"/>
      <c r="AH38" s="92"/>
      <c r="AI38" s="111">
        <v>46199</v>
      </c>
      <c r="AJ38" s="70">
        <v>3</v>
      </c>
      <c r="AK38" s="103" t="s">
        <v>196</v>
      </c>
      <c r="AL38" s="104">
        <f t="shared" si="14"/>
        <v>46291</v>
      </c>
      <c r="AM38" s="105">
        <f ca="1" t="shared" si="15"/>
        <v>-22</v>
      </c>
      <c r="AN38" s="115"/>
      <c r="AO38" s="70" t="s">
        <v>12</v>
      </c>
      <c r="AP38" s="91" t="s">
        <v>13</v>
      </c>
      <c r="AQ38" s="87" t="s">
        <v>193</v>
      </c>
      <c r="AR38" s="88" t="s">
        <v>34</v>
      </c>
      <c r="AS38" s="89"/>
      <c r="AT38" s="90"/>
      <c r="AU38" s="92"/>
      <c r="AV38" s="121">
        <v>46300</v>
      </c>
      <c r="AW38" s="115">
        <v>3</v>
      </c>
      <c r="AX38" s="106" t="s">
        <v>197</v>
      </c>
      <c r="AY38" s="104">
        <f t="shared" si="13"/>
        <v>46392</v>
      </c>
      <c r="AZ38" s="105">
        <f ca="1" t="shared" si="16"/>
        <v>79</v>
      </c>
    </row>
    <row r="39" customHeight="1" spans="1:52">
      <c r="A39" s="70">
        <v>37</v>
      </c>
      <c r="B39" s="70" t="s">
        <v>12</v>
      </c>
      <c r="C39" s="91" t="s">
        <v>38</v>
      </c>
      <c r="D39" s="87" t="s">
        <v>198</v>
      </c>
      <c r="E39" s="88" t="s">
        <v>69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199</v>
      </c>
      <c r="L39" s="104">
        <f t="shared" si="0"/>
        <v>46117</v>
      </c>
      <c r="M39" s="105">
        <f ca="1" t="shared" si="1"/>
        <v>-196</v>
      </c>
      <c r="N39" s="70"/>
      <c r="O39" s="70" t="s">
        <v>12</v>
      </c>
      <c r="P39" s="91" t="s">
        <v>38</v>
      </c>
      <c r="Q39" s="87" t="s">
        <v>198</v>
      </c>
      <c r="R39" s="88" t="s">
        <v>69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200</v>
      </c>
      <c r="Y39" s="104">
        <f t="shared" si="17"/>
        <v>46213</v>
      </c>
      <c r="Z39" s="105">
        <f ca="1" t="shared" si="18"/>
        <v>-100</v>
      </c>
      <c r="AA39" s="70"/>
      <c r="AB39" s="70" t="s">
        <v>12</v>
      </c>
      <c r="AC39" s="91" t="s">
        <v>38</v>
      </c>
      <c r="AD39" s="87" t="s">
        <v>198</v>
      </c>
      <c r="AE39" s="88" t="s">
        <v>69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201</v>
      </c>
      <c r="AL39" s="104">
        <f t="shared" si="14"/>
        <v>46297</v>
      </c>
      <c r="AM39" s="105">
        <f ca="1" t="shared" si="15"/>
        <v>-16</v>
      </c>
      <c r="AN39" s="115"/>
      <c r="AO39" s="70" t="s">
        <v>12</v>
      </c>
      <c r="AP39" s="91" t="s">
        <v>38</v>
      </c>
      <c r="AQ39" s="87" t="s">
        <v>198</v>
      </c>
      <c r="AR39" s="88" t="s">
        <v>69</v>
      </c>
      <c r="AS39" s="89"/>
      <c r="AT39" s="90"/>
      <c r="AU39" s="86" t="s">
        <v>16</v>
      </c>
      <c r="AV39" s="121">
        <v>46291</v>
      </c>
      <c r="AW39" s="115">
        <v>3</v>
      </c>
      <c r="AX39" s="106" t="s">
        <v>202</v>
      </c>
      <c r="AY39" s="104">
        <f t="shared" si="13"/>
        <v>46382</v>
      </c>
      <c r="AZ39" s="105">
        <f ca="1" t="shared" si="16"/>
        <v>69</v>
      </c>
    </row>
    <row r="40" customHeight="1" spans="1:52">
      <c r="A40" s="70">
        <v>38</v>
      </c>
      <c r="B40" s="70" t="s">
        <v>12</v>
      </c>
      <c r="C40" s="91" t="s">
        <v>38</v>
      </c>
      <c r="D40" s="87" t="s">
        <v>203</v>
      </c>
      <c r="E40" s="88" t="s">
        <v>69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204</v>
      </c>
      <c r="L40" s="104">
        <f t="shared" si="0"/>
        <v>46117</v>
      </c>
      <c r="M40" s="105">
        <f ca="1" t="shared" si="1"/>
        <v>-196</v>
      </c>
      <c r="N40" s="70"/>
      <c r="O40" s="70" t="s">
        <v>12</v>
      </c>
      <c r="P40" s="91" t="s">
        <v>38</v>
      </c>
      <c r="Q40" s="87" t="s">
        <v>203</v>
      </c>
      <c r="R40" s="88" t="s">
        <v>69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205</v>
      </c>
      <c r="Y40" s="104">
        <f t="shared" si="17"/>
        <v>46212</v>
      </c>
      <c r="Z40" s="105">
        <f ca="1" t="shared" si="18"/>
        <v>-101</v>
      </c>
      <c r="AA40" s="70"/>
      <c r="AB40" s="70" t="s">
        <v>12</v>
      </c>
      <c r="AC40" s="91" t="s">
        <v>38</v>
      </c>
      <c r="AD40" s="87" t="s">
        <v>203</v>
      </c>
      <c r="AE40" s="88" t="s">
        <v>69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206</v>
      </c>
      <c r="AL40" s="104">
        <f t="shared" si="14"/>
        <v>46297</v>
      </c>
      <c r="AM40" s="105">
        <f ca="1" t="shared" si="15"/>
        <v>-16</v>
      </c>
      <c r="AN40" s="115"/>
      <c r="AO40" s="70" t="s">
        <v>12</v>
      </c>
      <c r="AP40" s="91" t="s">
        <v>38</v>
      </c>
      <c r="AQ40" s="87" t="s">
        <v>203</v>
      </c>
      <c r="AR40" s="88" t="s">
        <v>69</v>
      </c>
      <c r="AS40" s="89"/>
      <c r="AT40" s="90"/>
      <c r="AU40" s="86" t="s">
        <v>16</v>
      </c>
      <c r="AV40" s="121">
        <v>46299</v>
      </c>
      <c r="AW40" s="115">
        <v>3</v>
      </c>
      <c r="AX40" s="106" t="s">
        <v>207</v>
      </c>
      <c r="AY40" s="104">
        <f t="shared" si="13"/>
        <v>46391</v>
      </c>
      <c r="AZ40" s="105">
        <f ca="1" t="shared" si="16"/>
        <v>78</v>
      </c>
    </row>
    <row r="41" customHeight="1" spans="1:52">
      <c r="A41" s="70">
        <v>39</v>
      </c>
      <c r="B41" s="70" t="s">
        <v>12</v>
      </c>
      <c r="C41" s="91" t="s">
        <v>38</v>
      </c>
      <c r="D41" s="87" t="s">
        <v>208</v>
      </c>
      <c r="E41" s="88" t="s">
        <v>69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209</v>
      </c>
      <c r="L41" s="104">
        <f t="shared" si="0"/>
        <v>46117</v>
      </c>
      <c r="M41" s="105">
        <f ca="1" t="shared" si="1"/>
        <v>-196</v>
      </c>
      <c r="N41" s="70"/>
      <c r="O41" s="70" t="s">
        <v>12</v>
      </c>
      <c r="P41" s="91" t="s">
        <v>38</v>
      </c>
      <c r="Q41" s="87" t="s">
        <v>208</v>
      </c>
      <c r="R41" s="88" t="s">
        <v>69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210</v>
      </c>
      <c r="Y41" s="104">
        <f t="shared" si="17"/>
        <v>46225</v>
      </c>
      <c r="Z41" s="105">
        <f ca="1" t="shared" si="18"/>
        <v>-88</v>
      </c>
      <c r="AA41" s="70"/>
      <c r="AB41" s="70" t="s">
        <v>12</v>
      </c>
      <c r="AC41" s="91" t="s">
        <v>38</v>
      </c>
      <c r="AD41" s="87" t="s">
        <v>208</v>
      </c>
      <c r="AE41" s="88" t="s">
        <v>69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211</v>
      </c>
      <c r="AL41" s="104">
        <f t="shared" si="14"/>
        <v>46309</v>
      </c>
      <c r="AM41" s="105">
        <f ca="1" t="shared" si="15"/>
        <v>-4</v>
      </c>
      <c r="AN41" s="115"/>
      <c r="AO41" s="70" t="s">
        <v>12</v>
      </c>
      <c r="AP41" s="91" t="s">
        <v>38</v>
      </c>
      <c r="AQ41" s="87" t="s">
        <v>208</v>
      </c>
      <c r="AR41" s="88" t="s">
        <v>69</v>
      </c>
      <c r="AS41" s="89"/>
      <c r="AT41" s="90"/>
      <c r="AU41" s="86" t="s">
        <v>16</v>
      </c>
      <c r="AV41" s="119">
        <v>46301</v>
      </c>
      <c r="AW41" s="115">
        <v>3</v>
      </c>
      <c r="AX41" s="106" t="s">
        <v>212</v>
      </c>
      <c r="AY41" s="104">
        <f t="shared" si="13"/>
        <v>46393</v>
      </c>
      <c r="AZ41" s="105">
        <f ca="1" t="shared" si="16"/>
        <v>80</v>
      </c>
    </row>
    <row r="42" customHeight="1" spans="1:52">
      <c r="A42" s="70">
        <v>40</v>
      </c>
      <c r="B42" s="70" t="s">
        <v>12</v>
      </c>
      <c r="C42" s="91" t="s">
        <v>38</v>
      </c>
      <c r="D42" s="93" t="s">
        <v>213</v>
      </c>
      <c r="E42" s="93" t="s">
        <v>28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214</v>
      </c>
      <c r="L42" s="104">
        <f t="shared" si="0"/>
        <v>46117</v>
      </c>
      <c r="M42" s="105">
        <f ca="1" t="shared" si="1"/>
        <v>-196</v>
      </c>
      <c r="N42" s="70"/>
      <c r="O42" s="70" t="s">
        <v>12</v>
      </c>
      <c r="P42" s="91" t="s">
        <v>38</v>
      </c>
      <c r="Q42" s="93" t="s">
        <v>213</v>
      </c>
      <c r="R42" s="93" t="s">
        <v>28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215</v>
      </c>
      <c r="Y42" s="104">
        <f t="shared" si="17"/>
        <v>46218</v>
      </c>
      <c r="Z42" s="105">
        <f ca="1" t="shared" si="18"/>
        <v>-95</v>
      </c>
      <c r="AA42" s="70"/>
      <c r="AB42" s="70" t="s">
        <v>12</v>
      </c>
      <c r="AC42" s="91" t="s">
        <v>38</v>
      </c>
      <c r="AD42" s="93" t="s">
        <v>213</v>
      </c>
      <c r="AE42" s="93" t="s">
        <v>28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216</v>
      </c>
      <c r="AL42" s="104">
        <f t="shared" si="14"/>
        <v>46317</v>
      </c>
      <c r="AM42" s="105">
        <f ca="1" t="shared" si="15"/>
        <v>4</v>
      </c>
      <c r="AN42" s="115"/>
      <c r="AO42" s="70"/>
      <c r="AP42" s="91"/>
      <c r="AQ42" s="93"/>
      <c r="AR42" s="93"/>
      <c r="AS42" s="94"/>
      <c r="AT42" s="95"/>
      <c r="AU42" s="122"/>
      <c r="AV42" s="119"/>
      <c r="AW42" s="115"/>
      <c r="AX42" s="106"/>
      <c r="AY42" s="104">
        <f t="shared" si="13"/>
        <v>0</v>
      </c>
      <c r="AZ42" s="105">
        <f ca="1" t="shared" si="16"/>
        <v>-46313</v>
      </c>
    </row>
    <row r="43" customHeight="1" spans="1:52">
      <c r="A43" s="70">
        <v>41</v>
      </c>
      <c r="B43" s="91" t="s">
        <v>78</v>
      </c>
      <c r="C43" s="91" t="s">
        <v>38</v>
      </c>
      <c r="D43" s="93" t="s">
        <v>217</v>
      </c>
      <c r="E43" s="93" t="s">
        <v>218</v>
      </c>
      <c r="F43" s="94"/>
      <c r="G43" s="95"/>
      <c r="H43" s="96"/>
      <c r="I43" s="102">
        <v>46027</v>
      </c>
      <c r="J43" s="70">
        <v>3</v>
      </c>
      <c r="K43" s="107" t="s">
        <v>219</v>
      </c>
      <c r="L43" s="104">
        <f t="shared" si="0"/>
        <v>46117</v>
      </c>
      <c r="M43" s="105">
        <f ca="1" t="shared" si="1"/>
        <v>-196</v>
      </c>
      <c r="N43" s="70"/>
      <c r="O43" s="91" t="s">
        <v>78</v>
      </c>
      <c r="P43" s="91" t="s">
        <v>38</v>
      </c>
      <c r="Q43" s="93" t="s">
        <v>217</v>
      </c>
      <c r="R43" s="93" t="s">
        <v>218</v>
      </c>
      <c r="S43" s="94"/>
      <c r="T43" s="95"/>
      <c r="U43" s="96"/>
      <c r="V43" s="102">
        <v>46122</v>
      </c>
      <c r="W43" s="70">
        <v>3</v>
      </c>
      <c r="X43" s="97" t="s">
        <v>220</v>
      </c>
      <c r="Y43" s="104">
        <f t="shared" si="17"/>
        <v>46213</v>
      </c>
      <c r="Z43" s="105">
        <f ca="1" t="shared" si="18"/>
        <v>-100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14"/>
        <v>0</v>
      </c>
      <c r="AM43" s="105">
        <f ca="1" t="shared" si="15"/>
        <v>-46313</v>
      </c>
      <c r="AN43" s="115"/>
      <c r="AO43" s="70"/>
      <c r="AP43" s="91"/>
      <c r="AQ43" s="93"/>
      <c r="AR43" s="93"/>
      <c r="AS43" s="94"/>
      <c r="AT43" s="95"/>
      <c r="AU43" s="123"/>
      <c r="AV43" s="119"/>
      <c r="AW43" s="115"/>
      <c r="AX43" s="106"/>
      <c r="AY43" s="104">
        <f t="shared" si="13"/>
        <v>0</v>
      </c>
      <c r="AZ43" s="105">
        <f ca="1" t="shared" si="16"/>
        <v>-46313</v>
      </c>
    </row>
    <row r="44" customHeight="1" spans="1:52">
      <c r="A44" s="70">
        <v>42</v>
      </c>
      <c r="B44" s="91" t="s">
        <v>78</v>
      </c>
      <c r="C44" s="91" t="s">
        <v>38</v>
      </c>
      <c r="D44" s="93" t="s">
        <v>221</v>
      </c>
      <c r="E44" s="93" t="s">
        <v>222</v>
      </c>
      <c r="F44" s="94"/>
      <c r="G44" s="95"/>
      <c r="H44" s="96"/>
      <c r="I44" s="102">
        <v>46027</v>
      </c>
      <c r="J44" s="70">
        <v>3</v>
      </c>
      <c r="K44" s="107" t="s">
        <v>223</v>
      </c>
      <c r="L44" s="104">
        <f t="shared" si="0"/>
        <v>46117</v>
      </c>
      <c r="M44" s="105">
        <f ca="1" t="shared" si="1"/>
        <v>-196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17"/>
        <v>0</v>
      </c>
      <c r="Z44" s="105">
        <f ca="1" t="shared" si="18"/>
        <v>-46313</v>
      </c>
      <c r="AA44" s="70"/>
      <c r="AB44" s="70"/>
      <c r="AC44" s="91"/>
      <c r="AD44" s="93"/>
      <c r="AE44" s="93"/>
      <c r="AF44" s="94"/>
      <c r="AG44" s="95"/>
      <c r="AH44" s="116"/>
      <c r="AI44" s="110"/>
      <c r="AJ44" s="70"/>
      <c r="AK44" s="103"/>
      <c r="AL44" s="104">
        <f t="shared" si="14"/>
        <v>0</v>
      </c>
      <c r="AM44" s="105">
        <f ca="1" t="shared" si="15"/>
        <v>-46313</v>
      </c>
      <c r="AN44" s="115"/>
      <c r="AO44" s="70"/>
      <c r="AP44" s="91"/>
      <c r="AQ44" s="93"/>
      <c r="AR44" s="93"/>
      <c r="AS44" s="94"/>
      <c r="AT44" s="95"/>
      <c r="AU44" s="122"/>
      <c r="AV44" s="119"/>
      <c r="AW44" s="115"/>
      <c r="AX44" s="106"/>
      <c r="AY44" s="104">
        <f t="shared" si="13"/>
        <v>0</v>
      </c>
      <c r="AZ44" s="105">
        <f ca="1" t="shared" si="16"/>
        <v>-46313</v>
      </c>
    </row>
    <row r="45" customHeight="1" spans="1:52">
      <c r="A45" s="70">
        <v>43</v>
      </c>
      <c r="B45" s="91" t="s">
        <v>224</v>
      </c>
      <c r="C45" s="91" t="s">
        <v>38</v>
      </c>
      <c r="D45" s="93" t="s">
        <v>225</v>
      </c>
      <c r="E45" s="93" t="s">
        <v>226</v>
      </c>
      <c r="F45" s="94"/>
      <c r="G45" s="95"/>
      <c r="H45" s="96"/>
      <c r="I45" s="102">
        <v>46027</v>
      </c>
      <c r="J45" s="70">
        <v>3</v>
      </c>
      <c r="K45" s="107" t="s">
        <v>227</v>
      </c>
      <c r="L45" s="104">
        <f t="shared" si="0"/>
        <v>46117</v>
      </c>
      <c r="M45" s="105">
        <f ca="1" t="shared" si="1"/>
        <v>-196</v>
      </c>
      <c r="N45" s="70"/>
      <c r="O45" s="91" t="s">
        <v>224</v>
      </c>
      <c r="P45" s="91" t="s">
        <v>38</v>
      </c>
      <c r="Q45" s="93" t="s">
        <v>225</v>
      </c>
      <c r="R45" s="93" t="s">
        <v>226</v>
      </c>
      <c r="S45" s="94"/>
      <c r="T45" s="95"/>
      <c r="U45" s="96"/>
      <c r="V45" s="102">
        <v>46120</v>
      </c>
      <c r="W45" s="70">
        <v>3</v>
      </c>
      <c r="X45" s="97" t="s">
        <v>228</v>
      </c>
      <c r="Y45" s="104">
        <f t="shared" si="17"/>
        <v>46211</v>
      </c>
      <c r="Z45" s="105">
        <f ca="1" t="shared" si="18"/>
        <v>-102</v>
      </c>
      <c r="AA45" s="70"/>
      <c r="AB45" s="91" t="s">
        <v>224</v>
      </c>
      <c r="AC45" s="91" t="s">
        <v>38</v>
      </c>
      <c r="AD45" s="93" t="s">
        <v>225</v>
      </c>
      <c r="AE45" s="93" t="s">
        <v>226</v>
      </c>
      <c r="AF45" s="94"/>
      <c r="AG45" s="95"/>
      <c r="AH45" s="96"/>
      <c r="AI45" s="110">
        <v>46306</v>
      </c>
      <c r="AJ45" s="70">
        <v>3</v>
      </c>
      <c r="AK45" s="103"/>
      <c r="AL45" s="104">
        <f t="shared" si="14"/>
        <v>46398</v>
      </c>
      <c r="AM45" s="105">
        <f ca="1" t="shared" si="15"/>
        <v>85</v>
      </c>
      <c r="AN45" s="115"/>
      <c r="AO45" s="70"/>
      <c r="AP45" s="91"/>
      <c r="AQ45" s="93"/>
      <c r="AR45" s="93"/>
      <c r="AS45" s="94"/>
      <c r="AT45" s="95"/>
      <c r="AU45" s="123"/>
      <c r="AV45" s="119"/>
      <c r="AW45" s="115"/>
      <c r="AX45" s="106"/>
      <c r="AY45" s="104">
        <f t="shared" si="13"/>
        <v>0</v>
      </c>
      <c r="AZ45" s="105">
        <f ca="1" t="shared" si="16"/>
        <v>-46313</v>
      </c>
    </row>
    <row r="46" customHeight="1" spans="1:52">
      <c r="A46" s="70">
        <v>44</v>
      </c>
      <c r="B46" s="91" t="s">
        <v>229</v>
      </c>
      <c r="C46" s="91" t="s">
        <v>13</v>
      </c>
      <c r="D46" s="70" t="s">
        <v>230</v>
      </c>
      <c r="E46" s="71" t="s">
        <v>34</v>
      </c>
      <c r="F46" s="72"/>
      <c r="G46" s="73"/>
      <c r="H46" s="96"/>
      <c r="I46" s="102">
        <v>46027</v>
      </c>
      <c r="J46" s="70">
        <v>3</v>
      </c>
      <c r="K46" s="107" t="s">
        <v>231</v>
      </c>
      <c r="L46" s="104">
        <f t="shared" si="0"/>
        <v>46117</v>
      </c>
      <c r="M46" s="105">
        <f ca="1" t="shared" si="1"/>
        <v>-196</v>
      </c>
      <c r="N46" s="70"/>
      <c r="O46" s="91" t="s">
        <v>229</v>
      </c>
      <c r="P46" s="91" t="s">
        <v>13</v>
      </c>
      <c r="Q46" s="70" t="s">
        <v>230</v>
      </c>
      <c r="R46" s="71" t="s">
        <v>34</v>
      </c>
      <c r="S46" s="72"/>
      <c r="T46" s="73"/>
      <c r="U46" s="96"/>
      <c r="V46" s="110">
        <v>46135</v>
      </c>
      <c r="W46" s="70">
        <v>3</v>
      </c>
      <c r="X46" s="97" t="s">
        <v>232</v>
      </c>
      <c r="Y46" s="104">
        <f t="shared" si="17"/>
        <v>46226</v>
      </c>
      <c r="Z46" s="105">
        <f ca="1" t="shared" si="18"/>
        <v>-87</v>
      </c>
      <c r="AA46" s="70"/>
      <c r="AB46" s="91" t="s">
        <v>229</v>
      </c>
      <c r="AC46" s="91" t="s">
        <v>13</v>
      </c>
      <c r="AD46" s="70" t="s">
        <v>230</v>
      </c>
      <c r="AE46" s="71" t="s">
        <v>34</v>
      </c>
      <c r="AF46" s="72"/>
      <c r="AG46" s="73"/>
      <c r="AH46" s="96"/>
      <c r="AI46" s="110">
        <v>46227</v>
      </c>
      <c r="AJ46" s="70">
        <v>3</v>
      </c>
      <c r="AK46" s="103" t="s">
        <v>233</v>
      </c>
      <c r="AL46" s="104">
        <f t="shared" si="14"/>
        <v>46319</v>
      </c>
      <c r="AM46" s="105">
        <f ca="1" t="shared" si="15"/>
        <v>6</v>
      </c>
      <c r="AN46" s="115"/>
      <c r="AO46" s="70"/>
      <c r="AP46" s="91"/>
      <c r="AQ46" s="70"/>
      <c r="AR46" s="71"/>
      <c r="AS46" s="72"/>
      <c r="AT46" s="73"/>
      <c r="AU46" s="123"/>
      <c r="AV46" s="119"/>
      <c r="AW46" s="115"/>
      <c r="AX46" s="106"/>
      <c r="AY46" s="104">
        <f t="shared" si="13"/>
        <v>0</v>
      </c>
      <c r="AZ46" s="105">
        <f ca="1" t="shared" si="16"/>
        <v>-46313</v>
      </c>
    </row>
    <row r="47" customHeight="1" spans="1:52">
      <c r="A47" s="70">
        <v>45</v>
      </c>
      <c r="B47" s="91" t="s">
        <v>229</v>
      </c>
      <c r="C47" s="91" t="s">
        <v>13</v>
      </c>
      <c r="D47" s="71" t="s">
        <v>234</v>
      </c>
      <c r="E47" s="71" t="s">
        <v>76</v>
      </c>
      <c r="F47" s="72"/>
      <c r="G47" s="73"/>
      <c r="H47" s="96"/>
      <c r="I47" s="102">
        <v>46027</v>
      </c>
      <c r="J47" s="70">
        <v>3</v>
      </c>
      <c r="K47" s="107" t="s">
        <v>235</v>
      </c>
      <c r="L47" s="104">
        <f t="shared" si="0"/>
        <v>46117</v>
      </c>
      <c r="M47" s="105">
        <f ca="1" t="shared" si="1"/>
        <v>-196</v>
      </c>
      <c r="N47" s="70"/>
      <c r="O47" s="91" t="s">
        <v>229</v>
      </c>
      <c r="P47" s="91" t="s">
        <v>13</v>
      </c>
      <c r="Q47" s="71" t="s">
        <v>234</v>
      </c>
      <c r="R47" s="71" t="s">
        <v>76</v>
      </c>
      <c r="S47" s="72"/>
      <c r="T47" s="73"/>
      <c r="U47" s="96"/>
      <c r="V47" s="110">
        <v>46114</v>
      </c>
      <c r="W47" s="70">
        <v>3</v>
      </c>
      <c r="X47" s="103" t="s">
        <v>236</v>
      </c>
      <c r="Y47" s="104">
        <f t="shared" si="17"/>
        <v>46205</v>
      </c>
      <c r="Z47" s="105">
        <f ca="1" t="shared" si="18"/>
        <v>-108</v>
      </c>
      <c r="AA47" s="70"/>
      <c r="AB47" s="91" t="s">
        <v>229</v>
      </c>
      <c r="AC47" s="91" t="s">
        <v>13</v>
      </c>
      <c r="AD47" s="71" t="s">
        <v>234</v>
      </c>
      <c r="AE47" s="71" t="s">
        <v>76</v>
      </c>
      <c r="AF47" s="72"/>
      <c r="AG47" s="73"/>
      <c r="AH47" s="96"/>
      <c r="AI47" s="110">
        <v>46209</v>
      </c>
      <c r="AJ47" s="70">
        <v>3</v>
      </c>
      <c r="AK47" s="103" t="s">
        <v>237</v>
      </c>
      <c r="AL47" s="104">
        <f t="shared" si="14"/>
        <v>46301</v>
      </c>
      <c r="AM47" s="105">
        <f ca="1" t="shared" si="15"/>
        <v>-12</v>
      </c>
      <c r="AN47" s="115"/>
      <c r="AO47" s="115"/>
      <c r="AP47" s="115"/>
      <c r="AQ47" s="93"/>
      <c r="AR47" s="93"/>
      <c r="AS47" s="94"/>
      <c r="AT47" s="95"/>
      <c r="AU47" s="79"/>
      <c r="AV47" s="119"/>
      <c r="AW47" s="115"/>
      <c r="AX47" s="106"/>
      <c r="AY47" s="104">
        <f t="shared" si="13"/>
        <v>0</v>
      </c>
      <c r="AZ47" s="105">
        <f ca="1" t="shared" si="16"/>
        <v>-46313</v>
      </c>
    </row>
    <row r="48" customHeight="1" spans="1:52">
      <c r="A48" s="70">
        <v>46</v>
      </c>
      <c r="B48" s="91" t="s">
        <v>229</v>
      </c>
      <c r="C48" s="91" t="s">
        <v>13</v>
      </c>
      <c r="D48" s="71" t="s">
        <v>238</v>
      </c>
      <c r="E48" s="71" t="s">
        <v>34</v>
      </c>
      <c r="F48" s="72"/>
      <c r="G48" s="73"/>
      <c r="H48" s="96"/>
      <c r="I48" s="102">
        <v>46027</v>
      </c>
      <c r="J48" s="70">
        <v>3</v>
      </c>
      <c r="K48" s="107" t="s">
        <v>239</v>
      </c>
      <c r="L48" s="104">
        <f t="shared" si="0"/>
        <v>46117</v>
      </c>
      <c r="M48" s="105">
        <f ca="1" t="shared" si="1"/>
        <v>-196</v>
      </c>
      <c r="N48" s="70"/>
      <c r="O48" s="91" t="s">
        <v>229</v>
      </c>
      <c r="P48" s="91" t="s">
        <v>13</v>
      </c>
      <c r="Q48" s="71" t="s">
        <v>238</v>
      </c>
      <c r="R48" s="71" t="s">
        <v>34</v>
      </c>
      <c r="S48" s="72"/>
      <c r="T48" s="73"/>
      <c r="U48" s="96"/>
      <c r="V48" s="110">
        <v>46122</v>
      </c>
      <c r="W48" s="70">
        <v>3</v>
      </c>
      <c r="X48" s="103" t="s">
        <v>240</v>
      </c>
      <c r="Y48" s="104">
        <f t="shared" si="17"/>
        <v>46213</v>
      </c>
      <c r="Z48" s="105">
        <f ca="1" t="shared" si="18"/>
        <v>-100</v>
      </c>
      <c r="AA48" s="70"/>
      <c r="AB48" s="91" t="s">
        <v>229</v>
      </c>
      <c r="AC48" s="91" t="s">
        <v>13</v>
      </c>
      <c r="AD48" s="71" t="s">
        <v>238</v>
      </c>
      <c r="AE48" s="71" t="s">
        <v>34</v>
      </c>
      <c r="AF48" s="72"/>
      <c r="AG48" s="73"/>
      <c r="AH48" s="96"/>
      <c r="AI48" s="110">
        <v>46205</v>
      </c>
      <c r="AJ48" s="70">
        <v>3</v>
      </c>
      <c r="AK48" s="103" t="s">
        <v>241</v>
      </c>
      <c r="AL48" s="104">
        <f t="shared" si="14"/>
        <v>46297</v>
      </c>
      <c r="AM48" s="105">
        <f ca="1" t="shared" si="15"/>
        <v>-16</v>
      </c>
      <c r="AN48" s="115"/>
      <c r="AO48" s="91" t="s">
        <v>229</v>
      </c>
      <c r="AP48" s="91" t="s">
        <v>13</v>
      </c>
      <c r="AQ48" s="71" t="s">
        <v>238</v>
      </c>
      <c r="AR48" s="71" t="s">
        <v>34</v>
      </c>
      <c r="AS48" s="72"/>
      <c r="AT48" s="73"/>
      <c r="AU48" s="96"/>
      <c r="AV48" s="119">
        <v>46292</v>
      </c>
      <c r="AW48" s="115">
        <v>3</v>
      </c>
      <c r="AX48" s="106" t="s">
        <v>242</v>
      </c>
      <c r="AY48" s="104">
        <f t="shared" si="13"/>
        <v>46383</v>
      </c>
      <c r="AZ48" s="105">
        <f ca="1" t="shared" si="16"/>
        <v>70</v>
      </c>
    </row>
    <row r="49" customHeight="1" spans="1:52">
      <c r="A49" s="70">
        <v>47</v>
      </c>
      <c r="B49" s="70" t="s">
        <v>55</v>
      </c>
      <c r="C49" s="70" t="s">
        <v>38</v>
      </c>
      <c r="D49" s="71" t="s">
        <v>243</v>
      </c>
      <c r="E49" s="71" t="s">
        <v>189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244</v>
      </c>
      <c r="L49" s="104">
        <f t="shared" si="0"/>
        <v>46117</v>
      </c>
      <c r="M49" s="105">
        <f ca="1" t="shared" si="1"/>
        <v>-196</v>
      </c>
      <c r="N49" s="70"/>
      <c r="O49" s="70" t="s">
        <v>55</v>
      </c>
      <c r="P49" s="70" t="s">
        <v>38</v>
      </c>
      <c r="Q49" s="71" t="s">
        <v>243</v>
      </c>
      <c r="R49" s="71" t="s">
        <v>189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245</v>
      </c>
      <c r="Y49" s="104">
        <f t="shared" si="17"/>
        <v>46207</v>
      </c>
      <c r="Z49" s="105">
        <f ca="1" t="shared" si="18"/>
        <v>-106</v>
      </c>
      <c r="AA49" s="70"/>
      <c r="AB49" s="70" t="s">
        <v>65</v>
      </c>
      <c r="AC49" s="70" t="s">
        <v>38</v>
      </c>
      <c r="AD49" s="71" t="s">
        <v>243</v>
      </c>
      <c r="AE49" s="71" t="s">
        <v>189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246</v>
      </c>
      <c r="AL49" s="104">
        <f t="shared" ref="AL49:AL64" si="19">EDATE(AI49,AJ49)</f>
        <v>46291</v>
      </c>
      <c r="AM49" s="105">
        <f ca="1" t="shared" ref="AM49:AM64" si="20">AL49-TODAY()</f>
        <v>-22</v>
      </c>
      <c r="AN49" s="115"/>
      <c r="AO49" s="124" t="s">
        <v>61</v>
      </c>
      <c r="AP49" s="70" t="s">
        <v>38</v>
      </c>
      <c r="AQ49" s="71" t="s">
        <v>243</v>
      </c>
      <c r="AR49" s="71" t="s">
        <v>189</v>
      </c>
      <c r="AS49" s="72"/>
      <c r="AT49" s="73"/>
      <c r="AU49" s="86" t="s">
        <v>16</v>
      </c>
      <c r="AV49" s="125">
        <v>46282</v>
      </c>
      <c r="AW49" s="115">
        <v>3</v>
      </c>
      <c r="AX49" s="106" t="s">
        <v>247</v>
      </c>
      <c r="AY49" s="104">
        <f t="shared" si="13"/>
        <v>46373</v>
      </c>
      <c r="AZ49" s="105">
        <f ca="1" t="shared" si="16"/>
        <v>60</v>
      </c>
    </row>
    <row r="50" customHeight="1" spans="1:52">
      <c r="A50" s="70">
        <v>48</v>
      </c>
      <c r="B50" s="70" t="s">
        <v>61</v>
      </c>
      <c r="C50" s="70" t="s">
        <v>38</v>
      </c>
      <c r="D50" s="71" t="s">
        <v>248</v>
      </c>
      <c r="E50" s="71" t="s">
        <v>189</v>
      </c>
      <c r="F50" s="72"/>
      <c r="G50" s="73"/>
      <c r="H50" s="92"/>
      <c r="I50" s="102">
        <v>46027</v>
      </c>
      <c r="J50" s="70">
        <v>3</v>
      </c>
      <c r="K50" s="107" t="s">
        <v>249</v>
      </c>
      <c r="L50" s="104">
        <f t="shared" si="0"/>
        <v>46117</v>
      </c>
      <c r="M50" s="105">
        <f ca="1" t="shared" si="1"/>
        <v>-196</v>
      </c>
      <c r="N50" s="70"/>
      <c r="O50" s="70" t="s">
        <v>61</v>
      </c>
      <c r="P50" s="70" t="s">
        <v>38</v>
      </c>
      <c r="Q50" s="71" t="s">
        <v>248</v>
      </c>
      <c r="R50" s="71" t="s">
        <v>189</v>
      </c>
      <c r="S50" s="72"/>
      <c r="T50" s="73"/>
      <c r="U50" s="92"/>
      <c r="V50" s="113">
        <v>46116</v>
      </c>
      <c r="W50" s="70">
        <v>3</v>
      </c>
      <c r="X50" s="103" t="s">
        <v>250</v>
      </c>
      <c r="Y50" s="104">
        <f t="shared" si="17"/>
        <v>46207</v>
      </c>
      <c r="Z50" s="105">
        <f ca="1" t="shared" si="18"/>
        <v>-106</v>
      </c>
      <c r="AA50" s="70"/>
      <c r="AB50" s="70" t="s">
        <v>61</v>
      </c>
      <c r="AC50" s="70" t="s">
        <v>38</v>
      </c>
      <c r="AD50" s="71" t="s">
        <v>248</v>
      </c>
      <c r="AE50" s="71" t="s">
        <v>189</v>
      </c>
      <c r="AF50" s="72"/>
      <c r="AG50" s="73"/>
      <c r="AH50" s="92"/>
      <c r="AI50" s="113">
        <v>46200</v>
      </c>
      <c r="AJ50" s="70">
        <v>3</v>
      </c>
      <c r="AK50" s="103" t="s">
        <v>251</v>
      </c>
      <c r="AL50" s="104">
        <f t="shared" si="19"/>
        <v>46292</v>
      </c>
      <c r="AM50" s="105">
        <f ca="1" t="shared" si="20"/>
        <v>-21</v>
      </c>
      <c r="AN50" s="115"/>
      <c r="AO50" s="70" t="s">
        <v>61</v>
      </c>
      <c r="AP50" s="70" t="s">
        <v>38</v>
      </c>
      <c r="AQ50" s="71" t="s">
        <v>248</v>
      </c>
      <c r="AR50" s="71" t="s">
        <v>189</v>
      </c>
      <c r="AS50" s="72"/>
      <c r="AT50" s="73"/>
      <c r="AU50" s="92"/>
      <c r="AV50" s="125">
        <v>46288</v>
      </c>
      <c r="AW50" s="115">
        <v>3</v>
      </c>
      <c r="AX50" s="106" t="s">
        <v>252</v>
      </c>
      <c r="AY50" s="104">
        <f t="shared" si="13"/>
        <v>46379</v>
      </c>
      <c r="AZ50" s="105">
        <f ca="1" t="shared" si="16"/>
        <v>66</v>
      </c>
    </row>
    <row r="51" customHeight="1" spans="1:52">
      <c r="A51" s="70">
        <v>49</v>
      </c>
      <c r="B51" s="70" t="s">
        <v>61</v>
      </c>
      <c r="C51" s="70" t="s">
        <v>13</v>
      </c>
      <c r="D51" s="71" t="s">
        <v>253</v>
      </c>
      <c r="E51" s="71" t="s">
        <v>126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254</v>
      </c>
      <c r="L51" s="104">
        <f t="shared" si="0"/>
        <v>46117</v>
      </c>
      <c r="M51" s="105">
        <f ca="1" t="shared" si="1"/>
        <v>-196</v>
      </c>
      <c r="N51" s="70"/>
      <c r="O51" s="108" t="s">
        <v>255</v>
      </c>
      <c r="P51" s="70" t="s">
        <v>13</v>
      </c>
      <c r="Q51" s="71" t="s">
        <v>253</v>
      </c>
      <c r="R51" s="71" t="s">
        <v>126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256</v>
      </c>
      <c r="Y51" s="104">
        <f t="shared" si="17"/>
        <v>46203</v>
      </c>
      <c r="Z51" s="105">
        <f ca="1" t="shared" si="18"/>
        <v>-110</v>
      </c>
      <c r="AA51" s="70"/>
      <c r="AB51" s="108" t="s">
        <v>61</v>
      </c>
      <c r="AC51" s="70" t="s">
        <v>13</v>
      </c>
      <c r="AD51" s="71" t="s">
        <v>253</v>
      </c>
      <c r="AE51" s="71" t="s">
        <v>126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257</v>
      </c>
      <c r="AL51" s="104">
        <f t="shared" si="19"/>
        <v>46289</v>
      </c>
      <c r="AM51" s="105">
        <f ca="1" t="shared" si="20"/>
        <v>-24</v>
      </c>
      <c r="AN51" s="115"/>
      <c r="AO51" s="108" t="s">
        <v>61</v>
      </c>
      <c r="AP51" s="70" t="s">
        <v>13</v>
      </c>
      <c r="AQ51" s="71" t="s">
        <v>253</v>
      </c>
      <c r="AR51" s="71" t="s">
        <v>126</v>
      </c>
      <c r="AS51" s="72"/>
      <c r="AT51" s="73"/>
      <c r="AU51" s="114" t="s">
        <v>16</v>
      </c>
      <c r="AV51" s="125">
        <v>46279</v>
      </c>
      <c r="AW51" s="115">
        <v>3</v>
      </c>
      <c r="AX51" s="106" t="s">
        <v>258</v>
      </c>
      <c r="AY51" s="104">
        <f t="shared" si="13"/>
        <v>46370</v>
      </c>
      <c r="AZ51" s="105">
        <f ca="1" t="shared" si="16"/>
        <v>57</v>
      </c>
    </row>
    <row r="52" customHeight="1" spans="1:52">
      <c r="A52" s="70">
        <v>50</v>
      </c>
      <c r="B52" s="70" t="s">
        <v>259</v>
      </c>
      <c r="C52" s="70" t="s">
        <v>38</v>
      </c>
      <c r="D52" s="71" t="s">
        <v>260</v>
      </c>
      <c r="E52" s="71" t="s">
        <v>261</v>
      </c>
      <c r="F52" s="72"/>
      <c r="G52" s="73"/>
      <c r="H52" s="92"/>
      <c r="I52" s="102">
        <v>46027</v>
      </c>
      <c r="J52" s="70">
        <v>3</v>
      </c>
      <c r="K52" s="107" t="s">
        <v>262</v>
      </c>
      <c r="L52" s="104">
        <f t="shared" si="0"/>
        <v>46117</v>
      </c>
      <c r="M52" s="105">
        <f ca="1" t="shared" si="1"/>
        <v>-196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17"/>
        <v>0</v>
      </c>
      <c r="Z52" s="105">
        <f ca="1" t="shared" si="18"/>
        <v>-46313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9"/>
        <v>0</v>
      </c>
      <c r="AM52" s="105">
        <f ca="1" t="shared" si="20"/>
        <v>-46313</v>
      </c>
      <c r="AN52" s="115"/>
      <c r="AO52" s="115"/>
      <c r="AP52" s="115"/>
      <c r="AQ52" s="93"/>
      <c r="AR52" s="93"/>
      <c r="AS52" s="94"/>
      <c r="AT52" s="95"/>
      <c r="AU52" s="79"/>
      <c r="AV52" s="125"/>
      <c r="AW52" s="115"/>
      <c r="AX52" s="106"/>
      <c r="AY52" s="104">
        <f t="shared" si="13"/>
        <v>0</v>
      </c>
      <c r="AZ52" s="105">
        <f ca="1" t="shared" si="16"/>
        <v>-46313</v>
      </c>
    </row>
    <row r="53" customHeight="1" spans="1:52">
      <c r="A53" s="70">
        <v>51</v>
      </c>
      <c r="B53" s="70" t="s">
        <v>263</v>
      </c>
      <c r="C53" s="70" t="s">
        <v>264</v>
      </c>
      <c r="D53" s="71" t="s">
        <v>265</v>
      </c>
      <c r="E53" s="71" t="s">
        <v>266</v>
      </c>
      <c r="F53" s="72"/>
      <c r="G53" s="73"/>
      <c r="H53" s="92"/>
      <c r="I53" s="102">
        <v>46027</v>
      </c>
      <c r="J53" s="70">
        <v>3</v>
      </c>
      <c r="K53" s="107" t="s">
        <v>267</v>
      </c>
      <c r="L53" s="104">
        <f t="shared" si="0"/>
        <v>46117</v>
      </c>
      <c r="M53" s="105">
        <f ca="1" t="shared" si="1"/>
        <v>-196</v>
      </c>
      <c r="N53" s="70"/>
      <c r="O53" s="70" t="s">
        <v>263</v>
      </c>
      <c r="P53" s="70" t="s">
        <v>264</v>
      </c>
      <c r="Q53" s="71" t="s">
        <v>265</v>
      </c>
      <c r="R53" s="71" t="s">
        <v>266</v>
      </c>
      <c r="S53" s="72"/>
      <c r="T53" s="73"/>
      <c r="U53" s="92"/>
      <c r="V53" s="113">
        <v>46120</v>
      </c>
      <c r="W53" s="70">
        <v>3</v>
      </c>
      <c r="X53" s="103" t="s">
        <v>268</v>
      </c>
      <c r="Y53" s="104">
        <f t="shared" si="17"/>
        <v>46211</v>
      </c>
      <c r="Z53" s="105">
        <f ca="1" t="shared" si="18"/>
        <v>-102</v>
      </c>
      <c r="AA53" s="70"/>
      <c r="AB53" s="70" t="s">
        <v>263</v>
      </c>
      <c r="AC53" s="70" t="s">
        <v>264</v>
      </c>
      <c r="AD53" s="71" t="s">
        <v>265</v>
      </c>
      <c r="AE53" s="71" t="s">
        <v>266</v>
      </c>
      <c r="AF53" s="72"/>
      <c r="AG53" s="73"/>
      <c r="AH53" s="92"/>
      <c r="AI53" s="113">
        <v>46214</v>
      </c>
      <c r="AJ53" s="70">
        <v>3</v>
      </c>
      <c r="AK53" s="103" t="s">
        <v>269</v>
      </c>
      <c r="AL53" s="104">
        <f t="shared" si="19"/>
        <v>46306</v>
      </c>
      <c r="AM53" s="105">
        <f ca="1" t="shared" si="20"/>
        <v>-7</v>
      </c>
      <c r="AN53" s="115"/>
      <c r="AO53" s="70" t="s">
        <v>263</v>
      </c>
      <c r="AP53" s="70" t="s">
        <v>264</v>
      </c>
      <c r="AQ53" s="71" t="s">
        <v>265</v>
      </c>
      <c r="AR53" s="71" t="s">
        <v>266</v>
      </c>
      <c r="AS53" s="72"/>
      <c r="AT53" s="73"/>
      <c r="AU53" s="92"/>
      <c r="AV53" s="125">
        <v>46308</v>
      </c>
      <c r="AW53" s="115">
        <v>3</v>
      </c>
      <c r="AX53" s="106"/>
      <c r="AY53" s="104">
        <f t="shared" si="13"/>
        <v>46400</v>
      </c>
      <c r="AZ53" s="105">
        <f ca="1" t="shared" si="16"/>
        <v>87</v>
      </c>
    </row>
    <row r="54" customHeight="1" spans="1:52">
      <c r="A54" s="70">
        <v>52</v>
      </c>
      <c r="B54" s="70" t="s">
        <v>270</v>
      </c>
      <c r="C54" s="70" t="s">
        <v>264</v>
      </c>
      <c r="D54" s="71" t="s">
        <v>271</v>
      </c>
      <c r="E54" s="71" t="s">
        <v>272</v>
      </c>
      <c r="F54" s="72"/>
      <c r="G54" s="73"/>
      <c r="H54" s="92"/>
      <c r="I54" s="102">
        <v>46027</v>
      </c>
      <c r="J54" s="70">
        <v>3</v>
      </c>
      <c r="K54" s="107" t="s">
        <v>273</v>
      </c>
      <c r="L54" s="104">
        <f t="shared" si="0"/>
        <v>46117</v>
      </c>
      <c r="M54" s="105">
        <f ca="1" t="shared" si="1"/>
        <v>-196</v>
      </c>
      <c r="N54" s="70"/>
      <c r="O54" s="70" t="s">
        <v>270</v>
      </c>
      <c r="P54" s="70" t="s">
        <v>264</v>
      </c>
      <c r="Q54" s="71" t="s">
        <v>271</v>
      </c>
      <c r="R54" s="71" t="s">
        <v>272</v>
      </c>
      <c r="S54" s="72"/>
      <c r="T54" s="73"/>
      <c r="U54" s="92"/>
      <c r="V54" s="113">
        <v>46114</v>
      </c>
      <c r="W54" s="70">
        <v>3</v>
      </c>
      <c r="X54" s="103" t="s">
        <v>274</v>
      </c>
      <c r="Y54" s="104">
        <f t="shared" si="17"/>
        <v>46205</v>
      </c>
      <c r="Z54" s="105">
        <f ca="1" t="shared" si="18"/>
        <v>-108</v>
      </c>
      <c r="AA54" s="70"/>
      <c r="AB54" s="70" t="s">
        <v>270</v>
      </c>
      <c r="AC54" s="70" t="s">
        <v>264</v>
      </c>
      <c r="AD54" s="71" t="s">
        <v>271</v>
      </c>
      <c r="AE54" s="71" t="s">
        <v>272</v>
      </c>
      <c r="AF54" s="72"/>
      <c r="AG54" s="73"/>
      <c r="AH54" s="92"/>
      <c r="AI54" s="113">
        <v>46260</v>
      </c>
      <c r="AJ54" s="70">
        <v>3</v>
      </c>
      <c r="AK54" s="103" t="s">
        <v>275</v>
      </c>
      <c r="AL54" s="104">
        <f t="shared" si="19"/>
        <v>46352</v>
      </c>
      <c r="AM54" s="105">
        <f ca="1" t="shared" si="20"/>
        <v>39</v>
      </c>
      <c r="AN54" s="115"/>
      <c r="AO54" s="115"/>
      <c r="AP54" s="115"/>
      <c r="AQ54" s="93"/>
      <c r="AR54" s="93"/>
      <c r="AS54" s="94"/>
      <c r="AT54" s="95"/>
      <c r="AU54" s="79"/>
      <c r="AV54" s="125"/>
      <c r="AW54" s="115"/>
      <c r="AX54" s="106"/>
      <c r="AY54" s="104">
        <f t="shared" si="13"/>
        <v>0</v>
      </c>
      <c r="AZ54" s="105">
        <f ca="1" t="shared" si="16"/>
        <v>-46313</v>
      </c>
    </row>
    <row r="55" customHeight="1" spans="1:52">
      <c r="A55" s="70">
        <v>53</v>
      </c>
      <c r="B55" s="70" t="s">
        <v>270</v>
      </c>
      <c r="C55" s="70" t="s">
        <v>264</v>
      </c>
      <c r="D55" s="71" t="s">
        <v>276</v>
      </c>
      <c r="E55" s="71" t="s">
        <v>277</v>
      </c>
      <c r="F55" s="72"/>
      <c r="G55" s="73"/>
      <c r="H55" s="92"/>
      <c r="I55" s="102">
        <v>46027</v>
      </c>
      <c r="J55" s="70">
        <v>3</v>
      </c>
      <c r="K55" s="107" t="s">
        <v>278</v>
      </c>
      <c r="L55" s="104">
        <f t="shared" si="0"/>
        <v>46117</v>
      </c>
      <c r="M55" s="105">
        <f ca="1" t="shared" si="1"/>
        <v>-196</v>
      </c>
      <c r="N55" s="70"/>
      <c r="O55" s="70" t="s">
        <v>270</v>
      </c>
      <c r="P55" s="70" t="s">
        <v>264</v>
      </c>
      <c r="Q55" s="71" t="s">
        <v>276</v>
      </c>
      <c r="R55" s="71" t="s">
        <v>277</v>
      </c>
      <c r="S55" s="72"/>
      <c r="T55" s="73"/>
      <c r="U55" s="92"/>
      <c r="V55" s="102">
        <v>46127</v>
      </c>
      <c r="W55" s="70">
        <v>3</v>
      </c>
      <c r="X55" s="103" t="s">
        <v>279</v>
      </c>
      <c r="Y55" s="104">
        <f t="shared" si="17"/>
        <v>46218</v>
      </c>
      <c r="Z55" s="105">
        <f ca="1" t="shared" si="18"/>
        <v>-95</v>
      </c>
      <c r="AA55" s="70"/>
      <c r="AB55" s="70" t="s">
        <v>270</v>
      </c>
      <c r="AC55" s="70" t="s">
        <v>264</v>
      </c>
      <c r="AD55" s="71" t="s">
        <v>276</v>
      </c>
      <c r="AE55" s="71" t="s">
        <v>277</v>
      </c>
      <c r="AF55" s="72"/>
      <c r="AG55" s="73"/>
      <c r="AH55" s="92"/>
      <c r="AI55" s="113">
        <v>46270</v>
      </c>
      <c r="AJ55" s="70">
        <v>3</v>
      </c>
      <c r="AK55" s="103" t="s">
        <v>280</v>
      </c>
      <c r="AL55" s="104">
        <f t="shared" si="19"/>
        <v>46361</v>
      </c>
      <c r="AM55" s="105">
        <f ca="1" t="shared" si="20"/>
        <v>48</v>
      </c>
      <c r="AN55" s="115"/>
      <c r="AO55" s="115"/>
      <c r="AP55" s="115"/>
      <c r="AQ55" s="93"/>
      <c r="AR55" s="93"/>
      <c r="AS55" s="94"/>
      <c r="AT55" s="95"/>
      <c r="AU55" s="79"/>
      <c r="AV55" s="125"/>
      <c r="AW55" s="115"/>
      <c r="AX55" s="106"/>
      <c r="AY55" s="104">
        <f t="shared" ref="AY54:AY74" si="21">EDATE(AV55,AW55)</f>
        <v>0</v>
      </c>
      <c r="AZ55" s="105">
        <f ca="1" t="shared" ref="AZ54:AZ74" si="22">AY55-TODAY()</f>
        <v>-46313</v>
      </c>
    </row>
    <row r="56" customHeight="1" spans="1:52">
      <c r="A56" s="70">
        <v>54</v>
      </c>
      <c r="B56" s="70" t="s">
        <v>281</v>
      </c>
      <c r="C56" s="70" t="s">
        <v>264</v>
      </c>
      <c r="D56" s="71" t="s">
        <v>282</v>
      </c>
      <c r="E56" s="71" t="s">
        <v>277</v>
      </c>
      <c r="F56" s="72"/>
      <c r="G56" s="73"/>
      <c r="H56" s="92"/>
      <c r="I56" s="102">
        <v>46027</v>
      </c>
      <c r="J56" s="70">
        <v>3</v>
      </c>
      <c r="K56" s="107" t="s">
        <v>283</v>
      </c>
      <c r="L56" s="104">
        <f t="shared" si="0"/>
        <v>46117</v>
      </c>
      <c r="M56" s="105">
        <f ca="1" t="shared" si="1"/>
        <v>-196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17"/>
        <v>0</v>
      </c>
      <c r="Z56" s="105">
        <f ca="1" t="shared" si="18"/>
        <v>-46313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9"/>
        <v>0</v>
      </c>
      <c r="AM56" s="105">
        <f ca="1" t="shared" si="20"/>
        <v>-46313</v>
      </c>
      <c r="AN56" s="115"/>
      <c r="AO56" s="70"/>
      <c r="AP56" s="70"/>
      <c r="AQ56" s="71"/>
      <c r="AR56" s="71"/>
      <c r="AS56" s="72"/>
      <c r="AT56" s="73"/>
      <c r="AU56" s="114"/>
      <c r="AV56" s="125"/>
      <c r="AW56" s="115"/>
      <c r="AX56" s="106"/>
      <c r="AY56" s="104">
        <f t="shared" si="21"/>
        <v>0</v>
      </c>
      <c r="AZ56" s="105">
        <f ca="1" t="shared" si="22"/>
        <v>-46313</v>
      </c>
    </row>
    <row r="57" customHeight="1" spans="1:52">
      <c r="A57" s="70">
        <v>55</v>
      </c>
      <c r="B57" s="70" t="s">
        <v>281</v>
      </c>
      <c r="C57" s="70" t="s">
        <v>264</v>
      </c>
      <c r="D57" s="71" t="s">
        <v>284</v>
      </c>
      <c r="E57" s="71" t="s">
        <v>285</v>
      </c>
      <c r="F57" s="72"/>
      <c r="G57" s="73"/>
      <c r="H57" s="92"/>
      <c r="I57" s="102">
        <v>46027</v>
      </c>
      <c r="J57" s="70">
        <v>3</v>
      </c>
      <c r="K57" s="107" t="s">
        <v>286</v>
      </c>
      <c r="L57" s="104">
        <f t="shared" si="0"/>
        <v>46117</v>
      </c>
      <c r="M57" s="105">
        <f ca="1" t="shared" si="1"/>
        <v>-196</v>
      </c>
      <c r="N57" s="70"/>
      <c r="O57" s="70" t="s">
        <v>281</v>
      </c>
      <c r="P57" s="70" t="s">
        <v>264</v>
      </c>
      <c r="Q57" s="71" t="s">
        <v>284</v>
      </c>
      <c r="R57" s="71" t="s">
        <v>285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17"/>
        <v>46210</v>
      </c>
      <c r="Z57" s="105">
        <f ca="1" t="shared" si="18"/>
        <v>-103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9"/>
        <v>0</v>
      </c>
      <c r="AM57" s="105">
        <f ca="1" t="shared" si="20"/>
        <v>-46313</v>
      </c>
      <c r="AN57" s="115"/>
      <c r="AO57" s="115"/>
      <c r="AP57" s="115"/>
      <c r="AQ57" s="93"/>
      <c r="AR57" s="93"/>
      <c r="AS57" s="94"/>
      <c r="AT57" s="95"/>
      <c r="AU57" s="79"/>
      <c r="AV57" s="125"/>
      <c r="AW57" s="115"/>
      <c r="AX57" s="106"/>
      <c r="AY57" s="104">
        <f t="shared" si="21"/>
        <v>0</v>
      </c>
      <c r="AZ57" s="105">
        <f ca="1" t="shared" si="22"/>
        <v>-46313</v>
      </c>
    </row>
    <row r="58" customHeight="1" spans="1:52">
      <c r="A58" s="70">
        <v>56</v>
      </c>
      <c r="B58" s="70" t="s">
        <v>281</v>
      </c>
      <c r="C58" s="70" t="s">
        <v>264</v>
      </c>
      <c r="D58" s="71" t="s">
        <v>287</v>
      </c>
      <c r="E58" s="71" t="s">
        <v>288</v>
      </c>
      <c r="F58" s="72"/>
      <c r="G58" s="73"/>
      <c r="H58" s="92"/>
      <c r="I58" s="102">
        <v>46027</v>
      </c>
      <c r="J58" s="70">
        <v>3</v>
      </c>
      <c r="K58" s="107" t="s">
        <v>289</v>
      </c>
      <c r="L58" s="104">
        <f t="shared" si="0"/>
        <v>46117</v>
      </c>
      <c r="M58" s="105">
        <f ca="1" t="shared" si="1"/>
        <v>-196</v>
      </c>
      <c r="N58" s="70"/>
      <c r="O58" s="70" t="s">
        <v>281</v>
      </c>
      <c r="P58" s="70" t="s">
        <v>264</v>
      </c>
      <c r="Q58" s="71" t="s">
        <v>287</v>
      </c>
      <c r="R58" s="71" t="s">
        <v>288</v>
      </c>
      <c r="S58" s="72"/>
      <c r="T58" s="73"/>
      <c r="U58" s="92"/>
      <c r="V58" s="113">
        <v>46124</v>
      </c>
      <c r="W58" s="70">
        <v>3</v>
      </c>
      <c r="X58" s="103" t="s">
        <v>290</v>
      </c>
      <c r="Y58" s="104">
        <f t="shared" si="17"/>
        <v>46215</v>
      </c>
      <c r="Z58" s="105">
        <f ca="1" t="shared" si="18"/>
        <v>-98</v>
      </c>
      <c r="AA58" s="70"/>
      <c r="AB58" s="70" t="s">
        <v>281</v>
      </c>
      <c r="AC58" s="70" t="s">
        <v>264</v>
      </c>
      <c r="AD58" s="71" t="s">
        <v>287</v>
      </c>
      <c r="AE58" s="71" t="s">
        <v>288</v>
      </c>
      <c r="AF58" s="72"/>
      <c r="AG58" s="73"/>
      <c r="AH58" s="92"/>
      <c r="AI58" s="113">
        <v>46237</v>
      </c>
      <c r="AJ58" s="70">
        <v>3</v>
      </c>
      <c r="AK58" s="103" t="s">
        <v>291</v>
      </c>
      <c r="AL58" s="104">
        <f t="shared" si="19"/>
        <v>46329</v>
      </c>
      <c r="AM58" s="105">
        <f ca="1" t="shared" si="20"/>
        <v>16</v>
      </c>
      <c r="AN58" s="115"/>
      <c r="AO58" s="70"/>
      <c r="AP58" s="70"/>
      <c r="AQ58" s="71"/>
      <c r="AR58" s="71"/>
      <c r="AS58" s="72"/>
      <c r="AT58" s="73"/>
      <c r="AU58" s="79"/>
      <c r="AV58" s="125"/>
      <c r="AW58" s="115"/>
      <c r="AX58" s="106"/>
      <c r="AY58" s="104">
        <f t="shared" si="21"/>
        <v>0</v>
      </c>
      <c r="AZ58" s="105">
        <f ca="1" t="shared" si="22"/>
        <v>-46313</v>
      </c>
    </row>
    <row r="59" customHeight="1" spans="1:52">
      <c r="A59" s="70">
        <v>57</v>
      </c>
      <c r="B59" s="70" t="s">
        <v>281</v>
      </c>
      <c r="C59" s="70" t="s">
        <v>264</v>
      </c>
      <c r="D59" s="71" t="s">
        <v>292</v>
      </c>
      <c r="E59" s="71" t="s">
        <v>293</v>
      </c>
      <c r="F59" s="72"/>
      <c r="G59" s="73"/>
      <c r="H59" s="92"/>
      <c r="I59" s="102">
        <v>46027</v>
      </c>
      <c r="J59" s="70">
        <v>3</v>
      </c>
      <c r="K59" s="107" t="s">
        <v>294</v>
      </c>
      <c r="L59" s="104">
        <f t="shared" si="0"/>
        <v>46117</v>
      </c>
      <c r="M59" s="105">
        <f ca="1" t="shared" si="1"/>
        <v>-196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17"/>
        <v>0</v>
      </c>
      <c r="Z59" s="105">
        <f ca="1" t="shared" si="18"/>
        <v>-46313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9"/>
        <v>0</v>
      </c>
      <c r="AM59" s="105">
        <f ca="1" t="shared" si="20"/>
        <v>-46313</v>
      </c>
      <c r="AN59" s="115"/>
      <c r="AO59" s="70"/>
      <c r="AP59" s="70"/>
      <c r="AQ59" s="71"/>
      <c r="AR59" s="71"/>
      <c r="AS59" s="72"/>
      <c r="AT59" s="73"/>
      <c r="AU59" s="79"/>
      <c r="AV59" s="125"/>
      <c r="AW59" s="115"/>
      <c r="AX59" s="107"/>
      <c r="AY59" s="104">
        <f t="shared" si="21"/>
        <v>0</v>
      </c>
      <c r="AZ59" s="105">
        <f ca="1" t="shared" si="22"/>
        <v>-46313</v>
      </c>
    </row>
    <row r="60" customHeight="1" spans="1:52">
      <c r="A60" s="70">
        <v>58</v>
      </c>
      <c r="B60" s="70" t="s">
        <v>295</v>
      </c>
      <c r="C60" s="70" t="s">
        <v>264</v>
      </c>
      <c r="D60" s="71" t="s">
        <v>296</v>
      </c>
      <c r="E60" s="71" t="s">
        <v>297</v>
      </c>
      <c r="F60" s="72"/>
      <c r="G60" s="73"/>
      <c r="H60" s="92"/>
      <c r="I60" s="102">
        <v>46027</v>
      </c>
      <c r="J60" s="70">
        <v>3</v>
      </c>
      <c r="K60" s="107" t="s">
        <v>298</v>
      </c>
      <c r="L60" s="104">
        <f t="shared" si="0"/>
        <v>46117</v>
      </c>
      <c r="M60" s="105">
        <f ca="1" t="shared" si="1"/>
        <v>-196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17"/>
        <v>0</v>
      </c>
      <c r="Z60" s="105">
        <f ca="1" t="shared" si="18"/>
        <v>-46313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9"/>
        <v>0</v>
      </c>
      <c r="AM60" s="105">
        <f ca="1" t="shared" si="20"/>
        <v>-46313</v>
      </c>
      <c r="AN60" s="115"/>
      <c r="AO60" s="115"/>
      <c r="AP60" s="115"/>
      <c r="AQ60" s="93"/>
      <c r="AR60" s="93"/>
      <c r="AS60" s="94"/>
      <c r="AT60" s="95"/>
      <c r="AU60" s="114"/>
      <c r="AV60" s="125"/>
      <c r="AW60" s="115"/>
      <c r="AX60" s="106"/>
      <c r="AY60" s="104">
        <f t="shared" si="21"/>
        <v>0</v>
      </c>
      <c r="AZ60" s="105">
        <f ca="1" t="shared" si="22"/>
        <v>-46313</v>
      </c>
    </row>
    <row r="61" customHeight="1" spans="1:52">
      <c r="A61" s="70">
        <v>59</v>
      </c>
      <c r="B61" s="70" t="s">
        <v>295</v>
      </c>
      <c r="C61" s="70" t="s">
        <v>264</v>
      </c>
      <c r="D61" s="71" t="s">
        <v>299</v>
      </c>
      <c r="E61" s="71" t="s">
        <v>300</v>
      </c>
      <c r="F61" s="72"/>
      <c r="G61" s="73"/>
      <c r="H61" s="92"/>
      <c r="I61" s="102">
        <v>46027</v>
      </c>
      <c r="J61" s="70">
        <v>3</v>
      </c>
      <c r="K61" s="107" t="s">
        <v>301</v>
      </c>
      <c r="L61" s="104">
        <f t="shared" si="0"/>
        <v>46117</v>
      </c>
      <c r="M61" s="105">
        <f ca="1" t="shared" si="1"/>
        <v>-196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17"/>
        <v>0</v>
      </c>
      <c r="Z61" s="105">
        <f ca="1" t="shared" si="18"/>
        <v>-46313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9"/>
        <v>0</v>
      </c>
      <c r="AM61" s="105">
        <f ca="1" t="shared" si="20"/>
        <v>-46313</v>
      </c>
      <c r="AN61" s="115"/>
      <c r="AO61" s="115"/>
      <c r="AP61" s="115"/>
      <c r="AQ61" s="93"/>
      <c r="AR61" s="93"/>
      <c r="AS61" s="94"/>
      <c r="AT61" s="95"/>
      <c r="AU61" s="79"/>
      <c r="AV61" s="125"/>
      <c r="AW61" s="115"/>
      <c r="AX61" s="106"/>
      <c r="AY61" s="104">
        <f t="shared" si="21"/>
        <v>0</v>
      </c>
      <c r="AZ61" s="105">
        <f ca="1" t="shared" si="22"/>
        <v>-46313</v>
      </c>
    </row>
    <row r="62" customHeight="1" spans="1:52">
      <c r="A62" s="70">
        <v>60</v>
      </c>
      <c r="B62" s="70" t="s">
        <v>74</v>
      </c>
      <c r="C62" s="70" t="s">
        <v>38</v>
      </c>
      <c r="D62" s="80" t="s">
        <v>302</v>
      </c>
      <c r="E62" s="71" t="s">
        <v>51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303</v>
      </c>
      <c r="L62" s="104">
        <f t="shared" si="0"/>
        <v>46118</v>
      </c>
      <c r="M62" s="105">
        <f ca="1" t="shared" si="1"/>
        <v>-195</v>
      </c>
      <c r="N62" s="70"/>
      <c r="O62" s="70" t="s">
        <v>74</v>
      </c>
      <c r="P62" s="70" t="s">
        <v>38</v>
      </c>
      <c r="Q62" s="80" t="s">
        <v>302</v>
      </c>
      <c r="R62" s="71" t="s">
        <v>51</v>
      </c>
      <c r="S62" s="72"/>
      <c r="T62" s="73"/>
      <c r="U62" s="79" t="s">
        <v>16</v>
      </c>
      <c r="V62" s="113">
        <v>46261</v>
      </c>
      <c r="W62" s="70">
        <v>3</v>
      </c>
      <c r="X62" s="97" t="s">
        <v>304</v>
      </c>
      <c r="Y62" s="104">
        <f t="shared" ref="Y62:Y72" si="23">EDATE(V62,W62)</f>
        <v>46353</v>
      </c>
      <c r="Z62" s="105">
        <f ca="1" t="shared" ref="Z62:Z72" si="24">Y62-TODAY()</f>
        <v>40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9"/>
        <v>0</v>
      </c>
      <c r="AM62" s="105">
        <f ca="1" t="shared" si="20"/>
        <v>-46313</v>
      </c>
      <c r="AN62" s="115"/>
      <c r="AO62" s="115"/>
      <c r="AP62" s="107"/>
      <c r="AQ62" s="126"/>
      <c r="AR62" s="93"/>
      <c r="AS62" s="94"/>
      <c r="AT62" s="95"/>
      <c r="AU62" s="79"/>
      <c r="AV62" s="125"/>
      <c r="AW62" s="115"/>
      <c r="AX62" s="107"/>
      <c r="AY62" s="104">
        <f t="shared" si="21"/>
        <v>0</v>
      </c>
      <c r="AZ62" s="105">
        <f ca="1" t="shared" si="22"/>
        <v>-46313</v>
      </c>
    </row>
    <row r="63" customHeight="1" spans="1:52">
      <c r="A63" s="70">
        <v>61</v>
      </c>
      <c r="B63" s="70" t="s">
        <v>74</v>
      </c>
      <c r="C63" s="97" t="s">
        <v>13</v>
      </c>
      <c r="D63" s="80" t="s">
        <v>305</v>
      </c>
      <c r="E63" s="71" t="s">
        <v>76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306</v>
      </c>
      <c r="L63" s="104">
        <f t="shared" si="0"/>
        <v>46118</v>
      </c>
      <c r="M63" s="105">
        <f ca="1" t="shared" si="1"/>
        <v>-195</v>
      </c>
      <c r="N63" s="70"/>
      <c r="O63" s="70" t="s">
        <v>74</v>
      </c>
      <c r="P63" s="97" t="s">
        <v>13</v>
      </c>
      <c r="Q63" s="80" t="s">
        <v>305</v>
      </c>
      <c r="R63" s="71" t="s">
        <v>76</v>
      </c>
      <c r="S63" s="72"/>
      <c r="T63" s="73"/>
      <c r="U63" s="75"/>
      <c r="V63" s="113">
        <v>46165</v>
      </c>
      <c r="W63" s="70">
        <v>3</v>
      </c>
      <c r="X63" s="97" t="s">
        <v>307</v>
      </c>
      <c r="Y63" s="104">
        <f t="shared" si="23"/>
        <v>46257</v>
      </c>
      <c r="Z63" s="105">
        <f ca="1" t="shared" si="24"/>
        <v>-56</v>
      </c>
      <c r="AA63" s="70"/>
      <c r="AB63" s="70" t="s">
        <v>74</v>
      </c>
      <c r="AC63" s="97" t="s">
        <v>13</v>
      </c>
      <c r="AD63" s="80" t="s">
        <v>305</v>
      </c>
      <c r="AE63" s="71" t="s">
        <v>76</v>
      </c>
      <c r="AF63" s="72"/>
      <c r="AG63" s="73"/>
      <c r="AH63" s="75"/>
      <c r="AI63" s="113">
        <v>46261</v>
      </c>
      <c r="AJ63" s="70">
        <v>3</v>
      </c>
      <c r="AK63" s="97" t="s">
        <v>308</v>
      </c>
      <c r="AL63" s="104">
        <f t="shared" si="19"/>
        <v>46353</v>
      </c>
      <c r="AM63" s="105">
        <f ca="1" t="shared" si="20"/>
        <v>40</v>
      </c>
      <c r="AN63" s="115"/>
      <c r="AO63" s="115"/>
      <c r="AP63" s="107"/>
      <c r="AQ63" s="126"/>
      <c r="AR63" s="93"/>
      <c r="AS63" s="94"/>
      <c r="AT63" s="95"/>
      <c r="AU63" s="79"/>
      <c r="AV63" s="125"/>
      <c r="AW63" s="115"/>
      <c r="AX63" s="107"/>
      <c r="AY63" s="104">
        <f t="shared" si="21"/>
        <v>0</v>
      </c>
      <c r="AZ63" s="105">
        <f ca="1" t="shared" si="22"/>
        <v>-46313</v>
      </c>
    </row>
    <row r="64" customHeight="1" spans="1:52">
      <c r="A64" s="70">
        <v>62</v>
      </c>
      <c r="B64" s="70" t="s">
        <v>309</v>
      </c>
      <c r="C64" s="97" t="s">
        <v>13</v>
      </c>
      <c r="D64" s="80" t="s">
        <v>310</v>
      </c>
      <c r="E64" s="71" t="s">
        <v>311</v>
      </c>
      <c r="F64" s="72"/>
      <c r="G64" s="73"/>
      <c r="H64" s="75"/>
      <c r="I64" s="102">
        <v>46028</v>
      </c>
      <c r="J64" s="70">
        <v>3</v>
      </c>
      <c r="K64" s="106" t="s">
        <v>312</v>
      </c>
      <c r="L64" s="104">
        <f t="shared" si="0"/>
        <v>46118</v>
      </c>
      <c r="M64" s="105">
        <f ca="1" t="shared" si="1"/>
        <v>-195</v>
      </c>
      <c r="N64" s="70"/>
      <c r="O64" s="70" t="s">
        <v>309</v>
      </c>
      <c r="P64" s="97" t="s">
        <v>13</v>
      </c>
      <c r="Q64" s="80" t="s">
        <v>310</v>
      </c>
      <c r="R64" s="71" t="s">
        <v>311</v>
      </c>
      <c r="S64" s="72"/>
      <c r="T64" s="73"/>
      <c r="U64" s="75"/>
      <c r="V64" s="113">
        <v>46115</v>
      </c>
      <c r="W64" s="70">
        <v>3</v>
      </c>
      <c r="X64" s="97" t="s">
        <v>313</v>
      </c>
      <c r="Y64" s="104">
        <f t="shared" si="23"/>
        <v>46206</v>
      </c>
      <c r="Z64" s="105">
        <f ca="1" t="shared" si="24"/>
        <v>-107</v>
      </c>
      <c r="AA64" s="70"/>
      <c r="AB64" s="70" t="s">
        <v>309</v>
      </c>
      <c r="AC64" s="97" t="s">
        <v>13</v>
      </c>
      <c r="AD64" s="80" t="s">
        <v>310</v>
      </c>
      <c r="AE64" s="71" t="s">
        <v>311</v>
      </c>
      <c r="AF64" s="72"/>
      <c r="AG64" s="73"/>
      <c r="AH64" s="75"/>
      <c r="AI64" s="113">
        <v>46202</v>
      </c>
      <c r="AJ64" s="70">
        <v>3</v>
      </c>
      <c r="AK64" s="97" t="s">
        <v>314</v>
      </c>
      <c r="AL64" s="104">
        <f t="shared" si="19"/>
        <v>46294</v>
      </c>
      <c r="AM64" s="105">
        <f ca="1" t="shared" si="20"/>
        <v>-19</v>
      </c>
      <c r="AN64" s="115"/>
      <c r="AO64" s="115"/>
      <c r="AP64" s="107"/>
      <c r="AQ64" s="126"/>
      <c r="AR64" s="127"/>
      <c r="AS64" s="128"/>
      <c r="AT64" s="129"/>
      <c r="AU64" s="79"/>
      <c r="AV64" s="125"/>
      <c r="AW64" s="115"/>
      <c r="AX64" s="107"/>
      <c r="AY64" s="104">
        <f t="shared" si="21"/>
        <v>0</v>
      </c>
      <c r="AZ64" s="105">
        <f ca="1" t="shared" si="22"/>
        <v>-46313</v>
      </c>
    </row>
    <row r="65" customHeight="1" spans="1:52">
      <c r="A65" s="70">
        <v>63</v>
      </c>
      <c r="B65" s="70" t="s">
        <v>134</v>
      </c>
      <c r="C65" s="97" t="s">
        <v>13</v>
      </c>
      <c r="D65" s="70" t="s">
        <v>315</v>
      </c>
      <c r="E65" s="130" t="s">
        <v>316</v>
      </c>
      <c r="F65" s="131"/>
      <c r="G65" s="132"/>
      <c r="H65" s="75"/>
      <c r="I65" s="102">
        <v>46028</v>
      </c>
      <c r="J65" s="70">
        <v>3</v>
      </c>
      <c r="K65" s="106" t="s">
        <v>317</v>
      </c>
      <c r="L65" s="104">
        <f t="shared" si="0"/>
        <v>46118</v>
      </c>
      <c r="M65" s="105">
        <f ca="1" t="shared" si="1"/>
        <v>-195</v>
      </c>
      <c r="N65" s="70"/>
      <c r="O65" s="70" t="s">
        <v>134</v>
      </c>
      <c r="P65" s="97" t="s">
        <v>13</v>
      </c>
      <c r="Q65" s="70" t="s">
        <v>315</v>
      </c>
      <c r="R65" s="130" t="s">
        <v>316</v>
      </c>
      <c r="S65" s="131"/>
      <c r="T65" s="132"/>
      <c r="U65" s="75"/>
      <c r="V65" s="113">
        <v>46128</v>
      </c>
      <c r="W65" s="70">
        <v>3</v>
      </c>
      <c r="X65" s="97" t="s">
        <v>318</v>
      </c>
      <c r="Y65" s="104">
        <f t="shared" si="23"/>
        <v>46219</v>
      </c>
      <c r="Z65" s="105">
        <f ca="1" t="shared" si="24"/>
        <v>-94</v>
      </c>
      <c r="AA65" s="70"/>
      <c r="AB65" s="70" t="s">
        <v>134</v>
      </c>
      <c r="AC65" s="97" t="s">
        <v>13</v>
      </c>
      <c r="AD65" s="70" t="s">
        <v>315</v>
      </c>
      <c r="AE65" s="130" t="s">
        <v>316</v>
      </c>
      <c r="AF65" s="131"/>
      <c r="AG65" s="132"/>
      <c r="AH65" s="75"/>
      <c r="AI65" s="113">
        <v>46207</v>
      </c>
      <c r="AJ65" s="70">
        <v>3</v>
      </c>
      <c r="AK65" s="97" t="s">
        <v>319</v>
      </c>
      <c r="AL65" s="104">
        <f t="shared" ref="AL64:AL85" si="25">EDATE(AI65,AJ65)</f>
        <v>46299</v>
      </c>
      <c r="AM65" s="105">
        <f ca="1" t="shared" ref="AM64:AM85" si="26">AL65-TODAY()</f>
        <v>-14</v>
      </c>
      <c r="AN65" s="115"/>
      <c r="AO65" s="70"/>
      <c r="AP65" s="97"/>
      <c r="AQ65" s="70"/>
      <c r="AR65" s="130"/>
      <c r="AS65" s="131"/>
      <c r="AT65" s="132"/>
      <c r="AU65" s="79"/>
      <c r="AV65" s="125"/>
      <c r="AW65" s="115"/>
      <c r="AX65" s="107"/>
      <c r="AY65" s="104">
        <f t="shared" si="21"/>
        <v>0</v>
      </c>
      <c r="AZ65" s="105">
        <f ca="1" t="shared" si="22"/>
        <v>-46313</v>
      </c>
    </row>
    <row r="66" customHeight="1" spans="1:52">
      <c r="A66" s="70">
        <v>64</v>
      </c>
      <c r="B66" s="70" t="s">
        <v>61</v>
      </c>
      <c r="C66" s="97" t="s">
        <v>13</v>
      </c>
      <c r="D66" s="80" t="s">
        <v>320</v>
      </c>
      <c r="E66" s="130" t="s">
        <v>136</v>
      </c>
      <c r="F66" s="131"/>
      <c r="G66" s="132"/>
      <c r="H66" s="79" t="s">
        <v>16</v>
      </c>
      <c r="I66" s="102">
        <v>46028</v>
      </c>
      <c r="J66" s="70">
        <v>3</v>
      </c>
      <c r="K66" s="106" t="s">
        <v>321</v>
      </c>
      <c r="L66" s="104">
        <f t="shared" si="0"/>
        <v>46118</v>
      </c>
      <c r="M66" s="105">
        <f ca="1" t="shared" si="1"/>
        <v>-195</v>
      </c>
      <c r="N66" s="70"/>
      <c r="O66" s="70" t="s">
        <v>61</v>
      </c>
      <c r="P66" s="97" t="s">
        <v>13</v>
      </c>
      <c r="Q66" s="80" t="s">
        <v>320</v>
      </c>
      <c r="R66" s="130" t="s">
        <v>136</v>
      </c>
      <c r="S66" s="131"/>
      <c r="T66" s="132"/>
      <c r="U66" s="79" t="s">
        <v>16</v>
      </c>
      <c r="V66" s="113">
        <v>46115</v>
      </c>
      <c r="W66" s="70">
        <v>3</v>
      </c>
      <c r="X66" s="97" t="s">
        <v>322</v>
      </c>
      <c r="Y66" s="104">
        <f t="shared" si="23"/>
        <v>46206</v>
      </c>
      <c r="Z66" s="105">
        <f ca="1" t="shared" si="24"/>
        <v>-107</v>
      </c>
      <c r="AA66" s="70"/>
      <c r="AB66" s="70" t="s">
        <v>65</v>
      </c>
      <c r="AC66" s="97" t="s">
        <v>13</v>
      </c>
      <c r="AD66" s="80" t="s">
        <v>320</v>
      </c>
      <c r="AE66" s="130" t="s">
        <v>136</v>
      </c>
      <c r="AF66" s="131"/>
      <c r="AG66" s="132"/>
      <c r="AH66" s="79" t="s">
        <v>16</v>
      </c>
      <c r="AI66" s="113">
        <v>46201</v>
      </c>
      <c r="AJ66" s="70">
        <v>3</v>
      </c>
      <c r="AK66" s="97" t="s">
        <v>323</v>
      </c>
      <c r="AL66" s="104">
        <f t="shared" si="25"/>
        <v>46293</v>
      </c>
      <c r="AM66" s="105">
        <f ca="1" t="shared" si="26"/>
        <v>-20</v>
      </c>
      <c r="AN66" s="115"/>
      <c r="AO66" s="70" t="s">
        <v>61</v>
      </c>
      <c r="AP66" s="97" t="s">
        <v>13</v>
      </c>
      <c r="AQ66" s="80" t="s">
        <v>320</v>
      </c>
      <c r="AR66" s="130" t="s">
        <v>136</v>
      </c>
      <c r="AS66" s="131"/>
      <c r="AT66" s="132"/>
      <c r="AU66" s="79" t="s">
        <v>16</v>
      </c>
      <c r="AV66" s="125">
        <v>46289</v>
      </c>
      <c r="AW66" s="115">
        <v>3</v>
      </c>
      <c r="AX66" s="107" t="s">
        <v>324</v>
      </c>
      <c r="AY66" s="104">
        <f t="shared" si="21"/>
        <v>46380</v>
      </c>
      <c r="AZ66" s="105">
        <f ca="1" t="shared" si="22"/>
        <v>67</v>
      </c>
    </row>
    <row r="67" customHeight="1" spans="1:52">
      <c r="A67" s="70">
        <v>65</v>
      </c>
      <c r="B67" s="70" t="s">
        <v>61</v>
      </c>
      <c r="C67" s="97" t="s">
        <v>13</v>
      </c>
      <c r="D67" s="71" t="s">
        <v>325</v>
      </c>
      <c r="E67" s="130" t="s">
        <v>15</v>
      </c>
      <c r="F67" s="131"/>
      <c r="G67" s="132"/>
      <c r="H67" s="79" t="s">
        <v>16</v>
      </c>
      <c r="I67" s="102">
        <v>46028</v>
      </c>
      <c r="J67" s="70">
        <v>3</v>
      </c>
      <c r="K67" s="106" t="s">
        <v>326</v>
      </c>
      <c r="L67" s="104">
        <f t="shared" ref="L67:L130" si="27">EDATE(I67,J67)</f>
        <v>46118</v>
      </c>
      <c r="M67" s="105">
        <f ca="1" t="shared" ref="M67:M130" si="28">L67-TODAY()</f>
        <v>-195</v>
      </c>
      <c r="N67" s="70"/>
      <c r="O67" s="70" t="s">
        <v>61</v>
      </c>
      <c r="P67" s="97" t="s">
        <v>13</v>
      </c>
      <c r="Q67" s="71" t="s">
        <v>325</v>
      </c>
      <c r="R67" s="130" t="s">
        <v>15</v>
      </c>
      <c r="S67" s="131"/>
      <c r="T67" s="132"/>
      <c r="U67" s="79" t="s">
        <v>16</v>
      </c>
      <c r="V67" s="113">
        <v>46115</v>
      </c>
      <c r="W67" s="70">
        <v>3</v>
      </c>
      <c r="X67" s="97" t="s">
        <v>327</v>
      </c>
      <c r="Y67" s="104">
        <f t="shared" si="23"/>
        <v>46206</v>
      </c>
      <c r="Z67" s="105">
        <f ca="1" t="shared" si="24"/>
        <v>-107</v>
      </c>
      <c r="AA67" s="70"/>
      <c r="AB67" s="70" t="s">
        <v>61</v>
      </c>
      <c r="AC67" s="97" t="s">
        <v>13</v>
      </c>
      <c r="AD67" s="71" t="s">
        <v>325</v>
      </c>
      <c r="AE67" s="130" t="s">
        <v>15</v>
      </c>
      <c r="AF67" s="131"/>
      <c r="AG67" s="132"/>
      <c r="AH67" s="79" t="s">
        <v>16</v>
      </c>
      <c r="AI67" s="113">
        <v>46204</v>
      </c>
      <c r="AJ67" s="70">
        <v>3</v>
      </c>
      <c r="AK67" s="97" t="s">
        <v>328</v>
      </c>
      <c r="AL67" s="104">
        <f t="shared" si="25"/>
        <v>46296</v>
      </c>
      <c r="AM67" s="105">
        <f ca="1" t="shared" si="26"/>
        <v>-17</v>
      </c>
      <c r="AN67" s="115"/>
      <c r="AO67" s="70" t="s">
        <v>61</v>
      </c>
      <c r="AP67" s="97" t="s">
        <v>13</v>
      </c>
      <c r="AQ67" s="71" t="s">
        <v>325</v>
      </c>
      <c r="AR67" s="130" t="s">
        <v>15</v>
      </c>
      <c r="AS67" s="131"/>
      <c r="AT67" s="132"/>
      <c r="AU67" s="79" t="s">
        <v>16</v>
      </c>
      <c r="AV67" s="125">
        <v>46295</v>
      </c>
      <c r="AW67" s="115">
        <v>3</v>
      </c>
      <c r="AX67" s="107" t="s">
        <v>329</v>
      </c>
      <c r="AY67" s="104">
        <f t="shared" si="21"/>
        <v>46386</v>
      </c>
      <c r="AZ67" s="105">
        <f ca="1" t="shared" si="22"/>
        <v>73</v>
      </c>
    </row>
    <row r="68" customHeight="1" spans="1:52">
      <c r="A68" s="70">
        <v>66</v>
      </c>
      <c r="B68" s="70" t="s">
        <v>330</v>
      </c>
      <c r="C68" s="70" t="s">
        <v>38</v>
      </c>
      <c r="D68" s="71" t="s">
        <v>331</v>
      </c>
      <c r="E68" s="130" t="s">
        <v>332</v>
      </c>
      <c r="F68" s="131"/>
      <c r="G68" s="132"/>
      <c r="H68" s="75"/>
      <c r="I68" s="102">
        <v>46028</v>
      </c>
      <c r="J68" s="70">
        <v>3</v>
      </c>
      <c r="K68" s="106" t="s">
        <v>333</v>
      </c>
      <c r="L68" s="104">
        <f t="shared" si="27"/>
        <v>46118</v>
      </c>
      <c r="M68" s="105">
        <f ca="1" t="shared" si="28"/>
        <v>-195</v>
      </c>
      <c r="N68" s="70"/>
      <c r="O68" s="70"/>
      <c r="P68" s="70"/>
      <c r="Q68" s="71"/>
      <c r="R68" s="130"/>
      <c r="S68" s="131"/>
      <c r="T68" s="132"/>
      <c r="U68" s="79"/>
      <c r="V68" s="113"/>
      <c r="W68" s="70"/>
      <c r="X68" s="97"/>
      <c r="Y68" s="104">
        <f t="shared" si="23"/>
        <v>0</v>
      </c>
      <c r="Z68" s="105">
        <f ca="1" t="shared" si="24"/>
        <v>-46313</v>
      </c>
      <c r="AA68" s="70"/>
      <c r="AB68" s="70"/>
      <c r="AC68" s="70"/>
      <c r="AD68" s="71"/>
      <c r="AE68" s="130"/>
      <c r="AF68" s="131"/>
      <c r="AG68" s="132"/>
      <c r="AH68" s="79"/>
      <c r="AI68" s="113"/>
      <c r="AJ68" s="70"/>
      <c r="AK68" s="97"/>
      <c r="AL68" s="104">
        <f t="shared" si="25"/>
        <v>0</v>
      </c>
      <c r="AM68" s="105">
        <f ca="1" t="shared" si="26"/>
        <v>-46313</v>
      </c>
      <c r="AN68" s="115"/>
      <c r="AO68" s="115"/>
      <c r="AP68" s="115"/>
      <c r="AQ68" s="93"/>
      <c r="AR68" s="127"/>
      <c r="AS68" s="128"/>
      <c r="AT68" s="129"/>
      <c r="AU68" s="79"/>
      <c r="AV68" s="125"/>
      <c r="AW68" s="115"/>
      <c r="AX68" s="107"/>
      <c r="AY68" s="104">
        <f t="shared" si="21"/>
        <v>0</v>
      </c>
      <c r="AZ68" s="105">
        <f ca="1" t="shared" si="22"/>
        <v>-46313</v>
      </c>
    </row>
    <row r="69" customHeight="1" spans="1:52">
      <c r="A69" s="70">
        <v>67</v>
      </c>
      <c r="B69" s="70" t="s">
        <v>164</v>
      </c>
      <c r="C69" s="70" t="s">
        <v>13</v>
      </c>
      <c r="D69" s="71" t="s">
        <v>334</v>
      </c>
      <c r="E69" s="130" t="s">
        <v>76</v>
      </c>
      <c r="F69" s="131"/>
      <c r="G69" s="132"/>
      <c r="H69" s="75"/>
      <c r="I69" s="102">
        <v>46028</v>
      </c>
      <c r="J69" s="70">
        <v>3</v>
      </c>
      <c r="K69" s="106" t="s">
        <v>335</v>
      </c>
      <c r="L69" s="104">
        <f t="shared" si="27"/>
        <v>46118</v>
      </c>
      <c r="M69" s="105">
        <f ca="1" t="shared" si="28"/>
        <v>-195</v>
      </c>
      <c r="N69" s="70"/>
      <c r="O69" s="70" t="s">
        <v>164</v>
      </c>
      <c r="P69" s="70" t="s">
        <v>13</v>
      </c>
      <c r="Q69" s="71" t="s">
        <v>334</v>
      </c>
      <c r="R69" s="130" t="s">
        <v>76</v>
      </c>
      <c r="S69" s="131"/>
      <c r="T69" s="132"/>
      <c r="U69" s="75"/>
      <c r="V69" s="113">
        <v>46129</v>
      </c>
      <c r="W69" s="70">
        <v>3</v>
      </c>
      <c r="X69" s="97" t="s">
        <v>336</v>
      </c>
      <c r="Y69" s="104">
        <f t="shared" si="23"/>
        <v>46220</v>
      </c>
      <c r="Z69" s="105">
        <f ca="1" t="shared" si="24"/>
        <v>-93</v>
      </c>
      <c r="AA69" s="70"/>
      <c r="AB69" s="70" t="s">
        <v>164</v>
      </c>
      <c r="AC69" s="70" t="s">
        <v>13</v>
      </c>
      <c r="AD69" s="71" t="s">
        <v>334</v>
      </c>
      <c r="AE69" s="130" t="s">
        <v>76</v>
      </c>
      <c r="AF69" s="131"/>
      <c r="AG69" s="132"/>
      <c r="AH69" s="75"/>
      <c r="AI69" s="113">
        <v>46236</v>
      </c>
      <c r="AJ69" s="70">
        <v>3</v>
      </c>
      <c r="AK69" s="97" t="s">
        <v>337</v>
      </c>
      <c r="AL69" s="104">
        <f t="shared" si="25"/>
        <v>46328</v>
      </c>
      <c r="AM69" s="105">
        <f ca="1" t="shared" si="26"/>
        <v>15</v>
      </c>
      <c r="AN69" s="115"/>
      <c r="AO69" s="70"/>
      <c r="AP69" s="70"/>
      <c r="AQ69" s="71"/>
      <c r="AR69" s="130"/>
      <c r="AS69" s="131"/>
      <c r="AT69" s="132"/>
      <c r="AU69" s="79"/>
      <c r="AV69" s="125"/>
      <c r="AW69" s="115"/>
      <c r="AX69" s="107"/>
      <c r="AY69" s="104">
        <f t="shared" si="21"/>
        <v>0</v>
      </c>
      <c r="AZ69" s="105">
        <f ca="1" t="shared" si="22"/>
        <v>-46313</v>
      </c>
    </row>
    <row r="70" customHeight="1" spans="1:52">
      <c r="A70" s="70">
        <v>68</v>
      </c>
      <c r="B70" s="70" t="s">
        <v>12</v>
      </c>
      <c r="C70" s="70" t="s">
        <v>13</v>
      </c>
      <c r="D70" s="71" t="s">
        <v>338</v>
      </c>
      <c r="E70" s="130" t="s">
        <v>339</v>
      </c>
      <c r="F70" s="131"/>
      <c r="G70" s="132"/>
      <c r="H70" s="79" t="s">
        <v>16</v>
      </c>
      <c r="I70" s="102">
        <v>46028</v>
      </c>
      <c r="J70" s="70">
        <v>3</v>
      </c>
      <c r="K70" s="106" t="s">
        <v>340</v>
      </c>
      <c r="L70" s="104">
        <f t="shared" si="27"/>
        <v>46118</v>
      </c>
      <c r="M70" s="105">
        <f ca="1" t="shared" si="28"/>
        <v>-195</v>
      </c>
      <c r="N70" s="70"/>
      <c r="O70" s="70" t="s">
        <v>12</v>
      </c>
      <c r="P70" s="70" t="s">
        <v>13</v>
      </c>
      <c r="Q70" s="71" t="s">
        <v>338</v>
      </c>
      <c r="R70" s="130" t="s">
        <v>339</v>
      </c>
      <c r="S70" s="131"/>
      <c r="T70" s="132"/>
      <c r="U70" s="79" t="s">
        <v>16</v>
      </c>
      <c r="V70" s="113">
        <v>46134</v>
      </c>
      <c r="W70" s="70">
        <v>3</v>
      </c>
      <c r="X70" s="97" t="s">
        <v>341</v>
      </c>
      <c r="Y70" s="104">
        <f t="shared" si="23"/>
        <v>46225</v>
      </c>
      <c r="Z70" s="105">
        <f ca="1" t="shared" si="24"/>
        <v>-88</v>
      </c>
      <c r="AA70" s="70"/>
      <c r="AB70" s="70" t="s">
        <v>12</v>
      </c>
      <c r="AC70" s="70" t="s">
        <v>13</v>
      </c>
      <c r="AD70" s="71" t="s">
        <v>338</v>
      </c>
      <c r="AE70" s="130" t="s">
        <v>339</v>
      </c>
      <c r="AF70" s="131"/>
      <c r="AG70" s="132"/>
      <c r="AH70" s="79" t="s">
        <v>16</v>
      </c>
      <c r="AI70" s="113">
        <v>46238</v>
      </c>
      <c r="AJ70" s="70">
        <v>3</v>
      </c>
      <c r="AK70" s="97" t="s">
        <v>342</v>
      </c>
      <c r="AL70" s="104">
        <f t="shared" si="25"/>
        <v>46330</v>
      </c>
      <c r="AM70" s="105">
        <f ca="1" t="shared" si="26"/>
        <v>17</v>
      </c>
      <c r="AN70" s="115"/>
      <c r="AO70" s="70"/>
      <c r="AP70" s="70"/>
      <c r="AQ70" s="71"/>
      <c r="AR70" s="130"/>
      <c r="AS70" s="131"/>
      <c r="AT70" s="132"/>
      <c r="AU70" s="79"/>
      <c r="AV70" s="125"/>
      <c r="AW70" s="115"/>
      <c r="AX70" s="107"/>
      <c r="AY70" s="104">
        <f t="shared" si="21"/>
        <v>0</v>
      </c>
      <c r="AZ70" s="105">
        <f ca="1" t="shared" si="22"/>
        <v>-46313</v>
      </c>
    </row>
    <row r="71" customHeight="1" spans="1:52">
      <c r="A71" s="70">
        <v>69</v>
      </c>
      <c r="B71" s="70" t="s">
        <v>12</v>
      </c>
      <c r="C71" s="70" t="s">
        <v>13</v>
      </c>
      <c r="D71" s="80" t="s">
        <v>343</v>
      </c>
      <c r="E71" s="71" t="s">
        <v>34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344</v>
      </c>
      <c r="L71" s="104">
        <f t="shared" si="27"/>
        <v>46118</v>
      </c>
      <c r="M71" s="105">
        <f ca="1" t="shared" si="28"/>
        <v>-195</v>
      </c>
      <c r="N71" s="70"/>
      <c r="O71" s="70" t="s">
        <v>12</v>
      </c>
      <c r="P71" s="70" t="s">
        <v>13</v>
      </c>
      <c r="Q71" s="80" t="s">
        <v>343</v>
      </c>
      <c r="R71" s="71" t="s">
        <v>34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345</v>
      </c>
      <c r="Y71" s="104">
        <f t="shared" si="23"/>
        <v>46273</v>
      </c>
      <c r="Z71" s="105">
        <f ca="1" t="shared" si="24"/>
        <v>-40</v>
      </c>
      <c r="AA71" s="70"/>
      <c r="AB71" s="70" t="s">
        <v>12</v>
      </c>
      <c r="AC71" s="70" t="s">
        <v>13</v>
      </c>
      <c r="AD71" s="80" t="s">
        <v>343</v>
      </c>
      <c r="AE71" s="71" t="s">
        <v>34</v>
      </c>
      <c r="AF71" s="72"/>
      <c r="AG71" s="73"/>
      <c r="AH71" s="79" t="s">
        <v>16</v>
      </c>
      <c r="AI71" s="102">
        <v>46275</v>
      </c>
      <c r="AJ71" s="70">
        <v>3</v>
      </c>
      <c r="AK71" s="97" t="s">
        <v>346</v>
      </c>
      <c r="AL71" s="104">
        <f t="shared" si="25"/>
        <v>46366</v>
      </c>
      <c r="AM71" s="105">
        <f ca="1" t="shared" si="26"/>
        <v>53</v>
      </c>
      <c r="AN71" s="115"/>
      <c r="AO71" s="70"/>
      <c r="AP71" s="70"/>
      <c r="AQ71" s="80"/>
      <c r="AR71" s="71"/>
      <c r="AS71" s="72"/>
      <c r="AT71" s="73"/>
      <c r="AU71" s="79"/>
      <c r="AV71" s="117"/>
      <c r="AW71" s="115"/>
      <c r="AX71" s="107"/>
      <c r="AY71" s="104">
        <f t="shared" si="21"/>
        <v>0</v>
      </c>
      <c r="AZ71" s="105">
        <f ca="1" t="shared" si="22"/>
        <v>-46313</v>
      </c>
    </row>
    <row r="72" customHeight="1" spans="1:52">
      <c r="A72" s="70">
        <v>70</v>
      </c>
      <c r="B72" s="70" t="s">
        <v>12</v>
      </c>
      <c r="C72" s="70" t="s">
        <v>13</v>
      </c>
      <c r="D72" s="80" t="s">
        <v>347</v>
      </c>
      <c r="E72" s="130" t="s">
        <v>51</v>
      </c>
      <c r="F72" s="131"/>
      <c r="G72" s="132"/>
      <c r="H72" s="79" t="s">
        <v>16</v>
      </c>
      <c r="I72" s="102">
        <v>46028</v>
      </c>
      <c r="J72" s="70">
        <v>3</v>
      </c>
      <c r="K72" s="106" t="s">
        <v>348</v>
      </c>
      <c r="L72" s="104">
        <f t="shared" si="27"/>
        <v>46118</v>
      </c>
      <c r="M72" s="105">
        <f ca="1" t="shared" si="28"/>
        <v>-195</v>
      </c>
      <c r="N72" s="70"/>
      <c r="O72" s="70" t="s">
        <v>12</v>
      </c>
      <c r="P72" s="70" t="s">
        <v>13</v>
      </c>
      <c r="Q72" s="80" t="s">
        <v>347</v>
      </c>
      <c r="R72" s="130" t="s">
        <v>51</v>
      </c>
      <c r="S72" s="131"/>
      <c r="T72" s="132"/>
      <c r="U72" s="79" t="s">
        <v>16</v>
      </c>
      <c r="V72" s="113">
        <v>46122</v>
      </c>
      <c r="W72" s="70">
        <v>3</v>
      </c>
      <c r="X72" s="97" t="s">
        <v>349</v>
      </c>
      <c r="Y72" s="104">
        <f t="shared" si="23"/>
        <v>46213</v>
      </c>
      <c r="Z72" s="105">
        <f ca="1" t="shared" si="24"/>
        <v>-100</v>
      </c>
      <c r="AA72" s="70"/>
      <c r="AB72" s="70" t="s">
        <v>12</v>
      </c>
      <c r="AC72" s="70" t="s">
        <v>13</v>
      </c>
      <c r="AD72" s="80" t="s">
        <v>347</v>
      </c>
      <c r="AE72" s="130" t="s">
        <v>51</v>
      </c>
      <c r="AF72" s="131"/>
      <c r="AG72" s="132"/>
      <c r="AH72" s="79" t="s">
        <v>16</v>
      </c>
      <c r="AI72" s="113">
        <v>46222</v>
      </c>
      <c r="AJ72" s="70">
        <v>3</v>
      </c>
      <c r="AK72" s="97" t="s">
        <v>350</v>
      </c>
      <c r="AL72" s="104">
        <f t="shared" si="25"/>
        <v>46314</v>
      </c>
      <c r="AM72" s="105">
        <f ca="1" t="shared" si="26"/>
        <v>1</v>
      </c>
      <c r="AN72" s="115"/>
      <c r="AO72" s="70" t="s">
        <v>12</v>
      </c>
      <c r="AP72" s="70" t="s">
        <v>13</v>
      </c>
      <c r="AQ72" s="80" t="s">
        <v>347</v>
      </c>
      <c r="AR72" s="130" t="s">
        <v>51</v>
      </c>
      <c r="AS72" s="131"/>
      <c r="AT72" s="132"/>
      <c r="AU72" s="79" t="s">
        <v>16</v>
      </c>
      <c r="AV72" s="125">
        <v>46304</v>
      </c>
      <c r="AW72" s="115">
        <v>3</v>
      </c>
      <c r="AX72" s="107" t="s">
        <v>351</v>
      </c>
      <c r="AY72" s="104">
        <f t="shared" si="21"/>
        <v>46396</v>
      </c>
      <c r="AZ72" s="105">
        <f ca="1" t="shared" si="22"/>
        <v>83</v>
      </c>
    </row>
    <row r="73" customHeight="1" spans="1:52">
      <c r="A73" s="70">
        <v>71</v>
      </c>
      <c r="B73" s="70" t="s">
        <v>12</v>
      </c>
      <c r="C73" s="70" t="s">
        <v>38</v>
      </c>
      <c r="D73" s="80" t="s">
        <v>352</v>
      </c>
      <c r="E73" s="130" t="s">
        <v>28</v>
      </c>
      <c r="F73" s="131"/>
      <c r="G73" s="132"/>
      <c r="H73" s="79" t="s">
        <v>16</v>
      </c>
      <c r="I73" s="102">
        <v>46028</v>
      </c>
      <c r="J73" s="70">
        <v>3</v>
      </c>
      <c r="K73" s="106" t="s">
        <v>353</v>
      </c>
      <c r="L73" s="104">
        <f t="shared" si="27"/>
        <v>46118</v>
      </c>
      <c r="M73" s="105">
        <f ca="1" t="shared" si="28"/>
        <v>-195</v>
      </c>
      <c r="N73" s="70"/>
      <c r="O73" s="70" t="s">
        <v>12</v>
      </c>
      <c r="P73" s="70" t="s">
        <v>38</v>
      </c>
      <c r="Q73" s="80" t="s">
        <v>352</v>
      </c>
      <c r="R73" s="130" t="s">
        <v>28</v>
      </c>
      <c r="S73" s="131"/>
      <c r="T73" s="132"/>
      <c r="U73" s="79" t="s">
        <v>16</v>
      </c>
      <c r="V73" s="113">
        <v>46128</v>
      </c>
      <c r="W73" s="70">
        <v>3</v>
      </c>
      <c r="X73" s="97" t="s">
        <v>354</v>
      </c>
      <c r="Y73" s="104">
        <f t="shared" ref="Y67:Y83" si="29">EDATE(V73,W73)</f>
        <v>46219</v>
      </c>
      <c r="Z73" s="105">
        <f ca="1" t="shared" ref="Z67:Z83" si="30">Y73-TODAY()</f>
        <v>-94</v>
      </c>
      <c r="AA73" s="70"/>
      <c r="AB73" s="70" t="s">
        <v>355</v>
      </c>
      <c r="AC73" s="70" t="s">
        <v>38</v>
      </c>
      <c r="AD73" s="80" t="s">
        <v>352</v>
      </c>
      <c r="AE73" s="130" t="s">
        <v>28</v>
      </c>
      <c r="AF73" s="131"/>
      <c r="AG73" s="132"/>
      <c r="AH73" s="79" t="s">
        <v>16</v>
      </c>
      <c r="AI73" s="113">
        <v>46214</v>
      </c>
      <c r="AJ73" s="70">
        <v>3</v>
      </c>
      <c r="AK73" s="97" t="s">
        <v>356</v>
      </c>
      <c r="AL73" s="104">
        <f t="shared" si="25"/>
        <v>46306</v>
      </c>
      <c r="AM73" s="105">
        <f ca="1" t="shared" si="26"/>
        <v>-7</v>
      </c>
      <c r="AN73" s="115"/>
      <c r="AO73" s="70" t="s">
        <v>357</v>
      </c>
      <c r="AP73" s="70" t="s">
        <v>38</v>
      </c>
      <c r="AQ73" s="80" t="s">
        <v>352</v>
      </c>
      <c r="AR73" s="130" t="s">
        <v>28</v>
      </c>
      <c r="AS73" s="131"/>
      <c r="AT73" s="132"/>
      <c r="AU73" s="79" t="s">
        <v>16</v>
      </c>
      <c r="AV73" s="125">
        <v>46302</v>
      </c>
      <c r="AW73" s="115">
        <v>3</v>
      </c>
      <c r="AX73" s="107" t="s">
        <v>358</v>
      </c>
      <c r="AY73" s="104">
        <f t="shared" si="21"/>
        <v>46394</v>
      </c>
      <c r="AZ73" s="105">
        <f ca="1" t="shared" si="22"/>
        <v>81</v>
      </c>
    </row>
    <row r="74" customHeight="1" spans="1:52">
      <c r="A74" s="70">
        <v>72</v>
      </c>
      <c r="B74" s="70" t="s">
        <v>12</v>
      </c>
      <c r="C74" s="70" t="s">
        <v>13</v>
      </c>
      <c r="D74" s="80" t="s">
        <v>359</v>
      </c>
      <c r="E74" s="71" t="s">
        <v>45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360</v>
      </c>
      <c r="L74" s="104">
        <f t="shared" si="27"/>
        <v>46118</v>
      </c>
      <c r="M74" s="105">
        <f ca="1" t="shared" si="28"/>
        <v>-195</v>
      </c>
      <c r="N74" s="70"/>
      <c r="O74" s="70" t="s">
        <v>12</v>
      </c>
      <c r="P74" s="70" t="s">
        <v>13</v>
      </c>
      <c r="Q74" s="80" t="s">
        <v>359</v>
      </c>
      <c r="R74" s="71" t="s">
        <v>45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361</v>
      </c>
      <c r="Y74" s="104">
        <f t="shared" si="29"/>
        <v>46239</v>
      </c>
      <c r="Z74" s="105">
        <f ca="1" t="shared" si="30"/>
        <v>-74</v>
      </c>
      <c r="AA74" s="70"/>
      <c r="AB74" s="70" t="s">
        <v>12</v>
      </c>
      <c r="AC74" s="70" t="s">
        <v>13</v>
      </c>
      <c r="AD74" s="80" t="s">
        <v>359</v>
      </c>
      <c r="AE74" s="71" t="s">
        <v>45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362</v>
      </c>
      <c r="AL74" s="104">
        <f t="shared" si="25"/>
        <v>46333</v>
      </c>
      <c r="AM74" s="105">
        <f ca="1" t="shared" si="26"/>
        <v>20</v>
      </c>
      <c r="AN74" s="115"/>
      <c r="AO74" s="70"/>
      <c r="AP74" s="97"/>
      <c r="AQ74" s="80"/>
      <c r="AR74" s="71"/>
      <c r="AS74" s="72"/>
      <c r="AT74" s="73"/>
      <c r="AU74" s="114"/>
      <c r="AV74" s="119"/>
      <c r="AW74" s="115"/>
      <c r="AX74" s="107"/>
      <c r="AY74" s="104">
        <f t="shared" si="21"/>
        <v>0</v>
      </c>
      <c r="AZ74" s="105">
        <f ca="1" t="shared" si="22"/>
        <v>-46313</v>
      </c>
    </row>
    <row r="75" customHeight="1" spans="1:52">
      <c r="A75" s="70">
        <v>73</v>
      </c>
      <c r="B75" s="70" t="s">
        <v>281</v>
      </c>
      <c r="C75" s="70" t="s">
        <v>264</v>
      </c>
      <c r="D75" s="80" t="s">
        <v>363</v>
      </c>
      <c r="E75" s="71" t="s">
        <v>364</v>
      </c>
      <c r="F75" s="72"/>
      <c r="G75" s="73"/>
      <c r="H75" s="75"/>
      <c r="I75" s="102">
        <v>46028</v>
      </c>
      <c r="J75" s="70">
        <v>3</v>
      </c>
      <c r="K75" s="106" t="s">
        <v>365</v>
      </c>
      <c r="L75" s="104">
        <f t="shared" si="27"/>
        <v>46118</v>
      </c>
      <c r="M75" s="105">
        <f ca="1" t="shared" si="28"/>
        <v>-195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29"/>
        <v>0</v>
      </c>
      <c r="Z75" s="105">
        <f ca="1" t="shared" si="30"/>
        <v>-46313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25"/>
        <v>0</v>
      </c>
      <c r="AM75" s="105">
        <f ca="1" t="shared" si="26"/>
        <v>-46313</v>
      </c>
      <c r="AN75" s="115"/>
      <c r="AO75" s="115"/>
      <c r="AP75" s="107"/>
      <c r="AQ75" s="126"/>
      <c r="AR75" s="93"/>
      <c r="AS75" s="94"/>
      <c r="AT75" s="95"/>
      <c r="AU75" s="79"/>
      <c r="AV75" s="119"/>
      <c r="AW75" s="115"/>
      <c r="AX75" s="107"/>
      <c r="AY75" s="104"/>
      <c r="AZ75" s="105"/>
    </row>
    <row r="76" customHeight="1" spans="1:52">
      <c r="A76" s="70">
        <v>74</v>
      </c>
      <c r="B76" s="70" t="s">
        <v>366</v>
      </c>
      <c r="C76" s="70" t="s">
        <v>264</v>
      </c>
      <c r="D76" s="80" t="s">
        <v>367</v>
      </c>
      <c r="E76" s="71" t="s">
        <v>368</v>
      </c>
      <c r="F76" s="72"/>
      <c r="G76" s="73"/>
      <c r="H76" s="75"/>
      <c r="I76" s="102">
        <v>46028</v>
      </c>
      <c r="J76" s="70">
        <v>3</v>
      </c>
      <c r="K76" s="106" t="s">
        <v>369</v>
      </c>
      <c r="L76" s="104">
        <f t="shared" si="27"/>
        <v>46118</v>
      </c>
      <c r="M76" s="105">
        <f ca="1" t="shared" si="28"/>
        <v>-195</v>
      </c>
      <c r="N76" s="70"/>
      <c r="O76" s="70" t="s">
        <v>366</v>
      </c>
      <c r="P76" s="70" t="s">
        <v>264</v>
      </c>
      <c r="Q76" s="80" t="s">
        <v>367</v>
      </c>
      <c r="R76" s="71" t="s">
        <v>368</v>
      </c>
      <c r="S76" s="72"/>
      <c r="T76" s="73"/>
      <c r="U76" s="75"/>
      <c r="V76" s="110">
        <v>46127</v>
      </c>
      <c r="W76" s="70">
        <v>3</v>
      </c>
      <c r="X76" s="97" t="s">
        <v>370</v>
      </c>
      <c r="Y76" s="104">
        <f t="shared" si="29"/>
        <v>46218</v>
      </c>
      <c r="Z76" s="105">
        <f ca="1" t="shared" si="30"/>
        <v>-95</v>
      </c>
      <c r="AA76" s="70"/>
      <c r="AB76" s="70" t="s">
        <v>366</v>
      </c>
      <c r="AC76" s="70" t="s">
        <v>264</v>
      </c>
      <c r="AD76" s="80" t="s">
        <v>367</v>
      </c>
      <c r="AE76" s="71" t="s">
        <v>368</v>
      </c>
      <c r="AF76" s="72"/>
      <c r="AG76" s="73"/>
      <c r="AH76" s="75"/>
      <c r="AI76" s="110">
        <v>46208</v>
      </c>
      <c r="AJ76" s="70">
        <v>3</v>
      </c>
      <c r="AK76" s="97" t="s">
        <v>371</v>
      </c>
      <c r="AL76" s="104">
        <f t="shared" si="25"/>
        <v>46300</v>
      </c>
      <c r="AM76" s="105">
        <f ca="1" t="shared" si="26"/>
        <v>-13</v>
      </c>
      <c r="AN76" s="115"/>
      <c r="AO76" s="70" t="s">
        <v>366</v>
      </c>
      <c r="AP76" s="70" t="s">
        <v>264</v>
      </c>
      <c r="AQ76" s="80" t="s">
        <v>367</v>
      </c>
      <c r="AR76" s="71" t="s">
        <v>368</v>
      </c>
      <c r="AS76" s="72"/>
      <c r="AT76" s="73"/>
      <c r="AU76" s="75"/>
      <c r="AV76" s="119">
        <v>46295</v>
      </c>
      <c r="AW76" s="115">
        <v>3</v>
      </c>
      <c r="AX76" s="107" t="s">
        <v>372</v>
      </c>
      <c r="AY76" s="104">
        <f t="shared" ref="AY76:AY79" si="31">EDATE(AV76,AW76)</f>
        <v>46386</v>
      </c>
      <c r="AZ76" s="105">
        <f ca="1" t="shared" ref="AZ76:AZ79" si="32">AY76-TODAY()</f>
        <v>73</v>
      </c>
    </row>
    <row r="77" customHeight="1" spans="1:52">
      <c r="A77" s="70">
        <v>75</v>
      </c>
      <c r="B77" s="70" t="s">
        <v>373</v>
      </c>
      <c r="C77" s="70" t="s">
        <v>374</v>
      </c>
      <c r="D77" s="80" t="s">
        <v>375</v>
      </c>
      <c r="E77" s="71" t="s">
        <v>376</v>
      </c>
      <c r="F77" s="72"/>
      <c r="G77" s="73"/>
      <c r="H77" s="75"/>
      <c r="I77" s="102">
        <v>46028</v>
      </c>
      <c r="J77" s="70">
        <v>3</v>
      </c>
      <c r="K77" s="106" t="s">
        <v>377</v>
      </c>
      <c r="L77" s="104">
        <f t="shared" si="27"/>
        <v>46118</v>
      </c>
      <c r="M77" s="105">
        <f ca="1" t="shared" si="28"/>
        <v>-195</v>
      </c>
      <c r="N77" s="70"/>
      <c r="O77" s="70" t="s">
        <v>373</v>
      </c>
      <c r="P77" s="70" t="s">
        <v>374</v>
      </c>
      <c r="Q77" s="80" t="s">
        <v>375</v>
      </c>
      <c r="R77" s="71" t="s">
        <v>376</v>
      </c>
      <c r="S77" s="72"/>
      <c r="T77" s="73"/>
      <c r="U77" s="75"/>
      <c r="V77" s="110">
        <v>46128</v>
      </c>
      <c r="W77" s="70">
        <v>3</v>
      </c>
      <c r="X77" s="97" t="s">
        <v>378</v>
      </c>
      <c r="Y77" s="104">
        <f t="shared" si="29"/>
        <v>46219</v>
      </c>
      <c r="Z77" s="105">
        <f ca="1" t="shared" si="30"/>
        <v>-94</v>
      </c>
      <c r="AA77" s="70"/>
      <c r="AB77" s="70" t="s">
        <v>373</v>
      </c>
      <c r="AC77" s="70" t="s">
        <v>374</v>
      </c>
      <c r="AD77" s="80" t="s">
        <v>375</v>
      </c>
      <c r="AE77" s="71" t="s">
        <v>376</v>
      </c>
      <c r="AF77" s="72"/>
      <c r="AG77" s="73"/>
      <c r="AH77" s="75"/>
      <c r="AI77" s="110">
        <v>46213</v>
      </c>
      <c r="AJ77" s="70">
        <v>3</v>
      </c>
      <c r="AK77" s="97" t="s">
        <v>379</v>
      </c>
      <c r="AL77" s="104">
        <f t="shared" si="25"/>
        <v>46305</v>
      </c>
      <c r="AM77" s="105">
        <f ca="1" t="shared" si="26"/>
        <v>-8</v>
      </c>
      <c r="AN77" s="115"/>
      <c r="AO77" s="70" t="s">
        <v>373</v>
      </c>
      <c r="AP77" s="70" t="s">
        <v>374</v>
      </c>
      <c r="AQ77" s="80" t="s">
        <v>375</v>
      </c>
      <c r="AR77" s="71" t="s">
        <v>376</v>
      </c>
      <c r="AS77" s="72"/>
      <c r="AT77" s="73"/>
      <c r="AU77" s="75"/>
      <c r="AV77" s="119">
        <v>46305</v>
      </c>
      <c r="AW77" s="115">
        <v>3</v>
      </c>
      <c r="AX77" s="107"/>
      <c r="AY77" s="104">
        <f t="shared" si="31"/>
        <v>46397</v>
      </c>
      <c r="AZ77" s="105">
        <f ca="1" t="shared" si="32"/>
        <v>84</v>
      </c>
    </row>
    <row r="78" customHeight="1" spans="1:52">
      <c r="A78" s="70">
        <v>76</v>
      </c>
      <c r="B78" s="70" t="s">
        <v>373</v>
      </c>
      <c r="C78" s="70" t="s">
        <v>374</v>
      </c>
      <c r="D78" s="71" t="s">
        <v>380</v>
      </c>
      <c r="E78" s="71" t="s">
        <v>381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382</v>
      </c>
      <c r="L78" s="104">
        <f t="shared" si="27"/>
        <v>46118</v>
      </c>
      <c r="M78" s="105">
        <f ca="1" t="shared" si="28"/>
        <v>-195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29"/>
        <v>0</v>
      </c>
      <c r="Z78" s="105">
        <f ca="1" t="shared" si="30"/>
        <v>-46313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25"/>
        <v>0</v>
      </c>
      <c r="AM78" s="105">
        <f ca="1" t="shared" si="26"/>
        <v>-46313</v>
      </c>
      <c r="AN78" s="115"/>
      <c r="AO78" s="70"/>
      <c r="AP78" s="97"/>
      <c r="AQ78" s="71"/>
      <c r="AR78" s="71"/>
      <c r="AS78" s="72"/>
      <c r="AT78" s="73"/>
      <c r="AU78" s="79"/>
      <c r="AV78" s="119"/>
      <c r="AW78" s="115"/>
      <c r="AX78" s="107"/>
      <c r="AY78" s="104">
        <f t="shared" si="31"/>
        <v>0</v>
      </c>
      <c r="AZ78" s="105">
        <f ca="1" t="shared" si="32"/>
        <v>-46313</v>
      </c>
    </row>
    <row r="79" customHeight="1" spans="1:52">
      <c r="A79" s="70">
        <v>77</v>
      </c>
      <c r="B79" s="70" t="s">
        <v>373</v>
      </c>
      <c r="C79" s="70" t="s">
        <v>374</v>
      </c>
      <c r="D79" s="70" t="s">
        <v>383</v>
      </c>
      <c r="E79" s="71" t="s">
        <v>381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384</v>
      </c>
      <c r="L79" s="104">
        <f t="shared" si="27"/>
        <v>46118</v>
      </c>
      <c r="M79" s="105">
        <f ca="1" t="shared" si="28"/>
        <v>-195</v>
      </c>
      <c r="N79" s="70"/>
      <c r="O79" s="70" t="s">
        <v>373</v>
      </c>
      <c r="P79" s="70" t="s">
        <v>374</v>
      </c>
      <c r="Q79" s="70" t="s">
        <v>383</v>
      </c>
      <c r="R79" s="71" t="s">
        <v>381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385</v>
      </c>
      <c r="Y79" s="104">
        <f t="shared" si="29"/>
        <v>46219</v>
      </c>
      <c r="Z79" s="105">
        <f ca="1" t="shared" si="30"/>
        <v>-94</v>
      </c>
      <c r="AA79" s="70"/>
      <c r="AB79" s="70" t="s">
        <v>373</v>
      </c>
      <c r="AC79" s="70" t="s">
        <v>374</v>
      </c>
      <c r="AD79" s="70" t="s">
        <v>383</v>
      </c>
      <c r="AE79" s="71" t="s">
        <v>381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386</v>
      </c>
      <c r="AL79" s="104">
        <f t="shared" si="25"/>
        <v>46305</v>
      </c>
      <c r="AM79" s="105">
        <f ca="1" t="shared" si="26"/>
        <v>-8</v>
      </c>
      <c r="AN79" s="115"/>
      <c r="AO79" s="70" t="s">
        <v>373</v>
      </c>
      <c r="AP79" s="70" t="s">
        <v>374</v>
      </c>
      <c r="AQ79" s="70" t="s">
        <v>383</v>
      </c>
      <c r="AR79" s="71" t="s">
        <v>381</v>
      </c>
      <c r="AS79" s="72"/>
      <c r="AT79" s="73"/>
      <c r="AU79" s="74" t="s">
        <v>16</v>
      </c>
      <c r="AV79" s="119">
        <v>46306</v>
      </c>
      <c r="AW79" s="115">
        <v>3</v>
      </c>
      <c r="AX79" s="107"/>
      <c r="AY79" s="104">
        <f t="shared" si="31"/>
        <v>46398</v>
      </c>
      <c r="AZ79" s="105">
        <f ca="1" t="shared" si="32"/>
        <v>85</v>
      </c>
    </row>
    <row r="80" customHeight="1" spans="1:52">
      <c r="A80" s="70">
        <v>78</v>
      </c>
      <c r="B80" s="70" t="s">
        <v>229</v>
      </c>
      <c r="C80" s="97" t="s">
        <v>13</v>
      </c>
      <c r="D80" s="71" t="s">
        <v>387</v>
      </c>
      <c r="E80" s="71" t="s">
        <v>388</v>
      </c>
      <c r="F80" s="72"/>
      <c r="G80" s="73"/>
      <c r="H80" s="75"/>
      <c r="I80" s="102">
        <v>46028</v>
      </c>
      <c r="J80" s="70">
        <v>3</v>
      </c>
      <c r="K80" s="106" t="s">
        <v>389</v>
      </c>
      <c r="L80" s="104">
        <f t="shared" si="27"/>
        <v>46118</v>
      </c>
      <c r="M80" s="105">
        <f ca="1" t="shared" si="28"/>
        <v>-195</v>
      </c>
      <c r="N80" s="70"/>
      <c r="O80" s="70" t="s">
        <v>229</v>
      </c>
      <c r="P80" s="97" t="s">
        <v>13</v>
      </c>
      <c r="Q80" s="71" t="s">
        <v>387</v>
      </c>
      <c r="R80" s="71" t="s">
        <v>388</v>
      </c>
      <c r="S80" s="72"/>
      <c r="T80" s="73"/>
      <c r="U80" s="75"/>
      <c r="V80" s="110">
        <v>46134</v>
      </c>
      <c r="W80" s="70">
        <v>3</v>
      </c>
      <c r="X80" s="97" t="s">
        <v>390</v>
      </c>
      <c r="Y80" s="104">
        <f t="shared" si="29"/>
        <v>46225</v>
      </c>
      <c r="Z80" s="105">
        <f ca="1" t="shared" si="30"/>
        <v>-88</v>
      </c>
      <c r="AA80" s="70"/>
      <c r="AB80" s="70" t="s">
        <v>229</v>
      </c>
      <c r="AC80" s="97" t="s">
        <v>13</v>
      </c>
      <c r="AD80" s="71" t="s">
        <v>387</v>
      </c>
      <c r="AE80" s="71" t="s">
        <v>388</v>
      </c>
      <c r="AF80" s="72"/>
      <c r="AG80" s="73"/>
      <c r="AH80" s="75"/>
      <c r="AI80" s="110">
        <v>46230</v>
      </c>
      <c r="AJ80" s="70">
        <v>3</v>
      </c>
      <c r="AK80" s="97" t="s">
        <v>391</v>
      </c>
      <c r="AL80" s="104">
        <f t="shared" si="25"/>
        <v>46322</v>
      </c>
      <c r="AM80" s="105">
        <f ca="1" t="shared" si="26"/>
        <v>9</v>
      </c>
      <c r="AN80" s="115"/>
      <c r="AO80" s="70"/>
      <c r="AP80" s="70"/>
      <c r="AQ80" s="71"/>
      <c r="AR80" s="71"/>
      <c r="AS80" s="72"/>
      <c r="AT80" s="73"/>
      <c r="AU80" s="75"/>
      <c r="AV80" s="119"/>
      <c r="AW80" s="115"/>
      <c r="AX80" s="107"/>
      <c r="AY80" s="104">
        <f t="shared" ref="AY80:AY103" si="33">EDATE(AV80,AW80)</f>
        <v>0</v>
      </c>
      <c r="AZ80" s="105">
        <f ca="1" t="shared" ref="AZ80:AZ103" si="34">AY80-TODAY()</f>
        <v>-46313</v>
      </c>
    </row>
    <row r="81" customHeight="1" spans="1:52">
      <c r="A81" s="70">
        <v>79</v>
      </c>
      <c r="B81" s="70" t="s">
        <v>229</v>
      </c>
      <c r="C81" s="97" t="s">
        <v>13</v>
      </c>
      <c r="D81" s="70" t="s">
        <v>392</v>
      </c>
      <c r="E81" s="71" t="s">
        <v>393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394</v>
      </c>
      <c r="L81" s="104">
        <f t="shared" si="27"/>
        <v>46118</v>
      </c>
      <c r="M81" s="105">
        <f ca="1" t="shared" si="28"/>
        <v>-195</v>
      </c>
      <c r="N81" s="70"/>
      <c r="O81" s="70" t="s">
        <v>229</v>
      </c>
      <c r="P81" s="97" t="s">
        <v>13</v>
      </c>
      <c r="Q81" s="70" t="s">
        <v>392</v>
      </c>
      <c r="R81" s="71" t="s">
        <v>393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395</v>
      </c>
      <c r="Y81" s="104">
        <f t="shared" si="29"/>
        <v>46204</v>
      </c>
      <c r="Z81" s="105">
        <f ca="1" t="shared" si="30"/>
        <v>-109</v>
      </c>
      <c r="AA81" s="70"/>
      <c r="AB81" s="70" t="s">
        <v>229</v>
      </c>
      <c r="AC81" s="97" t="s">
        <v>13</v>
      </c>
      <c r="AD81" s="70" t="s">
        <v>392</v>
      </c>
      <c r="AE81" s="71" t="s">
        <v>393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396</v>
      </c>
      <c r="AL81" s="104">
        <f t="shared" si="25"/>
        <v>46292</v>
      </c>
      <c r="AM81" s="105">
        <f ca="1" t="shared" si="26"/>
        <v>-21</v>
      </c>
      <c r="AN81" s="115"/>
      <c r="AO81" s="70" t="s">
        <v>229</v>
      </c>
      <c r="AP81" s="97" t="s">
        <v>13</v>
      </c>
      <c r="AQ81" s="70" t="s">
        <v>392</v>
      </c>
      <c r="AR81" s="71" t="s">
        <v>393</v>
      </c>
      <c r="AS81" s="72"/>
      <c r="AT81" s="73"/>
      <c r="AU81" s="79" t="s">
        <v>16</v>
      </c>
      <c r="AV81" s="119">
        <v>46284</v>
      </c>
      <c r="AW81" s="115">
        <v>3</v>
      </c>
      <c r="AX81" s="107" t="s">
        <v>397</v>
      </c>
      <c r="AY81" s="104">
        <f t="shared" si="33"/>
        <v>46375</v>
      </c>
      <c r="AZ81" s="105">
        <f ca="1" t="shared" si="34"/>
        <v>62</v>
      </c>
    </row>
    <row r="82" customHeight="1" spans="1:52">
      <c r="A82" s="70">
        <v>80</v>
      </c>
      <c r="B82" s="70" t="s">
        <v>229</v>
      </c>
      <c r="C82" s="97" t="s">
        <v>13</v>
      </c>
      <c r="D82" s="133" t="s">
        <v>398</v>
      </c>
      <c r="E82" s="133" t="s">
        <v>126</v>
      </c>
      <c r="F82" s="134"/>
      <c r="G82" s="135"/>
      <c r="H82" s="136"/>
      <c r="I82" s="102">
        <v>46028</v>
      </c>
      <c r="J82" s="70">
        <v>3</v>
      </c>
      <c r="K82" s="106" t="s">
        <v>399</v>
      </c>
      <c r="L82" s="104">
        <f t="shared" si="27"/>
        <v>46118</v>
      </c>
      <c r="M82" s="105">
        <f ca="1" t="shared" si="28"/>
        <v>-195</v>
      </c>
      <c r="N82" s="70"/>
      <c r="O82" s="70" t="s">
        <v>229</v>
      </c>
      <c r="P82" s="97" t="s">
        <v>13</v>
      </c>
      <c r="Q82" s="133" t="s">
        <v>398</v>
      </c>
      <c r="R82" s="133" t="s">
        <v>126</v>
      </c>
      <c r="S82" s="134"/>
      <c r="T82" s="135"/>
      <c r="U82" s="136"/>
      <c r="V82" s="110">
        <v>46135</v>
      </c>
      <c r="W82" s="70">
        <v>3</v>
      </c>
      <c r="X82" s="97" t="s">
        <v>400</v>
      </c>
      <c r="Y82" s="104">
        <f t="shared" si="29"/>
        <v>46226</v>
      </c>
      <c r="Z82" s="105">
        <f ca="1" t="shared" si="30"/>
        <v>-87</v>
      </c>
      <c r="AA82" s="70"/>
      <c r="AB82" s="70" t="s">
        <v>229</v>
      </c>
      <c r="AC82" s="97" t="s">
        <v>13</v>
      </c>
      <c r="AD82" s="133" t="s">
        <v>398</v>
      </c>
      <c r="AE82" s="133" t="s">
        <v>126</v>
      </c>
      <c r="AF82" s="134"/>
      <c r="AG82" s="135"/>
      <c r="AH82" s="136"/>
      <c r="AI82" s="110">
        <v>46247</v>
      </c>
      <c r="AJ82" s="70">
        <v>3</v>
      </c>
      <c r="AK82" s="97" t="s">
        <v>401</v>
      </c>
      <c r="AL82" s="104">
        <f t="shared" si="25"/>
        <v>46339</v>
      </c>
      <c r="AM82" s="105">
        <f ca="1" t="shared" si="26"/>
        <v>26</v>
      </c>
      <c r="AN82" s="115"/>
      <c r="AO82" s="70"/>
      <c r="AP82" s="70"/>
      <c r="AQ82" s="133"/>
      <c r="AR82" s="133"/>
      <c r="AS82" s="134"/>
      <c r="AT82" s="135"/>
      <c r="AU82" s="136"/>
      <c r="AV82" s="119"/>
      <c r="AW82" s="115"/>
      <c r="AX82" s="107"/>
      <c r="AY82" s="104">
        <f t="shared" si="33"/>
        <v>0</v>
      </c>
      <c r="AZ82" s="105">
        <f ca="1" t="shared" si="34"/>
        <v>-46313</v>
      </c>
    </row>
    <row r="83" customHeight="1" spans="1:52">
      <c r="A83" s="70">
        <v>81</v>
      </c>
      <c r="B83" s="70" t="s">
        <v>229</v>
      </c>
      <c r="C83" s="97" t="s">
        <v>13</v>
      </c>
      <c r="D83" s="71" t="s">
        <v>402</v>
      </c>
      <c r="E83" s="105" t="s">
        <v>136</v>
      </c>
      <c r="F83" s="105"/>
      <c r="G83" s="105"/>
      <c r="H83" s="136"/>
      <c r="I83" s="102">
        <v>46028</v>
      </c>
      <c r="J83" s="70">
        <v>3</v>
      </c>
      <c r="K83" s="106" t="s">
        <v>403</v>
      </c>
      <c r="L83" s="104">
        <f t="shared" si="27"/>
        <v>46118</v>
      </c>
      <c r="M83" s="105">
        <f ca="1" t="shared" si="28"/>
        <v>-195</v>
      </c>
      <c r="N83" s="70"/>
      <c r="O83" s="70" t="s">
        <v>229</v>
      </c>
      <c r="P83" s="97" t="s">
        <v>13</v>
      </c>
      <c r="Q83" s="71" t="s">
        <v>402</v>
      </c>
      <c r="R83" s="105" t="s">
        <v>136</v>
      </c>
      <c r="S83" s="105"/>
      <c r="T83" s="105"/>
      <c r="U83" s="136"/>
      <c r="V83" s="110">
        <v>46127</v>
      </c>
      <c r="W83" s="70">
        <v>3</v>
      </c>
      <c r="X83" s="97" t="s">
        <v>404</v>
      </c>
      <c r="Y83" s="104">
        <f t="shared" si="29"/>
        <v>46218</v>
      </c>
      <c r="Z83" s="105">
        <f ca="1" t="shared" si="30"/>
        <v>-95</v>
      </c>
      <c r="AA83" s="70"/>
      <c r="AB83" s="70" t="s">
        <v>229</v>
      </c>
      <c r="AC83" s="97" t="s">
        <v>13</v>
      </c>
      <c r="AD83" s="71" t="s">
        <v>402</v>
      </c>
      <c r="AE83" s="105" t="s">
        <v>136</v>
      </c>
      <c r="AF83" s="105"/>
      <c r="AG83" s="105"/>
      <c r="AH83" s="136"/>
      <c r="AI83" s="110">
        <v>46211</v>
      </c>
      <c r="AJ83" s="70">
        <v>3</v>
      </c>
      <c r="AK83" s="97" t="s">
        <v>405</v>
      </c>
      <c r="AL83" s="104">
        <f t="shared" si="25"/>
        <v>46303</v>
      </c>
      <c r="AM83" s="105">
        <f ca="1" t="shared" si="26"/>
        <v>-10</v>
      </c>
      <c r="AN83" s="115"/>
      <c r="AO83" s="70"/>
      <c r="AP83" s="71"/>
      <c r="AQ83" s="71"/>
      <c r="AR83" s="105"/>
      <c r="AS83" s="105"/>
      <c r="AT83" s="105"/>
      <c r="AU83" s="136"/>
      <c r="AV83" s="119"/>
      <c r="AW83" s="115"/>
      <c r="AX83" s="107"/>
      <c r="AY83" s="104">
        <f t="shared" si="33"/>
        <v>0</v>
      </c>
      <c r="AZ83" s="105">
        <f ca="1" t="shared" si="34"/>
        <v>-46313</v>
      </c>
    </row>
    <row r="84" customHeight="1" spans="1:52">
      <c r="A84" s="70">
        <v>82</v>
      </c>
      <c r="B84" s="70" t="s">
        <v>229</v>
      </c>
      <c r="C84" s="97" t="s">
        <v>13</v>
      </c>
      <c r="D84" s="105" t="s">
        <v>406</v>
      </c>
      <c r="E84" s="105" t="s">
        <v>126</v>
      </c>
      <c r="F84" s="105"/>
      <c r="G84" s="105"/>
      <c r="H84" s="136"/>
      <c r="I84" s="102">
        <v>46028</v>
      </c>
      <c r="J84" s="70">
        <v>3</v>
      </c>
      <c r="K84" s="106" t="s">
        <v>407</v>
      </c>
      <c r="L84" s="104">
        <f t="shared" si="27"/>
        <v>46118</v>
      </c>
      <c r="M84" s="105">
        <f ca="1" t="shared" si="28"/>
        <v>-195</v>
      </c>
      <c r="N84" s="70"/>
      <c r="O84" s="70"/>
      <c r="P84" s="70"/>
      <c r="Q84" s="105"/>
      <c r="R84" s="105"/>
      <c r="S84" s="105"/>
      <c r="T84" s="105"/>
      <c r="U84" s="142"/>
      <c r="V84" s="110"/>
      <c r="W84" s="70"/>
      <c r="X84" s="97"/>
      <c r="Y84" s="104">
        <f t="shared" ref="Y82:Y111" si="35">EDATE(V84,W84)</f>
        <v>0</v>
      </c>
      <c r="Z84" s="105">
        <f ca="1" t="shared" ref="Z82:Z111" si="36">Y84-TODAY()</f>
        <v>-46313</v>
      </c>
      <c r="AA84" s="70"/>
      <c r="AB84" s="70"/>
      <c r="AC84" s="70"/>
      <c r="AD84" s="105"/>
      <c r="AE84" s="105"/>
      <c r="AF84" s="105"/>
      <c r="AG84" s="105"/>
      <c r="AH84" s="142"/>
      <c r="AI84" s="110"/>
      <c r="AJ84" s="70"/>
      <c r="AK84" s="97"/>
      <c r="AL84" s="104">
        <f t="shared" si="25"/>
        <v>0</v>
      </c>
      <c r="AM84" s="105">
        <f ca="1" t="shared" si="26"/>
        <v>-46313</v>
      </c>
      <c r="AN84" s="115"/>
      <c r="AO84" s="70"/>
      <c r="AP84" s="71"/>
      <c r="AQ84" s="105"/>
      <c r="AR84" s="105"/>
      <c r="AS84" s="105"/>
      <c r="AT84" s="105"/>
      <c r="AU84" s="136"/>
      <c r="AV84" s="119"/>
      <c r="AW84" s="115"/>
      <c r="AX84" s="107"/>
      <c r="AY84" s="104">
        <f t="shared" si="33"/>
        <v>0</v>
      </c>
      <c r="AZ84" s="105">
        <f ca="1" t="shared" si="34"/>
        <v>-46313</v>
      </c>
    </row>
    <row r="85" customHeight="1" spans="1:52">
      <c r="A85" s="70">
        <v>83</v>
      </c>
      <c r="B85" s="70" t="s">
        <v>229</v>
      </c>
      <c r="C85" s="97" t="s">
        <v>13</v>
      </c>
      <c r="D85" s="105" t="s">
        <v>408</v>
      </c>
      <c r="E85" s="105" t="s">
        <v>126</v>
      </c>
      <c r="F85" s="105"/>
      <c r="G85" s="105"/>
      <c r="H85" s="136"/>
      <c r="I85" s="102">
        <v>46028</v>
      </c>
      <c r="J85" s="70">
        <v>3</v>
      </c>
      <c r="K85" s="106" t="s">
        <v>409</v>
      </c>
      <c r="L85" s="104">
        <f t="shared" si="27"/>
        <v>46118</v>
      </c>
      <c r="M85" s="105">
        <f ca="1" t="shared" si="28"/>
        <v>-195</v>
      </c>
      <c r="N85" s="70"/>
      <c r="O85" s="70" t="s">
        <v>229</v>
      </c>
      <c r="P85" s="97" t="s">
        <v>13</v>
      </c>
      <c r="Q85" s="105" t="s">
        <v>408</v>
      </c>
      <c r="R85" s="105" t="s">
        <v>126</v>
      </c>
      <c r="S85" s="105"/>
      <c r="T85" s="105"/>
      <c r="U85" s="136"/>
      <c r="V85" s="110">
        <v>46113</v>
      </c>
      <c r="W85" s="70">
        <v>3</v>
      </c>
      <c r="X85" s="97" t="s">
        <v>410</v>
      </c>
      <c r="Y85" s="104">
        <f t="shared" si="35"/>
        <v>46204</v>
      </c>
      <c r="Z85" s="105">
        <f ca="1" t="shared" si="36"/>
        <v>-109</v>
      </c>
      <c r="AA85" s="70"/>
      <c r="AB85" s="70" t="s">
        <v>229</v>
      </c>
      <c r="AC85" s="97" t="s">
        <v>13</v>
      </c>
      <c r="AD85" s="105" t="s">
        <v>408</v>
      </c>
      <c r="AE85" s="105" t="s">
        <v>126</v>
      </c>
      <c r="AF85" s="105"/>
      <c r="AG85" s="105"/>
      <c r="AH85" s="136"/>
      <c r="AI85" s="110">
        <v>46208</v>
      </c>
      <c r="AJ85" s="70">
        <v>3</v>
      </c>
      <c r="AK85" s="97" t="s">
        <v>411</v>
      </c>
      <c r="AL85" s="104">
        <f t="shared" si="25"/>
        <v>46300</v>
      </c>
      <c r="AM85" s="105">
        <f ca="1" t="shared" si="26"/>
        <v>-13</v>
      </c>
      <c r="AN85" s="115"/>
      <c r="AO85" s="70" t="s">
        <v>229</v>
      </c>
      <c r="AP85" s="97" t="s">
        <v>13</v>
      </c>
      <c r="AQ85" s="105" t="s">
        <v>408</v>
      </c>
      <c r="AR85" s="105" t="s">
        <v>126</v>
      </c>
      <c r="AS85" s="105"/>
      <c r="AT85" s="105"/>
      <c r="AU85" s="136"/>
      <c r="AV85" s="119">
        <v>46299</v>
      </c>
      <c r="AW85" s="115">
        <v>3</v>
      </c>
      <c r="AX85" s="107" t="s">
        <v>412</v>
      </c>
      <c r="AY85" s="104">
        <f t="shared" si="33"/>
        <v>46391</v>
      </c>
      <c r="AZ85" s="105">
        <f ca="1" t="shared" si="34"/>
        <v>78</v>
      </c>
    </row>
    <row r="86" customHeight="1" spans="1:52">
      <c r="A86" s="70">
        <v>84</v>
      </c>
      <c r="B86" s="70" t="s">
        <v>229</v>
      </c>
      <c r="C86" s="97" t="s">
        <v>38</v>
      </c>
      <c r="D86" s="105" t="s">
        <v>413</v>
      </c>
      <c r="E86" s="105" t="s">
        <v>145</v>
      </c>
      <c r="F86" s="105"/>
      <c r="G86" s="105"/>
      <c r="H86" s="136"/>
      <c r="I86" s="102">
        <v>46028</v>
      </c>
      <c r="J86" s="70">
        <v>3</v>
      </c>
      <c r="K86" s="106" t="s">
        <v>414</v>
      </c>
      <c r="L86" s="104">
        <f t="shared" si="27"/>
        <v>46118</v>
      </c>
      <c r="M86" s="105">
        <f ca="1" t="shared" si="28"/>
        <v>-195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35"/>
        <v>0</v>
      </c>
      <c r="Z86" s="105">
        <f ca="1" t="shared" si="36"/>
        <v>-46313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37">EDATE(AI86,AJ86)</f>
        <v>0</v>
      </c>
      <c r="AM86" s="105">
        <f ca="1" t="shared" ref="AM80:AM116" si="38">AL86-TODAY()</f>
        <v>-46313</v>
      </c>
      <c r="AN86" s="115"/>
      <c r="AO86" s="70"/>
      <c r="AP86" s="70"/>
      <c r="AQ86" s="105"/>
      <c r="AR86" s="105"/>
      <c r="AS86" s="105"/>
      <c r="AT86" s="105"/>
      <c r="AU86" s="142"/>
      <c r="AV86" s="121"/>
      <c r="AW86" s="115"/>
      <c r="AX86" s="107"/>
      <c r="AY86" s="104">
        <f t="shared" si="33"/>
        <v>0</v>
      </c>
      <c r="AZ86" s="105">
        <f ca="1" t="shared" si="34"/>
        <v>-46313</v>
      </c>
    </row>
    <row r="87" customHeight="1" spans="1:52">
      <c r="A87" s="70">
        <v>85</v>
      </c>
      <c r="B87" s="70" t="s">
        <v>229</v>
      </c>
      <c r="C87" s="97" t="s">
        <v>13</v>
      </c>
      <c r="D87" s="105" t="s">
        <v>415</v>
      </c>
      <c r="E87" s="105" t="s">
        <v>416</v>
      </c>
      <c r="F87" s="105"/>
      <c r="G87" s="105"/>
      <c r="H87" s="136"/>
      <c r="I87" s="102">
        <v>46028</v>
      </c>
      <c r="J87" s="70">
        <v>3</v>
      </c>
      <c r="K87" s="106" t="s">
        <v>417</v>
      </c>
      <c r="L87" s="104">
        <f t="shared" si="27"/>
        <v>46118</v>
      </c>
      <c r="M87" s="105">
        <f ca="1" t="shared" si="28"/>
        <v>-195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35"/>
        <v>0</v>
      </c>
      <c r="Z87" s="105">
        <f ca="1" t="shared" si="36"/>
        <v>-46313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37"/>
        <v>0</v>
      </c>
      <c r="AM87" s="105">
        <f ca="1" t="shared" si="38"/>
        <v>-46313</v>
      </c>
      <c r="AN87" s="115"/>
      <c r="AO87" s="70"/>
      <c r="AP87" s="70"/>
      <c r="AQ87" s="105"/>
      <c r="AR87" s="105"/>
      <c r="AS87" s="105"/>
      <c r="AT87" s="105"/>
      <c r="AU87" s="86"/>
      <c r="AV87" s="121"/>
      <c r="AW87" s="115"/>
      <c r="AX87" s="107"/>
      <c r="AY87" s="104">
        <f t="shared" si="33"/>
        <v>0</v>
      </c>
      <c r="AZ87" s="105">
        <f ca="1" t="shared" si="34"/>
        <v>-46313</v>
      </c>
    </row>
    <row r="88" customHeight="1" spans="1:52">
      <c r="A88" s="70">
        <v>86</v>
      </c>
      <c r="B88" s="70" t="s">
        <v>229</v>
      </c>
      <c r="C88" s="97" t="s">
        <v>13</v>
      </c>
      <c r="D88" s="71" t="s">
        <v>418</v>
      </c>
      <c r="E88" s="105" t="s">
        <v>393</v>
      </c>
      <c r="F88" s="105"/>
      <c r="G88" s="105"/>
      <c r="H88" s="136"/>
      <c r="I88" s="102">
        <v>46028</v>
      </c>
      <c r="J88" s="70">
        <v>3</v>
      </c>
      <c r="K88" s="106" t="s">
        <v>419</v>
      </c>
      <c r="L88" s="104">
        <f t="shared" si="27"/>
        <v>46118</v>
      </c>
      <c r="M88" s="105">
        <f ca="1" t="shared" si="28"/>
        <v>-195</v>
      </c>
      <c r="N88" s="70"/>
      <c r="O88" s="70" t="s">
        <v>229</v>
      </c>
      <c r="P88" s="97" t="s">
        <v>13</v>
      </c>
      <c r="Q88" s="71" t="s">
        <v>418</v>
      </c>
      <c r="R88" s="105" t="s">
        <v>393</v>
      </c>
      <c r="S88" s="105"/>
      <c r="T88" s="105"/>
      <c r="U88" s="136"/>
      <c r="V88" s="143">
        <v>46279</v>
      </c>
      <c r="W88" s="70">
        <v>3</v>
      </c>
      <c r="X88" s="144" t="s">
        <v>420</v>
      </c>
      <c r="Y88" s="104">
        <f t="shared" si="35"/>
        <v>46370</v>
      </c>
      <c r="Z88" s="105">
        <f ca="1" t="shared" si="36"/>
        <v>57</v>
      </c>
      <c r="AA88" s="70"/>
      <c r="AB88" s="70"/>
      <c r="AC88" s="70"/>
      <c r="AD88" s="71"/>
      <c r="AE88" s="105"/>
      <c r="AF88" s="105"/>
      <c r="AG88" s="105"/>
      <c r="AH88" s="86"/>
      <c r="AI88" s="143"/>
      <c r="AJ88" s="70"/>
      <c r="AK88" s="97"/>
      <c r="AL88" s="104">
        <f t="shared" si="37"/>
        <v>0</v>
      </c>
      <c r="AM88" s="105">
        <f ca="1" t="shared" si="38"/>
        <v>-46313</v>
      </c>
      <c r="AN88" s="115"/>
      <c r="AO88" s="70"/>
      <c r="AP88" s="70"/>
      <c r="AQ88" s="71"/>
      <c r="AR88" s="105"/>
      <c r="AS88" s="105"/>
      <c r="AT88" s="105"/>
      <c r="AU88" s="86"/>
      <c r="AV88" s="149"/>
      <c r="AW88" s="115"/>
      <c r="AX88" s="153"/>
      <c r="AY88" s="104">
        <f t="shared" si="33"/>
        <v>0</v>
      </c>
      <c r="AZ88" s="105">
        <f ca="1" t="shared" si="34"/>
        <v>-46313</v>
      </c>
    </row>
    <row r="89" customHeight="1" spans="1:52">
      <c r="A89" s="70">
        <v>87</v>
      </c>
      <c r="B89" s="70" t="s">
        <v>229</v>
      </c>
      <c r="C89" s="97" t="s">
        <v>38</v>
      </c>
      <c r="D89" s="71" t="s">
        <v>421</v>
      </c>
      <c r="E89" s="105" t="s">
        <v>40</v>
      </c>
      <c r="F89" s="105"/>
      <c r="G89" s="105"/>
      <c r="H89" s="96"/>
      <c r="I89" s="102">
        <v>46028</v>
      </c>
      <c r="J89" s="70">
        <v>3</v>
      </c>
      <c r="K89" s="106" t="s">
        <v>422</v>
      </c>
      <c r="L89" s="104">
        <f t="shared" si="27"/>
        <v>46118</v>
      </c>
      <c r="M89" s="105">
        <f ca="1" t="shared" si="28"/>
        <v>-195</v>
      </c>
      <c r="N89" s="70"/>
      <c r="O89" s="70"/>
      <c r="P89" s="71"/>
      <c r="Q89" s="71"/>
      <c r="R89" s="105"/>
      <c r="S89" s="105"/>
      <c r="T89" s="105"/>
      <c r="U89" s="86"/>
      <c r="V89" s="145"/>
      <c r="W89" s="70"/>
      <c r="X89" s="144"/>
      <c r="Y89" s="104">
        <f t="shared" si="35"/>
        <v>0</v>
      </c>
      <c r="Z89" s="105">
        <f ca="1" t="shared" si="36"/>
        <v>-46313</v>
      </c>
      <c r="AA89" s="70"/>
      <c r="AB89" s="70"/>
      <c r="AC89" s="71"/>
      <c r="AD89" s="71"/>
      <c r="AE89" s="105"/>
      <c r="AF89" s="105"/>
      <c r="AG89" s="105"/>
      <c r="AH89" s="112"/>
      <c r="AI89" s="145"/>
      <c r="AJ89" s="70"/>
      <c r="AK89" s="97"/>
      <c r="AL89" s="104">
        <f t="shared" si="37"/>
        <v>0</v>
      </c>
      <c r="AM89" s="105">
        <f ca="1" t="shared" si="38"/>
        <v>-46313</v>
      </c>
      <c r="AN89" s="115"/>
      <c r="AO89" s="70"/>
      <c r="AP89" s="71"/>
      <c r="AQ89" s="71"/>
      <c r="AR89" s="105"/>
      <c r="AS89" s="105"/>
      <c r="AT89" s="105"/>
      <c r="AU89" s="112"/>
      <c r="AV89" s="150"/>
      <c r="AW89" s="115"/>
      <c r="AX89" s="153"/>
      <c r="AY89" s="104">
        <f t="shared" si="33"/>
        <v>0</v>
      </c>
      <c r="AZ89" s="105">
        <f ca="1" t="shared" si="34"/>
        <v>-46313</v>
      </c>
    </row>
    <row r="90" customHeight="1" spans="1:52">
      <c r="A90" s="70">
        <v>88</v>
      </c>
      <c r="B90" s="70" t="s">
        <v>229</v>
      </c>
      <c r="C90" s="97" t="s">
        <v>13</v>
      </c>
      <c r="D90" s="137" t="s">
        <v>423</v>
      </c>
      <c r="E90" s="105" t="s">
        <v>424</v>
      </c>
      <c r="F90" s="105"/>
      <c r="G90" s="105"/>
      <c r="H90" s="138" t="s">
        <v>16</v>
      </c>
      <c r="I90" s="102">
        <v>46028</v>
      </c>
      <c r="J90" s="70">
        <v>3</v>
      </c>
      <c r="K90" s="106" t="s">
        <v>425</v>
      </c>
      <c r="L90" s="104">
        <f t="shared" si="27"/>
        <v>46118</v>
      </c>
      <c r="M90" s="105">
        <f ca="1" t="shared" si="28"/>
        <v>-195</v>
      </c>
      <c r="N90" s="70"/>
      <c r="O90" s="70" t="s">
        <v>229</v>
      </c>
      <c r="P90" s="97" t="s">
        <v>13</v>
      </c>
      <c r="Q90" s="137" t="s">
        <v>423</v>
      </c>
      <c r="R90" s="105" t="s">
        <v>424</v>
      </c>
      <c r="S90" s="105"/>
      <c r="T90" s="105"/>
      <c r="U90" s="138" t="s">
        <v>16</v>
      </c>
      <c r="V90" s="143">
        <v>46128</v>
      </c>
      <c r="W90" s="70">
        <v>3</v>
      </c>
      <c r="X90" s="144" t="s">
        <v>426</v>
      </c>
      <c r="Y90" s="104">
        <f t="shared" si="35"/>
        <v>46219</v>
      </c>
      <c r="Z90" s="105">
        <f ca="1" t="shared" si="36"/>
        <v>-94</v>
      </c>
      <c r="AA90" s="70"/>
      <c r="AB90" s="70" t="s">
        <v>229</v>
      </c>
      <c r="AC90" s="97" t="s">
        <v>13</v>
      </c>
      <c r="AD90" s="137" t="s">
        <v>423</v>
      </c>
      <c r="AE90" s="105" t="s">
        <v>424</v>
      </c>
      <c r="AF90" s="105"/>
      <c r="AG90" s="105"/>
      <c r="AH90" s="138" t="s">
        <v>16</v>
      </c>
      <c r="AI90" s="143">
        <v>46212</v>
      </c>
      <c r="AJ90" s="70">
        <v>3</v>
      </c>
      <c r="AK90" s="144" t="s">
        <v>427</v>
      </c>
      <c r="AL90" s="104">
        <f t="shared" si="37"/>
        <v>46304</v>
      </c>
      <c r="AM90" s="105">
        <f ca="1" t="shared" si="38"/>
        <v>-9</v>
      </c>
      <c r="AN90" s="115"/>
      <c r="AO90" s="70" t="s">
        <v>229</v>
      </c>
      <c r="AP90" s="97" t="s">
        <v>13</v>
      </c>
      <c r="AQ90" s="137" t="s">
        <v>423</v>
      </c>
      <c r="AR90" s="105" t="s">
        <v>424</v>
      </c>
      <c r="AS90" s="105"/>
      <c r="AT90" s="105"/>
      <c r="AU90" s="138" t="s">
        <v>16</v>
      </c>
      <c r="AV90" s="149">
        <v>46309</v>
      </c>
      <c r="AW90" s="115">
        <v>3</v>
      </c>
      <c r="AX90" s="153"/>
      <c r="AY90" s="104">
        <f t="shared" si="33"/>
        <v>46401</v>
      </c>
      <c r="AZ90" s="105">
        <f ca="1" t="shared" si="34"/>
        <v>88</v>
      </c>
    </row>
    <row r="91" customHeight="1" spans="1:52">
      <c r="A91" s="70">
        <v>89</v>
      </c>
      <c r="B91" s="70" t="s">
        <v>229</v>
      </c>
      <c r="C91" s="71" t="s">
        <v>38</v>
      </c>
      <c r="D91" s="71" t="s">
        <v>428</v>
      </c>
      <c r="E91" s="130" t="s">
        <v>69</v>
      </c>
      <c r="F91" s="131"/>
      <c r="G91" s="132"/>
      <c r="H91" s="92"/>
      <c r="I91" s="102">
        <v>46029</v>
      </c>
      <c r="J91" s="70">
        <v>3</v>
      </c>
      <c r="K91" s="106" t="s">
        <v>429</v>
      </c>
      <c r="L91" s="104">
        <f t="shared" si="27"/>
        <v>46119</v>
      </c>
      <c r="M91" s="105">
        <f ca="1" t="shared" si="28"/>
        <v>-194</v>
      </c>
      <c r="N91" s="70"/>
      <c r="O91" s="70" t="s">
        <v>229</v>
      </c>
      <c r="P91" s="71" t="s">
        <v>38</v>
      </c>
      <c r="Q91" s="71" t="s">
        <v>428</v>
      </c>
      <c r="R91" s="130" t="s">
        <v>69</v>
      </c>
      <c r="S91" s="131"/>
      <c r="T91" s="132"/>
      <c r="U91" s="92"/>
      <c r="V91" s="143">
        <v>46121</v>
      </c>
      <c r="W91" s="70">
        <v>3</v>
      </c>
      <c r="X91" s="144" t="s">
        <v>430</v>
      </c>
      <c r="Y91" s="104">
        <f t="shared" si="35"/>
        <v>46212</v>
      </c>
      <c r="Z91" s="105">
        <f ca="1" t="shared" si="36"/>
        <v>-101</v>
      </c>
      <c r="AA91" s="70"/>
      <c r="AB91" s="70" t="s">
        <v>229</v>
      </c>
      <c r="AC91" s="71" t="s">
        <v>38</v>
      </c>
      <c r="AD91" s="71" t="s">
        <v>428</v>
      </c>
      <c r="AE91" s="130" t="s">
        <v>69</v>
      </c>
      <c r="AF91" s="131"/>
      <c r="AG91" s="132"/>
      <c r="AH91" s="92"/>
      <c r="AI91" s="143">
        <v>46205</v>
      </c>
      <c r="AJ91" s="70">
        <v>3</v>
      </c>
      <c r="AK91" s="144" t="s">
        <v>431</v>
      </c>
      <c r="AL91" s="104">
        <f t="shared" si="37"/>
        <v>46297</v>
      </c>
      <c r="AM91" s="105">
        <f ca="1" t="shared" si="38"/>
        <v>-16</v>
      </c>
      <c r="AN91" s="115"/>
      <c r="AO91" s="70" t="s">
        <v>229</v>
      </c>
      <c r="AP91" s="71" t="s">
        <v>38</v>
      </c>
      <c r="AQ91" s="71" t="s">
        <v>428</v>
      </c>
      <c r="AR91" s="130" t="s">
        <v>69</v>
      </c>
      <c r="AS91" s="131"/>
      <c r="AT91" s="132"/>
      <c r="AU91" s="92"/>
      <c r="AV91" s="149">
        <v>46299</v>
      </c>
      <c r="AW91" s="115">
        <v>3</v>
      </c>
      <c r="AX91" s="153" t="s">
        <v>432</v>
      </c>
      <c r="AY91" s="104">
        <f t="shared" si="33"/>
        <v>46391</v>
      </c>
      <c r="AZ91" s="105">
        <f ca="1" t="shared" si="34"/>
        <v>78</v>
      </c>
    </row>
    <row r="92" customHeight="1" spans="1:52">
      <c r="A92" s="70">
        <v>90</v>
      </c>
      <c r="B92" s="70" t="s">
        <v>229</v>
      </c>
      <c r="C92" s="71" t="s">
        <v>38</v>
      </c>
      <c r="D92" s="71" t="s">
        <v>433</v>
      </c>
      <c r="E92" s="71" t="s">
        <v>28</v>
      </c>
      <c r="F92" s="72"/>
      <c r="G92" s="73"/>
      <c r="H92" s="92" t="s">
        <v>434</v>
      </c>
      <c r="I92" s="102">
        <v>46029</v>
      </c>
      <c r="J92" s="70">
        <v>3</v>
      </c>
      <c r="K92" s="106" t="s">
        <v>435</v>
      </c>
      <c r="L92" s="104">
        <f t="shared" si="27"/>
        <v>46119</v>
      </c>
      <c r="M92" s="105">
        <f ca="1" t="shared" si="28"/>
        <v>-194</v>
      </c>
      <c r="N92" s="70"/>
      <c r="O92" s="70" t="s">
        <v>229</v>
      </c>
      <c r="P92" s="71" t="s">
        <v>38</v>
      </c>
      <c r="Q92" s="71" t="s">
        <v>433</v>
      </c>
      <c r="R92" s="71" t="s">
        <v>28</v>
      </c>
      <c r="S92" s="72"/>
      <c r="T92" s="73"/>
      <c r="U92" s="92" t="s">
        <v>434</v>
      </c>
      <c r="V92" s="143">
        <v>46119</v>
      </c>
      <c r="W92" s="70">
        <v>3</v>
      </c>
      <c r="X92" s="144" t="s">
        <v>436</v>
      </c>
      <c r="Y92" s="104">
        <f t="shared" si="35"/>
        <v>46210</v>
      </c>
      <c r="Z92" s="105">
        <f ca="1" t="shared" si="36"/>
        <v>-103</v>
      </c>
      <c r="AA92" s="70"/>
      <c r="AB92" s="70" t="s">
        <v>229</v>
      </c>
      <c r="AC92" s="71" t="s">
        <v>38</v>
      </c>
      <c r="AD92" s="71" t="s">
        <v>433</v>
      </c>
      <c r="AE92" s="71" t="s">
        <v>28</v>
      </c>
      <c r="AF92" s="72"/>
      <c r="AG92" s="73"/>
      <c r="AH92" s="92" t="s">
        <v>434</v>
      </c>
      <c r="AI92" s="143">
        <v>46208</v>
      </c>
      <c r="AJ92" s="70">
        <v>3</v>
      </c>
      <c r="AK92" s="144" t="s">
        <v>437</v>
      </c>
      <c r="AL92" s="104">
        <f t="shared" si="37"/>
        <v>46300</v>
      </c>
      <c r="AM92" s="105">
        <f ca="1" t="shared" si="38"/>
        <v>-13</v>
      </c>
      <c r="AN92" s="115"/>
      <c r="AO92" s="70" t="s">
        <v>229</v>
      </c>
      <c r="AP92" s="71" t="s">
        <v>38</v>
      </c>
      <c r="AQ92" s="71" t="s">
        <v>433</v>
      </c>
      <c r="AR92" s="71" t="s">
        <v>28</v>
      </c>
      <c r="AS92" s="72"/>
      <c r="AT92" s="73"/>
      <c r="AU92" s="92" t="s">
        <v>434</v>
      </c>
      <c r="AV92" s="149" t="s">
        <v>438</v>
      </c>
      <c r="AW92" s="115">
        <v>3</v>
      </c>
      <c r="AX92" s="153"/>
      <c r="AY92" s="104">
        <v>46402</v>
      </c>
      <c r="AZ92" s="105">
        <f ca="1" t="shared" si="34"/>
        <v>89</v>
      </c>
    </row>
    <row r="93" customHeight="1" spans="1:52">
      <c r="A93" s="70">
        <v>91</v>
      </c>
      <c r="B93" s="70" t="s">
        <v>229</v>
      </c>
      <c r="C93" s="71" t="s">
        <v>13</v>
      </c>
      <c r="D93" s="70" t="s">
        <v>439</v>
      </c>
      <c r="E93" s="71" t="s">
        <v>440</v>
      </c>
      <c r="F93" s="72"/>
      <c r="G93" s="73"/>
      <c r="H93" s="92"/>
      <c r="I93" s="102">
        <v>46029</v>
      </c>
      <c r="J93" s="70">
        <v>3</v>
      </c>
      <c r="K93" s="106" t="s">
        <v>441</v>
      </c>
      <c r="L93" s="104">
        <f t="shared" si="27"/>
        <v>46119</v>
      </c>
      <c r="M93" s="105">
        <f ca="1" t="shared" si="28"/>
        <v>-194</v>
      </c>
      <c r="N93" s="70"/>
      <c r="O93" s="70" t="s">
        <v>229</v>
      </c>
      <c r="P93" s="71" t="s">
        <v>13</v>
      </c>
      <c r="Q93" s="70" t="s">
        <v>439</v>
      </c>
      <c r="R93" s="71" t="s">
        <v>440</v>
      </c>
      <c r="S93" s="72"/>
      <c r="T93" s="73"/>
      <c r="U93" s="92"/>
      <c r="V93" s="143">
        <v>46119</v>
      </c>
      <c r="W93" s="70">
        <v>3</v>
      </c>
      <c r="X93" s="144" t="s">
        <v>442</v>
      </c>
      <c r="Y93" s="104">
        <f t="shared" si="35"/>
        <v>46210</v>
      </c>
      <c r="Z93" s="105">
        <f ca="1" t="shared" si="36"/>
        <v>-103</v>
      </c>
      <c r="AA93" s="70"/>
      <c r="AB93" s="70" t="s">
        <v>229</v>
      </c>
      <c r="AC93" s="71" t="s">
        <v>13</v>
      </c>
      <c r="AD93" s="70" t="s">
        <v>439</v>
      </c>
      <c r="AE93" s="71" t="s">
        <v>440</v>
      </c>
      <c r="AF93" s="72"/>
      <c r="AG93" s="73"/>
      <c r="AH93" s="92"/>
      <c r="AI93" s="143">
        <v>46208</v>
      </c>
      <c r="AJ93" s="70">
        <v>3</v>
      </c>
      <c r="AK93" s="144" t="s">
        <v>443</v>
      </c>
      <c r="AL93" s="104">
        <f t="shared" si="37"/>
        <v>46300</v>
      </c>
      <c r="AM93" s="105">
        <f ca="1" t="shared" si="38"/>
        <v>-13</v>
      </c>
      <c r="AN93" s="115"/>
      <c r="AO93" s="70" t="s">
        <v>229</v>
      </c>
      <c r="AP93" s="71" t="s">
        <v>13</v>
      </c>
      <c r="AQ93" s="70" t="s">
        <v>439</v>
      </c>
      <c r="AR93" s="71" t="s">
        <v>440</v>
      </c>
      <c r="AS93" s="72"/>
      <c r="AT93" s="73"/>
      <c r="AU93" s="92"/>
      <c r="AV93" s="150">
        <v>46306</v>
      </c>
      <c r="AW93" s="115">
        <v>3</v>
      </c>
      <c r="AX93" s="153"/>
      <c r="AY93" s="104">
        <f t="shared" si="33"/>
        <v>46398</v>
      </c>
      <c r="AZ93" s="105">
        <f ca="1" t="shared" si="34"/>
        <v>85</v>
      </c>
    </row>
    <row r="94" customHeight="1" spans="1:52">
      <c r="A94" s="70">
        <v>92</v>
      </c>
      <c r="B94" s="70" t="s">
        <v>229</v>
      </c>
      <c r="C94" s="71" t="s">
        <v>13</v>
      </c>
      <c r="D94" s="71" t="s">
        <v>444</v>
      </c>
      <c r="E94" s="71" t="s">
        <v>445</v>
      </c>
      <c r="F94" s="72"/>
      <c r="G94" s="73"/>
      <c r="H94" s="92"/>
      <c r="I94" s="102">
        <v>46029</v>
      </c>
      <c r="J94" s="70">
        <v>3</v>
      </c>
      <c r="K94" s="106" t="s">
        <v>446</v>
      </c>
      <c r="L94" s="104">
        <f t="shared" si="27"/>
        <v>46119</v>
      </c>
      <c r="M94" s="105">
        <f ca="1" t="shared" si="28"/>
        <v>-194</v>
      </c>
      <c r="N94" s="70"/>
      <c r="O94" s="70" t="s">
        <v>229</v>
      </c>
      <c r="P94" s="71" t="s">
        <v>13</v>
      </c>
      <c r="Q94" s="71" t="s">
        <v>444</v>
      </c>
      <c r="R94" s="71" t="s">
        <v>445</v>
      </c>
      <c r="S94" s="72"/>
      <c r="T94" s="73"/>
      <c r="U94" s="92"/>
      <c r="V94" s="143">
        <v>46114</v>
      </c>
      <c r="W94" s="70">
        <v>3</v>
      </c>
      <c r="X94" s="144" t="s">
        <v>447</v>
      </c>
      <c r="Y94" s="104">
        <f t="shared" si="35"/>
        <v>46205</v>
      </c>
      <c r="Z94" s="105">
        <f ca="1" t="shared" si="36"/>
        <v>-108</v>
      </c>
      <c r="AA94" s="70"/>
      <c r="AB94" s="70" t="s">
        <v>229</v>
      </c>
      <c r="AC94" s="71" t="s">
        <v>13</v>
      </c>
      <c r="AD94" s="71" t="s">
        <v>444</v>
      </c>
      <c r="AE94" s="71" t="s">
        <v>445</v>
      </c>
      <c r="AF94" s="72"/>
      <c r="AG94" s="73"/>
      <c r="AH94" s="92"/>
      <c r="AI94" s="143">
        <v>46201</v>
      </c>
      <c r="AJ94" s="70">
        <v>3</v>
      </c>
      <c r="AK94" s="144" t="s">
        <v>448</v>
      </c>
      <c r="AL94" s="104">
        <f t="shared" si="37"/>
        <v>46293</v>
      </c>
      <c r="AM94" s="105">
        <f ca="1" t="shared" si="38"/>
        <v>-20</v>
      </c>
      <c r="AN94" s="115"/>
      <c r="AO94" s="70" t="s">
        <v>229</v>
      </c>
      <c r="AP94" s="71" t="s">
        <v>13</v>
      </c>
      <c r="AQ94" s="71" t="s">
        <v>444</v>
      </c>
      <c r="AR94" s="71" t="s">
        <v>445</v>
      </c>
      <c r="AS94" s="72"/>
      <c r="AT94" s="73"/>
      <c r="AU94" s="92"/>
      <c r="AV94" s="149">
        <v>46294</v>
      </c>
      <c r="AW94" s="115">
        <v>3</v>
      </c>
      <c r="AX94" s="153" t="s">
        <v>449</v>
      </c>
      <c r="AY94" s="104">
        <f t="shared" si="33"/>
        <v>46385</v>
      </c>
      <c r="AZ94" s="105">
        <f ca="1" t="shared" si="34"/>
        <v>72</v>
      </c>
    </row>
    <row r="95" customHeight="1" spans="1:52">
      <c r="A95" s="70">
        <v>93</v>
      </c>
      <c r="B95" s="70" t="s">
        <v>229</v>
      </c>
      <c r="C95" s="71" t="s">
        <v>38</v>
      </c>
      <c r="D95" s="97" t="s">
        <v>450</v>
      </c>
      <c r="E95" s="71" t="s">
        <v>189</v>
      </c>
      <c r="F95" s="72"/>
      <c r="G95" s="73"/>
      <c r="H95" s="92" t="s">
        <v>434</v>
      </c>
      <c r="I95" s="102">
        <v>46029</v>
      </c>
      <c r="J95" s="70">
        <v>3</v>
      </c>
      <c r="K95" s="106" t="s">
        <v>451</v>
      </c>
      <c r="L95" s="104">
        <f t="shared" si="27"/>
        <v>46119</v>
      </c>
      <c r="M95" s="105">
        <f ca="1" t="shared" si="28"/>
        <v>-194</v>
      </c>
      <c r="N95" s="70"/>
      <c r="O95" s="70" t="s">
        <v>229</v>
      </c>
      <c r="P95" s="71" t="s">
        <v>38</v>
      </c>
      <c r="Q95" s="97" t="s">
        <v>450</v>
      </c>
      <c r="R95" s="71" t="s">
        <v>189</v>
      </c>
      <c r="S95" s="72"/>
      <c r="T95" s="73"/>
      <c r="U95" s="92" t="s">
        <v>434</v>
      </c>
      <c r="V95" s="143">
        <v>46124</v>
      </c>
      <c r="W95" s="70">
        <v>3</v>
      </c>
      <c r="X95" s="107" t="s">
        <v>452</v>
      </c>
      <c r="Y95" s="104">
        <f t="shared" si="35"/>
        <v>46215</v>
      </c>
      <c r="Z95" s="105">
        <f ca="1" t="shared" si="36"/>
        <v>-98</v>
      </c>
      <c r="AA95" s="70"/>
      <c r="AB95" s="70" t="s">
        <v>229</v>
      </c>
      <c r="AC95" s="71" t="s">
        <v>38</v>
      </c>
      <c r="AD95" s="97" t="s">
        <v>450</v>
      </c>
      <c r="AE95" s="71" t="s">
        <v>189</v>
      </c>
      <c r="AF95" s="72"/>
      <c r="AG95" s="73"/>
      <c r="AH95" s="92" t="s">
        <v>434</v>
      </c>
      <c r="AI95" s="143">
        <v>46212</v>
      </c>
      <c r="AJ95" s="70">
        <v>3</v>
      </c>
      <c r="AK95" s="97" t="s">
        <v>453</v>
      </c>
      <c r="AL95" s="104">
        <f t="shared" si="37"/>
        <v>46304</v>
      </c>
      <c r="AM95" s="105">
        <f ca="1" t="shared" si="38"/>
        <v>-9</v>
      </c>
      <c r="AN95" s="115"/>
      <c r="AO95" s="70" t="s">
        <v>229</v>
      </c>
      <c r="AP95" s="71" t="s">
        <v>38</v>
      </c>
      <c r="AQ95" s="97" t="s">
        <v>450</v>
      </c>
      <c r="AR95" s="71" t="s">
        <v>189</v>
      </c>
      <c r="AS95" s="72"/>
      <c r="AT95" s="73"/>
      <c r="AU95" s="92" t="s">
        <v>434</v>
      </c>
      <c r="AV95" s="149">
        <v>46300</v>
      </c>
      <c r="AW95" s="115">
        <v>3</v>
      </c>
      <c r="AX95" s="107" t="s">
        <v>454</v>
      </c>
      <c r="AY95" s="104">
        <f t="shared" si="33"/>
        <v>46392</v>
      </c>
      <c r="AZ95" s="105">
        <f ca="1" t="shared" si="34"/>
        <v>79</v>
      </c>
    </row>
    <row r="96" customHeight="1" spans="1:52">
      <c r="A96" s="70">
        <v>94</v>
      </c>
      <c r="B96" s="70" t="s">
        <v>229</v>
      </c>
      <c r="C96" s="71" t="s">
        <v>38</v>
      </c>
      <c r="D96" s="80" t="s">
        <v>455</v>
      </c>
      <c r="E96" s="71" t="s">
        <v>456</v>
      </c>
      <c r="F96" s="72"/>
      <c r="G96" s="73"/>
      <c r="H96" s="92"/>
      <c r="I96" s="102">
        <v>46029</v>
      </c>
      <c r="J96" s="70">
        <v>3</v>
      </c>
      <c r="K96" s="106" t="s">
        <v>457</v>
      </c>
      <c r="L96" s="104">
        <f t="shared" si="27"/>
        <v>46119</v>
      </c>
      <c r="M96" s="105">
        <f ca="1" t="shared" si="28"/>
        <v>-194</v>
      </c>
      <c r="N96" s="70"/>
      <c r="O96" s="70" t="s">
        <v>229</v>
      </c>
      <c r="P96" s="71" t="s">
        <v>38</v>
      </c>
      <c r="Q96" s="80" t="s">
        <v>455</v>
      </c>
      <c r="R96" s="71" t="s">
        <v>456</v>
      </c>
      <c r="S96" s="72"/>
      <c r="T96" s="73"/>
      <c r="U96" s="92"/>
      <c r="V96" s="143">
        <v>46121</v>
      </c>
      <c r="W96" s="70">
        <v>3</v>
      </c>
      <c r="X96" s="97" t="s">
        <v>458</v>
      </c>
      <c r="Y96" s="104">
        <f t="shared" si="35"/>
        <v>46212</v>
      </c>
      <c r="Z96" s="105">
        <f ca="1" t="shared" si="36"/>
        <v>-101</v>
      </c>
      <c r="AA96" s="70"/>
      <c r="AB96" s="70" t="s">
        <v>229</v>
      </c>
      <c r="AC96" s="71" t="s">
        <v>38</v>
      </c>
      <c r="AD96" s="80" t="s">
        <v>455</v>
      </c>
      <c r="AE96" s="71" t="s">
        <v>456</v>
      </c>
      <c r="AF96" s="72"/>
      <c r="AG96" s="73"/>
      <c r="AH96" s="92"/>
      <c r="AI96" s="143">
        <v>46205</v>
      </c>
      <c r="AJ96" s="70">
        <v>3</v>
      </c>
      <c r="AK96" s="97" t="s">
        <v>459</v>
      </c>
      <c r="AL96" s="104">
        <f t="shared" si="37"/>
        <v>46297</v>
      </c>
      <c r="AM96" s="105">
        <f ca="1" t="shared" si="38"/>
        <v>-16</v>
      </c>
      <c r="AN96" s="115"/>
      <c r="AO96" s="70" t="s">
        <v>229</v>
      </c>
      <c r="AP96" s="71" t="s">
        <v>38</v>
      </c>
      <c r="AQ96" s="80" t="s">
        <v>455</v>
      </c>
      <c r="AR96" s="71" t="s">
        <v>456</v>
      </c>
      <c r="AS96" s="72"/>
      <c r="AT96" s="73"/>
      <c r="AU96" s="92"/>
      <c r="AV96" s="150">
        <v>46305</v>
      </c>
      <c r="AW96" s="115">
        <v>3</v>
      </c>
      <c r="AX96" s="107"/>
      <c r="AY96" s="104">
        <f t="shared" si="33"/>
        <v>46397</v>
      </c>
      <c r="AZ96" s="105">
        <f ca="1" t="shared" si="34"/>
        <v>84</v>
      </c>
    </row>
    <row r="97" s="58" customFormat="1" customHeight="1" spans="1:52">
      <c r="A97" s="70">
        <v>95</v>
      </c>
      <c r="B97" s="70" t="s">
        <v>12</v>
      </c>
      <c r="C97" s="71" t="s">
        <v>38</v>
      </c>
      <c r="D97" s="93" t="s">
        <v>460</v>
      </c>
      <c r="E97" s="127" t="s">
        <v>461</v>
      </c>
      <c r="F97" s="128"/>
      <c r="G97" s="129"/>
      <c r="H97" s="112" t="s">
        <v>16</v>
      </c>
      <c r="I97" s="102">
        <v>46029</v>
      </c>
      <c r="J97" s="70">
        <v>3</v>
      </c>
      <c r="K97" s="106" t="s">
        <v>462</v>
      </c>
      <c r="L97" s="104">
        <f t="shared" si="27"/>
        <v>46119</v>
      </c>
      <c r="M97" s="105">
        <f ca="1" t="shared" si="28"/>
        <v>-194</v>
      </c>
      <c r="N97" s="70"/>
      <c r="O97" s="70" t="s">
        <v>12</v>
      </c>
      <c r="P97" s="71" t="s">
        <v>38</v>
      </c>
      <c r="Q97" s="93" t="s">
        <v>460</v>
      </c>
      <c r="R97" s="127" t="s">
        <v>461</v>
      </c>
      <c r="S97" s="128"/>
      <c r="T97" s="129"/>
      <c r="U97" s="112" t="s">
        <v>16</v>
      </c>
      <c r="V97" s="145">
        <v>46127</v>
      </c>
      <c r="W97" s="115">
        <v>3</v>
      </c>
      <c r="X97" s="97" t="s">
        <v>463</v>
      </c>
      <c r="Y97" s="104">
        <f t="shared" si="35"/>
        <v>46218</v>
      </c>
      <c r="Z97" s="105">
        <f ca="1" t="shared" si="36"/>
        <v>-95</v>
      </c>
      <c r="AA97" s="70"/>
      <c r="AB97" s="70" t="s">
        <v>12</v>
      </c>
      <c r="AC97" s="71" t="s">
        <v>38</v>
      </c>
      <c r="AD97" s="93" t="s">
        <v>460</v>
      </c>
      <c r="AE97" s="127" t="s">
        <v>461</v>
      </c>
      <c r="AF97" s="128"/>
      <c r="AG97" s="129"/>
      <c r="AH97" s="112" t="s">
        <v>16</v>
      </c>
      <c r="AI97" s="143">
        <v>46212</v>
      </c>
      <c r="AJ97" s="115">
        <v>3</v>
      </c>
      <c r="AK97" s="97" t="s">
        <v>464</v>
      </c>
      <c r="AL97" s="104">
        <f t="shared" si="37"/>
        <v>46304</v>
      </c>
      <c r="AM97" s="105">
        <f ca="1" t="shared" si="38"/>
        <v>-9</v>
      </c>
      <c r="AN97" s="115"/>
      <c r="AO97" s="70" t="s">
        <v>12</v>
      </c>
      <c r="AP97" s="71" t="s">
        <v>38</v>
      </c>
      <c r="AQ97" s="93" t="s">
        <v>460</v>
      </c>
      <c r="AR97" s="127" t="s">
        <v>461</v>
      </c>
      <c r="AS97" s="128"/>
      <c r="AT97" s="129"/>
      <c r="AU97" s="112" t="s">
        <v>16</v>
      </c>
      <c r="AV97" s="149">
        <v>46299</v>
      </c>
      <c r="AW97" s="115">
        <v>3</v>
      </c>
      <c r="AX97" s="107" t="s">
        <v>465</v>
      </c>
      <c r="AY97" s="104">
        <f t="shared" si="33"/>
        <v>46391</v>
      </c>
      <c r="AZ97" s="105">
        <f ca="1" t="shared" si="34"/>
        <v>78</v>
      </c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466</v>
      </c>
      <c r="E98" s="127" t="s">
        <v>126</v>
      </c>
      <c r="F98" s="128"/>
      <c r="G98" s="129"/>
      <c r="H98" s="112" t="s">
        <v>16</v>
      </c>
      <c r="I98" s="102">
        <v>46029</v>
      </c>
      <c r="J98" s="70">
        <v>3</v>
      </c>
      <c r="K98" s="106" t="s">
        <v>467</v>
      </c>
      <c r="L98" s="104">
        <f t="shared" si="27"/>
        <v>46119</v>
      </c>
      <c r="M98" s="105">
        <f ca="1" t="shared" si="28"/>
        <v>-194</v>
      </c>
      <c r="N98" s="70"/>
      <c r="O98" s="70" t="s">
        <v>12</v>
      </c>
      <c r="P98" s="71" t="s">
        <v>13</v>
      </c>
      <c r="Q98" s="93" t="s">
        <v>466</v>
      </c>
      <c r="R98" s="127" t="s">
        <v>126</v>
      </c>
      <c r="S98" s="128"/>
      <c r="T98" s="129"/>
      <c r="U98" s="112" t="s">
        <v>16</v>
      </c>
      <c r="V98" s="145">
        <v>46122</v>
      </c>
      <c r="W98" s="115">
        <v>3</v>
      </c>
      <c r="X98" s="97" t="s">
        <v>468</v>
      </c>
      <c r="Y98" s="104">
        <f t="shared" si="35"/>
        <v>46213</v>
      </c>
      <c r="Z98" s="105">
        <f ca="1" t="shared" si="36"/>
        <v>-100</v>
      </c>
      <c r="AA98" s="70"/>
      <c r="AB98" s="70" t="s">
        <v>357</v>
      </c>
      <c r="AC98" s="71" t="s">
        <v>13</v>
      </c>
      <c r="AD98" s="93" t="s">
        <v>466</v>
      </c>
      <c r="AE98" s="127" t="s">
        <v>126</v>
      </c>
      <c r="AF98" s="128"/>
      <c r="AG98" s="129"/>
      <c r="AH98" s="112" t="s">
        <v>16</v>
      </c>
      <c r="AI98" s="143">
        <v>46251</v>
      </c>
      <c r="AJ98" s="115">
        <v>3</v>
      </c>
      <c r="AK98" s="97" t="s">
        <v>469</v>
      </c>
      <c r="AL98" s="104">
        <f t="shared" si="37"/>
        <v>46343</v>
      </c>
      <c r="AM98" s="105">
        <f ca="1" t="shared" si="38"/>
        <v>30</v>
      </c>
      <c r="AN98" s="115"/>
      <c r="AO98" s="115"/>
      <c r="AP98" s="115"/>
      <c r="AQ98" s="93"/>
      <c r="AR98" s="127"/>
      <c r="AS98" s="128"/>
      <c r="AT98" s="129"/>
      <c r="AU98" s="86"/>
      <c r="AV98" s="149"/>
      <c r="AW98" s="115"/>
      <c r="AX98" s="107"/>
      <c r="AY98" s="104">
        <f t="shared" si="33"/>
        <v>0</v>
      </c>
      <c r="AZ98" s="105">
        <f ca="1" t="shared" si="34"/>
        <v>-46313</v>
      </c>
    </row>
    <row r="99" s="58" customFormat="1" customHeight="1" spans="1:52">
      <c r="A99" s="70">
        <v>97</v>
      </c>
      <c r="B99" s="70" t="s">
        <v>470</v>
      </c>
      <c r="C99" s="97" t="s">
        <v>38</v>
      </c>
      <c r="D99" s="93" t="s">
        <v>471</v>
      </c>
      <c r="E99" s="127" t="s">
        <v>472</v>
      </c>
      <c r="F99" s="128"/>
      <c r="G99" s="129"/>
      <c r="H99" s="96"/>
      <c r="I99" s="102">
        <v>46029</v>
      </c>
      <c r="J99" s="70">
        <v>3</v>
      </c>
      <c r="K99" s="106" t="s">
        <v>473</v>
      </c>
      <c r="L99" s="104">
        <f t="shared" si="27"/>
        <v>46119</v>
      </c>
      <c r="M99" s="105">
        <f ca="1" t="shared" si="28"/>
        <v>-194</v>
      </c>
      <c r="N99" s="70"/>
      <c r="O99" s="70" t="s">
        <v>470</v>
      </c>
      <c r="P99" s="97" t="s">
        <v>38</v>
      </c>
      <c r="Q99" s="93" t="s">
        <v>471</v>
      </c>
      <c r="R99" s="127" t="s">
        <v>472</v>
      </c>
      <c r="S99" s="128"/>
      <c r="T99" s="129"/>
      <c r="U99" s="96"/>
      <c r="V99" s="143">
        <v>46122</v>
      </c>
      <c r="W99" s="115">
        <v>3</v>
      </c>
      <c r="X99" s="97" t="s">
        <v>474</v>
      </c>
      <c r="Y99" s="104">
        <f t="shared" si="35"/>
        <v>46213</v>
      </c>
      <c r="Z99" s="105">
        <f ca="1" t="shared" si="36"/>
        <v>-100</v>
      </c>
      <c r="AA99" s="70"/>
      <c r="AB99" s="70" t="s">
        <v>475</v>
      </c>
      <c r="AC99" s="97" t="s">
        <v>38</v>
      </c>
      <c r="AD99" s="93" t="s">
        <v>471</v>
      </c>
      <c r="AE99" s="127" t="s">
        <v>472</v>
      </c>
      <c r="AF99" s="128"/>
      <c r="AG99" s="129"/>
      <c r="AH99" s="75"/>
      <c r="AI99" s="143">
        <v>46205</v>
      </c>
      <c r="AJ99" s="115">
        <v>3</v>
      </c>
      <c r="AK99" s="97" t="s">
        <v>476</v>
      </c>
      <c r="AL99" s="104">
        <f t="shared" si="37"/>
        <v>46297</v>
      </c>
      <c r="AM99" s="105">
        <f ca="1" t="shared" si="38"/>
        <v>-16</v>
      </c>
      <c r="AN99" s="115"/>
      <c r="AO99" s="115"/>
      <c r="AP99" s="115"/>
      <c r="AQ99" s="93"/>
      <c r="AR99" s="127"/>
      <c r="AS99" s="128"/>
      <c r="AT99" s="129"/>
      <c r="AU99" s="86"/>
      <c r="AV99" s="149"/>
      <c r="AW99" s="115"/>
      <c r="AX99" s="107"/>
      <c r="AY99" s="104">
        <f t="shared" si="33"/>
        <v>0</v>
      </c>
      <c r="AZ99" s="105">
        <f ca="1" t="shared" si="34"/>
        <v>-46313</v>
      </c>
    </row>
    <row r="100" s="58" customFormat="1" customHeight="1" spans="1:52">
      <c r="A100" s="70">
        <v>98</v>
      </c>
      <c r="B100" s="70" t="s">
        <v>355</v>
      </c>
      <c r="C100" s="97" t="s">
        <v>13</v>
      </c>
      <c r="D100" s="93" t="s">
        <v>477</v>
      </c>
      <c r="E100" s="127" t="s">
        <v>15</v>
      </c>
      <c r="F100" s="128"/>
      <c r="G100" s="129"/>
      <c r="H100" s="112" t="s">
        <v>16</v>
      </c>
      <c r="I100" s="102">
        <v>46029</v>
      </c>
      <c r="J100" s="70">
        <v>3</v>
      </c>
      <c r="K100" s="106" t="s">
        <v>478</v>
      </c>
      <c r="L100" s="104">
        <f t="shared" si="27"/>
        <v>46119</v>
      </c>
      <c r="M100" s="105">
        <f ca="1" t="shared" si="28"/>
        <v>-194</v>
      </c>
      <c r="N100" s="70"/>
      <c r="O100" s="70" t="s">
        <v>355</v>
      </c>
      <c r="P100" s="97" t="s">
        <v>13</v>
      </c>
      <c r="Q100" s="93" t="s">
        <v>477</v>
      </c>
      <c r="R100" s="127" t="s">
        <v>15</v>
      </c>
      <c r="S100" s="128"/>
      <c r="T100" s="129"/>
      <c r="U100" s="112" t="s">
        <v>16</v>
      </c>
      <c r="V100" s="102">
        <v>46122</v>
      </c>
      <c r="W100" s="70">
        <v>3</v>
      </c>
      <c r="X100" s="97" t="s">
        <v>479</v>
      </c>
      <c r="Y100" s="104">
        <f t="shared" si="35"/>
        <v>46213</v>
      </c>
      <c r="Z100" s="105">
        <f ca="1" t="shared" si="36"/>
        <v>-100</v>
      </c>
      <c r="AA100" s="70"/>
      <c r="AB100" s="70" t="s">
        <v>355</v>
      </c>
      <c r="AC100" s="97" t="s">
        <v>13</v>
      </c>
      <c r="AD100" s="93" t="s">
        <v>477</v>
      </c>
      <c r="AE100" s="127" t="s">
        <v>15</v>
      </c>
      <c r="AF100" s="128"/>
      <c r="AG100" s="129"/>
      <c r="AH100" s="112" t="s">
        <v>16</v>
      </c>
      <c r="AI100" s="119">
        <v>46205</v>
      </c>
      <c r="AJ100" s="115">
        <v>3</v>
      </c>
      <c r="AK100" s="97" t="s">
        <v>480</v>
      </c>
      <c r="AL100" s="104">
        <f t="shared" si="37"/>
        <v>46297</v>
      </c>
      <c r="AM100" s="105">
        <f ca="1" t="shared" si="38"/>
        <v>-16</v>
      </c>
      <c r="AN100" s="115"/>
      <c r="AO100" s="70" t="s">
        <v>12</v>
      </c>
      <c r="AP100" s="97" t="s">
        <v>13</v>
      </c>
      <c r="AQ100" s="93" t="s">
        <v>477</v>
      </c>
      <c r="AR100" s="127" t="s">
        <v>15</v>
      </c>
      <c r="AS100" s="128"/>
      <c r="AT100" s="129"/>
      <c r="AU100" s="112" t="s">
        <v>16</v>
      </c>
      <c r="AV100" s="117">
        <v>46293</v>
      </c>
      <c r="AW100" s="115">
        <v>3</v>
      </c>
      <c r="AX100" s="106" t="s">
        <v>481</v>
      </c>
      <c r="AY100" s="104">
        <f t="shared" si="33"/>
        <v>46384</v>
      </c>
      <c r="AZ100" s="105">
        <f ca="1" t="shared" si="34"/>
        <v>71</v>
      </c>
    </row>
    <row r="101" s="58" customFormat="1" customHeight="1" spans="1:52">
      <c r="A101" s="70">
        <v>99</v>
      </c>
      <c r="B101" s="70" t="s">
        <v>482</v>
      </c>
      <c r="C101" s="97" t="s">
        <v>13</v>
      </c>
      <c r="D101" s="93" t="s">
        <v>483</v>
      </c>
      <c r="E101" s="93" t="s">
        <v>45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484</v>
      </c>
      <c r="L101" s="104">
        <f t="shared" si="27"/>
        <v>46119</v>
      </c>
      <c r="M101" s="105">
        <f ca="1" t="shared" si="28"/>
        <v>-194</v>
      </c>
      <c r="N101" s="70"/>
      <c r="O101" s="70" t="s">
        <v>482</v>
      </c>
      <c r="P101" s="97" t="s">
        <v>13</v>
      </c>
      <c r="Q101" s="93" t="s">
        <v>483</v>
      </c>
      <c r="R101" s="93" t="s">
        <v>45</v>
      </c>
      <c r="S101" s="94"/>
      <c r="T101" s="95"/>
      <c r="U101" s="112" t="s">
        <v>16</v>
      </c>
      <c r="V101" s="119">
        <v>46113</v>
      </c>
      <c r="W101" s="115">
        <v>3</v>
      </c>
      <c r="X101" s="107" t="s">
        <v>485</v>
      </c>
      <c r="Y101" s="104">
        <f t="shared" si="35"/>
        <v>46204</v>
      </c>
      <c r="Z101" s="105">
        <f ca="1" t="shared" si="36"/>
        <v>-109</v>
      </c>
      <c r="AA101" s="70"/>
      <c r="AB101" s="70" t="s">
        <v>482</v>
      </c>
      <c r="AC101" s="97" t="s">
        <v>13</v>
      </c>
      <c r="AD101" s="93" t="s">
        <v>483</v>
      </c>
      <c r="AE101" s="93" t="s">
        <v>45</v>
      </c>
      <c r="AF101" s="94"/>
      <c r="AG101" s="95"/>
      <c r="AH101" s="112" t="s">
        <v>16</v>
      </c>
      <c r="AI101" s="119">
        <v>46205</v>
      </c>
      <c r="AJ101" s="115">
        <v>3</v>
      </c>
      <c r="AK101" s="97" t="s">
        <v>486</v>
      </c>
      <c r="AL101" s="104">
        <f t="shared" si="37"/>
        <v>46297</v>
      </c>
      <c r="AM101" s="105">
        <f ca="1" t="shared" si="38"/>
        <v>-16</v>
      </c>
      <c r="AN101" s="115"/>
      <c r="AO101" s="70"/>
      <c r="AP101" s="97"/>
      <c r="AQ101" s="93"/>
      <c r="AR101" s="93"/>
      <c r="AS101" s="94"/>
      <c r="AT101" s="95"/>
      <c r="AU101" s="86"/>
      <c r="AV101" s="119"/>
      <c r="AW101" s="115"/>
      <c r="AX101" s="107"/>
      <c r="AY101" s="104">
        <f t="shared" si="33"/>
        <v>0</v>
      </c>
      <c r="AZ101" s="105">
        <f ca="1" t="shared" si="34"/>
        <v>-46313</v>
      </c>
    </row>
    <row r="102" s="58" customFormat="1" customHeight="1" spans="1:52">
      <c r="A102" s="70">
        <v>100</v>
      </c>
      <c r="B102" s="70" t="s">
        <v>482</v>
      </c>
      <c r="C102" s="97" t="s">
        <v>13</v>
      </c>
      <c r="D102" s="93" t="s">
        <v>487</v>
      </c>
      <c r="E102" s="93" t="s">
        <v>113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488</v>
      </c>
      <c r="L102" s="104">
        <f t="shared" si="27"/>
        <v>46119</v>
      </c>
      <c r="M102" s="105">
        <f ca="1" t="shared" si="28"/>
        <v>-194</v>
      </c>
      <c r="N102" s="70"/>
      <c r="O102" s="70" t="s">
        <v>482</v>
      </c>
      <c r="P102" s="97" t="s">
        <v>13</v>
      </c>
      <c r="Q102" s="93" t="s">
        <v>487</v>
      </c>
      <c r="R102" s="93" t="s">
        <v>113</v>
      </c>
      <c r="S102" s="94"/>
      <c r="T102" s="95"/>
      <c r="U102" s="86" t="s">
        <v>16</v>
      </c>
      <c r="V102" s="119">
        <v>46113</v>
      </c>
      <c r="W102" s="115">
        <v>3</v>
      </c>
      <c r="X102" s="107" t="s">
        <v>489</v>
      </c>
      <c r="Y102" s="104">
        <f t="shared" si="35"/>
        <v>46204</v>
      </c>
      <c r="Z102" s="105">
        <f ca="1" t="shared" si="36"/>
        <v>-109</v>
      </c>
      <c r="AA102" s="70"/>
      <c r="AB102" s="70" t="s">
        <v>482</v>
      </c>
      <c r="AC102" s="97" t="s">
        <v>13</v>
      </c>
      <c r="AD102" s="93" t="s">
        <v>487</v>
      </c>
      <c r="AE102" s="93" t="s">
        <v>113</v>
      </c>
      <c r="AF102" s="94"/>
      <c r="AG102" s="95"/>
      <c r="AH102" s="86" t="s">
        <v>16</v>
      </c>
      <c r="AI102" s="119">
        <v>46205</v>
      </c>
      <c r="AJ102" s="115">
        <v>3</v>
      </c>
      <c r="AK102" s="97" t="s">
        <v>490</v>
      </c>
      <c r="AL102" s="104">
        <f t="shared" si="37"/>
        <v>46297</v>
      </c>
      <c r="AM102" s="105">
        <f ca="1" t="shared" si="38"/>
        <v>-16</v>
      </c>
      <c r="AN102" s="115"/>
      <c r="AO102" s="115"/>
      <c r="AP102" s="115"/>
      <c r="AQ102" s="93"/>
      <c r="AR102" s="93"/>
      <c r="AS102" s="94"/>
      <c r="AT102" s="95"/>
      <c r="AU102" s="86"/>
      <c r="AV102" s="119"/>
      <c r="AW102" s="115"/>
      <c r="AX102" s="107"/>
      <c r="AY102" s="104">
        <f t="shared" si="33"/>
        <v>0</v>
      </c>
      <c r="AZ102" s="105">
        <f ca="1" t="shared" si="34"/>
        <v>-46313</v>
      </c>
    </row>
    <row r="103" s="58" customFormat="1" customHeight="1" spans="1:52">
      <c r="A103" s="70">
        <v>101</v>
      </c>
      <c r="B103" s="115" t="s">
        <v>74</v>
      </c>
      <c r="C103" s="115" t="s">
        <v>38</v>
      </c>
      <c r="D103" s="93" t="s">
        <v>491</v>
      </c>
      <c r="E103" s="93" t="s">
        <v>492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493</v>
      </c>
      <c r="L103" s="104">
        <f t="shared" si="27"/>
        <v>46119</v>
      </c>
      <c r="M103" s="105">
        <f ca="1" t="shared" si="28"/>
        <v>-194</v>
      </c>
      <c r="N103" s="70"/>
      <c r="O103" s="115" t="s">
        <v>74</v>
      </c>
      <c r="P103" s="115" t="s">
        <v>38</v>
      </c>
      <c r="Q103" s="93" t="s">
        <v>491</v>
      </c>
      <c r="R103" s="93" t="s">
        <v>492</v>
      </c>
      <c r="S103" s="94"/>
      <c r="T103" s="95"/>
      <c r="U103" s="112" t="s">
        <v>16</v>
      </c>
      <c r="V103" s="119">
        <v>46211</v>
      </c>
      <c r="W103" s="115">
        <v>3</v>
      </c>
      <c r="X103" s="107" t="s">
        <v>494</v>
      </c>
      <c r="Y103" s="104">
        <f t="shared" si="35"/>
        <v>46303</v>
      </c>
      <c r="Z103" s="105">
        <f ca="1" t="shared" si="36"/>
        <v>-10</v>
      </c>
      <c r="AA103" s="70"/>
      <c r="AB103" s="115"/>
      <c r="AC103" s="115"/>
      <c r="AD103" s="93"/>
      <c r="AE103" s="93"/>
      <c r="AF103" s="94"/>
      <c r="AG103" s="95"/>
      <c r="AH103" s="79"/>
      <c r="AI103" s="119"/>
      <c r="AJ103" s="115"/>
      <c r="AK103" s="107"/>
      <c r="AL103" s="104">
        <f t="shared" si="37"/>
        <v>0</v>
      </c>
      <c r="AM103" s="105">
        <f ca="1" t="shared" si="38"/>
        <v>-46313</v>
      </c>
      <c r="AN103" s="115"/>
      <c r="AO103" s="115"/>
      <c r="AP103" s="115"/>
      <c r="AQ103" s="93"/>
      <c r="AR103" s="93"/>
      <c r="AS103" s="94"/>
      <c r="AT103" s="95"/>
      <c r="AU103" s="86"/>
      <c r="AV103" s="119"/>
      <c r="AW103" s="115"/>
      <c r="AX103" s="107"/>
      <c r="AY103" s="104">
        <f t="shared" si="33"/>
        <v>0</v>
      </c>
      <c r="AZ103" s="105">
        <f ca="1" t="shared" si="34"/>
        <v>-46313</v>
      </c>
    </row>
    <row r="104" s="58" customFormat="1" customHeight="1" spans="1:52">
      <c r="A104" s="70">
        <v>102</v>
      </c>
      <c r="B104" s="115" t="s">
        <v>74</v>
      </c>
      <c r="C104" s="115" t="s">
        <v>38</v>
      </c>
      <c r="D104" s="93" t="s">
        <v>495</v>
      </c>
      <c r="E104" s="93" t="s">
        <v>28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496</v>
      </c>
      <c r="L104" s="104">
        <f t="shared" si="27"/>
        <v>46119</v>
      </c>
      <c r="M104" s="105">
        <f ca="1" t="shared" si="28"/>
        <v>-194</v>
      </c>
      <c r="N104" s="70"/>
      <c r="O104" s="115" t="s">
        <v>74</v>
      </c>
      <c r="P104" s="115" t="s">
        <v>38</v>
      </c>
      <c r="Q104" s="93" t="s">
        <v>495</v>
      </c>
      <c r="R104" s="93" t="s">
        <v>28</v>
      </c>
      <c r="S104" s="94"/>
      <c r="T104" s="95"/>
      <c r="U104" s="112" t="s">
        <v>16</v>
      </c>
      <c r="V104" s="119">
        <v>46186</v>
      </c>
      <c r="W104" s="115">
        <v>3</v>
      </c>
      <c r="X104" s="107" t="s">
        <v>497</v>
      </c>
      <c r="Y104" s="104">
        <f t="shared" si="35"/>
        <v>46278</v>
      </c>
      <c r="Z104" s="105">
        <f ca="1" t="shared" si="36"/>
        <v>-35</v>
      </c>
      <c r="AA104" s="70"/>
      <c r="AB104" s="115"/>
      <c r="AC104" s="115"/>
      <c r="AD104" s="93"/>
      <c r="AE104" s="93"/>
      <c r="AF104" s="94"/>
      <c r="AG104" s="95"/>
      <c r="AH104" s="114"/>
      <c r="AI104" s="119"/>
      <c r="AJ104" s="115"/>
      <c r="AK104" s="107"/>
      <c r="AL104" s="104">
        <f t="shared" si="37"/>
        <v>0</v>
      </c>
      <c r="AM104" s="105">
        <f ca="1" t="shared" si="38"/>
        <v>-46313</v>
      </c>
      <c r="AN104" s="115"/>
      <c r="AO104" s="115"/>
      <c r="AP104" s="115"/>
      <c r="AQ104" s="93"/>
      <c r="AR104" s="93"/>
      <c r="AS104" s="94"/>
      <c r="AT104" s="95"/>
      <c r="AU104" s="151"/>
      <c r="AV104" s="119"/>
      <c r="AW104" s="115"/>
      <c r="AX104" s="107"/>
      <c r="AY104" s="104"/>
      <c r="AZ104" s="105"/>
    </row>
    <row r="105" customHeight="1" spans="1:52">
      <c r="A105" s="70">
        <v>103</v>
      </c>
      <c r="B105" s="115" t="s">
        <v>74</v>
      </c>
      <c r="C105" s="115" t="s">
        <v>38</v>
      </c>
      <c r="D105" s="71" t="s">
        <v>498</v>
      </c>
      <c r="E105" s="93" t="s">
        <v>28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499</v>
      </c>
      <c r="L105" s="104">
        <f t="shared" si="27"/>
        <v>46119</v>
      </c>
      <c r="M105" s="105">
        <f ca="1" t="shared" si="28"/>
        <v>-194</v>
      </c>
      <c r="N105" s="70"/>
      <c r="O105" s="115" t="s">
        <v>74</v>
      </c>
      <c r="P105" s="115" t="s">
        <v>38</v>
      </c>
      <c r="Q105" s="71" t="s">
        <v>498</v>
      </c>
      <c r="R105" s="93" t="s">
        <v>28</v>
      </c>
      <c r="S105" s="94"/>
      <c r="T105" s="95"/>
      <c r="U105" s="112" t="s">
        <v>16</v>
      </c>
      <c r="V105" s="119">
        <v>46160</v>
      </c>
      <c r="W105" s="70">
        <v>3</v>
      </c>
      <c r="X105" s="107" t="s">
        <v>500</v>
      </c>
      <c r="Y105" s="104">
        <f t="shared" si="35"/>
        <v>46252</v>
      </c>
      <c r="Z105" s="105">
        <f ca="1" t="shared" si="36"/>
        <v>-61</v>
      </c>
      <c r="AA105" s="70"/>
      <c r="AB105" s="115"/>
      <c r="AC105" s="115"/>
      <c r="AD105" s="71"/>
      <c r="AE105" s="93"/>
      <c r="AF105" s="94"/>
      <c r="AG105" s="95"/>
      <c r="AH105" s="148"/>
      <c r="AI105" s="119"/>
      <c r="AJ105" s="70"/>
      <c r="AK105" s="107"/>
      <c r="AL105" s="104">
        <f t="shared" si="37"/>
        <v>0</v>
      </c>
      <c r="AM105" s="105">
        <f ca="1" t="shared" si="38"/>
        <v>-46313</v>
      </c>
      <c r="AN105" s="115"/>
      <c r="AO105" s="115"/>
      <c r="AP105" s="115"/>
      <c r="AQ105" s="71"/>
      <c r="AR105" s="93"/>
      <c r="AS105" s="94"/>
      <c r="AT105" s="95"/>
      <c r="AU105" s="148"/>
      <c r="AV105" s="119"/>
      <c r="AW105" s="115"/>
      <c r="AX105" s="107"/>
      <c r="AY105" s="104"/>
      <c r="AZ105" s="105"/>
    </row>
    <row r="106" customHeight="1" spans="1:52">
      <c r="A106" s="70">
        <v>104</v>
      </c>
      <c r="B106" s="115" t="s">
        <v>74</v>
      </c>
      <c r="C106" s="115" t="s">
        <v>13</v>
      </c>
      <c r="D106" s="71" t="s">
        <v>501</v>
      </c>
      <c r="E106" s="93" t="s">
        <v>502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503</v>
      </c>
      <c r="L106" s="104">
        <f t="shared" si="27"/>
        <v>46119</v>
      </c>
      <c r="M106" s="105">
        <f ca="1" t="shared" si="28"/>
        <v>-194</v>
      </c>
      <c r="N106" s="70"/>
      <c r="O106" s="115" t="s">
        <v>74</v>
      </c>
      <c r="P106" s="115" t="s">
        <v>13</v>
      </c>
      <c r="Q106" s="71" t="s">
        <v>501</v>
      </c>
      <c r="R106" s="93" t="s">
        <v>502</v>
      </c>
      <c r="S106" s="94"/>
      <c r="T106" s="95"/>
      <c r="U106" s="112" t="s">
        <v>16</v>
      </c>
      <c r="V106" s="119">
        <v>46177</v>
      </c>
      <c r="W106" s="70">
        <v>3</v>
      </c>
      <c r="X106" s="107" t="s">
        <v>504</v>
      </c>
      <c r="Y106" s="104">
        <f t="shared" si="35"/>
        <v>46269</v>
      </c>
      <c r="Z106" s="105">
        <f ca="1" t="shared" si="36"/>
        <v>-44</v>
      </c>
      <c r="AA106" s="70"/>
      <c r="AB106" s="115" t="s">
        <v>74</v>
      </c>
      <c r="AC106" s="115" t="s">
        <v>13</v>
      </c>
      <c r="AD106" s="71" t="s">
        <v>501</v>
      </c>
      <c r="AE106" s="93" t="s">
        <v>502</v>
      </c>
      <c r="AF106" s="94"/>
      <c r="AG106" s="95"/>
      <c r="AH106" s="112" t="s">
        <v>16</v>
      </c>
      <c r="AI106" s="119">
        <v>46261</v>
      </c>
      <c r="AJ106" s="70">
        <v>3</v>
      </c>
      <c r="AK106" s="107" t="s">
        <v>505</v>
      </c>
      <c r="AL106" s="104">
        <f t="shared" si="37"/>
        <v>46353</v>
      </c>
      <c r="AM106" s="105">
        <f ca="1" t="shared" si="38"/>
        <v>40</v>
      </c>
      <c r="AN106" s="115"/>
      <c r="AO106" s="115"/>
      <c r="AP106" s="70"/>
      <c r="AQ106" s="71"/>
      <c r="AR106" s="93"/>
      <c r="AS106" s="94"/>
      <c r="AT106" s="95"/>
      <c r="AU106" s="152"/>
      <c r="AV106" s="119"/>
      <c r="AW106" s="115"/>
      <c r="AX106" s="107"/>
      <c r="AY106" s="104"/>
      <c r="AZ106" s="105"/>
    </row>
    <row r="107" s="58" customFormat="1" customHeight="1" spans="1:52">
      <c r="A107" s="70">
        <v>105</v>
      </c>
      <c r="B107" s="115" t="s">
        <v>74</v>
      </c>
      <c r="C107" s="115" t="s">
        <v>13</v>
      </c>
      <c r="D107" s="93" t="s">
        <v>506</v>
      </c>
      <c r="E107" s="127" t="s">
        <v>507</v>
      </c>
      <c r="F107" s="128"/>
      <c r="G107" s="129"/>
      <c r="H107" s="112" t="s">
        <v>16</v>
      </c>
      <c r="I107" s="102">
        <v>46029</v>
      </c>
      <c r="J107" s="70">
        <v>3</v>
      </c>
      <c r="K107" s="106" t="s">
        <v>508</v>
      </c>
      <c r="L107" s="104">
        <f t="shared" si="27"/>
        <v>46119</v>
      </c>
      <c r="M107" s="105">
        <f ca="1" t="shared" si="28"/>
        <v>-194</v>
      </c>
      <c r="N107" s="70"/>
      <c r="O107" s="115" t="s">
        <v>74</v>
      </c>
      <c r="P107" s="115" t="s">
        <v>13</v>
      </c>
      <c r="Q107" s="93" t="s">
        <v>506</v>
      </c>
      <c r="R107" s="127" t="s">
        <v>507</v>
      </c>
      <c r="S107" s="128"/>
      <c r="T107" s="129"/>
      <c r="U107" s="112" t="s">
        <v>16</v>
      </c>
      <c r="V107" s="119">
        <v>46176</v>
      </c>
      <c r="W107" s="115">
        <v>3</v>
      </c>
      <c r="X107" s="107" t="s">
        <v>509</v>
      </c>
      <c r="Y107" s="104">
        <f t="shared" si="35"/>
        <v>46268</v>
      </c>
      <c r="Z107" s="105">
        <f ca="1" t="shared" si="36"/>
        <v>-45</v>
      </c>
      <c r="AA107" s="70"/>
      <c r="AB107" s="115" t="s">
        <v>74</v>
      </c>
      <c r="AC107" s="115" t="s">
        <v>13</v>
      </c>
      <c r="AD107" s="93" t="s">
        <v>506</v>
      </c>
      <c r="AE107" s="127" t="s">
        <v>507</v>
      </c>
      <c r="AF107" s="128"/>
      <c r="AG107" s="129"/>
      <c r="AH107" s="112" t="s">
        <v>16</v>
      </c>
      <c r="AI107" s="119">
        <v>46272</v>
      </c>
      <c r="AJ107" s="115">
        <v>3</v>
      </c>
      <c r="AK107" s="107" t="s">
        <v>510</v>
      </c>
      <c r="AL107" s="104">
        <f t="shared" si="37"/>
        <v>46363</v>
      </c>
      <c r="AM107" s="105">
        <f ca="1" t="shared" si="38"/>
        <v>50</v>
      </c>
      <c r="AN107" s="115"/>
      <c r="AO107" s="115"/>
      <c r="AP107" s="115"/>
      <c r="AQ107" s="93"/>
      <c r="AR107" s="127"/>
      <c r="AS107" s="128"/>
      <c r="AT107" s="129"/>
      <c r="AU107" s="79"/>
      <c r="AV107" s="119"/>
      <c r="AW107" s="115"/>
      <c r="AX107" s="107"/>
      <c r="AY107" s="104"/>
      <c r="AZ107" s="105"/>
    </row>
    <row r="108" s="58" customFormat="1" customHeight="1" spans="1:52">
      <c r="A108" s="70">
        <v>106</v>
      </c>
      <c r="B108" s="115" t="s">
        <v>74</v>
      </c>
      <c r="C108" s="115" t="s">
        <v>13</v>
      </c>
      <c r="D108" s="93" t="s">
        <v>511</v>
      </c>
      <c r="E108" s="127" t="s">
        <v>512</v>
      </c>
      <c r="F108" s="128"/>
      <c r="G108" s="129"/>
      <c r="H108" s="112" t="s">
        <v>16</v>
      </c>
      <c r="I108" s="102">
        <v>46029</v>
      </c>
      <c r="J108" s="70">
        <v>3</v>
      </c>
      <c r="K108" s="106" t="s">
        <v>513</v>
      </c>
      <c r="L108" s="104">
        <f t="shared" si="27"/>
        <v>46119</v>
      </c>
      <c r="M108" s="105">
        <f ca="1" t="shared" si="28"/>
        <v>-194</v>
      </c>
      <c r="N108" s="70"/>
      <c r="O108" s="115" t="s">
        <v>74</v>
      </c>
      <c r="P108" s="115" t="s">
        <v>13</v>
      </c>
      <c r="Q108" s="93" t="s">
        <v>511</v>
      </c>
      <c r="R108" s="127" t="s">
        <v>512</v>
      </c>
      <c r="S108" s="128"/>
      <c r="T108" s="129"/>
      <c r="U108" s="112" t="s">
        <v>16</v>
      </c>
      <c r="V108" s="119">
        <v>46199</v>
      </c>
      <c r="W108" s="115">
        <v>3</v>
      </c>
      <c r="X108" s="107" t="s">
        <v>514</v>
      </c>
      <c r="Y108" s="104">
        <f t="shared" si="35"/>
        <v>46291</v>
      </c>
      <c r="Z108" s="105">
        <f ca="1" t="shared" si="36"/>
        <v>-22</v>
      </c>
      <c r="AA108" s="70"/>
      <c r="AB108" s="115"/>
      <c r="AC108" s="115"/>
      <c r="AD108" s="93"/>
      <c r="AE108" s="127"/>
      <c r="AF108" s="128"/>
      <c r="AG108" s="129"/>
      <c r="AH108" s="79"/>
      <c r="AI108" s="119"/>
      <c r="AJ108" s="115"/>
      <c r="AK108" s="107"/>
      <c r="AL108" s="104">
        <f t="shared" si="37"/>
        <v>0</v>
      </c>
      <c r="AM108" s="105">
        <f ca="1" t="shared" si="38"/>
        <v>-46313</v>
      </c>
      <c r="AN108" s="115"/>
      <c r="AO108" s="115"/>
      <c r="AP108" s="115"/>
      <c r="AQ108" s="93"/>
      <c r="AR108" s="127"/>
      <c r="AS108" s="128"/>
      <c r="AT108" s="129"/>
      <c r="AU108" s="79"/>
      <c r="AV108" s="119"/>
      <c r="AW108" s="115"/>
      <c r="AX108" s="107"/>
      <c r="AY108" s="104"/>
      <c r="AZ108" s="105"/>
    </row>
    <row r="109" s="58" customFormat="1" customHeight="1" spans="1:52">
      <c r="A109" s="70">
        <v>107</v>
      </c>
      <c r="B109" s="115" t="s">
        <v>74</v>
      </c>
      <c r="C109" s="115" t="s">
        <v>13</v>
      </c>
      <c r="D109" s="93" t="s">
        <v>515</v>
      </c>
      <c r="E109" s="127" t="s">
        <v>516</v>
      </c>
      <c r="F109" s="128"/>
      <c r="G109" s="129"/>
      <c r="H109" s="112" t="s">
        <v>16</v>
      </c>
      <c r="I109" s="102">
        <v>46029</v>
      </c>
      <c r="J109" s="70">
        <v>3</v>
      </c>
      <c r="K109" s="106" t="s">
        <v>517</v>
      </c>
      <c r="L109" s="104">
        <f t="shared" si="27"/>
        <v>46119</v>
      </c>
      <c r="M109" s="105">
        <f ca="1" t="shared" si="28"/>
        <v>-194</v>
      </c>
      <c r="N109" s="70"/>
      <c r="O109" s="115" t="s">
        <v>74</v>
      </c>
      <c r="P109" s="115" t="s">
        <v>13</v>
      </c>
      <c r="Q109" s="93" t="s">
        <v>515</v>
      </c>
      <c r="R109" s="127" t="s">
        <v>516</v>
      </c>
      <c r="S109" s="128"/>
      <c r="T109" s="129"/>
      <c r="U109" s="112" t="s">
        <v>16</v>
      </c>
      <c r="V109" s="119">
        <v>46151</v>
      </c>
      <c r="W109" s="115">
        <v>3</v>
      </c>
      <c r="X109" s="107" t="s">
        <v>518</v>
      </c>
      <c r="Y109" s="104">
        <f t="shared" si="35"/>
        <v>46243</v>
      </c>
      <c r="Z109" s="105">
        <f ca="1" t="shared" si="36"/>
        <v>-70</v>
      </c>
      <c r="AA109" s="70"/>
      <c r="AB109" s="115"/>
      <c r="AC109" s="115"/>
      <c r="AD109" s="93"/>
      <c r="AE109" s="127"/>
      <c r="AF109" s="128"/>
      <c r="AG109" s="129"/>
      <c r="AH109" s="79"/>
      <c r="AI109" s="119"/>
      <c r="AJ109" s="115"/>
      <c r="AK109" s="107"/>
      <c r="AL109" s="104">
        <f t="shared" si="37"/>
        <v>0</v>
      </c>
      <c r="AM109" s="105">
        <f ca="1" t="shared" si="38"/>
        <v>-46313</v>
      </c>
      <c r="AN109" s="115"/>
      <c r="AO109" s="115"/>
      <c r="AP109" s="115"/>
      <c r="AQ109" s="93"/>
      <c r="AR109" s="127"/>
      <c r="AS109" s="128"/>
      <c r="AT109" s="129"/>
      <c r="AU109" s="79"/>
      <c r="AV109" s="119"/>
      <c r="AW109" s="115"/>
      <c r="AX109" s="107"/>
      <c r="AY109" s="104"/>
      <c r="AZ109" s="105"/>
    </row>
    <row r="110" s="58" customFormat="1" customHeight="1" spans="1:52">
      <c r="A110" s="70">
        <v>108</v>
      </c>
      <c r="B110" s="115" t="s">
        <v>519</v>
      </c>
      <c r="C110" s="115" t="s">
        <v>38</v>
      </c>
      <c r="D110" s="93" t="s">
        <v>520</v>
      </c>
      <c r="E110" s="127" t="s">
        <v>189</v>
      </c>
      <c r="F110" s="128"/>
      <c r="G110" s="129"/>
      <c r="H110" s="112" t="s">
        <v>16</v>
      </c>
      <c r="I110" s="102">
        <v>46029</v>
      </c>
      <c r="J110" s="70">
        <v>3</v>
      </c>
      <c r="K110" s="106" t="s">
        <v>521</v>
      </c>
      <c r="L110" s="104">
        <f t="shared" si="27"/>
        <v>46119</v>
      </c>
      <c r="M110" s="105">
        <f ca="1" t="shared" si="28"/>
        <v>-194</v>
      </c>
      <c r="N110" s="70"/>
      <c r="O110" s="115" t="s">
        <v>519</v>
      </c>
      <c r="P110" s="115" t="s">
        <v>38</v>
      </c>
      <c r="Q110" s="93" t="s">
        <v>520</v>
      </c>
      <c r="R110" s="127" t="s">
        <v>189</v>
      </c>
      <c r="S110" s="128"/>
      <c r="T110" s="129"/>
      <c r="U110" s="112" t="s">
        <v>16</v>
      </c>
      <c r="V110" s="102">
        <v>46115</v>
      </c>
      <c r="W110" s="70">
        <v>3</v>
      </c>
      <c r="X110" s="103" t="s">
        <v>522</v>
      </c>
      <c r="Y110" s="104">
        <f t="shared" si="35"/>
        <v>46206</v>
      </c>
      <c r="Z110" s="105">
        <f ca="1" t="shared" si="36"/>
        <v>-107</v>
      </c>
      <c r="AA110" s="70"/>
      <c r="AB110" s="115" t="s">
        <v>519</v>
      </c>
      <c r="AC110" s="115" t="s">
        <v>38</v>
      </c>
      <c r="AD110" s="93" t="s">
        <v>520</v>
      </c>
      <c r="AE110" s="127" t="s">
        <v>189</v>
      </c>
      <c r="AF110" s="128"/>
      <c r="AG110" s="129"/>
      <c r="AH110" s="112" t="s">
        <v>16</v>
      </c>
      <c r="AI110" s="119">
        <v>46213</v>
      </c>
      <c r="AJ110" s="70">
        <v>3</v>
      </c>
      <c r="AK110" s="103" t="s">
        <v>523</v>
      </c>
      <c r="AL110" s="104">
        <f t="shared" si="37"/>
        <v>46305</v>
      </c>
      <c r="AM110" s="105">
        <f ca="1" t="shared" si="38"/>
        <v>-8</v>
      </c>
      <c r="AN110" s="115"/>
      <c r="AO110" s="115" t="s">
        <v>519</v>
      </c>
      <c r="AP110" s="115" t="s">
        <v>38</v>
      </c>
      <c r="AQ110" s="93" t="s">
        <v>520</v>
      </c>
      <c r="AR110" s="127" t="s">
        <v>189</v>
      </c>
      <c r="AS110" s="128"/>
      <c r="AT110" s="129"/>
      <c r="AU110" s="112" t="s">
        <v>16</v>
      </c>
      <c r="AV110" s="117">
        <v>46303</v>
      </c>
      <c r="AW110" s="115">
        <v>3</v>
      </c>
      <c r="AX110" s="106" t="s">
        <v>524</v>
      </c>
      <c r="AY110" s="104">
        <f t="shared" ref="AY110:AY137" si="39">EDATE(AV110,AW110)</f>
        <v>46395</v>
      </c>
      <c r="AZ110" s="105">
        <f ca="1" t="shared" ref="AZ110:AZ137" si="40">AY110-TODAY()</f>
        <v>82</v>
      </c>
    </row>
    <row r="111" s="58" customFormat="1" customHeight="1" spans="1:52">
      <c r="A111" s="70">
        <v>109</v>
      </c>
      <c r="B111" s="115" t="s">
        <v>519</v>
      </c>
      <c r="C111" s="115" t="s">
        <v>38</v>
      </c>
      <c r="D111" s="93" t="s">
        <v>525</v>
      </c>
      <c r="E111" s="93" t="s">
        <v>526</v>
      </c>
      <c r="F111" s="94"/>
      <c r="G111" s="95"/>
      <c r="H111" s="96"/>
      <c r="I111" s="102">
        <v>46029</v>
      </c>
      <c r="J111" s="70">
        <v>3</v>
      </c>
      <c r="K111" s="106" t="s">
        <v>527</v>
      </c>
      <c r="L111" s="104">
        <f t="shared" si="27"/>
        <v>46119</v>
      </c>
      <c r="M111" s="105">
        <f ca="1" t="shared" si="28"/>
        <v>-194</v>
      </c>
      <c r="N111" s="70"/>
      <c r="O111" s="115" t="s">
        <v>519</v>
      </c>
      <c r="P111" s="115" t="s">
        <v>38</v>
      </c>
      <c r="Q111" s="93" t="s">
        <v>525</v>
      </c>
      <c r="R111" s="93" t="s">
        <v>526</v>
      </c>
      <c r="S111" s="94"/>
      <c r="T111" s="95"/>
      <c r="U111" s="96"/>
      <c r="V111" s="102">
        <v>46115</v>
      </c>
      <c r="W111" s="115">
        <v>3</v>
      </c>
      <c r="X111" s="103" t="s">
        <v>528</v>
      </c>
      <c r="Y111" s="104">
        <f t="shared" si="35"/>
        <v>46206</v>
      </c>
      <c r="Z111" s="105">
        <f ca="1" t="shared" si="36"/>
        <v>-107</v>
      </c>
      <c r="AA111" s="70"/>
      <c r="AB111" s="115" t="s">
        <v>519</v>
      </c>
      <c r="AC111" s="115" t="s">
        <v>38</v>
      </c>
      <c r="AD111" s="93" t="s">
        <v>525</v>
      </c>
      <c r="AE111" s="93" t="s">
        <v>526</v>
      </c>
      <c r="AF111" s="94"/>
      <c r="AG111" s="95"/>
      <c r="AH111" s="96"/>
      <c r="AI111" s="119">
        <v>46212</v>
      </c>
      <c r="AJ111" s="115">
        <v>3</v>
      </c>
      <c r="AK111" s="107" t="s">
        <v>529</v>
      </c>
      <c r="AL111" s="104">
        <f t="shared" si="37"/>
        <v>46304</v>
      </c>
      <c r="AM111" s="105">
        <f ca="1" t="shared" si="38"/>
        <v>-9</v>
      </c>
      <c r="AN111" s="115"/>
      <c r="AO111" s="115" t="s">
        <v>519</v>
      </c>
      <c r="AP111" s="115" t="s">
        <v>38</v>
      </c>
      <c r="AQ111" s="93" t="s">
        <v>525</v>
      </c>
      <c r="AR111" s="93" t="s">
        <v>526</v>
      </c>
      <c r="AS111" s="94"/>
      <c r="AT111" s="95"/>
      <c r="AU111" s="96"/>
      <c r="AV111" s="119">
        <v>46303</v>
      </c>
      <c r="AW111" s="115">
        <v>3</v>
      </c>
      <c r="AX111" s="107" t="s">
        <v>530</v>
      </c>
      <c r="AY111" s="104">
        <f t="shared" si="39"/>
        <v>46395</v>
      </c>
      <c r="AZ111" s="105">
        <f ca="1" t="shared" si="40"/>
        <v>82</v>
      </c>
    </row>
    <row r="112" s="58" customFormat="1" customHeight="1" spans="1:52">
      <c r="A112" s="70">
        <v>110</v>
      </c>
      <c r="B112" s="115" t="s">
        <v>531</v>
      </c>
      <c r="C112" s="115" t="s">
        <v>264</v>
      </c>
      <c r="D112" s="93" t="s">
        <v>532</v>
      </c>
      <c r="E112" s="93" t="s">
        <v>533</v>
      </c>
      <c r="F112" s="94"/>
      <c r="G112" s="95"/>
      <c r="H112" s="96"/>
      <c r="I112" s="102">
        <v>46029</v>
      </c>
      <c r="J112" s="70">
        <v>3</v>
      </c>
      <c r="K112" s="106" t="s">
        <v>534</v>
      </c>
      <c r="L112" s="104">
        <f t="shared" si="27"/>
        <v>46119</v>
      </c>
      <c r="M112" s="105">
        <f ca="1" t="shared" si="28"/>
        <v>-194</v>
      </c>
      <c r="N112" s="70"/>
      <c r="O112" s="115"/>
      <c r="P112" s="115"/>
      <c r="Q112" s="93"/>
      <c r="R112" s="93"/>
      <c r="S112" s="94"/>
      <c r="T112" s="95"/>
      <c r="U112" s="146"/>
      <c r="V112" s="119"/>
      <c r="W112" s="115"/>
      <c r="X112" s="107"/>
      <c r="Y112" s="104">
        <f t="shared" ref="Y111:Y118" si="41">EDATE(V112,W112)</f>
        <v>0</v>
      </c>
      <c r="Z112" s="105">
        <f ca="1" t="shared" ref="Z111:Z118" si="42">Y112-TODAY()</f>
        <v>-46313</v>
      </c>
      <c r="AA112" s="70"/>
      <c r="AB112" s="115"/>
      <c r="AC112" s="115"/>
      <c r="AD112" s="93"/>
      <c r="AE112" s="93"/>
      <c r="AF112" s="94"/>
      <c r="AG112" s="95"/>
      <c r="AH112" s="79"/>
      <c r="AI112" s="119"/>
      <c r="AJ112" s="115"/>
      <c r="AK112" s="107"/>
      <c r="AL112" s="104">
        <f t="shared" si="37"/>
        <v>0</v>
      </c>
      <c r="AM112" s="105">
        <f ca="1" t="shared" si="38"/>
        <v>-46313</v>
      </c>
      <c r="AN112" s="115"/>
      <c r="AO112" s="115"/>
      <c r="AP112" s="115"/>
      <c r="AQ112" s="93"/>
      <c r="AR112" s="93"/>
      <c r="AS112" s="94"/>
      <c r="AT112" s="95"/>
      <c r="AU112" s="79"/>
      <c r="AV112" s="119"/>
      <c r="AW112" s="115"/>
      <c r="AX112" s="107"/>
      <c r="AY112" s="104">
        <f t="shared" si="39"/>
        <v>0</v>
      </c>
      <c r="AZ112" s="105">
        <f ca="1" t="shared" si="40"/>
        <v>-46313</v>
      </c>
    </row>
    <row r="113" s="58" customFormat="1" customHeight="1" spans="1:52">
      <c r="A113" s="70">
        <v>111</v>
      </c>
      <c r="B113" s="115" t="s">
        <v>535</v>
      </c>
      <c r="C113" s="115" t="s">
        <v>13</v>
      </c>
      <c r="D113" s="93" t="s">
        <v>536</v>
      </c>
      <c r="E113" s="93" t="s">
        <v>537</v>
      </c>
      <c r="F113" s="94"/>
      <c r="G113" s="95"/>
      <c r="H113" s="96"/>
      <c r="I113" s="102">
        <v>46029</v>
      </c>
      <c r="J113" s="70">
        <v>3</v>
      </c>
      <c r="K113" s="106" t="s">
        <v>538</v>
      </c>
      <c r="L113" s="104">
        <f t="shared" si="27"/>
        <v>46119</v>
      </c>
      <c r="M113" s="105">
        <f ca="1" t="shared" si="28"/>
        <v>-194</v>
      </c>
      <c r="N113" s="70"/>
      <c r="O113" s="115" t="s">
        <v>535</v>
      </c>
      <c r="P113" s="115" t="s">
        <v>13</v>
      </c>
      <c r="Q113" s="93" t="s">
        <v>536</v>
      </c>
      <c r="R113" s="93" t="s">
        <v>537</v>
      </c>
      <c r="S113" s="94"/>
      <c r="T113" s="95"/>
      <c r="U113" s="96"/>
      <c r="V113" s="119">
        <v>46126</v>
      </c>
      <c r="W113" s="115">
        <v>3</v>
      </c>
      <c r="X113" s="107" t="s">
        <v>539</v>
      </c>
      <c r="Y113" s="104">
        <f t="shared" si="41"/>
        <v>46217</v>
      </c>
      <c r="Z113" s="105">
        <f ca="1" t="shared" si="42"/>
        <v>-96</v>
      </c>
      <c r="AA113" s="70"/>
      <c r="AB113" s="115" t="s">
        <v>535</v>
      </c>
      <c r="AC113" s="115" t="s">
        <v>13</v>
      </c>
      <c r="AD113" s="93" t="s">
        <v>536</v>
      </c>
      <c r="AE113" s="93" t="s">
        <v>537</v>
      </c>
      <c r="AF113" s="94"/>
      <c r="AG113" s="95"/>
      <c r="AH113" s="96"/>
      <c r="AI113" s="119">
        <v>46210</v>
      </c>
      <c r="AJ113" s="115">
        <v>3</v>
      </c>
      <c r="AK113" s="107" t="s">
        <v>540</v>
      </c>
      <c r="AL113" s="104">
        <f t="shared" si="37"/>
        <v>46302</v>
      </c>
      <c r="AM113" s="105">
        <f ca="1" t="shared" si="38"/>
        <v>-11</v>
      </c>
      <c r="AN113" s="115"/>
      <c r="AO113" s="115"/>
      <c r="AP113" s="115"/>
      <c r="AQ113" s="93"/>
      <c r="AR113" s="93"/>
      <c r="AS113" s="94"/>
      <c r="AT113" s="95"/>
      <c r="AU113" s="79"/>
      <c r="AV113" s="119"/>
      <c r="AW113" s="115"/>
      <c r="AX113" s="107"/>
      <c r="AY113" s="104">
        <f t="shared" si="39"/>
        <v>0</v>
      </c>
      <c r="AZ113" s="105">
        <f ca="1" t="shared" si="40"/>
        <v>-46313</v>
      </c>
    </row>
    <row r="114" s="58" customFormat="1" customHeight="1" spans="1:52">
      <c r="A114" s="70">
        <v>112</v>
      </c>
      <c r="B114" s="115" t="s">
        <v>541</v>
      </c>
      <c r="C114" s="115" t="s">
        <v>374</v>
      </c>
      <c r="D114" s="93" t="s">
        <v>542</v>
      </c>
      <c r="E114" s="93" t="s">
        <v>543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544</v>
      </c>
      <c r="L114" s="104">
        <f t="shared" si="27"/>
        <v>46119</v>
      </c>
      <c r="M114" s="105">
        <f ca="1" t="shared" si="28"/>
        <v>-194</v>
      </c>
      <c r="N114" s="70"/>
      <c r="O114" s="115" t="s">
        <v>541</v>
      </c>
      <c r="P114" s="115" t="s">
        <v>374</v>
      </c>
      <c r="Q114" s="93" t="s">
        <v>542</v>
      </c>
      <c r="R114" s="93" t="s">
        <v>543</v>
      </c>
      <c r="S114" s="94"/>
      <c r="T114" s="95"/>
      <c r="U114" s="79" t="s">
        <v>16</v>
      </c>
      <c r="V114" s="119">
        <v>46243</v>
      </c>
      <c r="W114" s="115">
        <v>3</v>
      </c>
      <c r="X114" s="107" t="s">
        <v>545</v>
      </c>
      <c r="Y114" s="104">
        <f t="shared" si="41"/>
        <v>46335</v>
      </c>
      <c r="Z114" s="105">
        <f ca="1" t="shared" si="42"/>
        <v>22</v>
      </c>
      <c r="AA114" s="70"/>
      <c r="AB114" s="115"/>
      <c r="AC114" s="115"/>
      <c r="AD114" s="93"/>
      <c r="AE114" s="93"/>
      <c r="AF114" s="94"/>
      <c r="AG114" s="95"/>
      <c r="AH114" s="79"/>
      <c r="AI114" s="119"/>
      <c r="AJ114" s="115"/>
      <c r="AK114" s="107"/>
      <c r="AL114" s="104">
        <f t="shared" si="37"/>
        <v>0</v>
      </c>
      <c r="AM114" s="105">
        <f ca="1" t="shared" si="38"/>
        <v>-46313</v>
      </c>
      <c r="AN114" s="115"/>
      <c r="AO114" s="115"/>
      <c r="AP114" s="115"/>
      <c r="AQ114" s="93"/>
      <c r="AR114" s="93"/>
      <c r="AS114" s="94"/>
      <c r="AT114" s="95"/>
      <c r="AU114" s="79"/>
      <c r="AV114" s="119"/>
      <c r="AW114" s="115"/>
      <c r="AX114" s="107"/>
      <c r="AY114" s="104">
        <f t="shared" si="39"/>
        <v>0</v>
      </c>
      <c r="AZ114" s="105">
        <f ca="1" t="shared" si="40"/>
        <v>-46313</v>
      </c>
    </row>
    <row r="115" s="58" customFormat="1" customHeight="1" spans="1:52">
      <c r="A115" s="70">
        <v>113</v>
      </c>
      <c r="B115" s="115" t="s">
        <v>546</v>
      </c>
      <c r="C115" s="115" t="s">
        <v>374</v>
      </c>
      <c r="D115" s="93" t="s">
        <v>547</v>
      </c>
      <c r="E115" s="93" t="s">
        <v>548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549</v>
      </c>
      <c r="L115" s="104">
        <f t="shared" si="27"/>
        <v>46119</v>
      </c>
      <c r="M115" s="105">
        <f ca="1" t="shared" si="28"/>
        <v>-194</v>
      </c>
      <c r="N115" s="70"/>
      <c r="O115" s="115" t="s">
        <v>546</v>
      </c>
      <c r="P115" s="115" t="s">
        <v>374</v>
      </c>
      <c r="Q115" s="93" t="s">
        <v>547</v>
      </c>
      <c r="R115" s="93" t="s">
        <v>548</v>
      </c>
      <c r="S115" s="94"/>
      <c r="T115" s="95"/>
      <c r="U115" s="79" t="s">
        <v>16</v>
      </c>
      <c r="V115" s="119">
        <v>46134</v>
      </c>
      <c r="W115" s="115">
        <v>3</v>
      </c>
      <c r="X115" s="107" t="s">
        <v>550</v>
      </c>
      <c r="Y115" s="104">
        <f t="shared" si="41"/>
        <v>46225</v>
      </c>
      <c r="Z115" s="105">
        <f ca="1" t="shared" si="42"/>
        <v>-88</v>
      </c>
      <c r="AA115" s="70"/>
      <c r="AB115" s="115" t="s">
        <v>546</v>
      </c>
      <c r="AC115" s="115" t="s">
        <v>374</v>
      </c>
      <c r="AD115" s="93" t="s">
        <v>547</v>
      </c>
      <c r="AE115" s="93" t="s">
        <v>548</v>
      </c>
      <c r="AF115" s="94"/>
      <c r="AG115" s="95"/>
      <c r="AH115" s="79" t="s">
        <v>16</v>
      </c>
      <c r="AI115" s="119">
        <v>46232</v>
      </c>
      <c r="AJ115" s="115">
        <v>3</v>
      </c>
      <c r="AK115" s="107" t="s">
        <v>551</v>
      </c>
      <c r="AL115" s="104">
        <f t="shared" si="37"/>
        <v>46324</v>
      </c>
      <c r="AM115" s="105">
        <f ca="1" t="shared" si="38"/>
        <v>11</v>
      </c>
      <c r="AN115" s="115"/>
      <c r="AO115" s="115"/>
      <c r="AP115" s="115"/>
      <c r="AQ115" s="93"/>
      <c r="AR115" s="93"/>
      <c r="AS115" s="94"/>
      <c r="AT115" s="95"/>
      <c r="AU115" s="79"/>
      <c r="AV115" s="119"/>
      <c r="AW115" s="115"/>
      <c r="AX115" s="107"/>
      <c r="AY115" s="104">
        <f t="shared" si="39"/>
        <v>0</v>
      </c>
      <c r="AZ115" s="105">
        <f ca="1" t="shared" si="40"/>
        <v>-46313</v>
      </c>
    </row>
    <row r="116" s="58" customFormat="1" customHeight="1" spans="1:52">
      <c r="A116" s="70">
        <v>114</v>
      </c>
      <c r="B116" s="115" t="s">
        <v>546</v>
      </c>
      <c r="C116" s="115" t="s">
        <v>374</v>
      </c>
      <c r="D116" s="115" t="s">
        <v>552</v>
      </c>
      <c r="E116" s="93" t="s">
        <v>548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553</v>
      </c>
      <c r="L116" s="104">
        <f t="shared" si="27"/>
        <v>46119</v>
      </c>
      <c r="M116" s="105">
        <f ca="1" t="shared" si="28"/>
        <v>-194</v>
      </c>
      <c r="N116" s="70"/>
      <c r="O116" s="115" t="s">
        <v>546</v>
      </c>
      <c r="P116" s="115" t="s">
        <v>374</v>
      </c>
      <c r="Q116" s="115" t="s">
        <v>552</v>
      </c>
      <c r="R116" s="93" t="s">
        <v>548</v>
      </c>
      <c r="S116" s="94"/>
      <c r="T116" s="95"/>
      <c r="U116" s="79" t="s">
        <v>16</v>
      </c>
      <c r="V116" s="119">
        <v>46123</v>
      </c>
      <c r="W116" s="115">
        <v>3</v>
      </c>
      <c r="X116" s="107" t="s">
        <v>554</v>
      </c>
      <c r="Y116" s="104">
        <f t="shared" si="41"/>
        <v>46214</v>
      </c>
      <c r="Z116" s="105">
        <f ca="1" t="shared" si="42"/>
        <v>-99</v>
      </c>
      <c r="AA116" s="70"/>
      <c r="AB116" s="115" t="s">
        <v>546</v>
      </c>
      <c r="AC116" s="115" t="s">
        <v>374</v>
      </c>
      <c r="AD116" s="115" t="s">
        <v>552</v>
      </c>
      <c r="AE116" s="93" t="s">
        <v>548</v>
      </c>
      <c r="AF116" s="94"/>
      <c r="AG116" s="95"/>
      <c r="AH116" s="79" t="s">
        <v>16</v>
      </c>
      <c r="AI116" s="119">
        <v>46308</v>
      </c>
      <c r="AJ116" s="115">
        <v>3</v>
      </c>
      <c r="AK116" s="107"/>
      <c r="AL116" s="104">
        <f t="shared" si="37"/>
        <v>46400</v>
      </c>
      <c r="AM116" s="105">
        <f ca="1" t="shared" si="38"/>
        <v>87</v>
      </c>
      <c r="AN116" s="115"/>
      <c r="AO116" s="115"/>
      <c r="AP116" s="115"/>
      <c r="AQ116" s="115"/>
      <c r="AR116" s="93"/>
      <c r="AS116" s="94"/>
      <c r="AT116" s="95"/>
      <c r="AU116" s="79"/>
      <c r="AV116" s="119"/>
      <c r="AW116" s="115"/>
      <c r="AX116" s="107"/>
      <c r="AY116" s="104">
        <f t="shared" si="39"/>
        <v>0</v>
      </c>
      <c r="AZ116" s="105">
        <f ca="1" t="shared" si="40"/>
        <v>-46313</v>
      </c>
    </row>
    <row r="117" s="58" customFormat="1" customHeight="1" spans="1:52">
      <c r="A117" s="70">
        <v>115</v>
      </c>
      <c r="B117" s="115" t="s">
        <v>555</v>
      </c>
      <c r="C117" s="115" t="s">
        <v>374</v>
      </c>
      <c r="D117" s="139" t="s">
        <v>556</v>
      </c>
      <c r="E117" s="93" t="s">
        <v>557</v>
      </c>
      <c r="F117" s="94"/>
      <c r="G117" s="95"/>
      <c r="H117" s="75"/>
      <c r="I117" s="102">
        <v>46029</v>
      </c>
      <c r="J117" s="70">
        <v>3</v>
      </c>
      <c r="K117" s="106" t="s">
        <v>558</v>
      </c>
      <c r="L117" s="104">
        <f t="shared" si="27"/>
        <v>46119</v>
      </c>
      <c r="M117" s="105">
        <f ca="1" t="shared" si="28"/>
        <v>-194</v>
      </c>
      <c r="N117" s="70"/>
      <c r="O117" s="115" t="s">
        <v>555</v>
      </c>
      <c r="P117" s="115" t="s">
        <v>374</v>
      </c>
      <c r="Q117" s="139" t="s">
        <v>556</v>
      </c>
      <c r="R117" s="93" t="s">
        <v>557</v>
      </c>
      <c r="S117" s="94"/>
      <c r="T117" s="95"/>
      <c r="U117" s="75"/>
      <c r="V117" s="119">
        <v>46114</v>
      </c>
      <c r="W117" s="115">
        <v>3</v>
      </c>
      <c r="X117" s="107" t="s">
        <v>559</v>
      </c>
      <c r="Y117" s="104">
        <f t="shared" si="41"/>
        <v>46205</v>
      </c>
      <c r="Z117" s="105">
        <f ca="1" t="shared" si="42"/>
        <v>-108</v>
      </c>
      <c r="AA117" s="70"/>
      <c r="AB117" s="115" t="s">
        <v>555</v>
      </c>
      <c r="AC117" s="115" t="s">
        <v>374</v>
      </c>
      <c r="AD117" s="139" t="s">
        <v>556</v>
      </c>
      <c r="AE117" s="93" t="s">
        <v>557</v>
      </c>
      <c r="AF117" s="94"/>
      <c r="AG117" s="95"/>
      <c r="AH117" s="75"/>
      <c r="AI117" s="119">
        <v>46287</v>
      </c>
      <c r="AJ117" s="115">
        <v>3</v>
      </c>
      <c r="AK117" s="107" t="s">
        <v>560</v>
      </c>
      <c r="AL117" s="104">
        <f t="shared" ref="AL117:AL134" si="43">EDATE(AI117,AJ117)</f>
        <v>46378</v>
      </c>
      <c r="AM117" s="105">
        <f ca="1" t="shared" ref="AM117:AM134" si="44">AL117-TODAY()</f>
        <v>65</v>
      </c>
      <c r="AN117" s="115"/>
      <c r="AO117" s="115"/>
      <c r="AP117" s="115"/>
      <c r="AQ117" s="139"/>
      <c r="AR117" s="93"/>
      <c r="AS117" s="94"/>
      <c r="AT117" s="95"/>
      <c r="AU117" s="79"/>
      <c r="AV117" s="119"/>
      <c r="AW117" s="115"/>
      <c r="AX117" s="107"/>
      <c r="AY117" s="104">
        <f t="shared" si="39"/>
        <v>0</v>
      </c>
      <c r="AZ117" s="105">
        <f ca="1" t="shared" si="40"/>
        <v>-46313</v>
      </c>
    </row>
    <row r="118" s="58" customFormat="1" customHeight="1" spans="1:52">
      <c r="A118" s="70">
        <v>116</v>
      </c>
      <c r="B118" s="115" t="s">
        <v>561</v>
      </c>
      <c r="C118" s="115" t="s">
        <v>374</v>
      </c>
      <c r="D118" s="126" t="s">
        <v>562</v>
      </c>
      <c r="E118" s="93" t="s">
        <v>563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564</v>
      </c>
      <c r="L118" s="104">
        <f t="shared" si="27"/>
        <v>46119</v>
      </c>
      <c r="M118" s="105">
        <f ca="1" t="shared" si="28"/>
        <v>-194</v>
      </c>
      <c r="N118" s="70"/>
      <c r="O118" s="115" t="s">
        <v>561</v>
      </c>
      <c r="P118" s="115" t="s">
        <v>374</v>
      </c>
      <c r="Q118" s="126" t="s">
        <v>562</v>
      </c>
      <c r="R118" s="93" t="s">
        <v>563</v>
      </c>
      <c r="S118" s="94"/>
      <c r="T118" s="95"/>
      <c r="U118" s="79" t="s">
        <v>16</v>
      </c>
      <c r="V118" s="119">
        <v>46121</v>
      </c>
      <c r="W118" s="115">
        <v>3</v>
      </c>
      <c r="X118" s="107" t="s">
        <v>565</v>
      </c>
      <c r="Y118" s="104">
        <f t="shared" si="41"/>
        <v>46212</v>
      </c>
      <c r="Z118" s="105">
        <f ca="1" t="shared" si="42"/>
        <v>-101</v>
      </c>
      <c r="AA118" s="70"/>
      <c r="AB118" s="115" t="s">
        <v>561</v>
      </c>
      <c r="AC118" s="115" t="s">
        <v>374</v>
      </c>
      <c r="AD118" s="126" t="s">
        <v>562</v>
      </c>
      <c r="AE118" s="93" t="s">
        <v>563</v>
      </c>
      <c r="AF118" s="94"/>
      <c r="AG118" s="95"/>
      <c r="AH118" s="79" t="s">
        <v>16</v>
      </c>
      <c r="AI118" s="119">
        <v>46205</v>
      </c>
      <c r="AJ118" s="115">
        <v>3</v>
      </c>
      <c r="AK118" s="107" t="s">
        <v>566</v>
      </c>
      <c r="AL118" s="104">
        <f t="shared" si="43"/>
        <v>46297</v>
      </c>
      <c r="AM118" s="105">
        <f ca="1" t="shared" si="44"/>
        <v>-16</v>
      </c>
      <c r="AN118" s="115"/>
      <c r="AO118" s="115" t="s">
        <v>561</v>
      </c>
      <c r="AP118" s="115" t="s">
        <v>374</v>
      </c>
      <c r="AQ118" s="126" t="s">
        <v>562</v>
      </c>
      <c r="AR118" s="93" t="s">
        <v>563</v>
      </c>
      <c r="AS118" s="94"/>
      <c r="AT118" s="95"/>
      <c r="AU118" s="79" t="s">
        <v>16</v>
      </c>
      <c r="AV118" s="119">
        <v>46305</v>
      </c>
      <c r="AW118" s="115">
        <v>3</v>
      </c>
      <c r="AX118" s="107"/>
      <c r="AY118" s="104">
        <f t="shared" si="39"/>
        <v>46397</v>
      </c>
      <c r="AZ118" s="105">
        <f ca="1" t="shared" si="40"/>
        <v>84</v>
      </c>
    </row>
    <row r="119" s="58" customFormat="1" customHeight="1" spans="1:52">
      <c r="A119" s="70">
        <v>117</v>
      </c>
      <c r="B119" s="115" t="s">
        <v>561</v>
      </c>
      <c r="C119" s="115" t="s">
        <v>374</v>
      </c>
      <c r="D119" s="126" t="s">
        <v>567</v>
      </c>
      <c r="E119" s="93" t="s">
        <v>568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569</v>
      </c>
      <c r="L119" s="104">
        <f t="shared" si="27"/>
        <v>46119</v>
      </c>
      <c r="M119" s="105">
        <f ca="1" t="shared" si="28"/>
        <v>-194</v>
      </c>
      <c r="N119" s="70"/>
      <c r="O119" s="115"/>
      <c r="P119" s="115"/>
      <c r="Q119" s="126"/>
      <c r="R119" s="93"/>
      <c r="S119" s="94"/>
      <c r="T119" s="95"/>
      <c r="U119" s="75"/>
      <c r="V119" s="119"/>
      <c r="W119" s="115"/>
      <c r="X119" s="107"/>
      <c r="Y119" s="104">
        <f t="shared" ref="Y118:Y135" si="45">EDATE(V119,W119)</f>
        <v>0</v>
      </c>
      <c r="Z119" s="105">
        <f ca="1" t="shared" ref="Z118:Z135" si="46">Y119-TODAY()</f>
        <v>-46313</v>
      </c>
      <c r="AA119" s="70"/>
      <c r="AB119" s="115"/>
      <c r="AC119" s="107"/>
      <c r="AD119" s="126"/>
      <c r="AE119" s="93"/>
      <c r="AF119" s="94"/>
      <c r="AG119" s="95"/>
      <c r="AH119" s="79"/>
      <c r="AI119" s="119"/>
      <c r="AJ119" s="115"/>
      <c r="AK119" s="107"/>
      <c r="AL119" s="104">
        <f t="shared" si="43"/>
        <v>0</v>
      </c>
      <c r="AM119" s="105">
        <f ca="1" t="shared" si="44"/>
        <v>-46313</v>
      </c>
      <c r="AN119" s="115"/>
      <c r="AO119" s="115"/>
      <c r="AP119" s="107"/>
      <c r="AQ119" s="126"/>
      <c r="AR119" s="93"/>
      <c r="AS119" s="94"/>
      <c r="AT119" s="95"/>
      <c r="AU119" s="79"/>
      <c r="AV119" s="119"/>
      <c r="AW119" s="115"/>
      <c r="AX119" s="107"/>
      <c r="AY119" s="104">
        <f t="shared" si="39"/>
        <v>0</v>
      </c>
      <c r="AZ119" s="105">
        <f ca="1" t="shared" si="40"/>
        <v>-46313</v>
      </c>
    </row>
    <row r="120" s="58" customFormat="1" customHeight="1" spans="1:52">
      <c r="A120" s="70">
        <v>118</v>
      </c>
      <c r="B120" s="115" t="s">
        <v>570</v>
      </c>
      <c r="C120" s="115" t="s">
        <v>38</v>
      </c>
      <c r="D120" s="139" t="s">
        <v>571</v>
      </c>
      <c r="E120" s="93" t="s">
        <v>28</v>
      </c>
      <c r="F120" s="94"/>
      <c r="G120" s="95"/>
      <c r="H120" s="79" t="s">
        <v>16</v>
      </c>
      <c r="I120" s="102">
        <v>46030</v>
      </c>
      <c r="J120" s="115">
        <v>3</v>
      </c>
      <c r="K120" s="107" t="s">
        <v>572</v>
      </c>
      <c r="L120" s="104">
        <f t="shared" si="27"/>
        <v>46120</v>
      </c>
      <c r="M120" s="105">
        <f ca="1" t="shared" si="28"/>
        <v>-193</v>
      </c>
      <c r="N120" s="70"/>
      <c r="O120" s="115" t="s">
        <v>570</v>
      </c>
      <c r="P120" s="115" t="s">
        <v>38</v>
      </c>
      <c r="Q120" s="139" t="s">
        <v>571</v>
      </c>
      <c r="R120" s="93" t="s">
        <v>28</v>
      </c>
      <c r="S120" s="94"/>
      <c r="T120" s="95"/>
      <c r="U120" s="79" t="s">
        <v>16</v>
      </c>
      <c r="V120" s="119">
        <v>46155</v>
      </c>
      <c r="W120" s="115">
        <v>3</v>
      </c>
      <c r="X120" s="107" t="s">
        <v>573</v>
      </c>
      <c r="Y120" s="104">
        <f t="shared" si="45"/>
        <v>46247</v>
      </c>
      <c r="Z120" s="105">
        <f ca="1" t="shared" si="46"/>
        <v>-66</v>
      </c>
      <c r="AA120" s="70"/>
      <c r="AB120" s="115" t="s">
        <v>570</v>
      </c>
      <c r="AC120" s="115" t="s">
        <v>38</v>
      </c>
      <c r="AD120" s="139" t="s">
        <v>571</v>
      </c>
      <c r="AE120" s="93" t="s">
        <v>28</v>
      </c>
      <c r="AF120" s="94"/>
      <c r="AG120" s="95"/>
      <c r="AH120" s="79" t="s">
        <v>16</v>
      </c>
      <c r="AI120" s="119">
        <v>46246</v>
      </c>
      <c r="AJ120" s="115">
        <v>3</v>
      </c>
      <c r="AK120" s="107" t="s">
        <v>574</v>
      </c>
      <c r="AL120" s="104">
        <f t="shared" si="43"/>
        <v>46338</v>
      </c>
      <c r="AM120" s="105">
        <f ca="1" t="shared" si="44"/>
        <v>25</v>
      </c>
      <c r="AN120" s="115"/>
      <c r="AO120" s="115"/>
      <c r="AP120" s="115"/>
      <c r="AQ120" s="139"/>
      <c r="AR120" s="93"/>
      <c r="AS120" s="94"/>
      <c r="AT120" s="95"/>
      <c r="AU120" s="79"/>
      <c r="AV120" s="119"/>
      <c r="AW120" s="115"/>
      <c r="AX120" s="107"/>
      <c r="AY120" s="104">
        <f t="shared" si="39"/>
        <v>0</v>
      </c>
      <c r="AZ120" s="105">
        <f ca="1" t="shared" si="40"/>
        <v>-46313</v>
      </c>
    </row>
    <row r="121" s="58" customFormat="1" customHeight="1" spans="1:52">
      <c r="A121" s="70">
        <v>119</v>
      </c>
      <c r="B121" s="115" t="s">
        <v>12</v>
      </c>
      <c r="C121" s="115" t="s">
        <v>38</v>
      </c>
      <c r="D121" s="139" t="s">
        <v>575</v>
      </c>
      <c r="E121" s="93" t="s">
        <v>189</v>
      </c>
      <c r="F121" s="94"/>
      <c r="G121" s="95"/>
      <c r="H121" s="75"/>
      <c r="I121" s="102">
        <v>46030</v>
      </c>
      <c r="J121" s="115">
        <v>3</v>
      </c>
      <c r="K121" s="107" t="s">
        <v>576</v>
      </c>
      <c r="L121" s="104">
        <f t="shared" si="27"/>
        <v>46120</v>
      </c>
      <c r="M121" s="105">
        <f ca="1" t="shared" si="28"/>
        <v>-193</v>
      </c>
      <c r="N121" s="70"/>
      <c r="O121" s="115" t="s">
        <v>12</v>
      </c>
      <c r="P121" s="115" t="s">
        <v>38</v>
      </c>
      <c r="Q121" s="139" t="s">
        <v>575</v>
      </c>
      <c r="R121" s="93" t="s">
        <v>189</v>
      </c>
      <c r="S121" s="94"/>
      <c r="T121" s="95"/>
      <c r="U121" s="79" t="s">
        <v>16</v>
      </c>
      <c r="V121" s="119">
        <v>46127</v>
      </c>
      <c r="W121" s="115">
        <v>3</v>
      </c>
      <c r="X121" s="107" t="s">
        <v>577</v>
      </c>
      <c r="Y121" s="104">
        <f t="shared" si="45"/>
        <v>46218</v>
      </c>
      <c r="Z121" s="105">
        <f ca="1" t="shared" si="46"/>
        <v>-95</v>
      </c>
      <c r="AA121" s="70"/>
      <c r="AB121" s="115"/>
      <c r="AC121" s="115"/>
      <c r="AD121" s="139"/>
      <c r="AE121" s="93"/>
      <c r="AF121" s="94"/>
      <c r="AG121" s="95"/>
      <c r="AH121" s="79"/>
      <c r="AI121" s="119"/>
      <c r="AJ121" s="115"/>
      <c r="AK121" s="107"/>
      <c r="AL121" s="104">
        <f t="shared" si="43"/>
        <v>0</v>
      </c>
      <c r="AM121" s="105">
        <f ca="1" t="shared" si="44"/>
        <v>-46313</v>
      </c>
      <c r="AN121" s="115"/>
      <c r="AO121" s="115"/>
      <c r="AP121" s="147"/>
      <c r="AQ121" s="139"/>
      <c r="AR121" s="93"/>
      <c r="AS121" s="94"/>
      <c r="AT121" s="95"/>
      <c r="AU121" s="79"/>
      <c r="AV121" s="119"/>
      <c r="AW121" s="115"/>
      <c r="AX121" s="107"/>
      <c r="AY121" s="104">
        <f t="shared" si="39"/>
        <v>0</v>
      </c>
      <c r="AZ121" s="105">
        <f ca="1" t="shared" si="40"/>
        <v>-46313</v>
      </c>
    </row>
    <row r="122" s="58" customFormat="1" customHeight="1" spans="1:52">
      <c r="A122" s="70">
        <v>120</v>
      </c>
      <c r="B122" s="115" t="s">
        <v>229</v>
      </c>
      <c r="C122" s="115" t="s">
        <v>13</v>
      </c>
      <c r="D122" s="139" t="s">
        <v>578</v>
      </c>
      <c r="E122" s="93" t="s">
        <v>126</v>
      </c>
      <c r="F122" s="94"/>
      <c r="G122" s="95"/>
      <c r="H122" s="75"/>
      <c r="I122" s="102">
        <v>46030</v>
      </c>
      <c r="J122" s="115">
        <v>3</v>
      </c>
      <c r="K122" s="107" t="s">
        <v>579</v>
      </c>
      <c r="L122" s="104">
        <f t="shared" si="27"/>
        <v>46120</v>
      </c>
      <c r="M122" s="105">
        <f ca="1" t="shared" si="28"/>
        <v>-193</v>
      </c>
      <c r="N122" s="70"/>
      <c r="O122" s="115" t="s">
        <v>229</v>
      </c>
      <c r="P122" s="115" t="s">
        <v>13</v>
      </c>
      <c r="Q122" s="139" t="s">
        <v>578</v>
      </c>
      <c r="R122" s="93" t="s">
        <v>126</v>
      </c>
      <c r="S122" s="94"/>
      <c r="T122" s="95"/>
      <c r="U122" s="75"/>
      <c r="V122" s="119">
        <v>46241</v>
      </c>
      <c r="W122" s="115">
        <v>3</v>
      </c>
      <c r="X122" s="107" t="s">
        <v>580</v>
      </c>
      <c r="Y122" s="104">
        <f t="shared" si="45"/>
        <v>46333</v>
      </c>
      <c r="Z122" s="105">
        <f ca="1" t="shared" si="46"/>
        <v>20</v>
      </c>
      <c r="AA122" s="70"/>
      <c r="AB122" s="115"/>
      <c r="AC122" s="115"/>
      <c r="AD122" s="139"/>
      <c r="AE122" s="93"/>
      <c r="AF122" s="94"/>
      <c r="AG122" s="95"/>
      <c r="AH122" s="79"/>
      <c r="AI122" s="119"/>
      <c r="AJ122" s="115"/>
      <c r="AK122" s="107"/>
      <c r="AL122" s="104">
        <f t="shared" si="43"/>
        <v>0</v>
      </c>
      <c r="AM122" s="105">
        <f ca="1" t="shared" si="44"/>
        <v>-46313</v>
      </c>
      <c r="AN122" s="115"/>
      <c r="AO122" s="115"/>
      <c r="AP122" s="115"/>
      <c r="AQ122" s="139"/>
      <c r="AR122" s="93"/>
      <c r="AS122" s="94"/>
      <c r="AT122" s="95"/>
      <c r="AU122" s="79"/>
      <c r="AV122" s="119"/>
      <c r="AW122" s="115"/>
      <c r="AX122" s="107"/>
      <c r="AY122" s="104">
        <f t="shared" si="39"/>
        <v>0</v>
      </c>
      <c r="AZ122" s="105">
        <f ca="1" t="shared" si="40"/>
        <v>-46313</v>
      </c>
    </row>
    <row r="123" s="58" customFormat="1" customHeight="1" spans="1:52">
      <c r="A123" s="70">
        <v>121</v>
      </c>
      <c r="B123" s="115" t="s">
        <v>229</v>
      </c>
      <c r="C123" s="115" t="s">
        <v>13</v>
      </c>
      <c r="D123" s="139" t="s">
        <v>581</v>
      </c>
      <c r="E123" s="93" t="s">
        <v>136</v>
      </c>
      <c r="F123" s="94"/>
      <c r="G123" s="95"/>
      <c r="H123" s="75"/>
      <c r="I123" s="102">
        <v>46030</v>
      </c>
      <c r="J123" s="115">
        <v>3</v>
      </c>
      <c r="K123" s="107" t="s">
        <v>582</v>
      </c>
      <c r="L123" s="104">
        <f t="shared" si="27"/>
        <v>46120</v>
      </c>
      <c r="M123" s="105">
        <f ca="1" t="shared" si="28"/>
        <v>-193</v>
      </c>
      <c r="N123" s="70"/>
      <c r="O123" s="115" t="s">
        <v>229</v>
      </c>
      <c r="P123" s="115" t="s">
        <v>13</v>
      </c>
      <c r="Q123" s="139" t="s">
        <v>581</v>
      </c>
      <c r="R123" s="93" t="s">
        <v>136</v>
      </c>
      <c r="S123" s="94"/>
      <c r="T123" s="95"/>
      <c r="U123" s="75"/>
      <c r="V123" s="119">
        <v>46124</v>
      </c>
      <c r="W123" s="115">
        <v>3</v>
      </c>
      <c r="X123" s="107" t="s">
        <v>583</v>
      </c>
      <c r="Y123" s="104">
        <f t="shared" si="45"/>
        <v>46215</v>
      </c>
      <c r="Z123" s="105">
        <f ca="1" t="shared" si="46"/>
        <v>-98</v>
      </c>
      <c r="AA123" s="70"/>
      <c r="AB123" s="115"/>
      <c r="AC123" s="147"/>
      <c r="AD123" s="139"/>
      <c r="AE123" s="93"/>
      <c r="AF123" s="94"/>
      <c r="AG123" s="95"/>
      <c r="AH123" s="79"/>
      <c r="AI123" s="119"/>
      <c r="AJ123" s="115"/>
      <c r="AK123" s="107"/>
      <c r="AL123" s="104">
        <f t="shared" si="43"/>
        <v>0</v>
      </c>
      <c r="AM123" s="105">
        <f ca="1" t="shared" si="44"/>
        <v>-46313</v>
      </c>
      <c r="AN123" s="115"/>
      <c r="AO123" s="115"/>
      <c r="AP123" s="147"/>
      <c r="AQ123" s="139"/>
      <c r="AR123" s="93"/>
      <c r="AS123" s="94"/>
      <c r="AT123" s="95"/>
      <c r="AU123" s="79"/>
      <c r="AV123" s="119"/>
      <c r="AW123" s="115"/>
      <c r="AX123" s="107"/>
      <c r="AY123" s="104">
        <f t="shared" si="39"/>
        <v>0</v>
      </c>
      <c r="AZ123" s="105">
        <f ca="1" t="shared" si="40"/>
        <v>-46313</v>
      </c>
    </row>
    <row r="124" s="58" customFormat="1" customHeight="1" spans="1:52">
      <c r="A124" s="70">
        <v>122</v>
      </c>
      <c r="B124" s="115" t="s">
        <v>229</v>
      </c>
      <c r="C124" s="115" t="s">
        <v>13</v>
      </c>
      <c r="D124" s="139" t="s">
        <v>584</v>
      </c>
      <c r="E124" s="93" t="s">
        <v>76</v>
      </c>
      <c r="F124" s="94"/>
      <c r="G124" s="95"/>
      <c r="H124" s="75"/>
      <c r="I124" s="102">
        <v>46030</v>
      </c>
      <c r="J124" s="115">
        <v>3</v>
      </c>
      <c r="K124" s="107" t="s">
        <v>585</v>
      </c>
      <c r="L124" s="104">
        <f t="shared" si="27"/>
        <v>46120</v>
      </c>
      <c r="M124" s="105">
        <f ca="1" t="shared" si="28"/>
        <v>-193</v>
      </c>
      <c r="N124" s="70"/>
      <c r="O124" s="115" t="s">
        <v>229</v>
      </c>
      <c r="P124" s="115" t="s">
        <v>13</v>
      </c>
      <c r="Q124" s="139" t="s">
        <v>584</v>
      </c>
      <c r="R124" s="93" t="s">
        <v>76</v>
      </c>
      <c r="S124" s="94"/>
      <c r="T124" s="95"/>
      <c r="U124" s="75"/>
      <c r="V124" s="119">
        <v>46160</v>
      </c>
      <c r="W124" s="115">
        <v>3</v>
      </c>
      <c r="X124" s="107" t="s">
        <v>586</v>
      </c>
      <c r="Y124" s="104">
        <f t="shared" si="45"/>
        <v>46252</v>
      </c>
      <c r="Z124" s="105">
        <f ca="1" t="shared" si="46"/>
        <v>-61</v>
      </c>
      <c r="AA124" s="70"/>
      <c r="AB124" s="115" t="s">
        <v>229</v>
      </c>
      <c r="AC124" s="115" t="s">
        <v>13</v>
      </c>
      <c r="AD124" s="139" t="s">
        <v>584</v>
      </c>
      <c r="AE124" s="93" t="s">
        <v>76</v>
      </c>
      <c r="AF124" s="94"/>
      <c r="AG124" s="95"/>
      <c r="AH124" s="75"/>
      <c r="AI124" s="119">
        <v>46241</v>
      </c>
      <c r="AJ124" s="115">
        <v>3</v>
      </c>
      <c r="AK124" s="107" t="s">
        <v>587</v>
      </c>
      <c r="AL124" s="104">
        <f t="shared" si="43"/>
        <v>46333</v>
      </c>
      <c r="AM124" s="105">
        <f ca="1" t="shared" si="44"/>
        <v>20</v>
      </c>
      <c r="AN124" s="115"/>
      <c r="AO124" s="115"/>
      <c r="AP124" s="147"/>
      <c r="AQ124" s="139"/>
      <c r="AR124" s="93"/>
      <c r="AS124" s="94"/>
      <c r="AT124" s="95"/>
      <c r="AU124" s="79"/>
      <c r="AV124" s="119"/>
      <c r="AW124" s="115"/>
      <c r="AX124" s="107"/>
      <c r="AY124" s="104">
        <f t="shared" si="39"/>
        <v>0</v>
      </c>
      <c r="AZ124" s="105">
        <f ca="1" t="shared" si="40"/>
        <v>-46313</v>
      </c>
    </row>
    <row r="125" s="58" customFormat="1" customHeight="1" spans="1:52">
      <c r="A125" s="70">
        <v>123</v>
      </c>
      <c r="B125" s="115" t="s">
        <v>229</v>
      </c>
      <c r="C125" s="115" t="s">
        <v>38</v>
      </c>
      <c r="D125" s="139" t="s">
        <v>588</v>
      </c>
      <c r="E125" s="93" t="s">
        <v>589</v>
      </c>
      <c r="F125" s="94"/>
      <c r="G125" s="95"/>
      <c r="H125" s="75"/>
      <c r="I125" s="102">
        <v>46030</v>
      </c>
      <c r="J125" s="115">
        <v>3</v>
      </c>
      <c r="K125" s="107" t="s">
        <v>590</v>
      </c>
      <c r="L125" s="104">
        <f t="shared" si="27"/>
        <v>46120</v>
      </c>
      <c r="M125" s="105">
        <f ca="1" t="shared" si="28"/>
        <v>-193</v>
      </c>
      <c r="N125" s="70"/>
      <c r="O125" s="115" t="s">
        <v>229</v>
      </c>
      <c r="P125" s="115" t="s">
        <v>38</v>
      </c>
      <c r="Q125" s="139" t="s">
        <v>588</v>
      </c>
      <c r="R125" s="93" t="s">
        <v>589</v>
      </c>
      <c r="S125" s="94"/>
      <c r="T125" s="95"/>
      <c r="U125" s="75"/>
      <c r="V125" s="119">
        <v>46241</v>
      </c>
      <c r="W125" s="115">
        <v>3</v>
      </c>
      <c r="X125" s="107" t="s">
        <v>591</v>
      </c>
      <c r="Y125" s="104">
        <f t="shared" si="45"/>
        <v>46333</v>
      </c>
      <c r="Z125" s="105">
        <f ca="1" t="shared" si="46"/>
        <v>20</v>
      </c>
      <c r="AA125" s="70"/>
      <c r="AB125" s="115"/>
      <c r="AC125" s="147"/>
      <c r="AD125" s="139"/>
      <c r="AE125" s="93"/>
      <c r="AF125" s="94"/>
      <c r="AG125" s="95"/>
      <c r="AH125" s="79"/>
      <c r="AI125" s="119"/>
      <c r="AJ125" s="115"/>
      <c r="AK125" s="107"/>
      <c r="AL125" s="104">
        <f t="shared" si="43"/>
        <v>0</v>
      </c>
      <c r="AM125" s="105">
        <f ca="1" t="shared" si="44"/>
        <v>-46313</v>
      </c>
      <c r="AN125" s="115"/>
      <c r="AO125" s="115"/>
      <c r="AP125" s="147"/>
      <c r="AQ125" s="139"/>
      <c r="AR125" s="93"/>
      <c r="AS125" s="94"/>
      <c r="AT125" s="95"/>
      <c r="AU125" s="79"/>
      <c r="AV125" s="119"/>
      <c r="AW125" s="115"/>
      <c r="AX125" s="107"/>
      <c r="AY125" s="104">
        <f t="shared" si="39"/>
        <v>0</v>
      </c>
      <c r="AZ125" s="105">
        <f ca="1" t="shared" si="40"/>
        <v>-46313</v>
      </c>
    </row>
    <row r="126" customHeight="1" spans="1:52">
      <c r="A126" s="70">
        <v>124</v>
      </c>
      <c r="B126" s="115" t="s">
        <v>229</v>
      </c>
      <c r="C126" s="115" t="s">
        <v>38</v>
      </c>
      <c r="D126" s="140" t="s">
        <v>592</v>
      </c>
      <c r="E126" s="93" t="s">
        <v>593</v>
      </c>
      <c r="F126" s="94"/>
      <c r="G126" s="95"/>
      <c r="H126" s="75"/>
      <c r="I126" s="102">
        <v>46030</v>
      </c>
      <c r="J126" s="115">
        <v>3</v>
      </c>
      <c r="K126" s="107" t="s">
        <v>594</v>
      </c>
      <c r="L126" s="104">
        <f t="shared" si="27"/>
        <v>46120</v>
      </c>
      <c r="M126" s="105">
        <f ca="1" t="shared" si="28"/>
        <v>-193</v>
      </c>
      <c r="N126" s="70"/>
      <c r="O126" s="115" t="s">
        <v>229</v>
      </c>
      <c r="P126" s="115" t="s">
        <v>38</v>
      </c>
      <c r="Q126" s="140" t="s">
        <v>592</v>
      </c>
      <c r="R126" s="93" t="s">
        <v>593</v>
      </c>
      <c r="S126" s="94"/>
      <c r="T126" s="95"/>
      <c r="U126" s="75"/>
      <c r="V126" s="119">
        <v>46241</v>
      </c>
      <c r="W126" s="115">
        <v>3</v>
      </c>
      <c r="X126" s="107" t="s">
        <v>595</v>
      </c>
      <c r="Y126" s="104">
        <f t="shared" si="45"/>
        <v>46333</v>
      </c>
      <c r="Z126" s="105">
        <f ca="1" t="shared" si="46"/>
        <v>20</v>
      </c>
      <c r="AA126" s="70"/>
      <c r="AB126" s="70"/>
      <c r="AC126" s="140"/>
      <c r="AD126" s="140"/>
      <c r="AE126" s="71"/>
      <c r="AF126" s="72"/>
      <c r="AG126" s="73"/>
      <c r="AH126" s="79"/>
      <c r="AI126" s="119"/>
      <c r="AJ126" s="70"/>
      <c r="AK126" s="107"/>
      <c r="AL126" s="104">
        <f t="shared" si="43"/>
        <v>0</v>
      </c>
      <c r="AM126" s="105">
        <f ca="1" t="shared" si="44"/>
        <v>-46313</v>
      </c>
      <c r="AN126" s="115"/>
      <c r="AO126" s="70"/>
      <c r="AP126" s="140"/>
      <c r="AQ126" s="140"/>
      <c r="AR126" s="71"/>
      <c r="AS126" s="72"/>
      <c r="AT126" s="73"/>
      <c r="AU126" s="79"/>
      <c r="AV126" s="119"/>
      <c r="AW126" s="115"/>
      <c r="AX126" s="107"/>
      <c r="AY126" s="104">
        <f t="shared" si="39"/>
        <v>0</v>
      </c>
      <c r="AZ126" s="105">
        <f ca="1" t="shared" si="40"/>
        <v>-46313</v>
      </c>
    </row>
    <row r="127" customHeight="1" spans="1:52">
      <c r="A127" s="70">
        <v>125</v>
      </c>
      <c r="B127" s="115" t="s">
        <v>229</v>
      </c>
      <c r="C127" s="115" t="s">
        <v>38</v>
      </c>
      <c r="D127" s="141" t="s">
        <v>596</v>
      </c>
      <c r="E127" s="71" t="s">
        <v>597</v>
      </c>
      <c r="F127" s="72"/>
      <c r="G127" s="73"/>
      <c r="H127" s="75"/>
      <c r="I127" s="102">
        <v>46030</v>
      </c>
      <c r="J127" s="115">
        <v>3</v>
      </c>
      <c r="K127" s="107" t="s">
        <v>598</v>
      </c>
      <c r="L127" s="104">
        <f t="shared" si="27"/>
        <v>46120</v>
      </c>
      <c r="M127" s="105">
        <f ca="1" t="shared" si="28"/>
        <v>-193</v>
      </c>
      <c r="N127" s="70"/>
      <c r="O127" s="115" t="s">
        <v>229</v>
      </c>
      <c r="P127" s="115" t="s">
        <v>38</v>
      </c>
      <c r="Q127" s="141" t="s">
        <v>596</v>
      </c>
      <c r="R127" s="71" t="s">
        <v>597</v>
      </c>
      <c r="S127" s="72"/>
      <c r="T127" s="73"/>
      <c r="U127" s="75"/>
      <c r="V127" s="119">
        <v>46241</v>
      </c>
      <c r="W127" s="70">
        <v>3</v>
      </c>
      <c r="X127" s="107" t="s">
        <v>599</v>
      </c>
      <c r="Y127" s="104">
        <f t="shared" si="45"/>
        <v>46333</v>
      </c>
      <c r="Z127" s="105">
        <f ca="1" t="shared" si="46"/>
        <v>20</v>
      </c>
      <c r="AA127" s="70"/>
      <c r="AB127" s="70"/>
      <c r="AC127" s="140"/>
      <c r="AD127" s="141"/>
      <c r="AE127" s="71"/>
      <c r="AF127" s="72"/>
      <c r="AG127" s="73"/>
      <c r="AH127" s="79"/>
      <c r="AI127" s="119"/>
      <c r="AJ127" s="70"/>
      <c r="AK127" s="107"/>
      <c r="AL127" s="104">
        <f t="shared" si="43"/>
        <v>0</v>
      </c>
      <c r="AM127" s="105">
        <f ca="1" t="shared" si="44"/>
        <v>-46313</v>
      </c>
      <c r="AN127" s="115"/>
      <c r="AO127" s="70"/>
      <c r="AP127" s="140"/>
      <c r="AQ127" s="141"/>
      <c r="AR127" s="71"/>
      <c r="AS127" s="72"/>
      <c r="AT127" s="73"/>
      <c r="AU127" s="79"/>
      <c r="AV127" s="119"/>
      <c r="AW127" s="115"/>
      <c r="AX127" s="107"/>
      <c r="AY127" s="104">
        <f t="shared" si="39"/>
        <v>0</v>
      </c>
      <c r="AZ127" s="105">
        <f ca="1" t="shared" si="40"/>
        <v>-46313</v>
      </c>
    </row>
    <row r="128" customHeight="1" spans="1:52">
      <c r="A128" s="70">
        <v>126</v>
      </c>
      <c r="B128" s="115" t="s">
        <v>229</v>
      </c>
      <c r="C128" s="115" t="s">
        <v>38</v>
      </c>
      <c r="D128" s="141" t="s">
        <v>600</v>
      </c>
      <c r="E128" s="71" t="s">
        <v>40</v>
      </c>
      <c r="F128" s="72"/>
      <c r="G128" s="73"/>
      <c r="H128" s="75"/>
      <c r="I128" s="102">
        <v>46030</v>
      </c>
      <c r="J128" s="115">
        <v>3</v>
      </c>
      <c r="K128" s="107" t="s">
        <v>601</v>
      </c>
      <c r="L128" s="104">
        <f t="shared" si="27"/>
        <v>46120</v>
      </c>
      <c r="M128" s="105">
        <f ca="1" t="shared" si="28"/>
        <v>-193</v>
      </c>
      <c r="N128" s="70"/>
      <c r="O128" s="115" t="s">
        <v>229</v>
      </c>
      <c r="P128" s="115" t="s">
        <v>38</v>
      </c>
      <c r="Q128" s="141" t="s">
        <v>600</v>
      </c>
      <c r="R128" s="71" t="s">
        <v>40</v>
      </c>
      <c r="S128" s="72"/>
      <c r="T128" s="73"/>
      <c r="U128" s="75"/>
      <c r="V128" s="119">
        <v>46241</v>
      </c>
      <c r="W128" s="70">
        <v>3</v>
      </c>
      <c r="X128" s="107" t="s">
        <v>602</v>
      </c>
      <c r="Y128" s="104">
        <f t="shared" si="45"/>
        <v>46333</v>
      </c>
      <c r="Z128" s="105">
        <f ca="1" t="shared" si="46"/>
        <v>20</v>
      </c>
      <c r="AA128" s="70"/>
      <c r="AB128" s="70"/>
      <c r="AC128" s="140"/>
      <c r="AD128" s="141"/>
      <c r="AE128" s="71"/>
      <c r="AF128" s="72"/>
      <c r="AG128" s="73"/>
      <c r="AH128" s="79"/>
      <c r="AI128" s="119"/>
      <c r="AJ128" s="70"/>
      <c r="AK128" s="107"/>
      <c r="AL128" s="104">
        <f t="shared" si="43"/>
        <v>0</v>
      </c>
      <c r="AM128" s="105">
        <f ca="1" t="shared" si="44"/>
        <v>-46313</v>
      </c>
      <c r="AN128" s="115"/>
      <c r="AO128" s="115"/>
      <c r="AP128" s="147"/>
      <c r="AQ128" s="139"/>
      <c r="AR128" s="93"/>
      <c r="AS128" s="94"/>
      <c r="AT128" s="95"/>
      <c r="AU128" s="79"/>
      <c r="AV128" s="119"/>
      <c r="AW128" s="115"/>
      <c r="AX128" s="107"/>
      <c r="AY128" s="104">
        <f t="shared" si="39"/>
        <v>0</v>
      </c>
      <c r="AZ128" s="105">
        <f ca="1" t="shared" si="40"/>
        <v>-46313</v>
      </c>
    </row>
    <row r="129" customHeight="1" spans="1:52">
      <c r="A129" s="70">
        <v>127</v>
      </c>
      <c r="B129" s="115" t="s">
        <v>229</v>
      </c>
      <c r="C129" s="147" t="s">
        <v>13</v>
      </c>
      <c r="D129" s="141" t="s">
        <v>603</v>
      </c>
      <c r="E129" s="71" t="s">
        <v>604</v>
      </c>
      <c r="F129" s="72"/>
      <c r="G129" s="73"/>
      <c r="H129" s="79" t="s">
        <v>16</v>
      </c>
      <c r="I129" s="102">
        <v>46030</v>
      </c>
      <c r="J129" s="115">
        <v>3</v>
      </c>
      <c r="K129" s="107" t="s">
        <v>605</v>
      </c>
      <c r="L129" s="104">
        <f t="shared" si="27"/>
        <v>46120</v>
      </c>
      <c r="M129" s="105">
        <f ca="1" t="shared" si="28"/>
        <v>-193</v>
      </c>
      <c r="N129" s="70"/>
      <c r="O129" s="115" t="s">
        <v>229</v>
      </c>
      <c r="P129" s="147" t="s">
        <v>13</v>
      </c>
      <c r="Q129" s="141" t="s">
        <v>603</v>
      </c>
      <c r="R129" s="71" t="s">
        <v>604</v>
      </c>
      <c r="S129" s="72"/>
      <c r="T129" s="73"/>
      <c r="U129" s="79" t="s">
        <v>16</v>
      </c>
      <c r="V129" s="119">
        <v>47219</v>
      </c>
      <c r="W129" s="70">
        <v>3</v>
      </c>
      <c r="X129" s="107" t="s">
        <v>606</v>
      </c>
      <c r="Y129" s="104">
        <f t="shared" si="45"/>
        <v>47310</v>
      </c>
      <c r="Z129" s="105">
        <f ca="1" t="shared" si="46"/>
        <v>997</v>
      </c>
      <c r="AA129" s="70"/>
      <c r="AB129" s="70"/>
      <c r="AC129" s="140"/>
      <c r="AD129" s="141"/>
      <c r="AE129" s="71"/>
      <c r="AF129" s="72"/>
      <c r="AG129" s="73"/>
      <c r="AH129" s="79"/>
      <c r="AI129" s="119"/>
      <c r="AJ129" s="70"/>
      <c r="AK129" s="107"/>
      <c r="AL129" s="104">
        <f t="shared" si="43"/>
        <v>0</v>
      </c>
      <c r="AM129" s="105">
        <f ca="1" t="shared" si="44"/>
        <v>-46313</v>
      </c>
      <c r="AN129" s="115"/>
      <c r="AO129" s="115"/>
      <c r="AP129" s="147"/>
      <c r="AQ129" s="139"/>
      <c r="AR129" s="93"/>
      <c r="AS129" s="94"/>
      <c r="AT129" s="95"/>
      <c r="AU129" s="79"/>
      <c r="AV129" s="119"/>
      <c r="AW129" s="115"/>
      <c r="AX129" s="107"/>
      <c r="AY129" s="104">
        <f t="shared" si="39"/>
        <v>0</v>
      </c>
      <c r="AZ129" s="105">
        <f ca="1" t="shared" si="40"/>
        <v>-46313</v>
      </c>
    </row>
    <row r="130" customHeight="1" spans="1:52">
      <c r="A130" s="70">
        <v>128</v>
      </c>
      <c r="B130" s="115" t="s">
        <v>229</v>
      </c>
      <c r="C130" s="147" t="s">
        <v>13</v>
      </c>
      <c r="D130" s="141" t="s">
        <v>607</v>
      </c>
      <c r="E130" s="71" t="s">
        <v>88</v>
      </c>
      <c r="F130" s="72"/>
      <c r="G130" s="73"/>
      <c r="H130" s="79" t="s">
        <v>16</v>
      </c>
      <c r="I130" s="102">
        <v>46030</v>
      </c>
      <c r="J130" s="115">
        <v>3</v>
      </c>
      <c r="K130" s="107" t="s">
        <v>608</v>
      </c>
      <c r="L130" s="104">
        <f t="shared" si="27"/>
        <v>46120</v>
      </c>
      <c r="M130" s="105">
        <f ca="1" t="shared" si="28"/>
        <v>-193</v>
      </c>
      <c r="N130" s="70"/>
      <c r="O130" s="115" t="s">
        <v>229</v>
      </c>
      <c r="P130" s="147" t="s">
        <v>13</v>
      </c>
      <c r="Q130" s="141" t="s">
        <v>607</v>
      </c>
      <c r="R130" s="71" t="s">
        <v>88</v>
      </c>
      <c r="S130" s="72"/>
      <c r="T130" s="73"/>
      <c r="U130" s="79" t="s">
        <v>16</v>
      </c>
      <c r="V130" s="119">
        <v>47219</v>
      </c>
      <c r="W130" s="70">
        <v>3</v>
      </c>
      <c r="X130" s="107" t="s">
        <v>609</v>
      </c>
      <c r="Y130" s="104">
        <f t="shared" si="45"/>
        <v>47310</v>
      </c>
      <c r="Z130" s="105">
        <f ca="1" t="shared" si="46"/>
        <v>997</v>
      </c>
      <c r="AA130" s="70"/>
      <c r="AB130" s="70"/>
      <c r="AC130" s="140"/>
      <c r="AD130" s="141"/>
      <c r="AE130" s="71"/>
      <c r="AF130" s="72"/>
      <c r="AG130" s="73"/>
      <c r="AH130" s="79"/>
      <c r="AI130" s="119"/>
      <c r="AJ130" s="70"/>
      <c r="AK130" s="107"/>
      <c r="AL130" s="104">
        <f t="shared" si="43"/>
        <v>0</v>
      </c>
      <c r="AM130" s="105">
        <f ca="1" t="shared" si="44"/>
        <v>-46313</v>
      </c>
      <c r="AN130" s="115"/>
      <c r="AO130" s="115"/>
      <c r="AP130" s="147"/>
      <c r="AQ130" s="139"/>
      <c r="AR130" s="93"/>
      <c r="AS130" s="94"/>
      <c r="AT130" s="95"/>
      <c r="AU130" s="79"/>
      <c r="AV130" s="119"/>
      <c r="AW130" s="115"/>
      <c r="AX130" s="107"/>
      <c r="AY130" s="104">
        <f t="shared" si="39"/>
        <v>0</v>
      </c>
      <c r="AZ130" s="105">
        <f ca="1" t="shared" si="40"/>
        <v>-46313</v>
      </c>
    </row>
    <row r="131" customHeight="1" spans="1:52">
      <c r="A131" s="70">
        <v>129</v>
      </c>
      <c r="B131" s="115" t="s">
        <v>610</v>
      </c>
      <c r="C131" s="140" t="s">
        <v>13</v>
      </c>
      <c r="D131" s="141" t="s">
        <v>611</v>
      </c>
      <c r="E131" s="71" t="s">
        <v>76</v>
      </c>
      <c r="F131" s="72"/>
      <c r="G131" s="73"/>
      <c r="H131" s="79" t="s">
        <v>16</v>
      </c>
      <c r="I131" s="102">
        <v>46030</v>
      </c>
      <c r="J131" s="115">
        <v>3</v>
      </c>
      <c r="K131" s="107" t="s">
        <v>612</v>
      </c>
      <c r="L131" s="104">
        <f t="shared" ref="L131:L194" si="47">EDATE(I131,J131)</f>
        <v>46120</v>
      </c>
      <c r="M131" s="105">
        <f ca="1" t="shared" ref="M131:M194" si="48">L131-TODAY()</f>
        <v>-193</v>
      </c>
      <c r="N131" s="70"/>
      <c r="O131" s="115" t="s">
        <v>12</v>
      </c>
      <c r="P131" s="140" t="s">
        <v>13</v>
      </c>
      <c r="Q131" s="141" t="s">
        <v>611</v>
      </c>
      <c r="R131" s="71" t="s">
        <v>76</v>
      </c>
      <c r="S131" s="72"/>
      <c r="T131" s="73"/>
      <c r="U131" s="79" t="s">
        <v>16</v>
      </c>
      <c r="V131" s="119">
        <v>46147</v>
      </c>
      <c r="W131" s="70">
        <v>3</v>
      </c>
      <c r="X131" s="107" t="s">
        <v>613</v>
      </c>
      <c r="Y131" s="104">
        <f t="shared" si="45"/>
        <v>46239</v>
      </c>
      <c r="Z131" s="105">
        <f ca="1" t="shared" si="46"/>
        <v>-74</v>
      </c>
      <c r="AA131" s="70"/>
      <c r="AB131" s="115" t="s">
        <v>12</v>
      </c>
      <c r="AC131" s="140" t="s">
        <v>13</v>
      </c>
      <c r="AD131" s="141" t="s">
        <v>611</v>
      </c>
      <c r="AE131" s="71" t="s">
        <v>76</v>
      </c>
      <c r="AF131" s="72"/>
      <c r="AG131" s="73"/>
      <c r="AH131" s="79" t="s">
        <v>16</v>
      </c>
      <c r="AI131" s="119">
        <v>46255</v>
      </c>
      <c r="AJ131" s="70">
        <v>3</v>
      </c>
      <c r="AK131" s="107" t="s">
        <v>614</v>
      </c>
      <c r="AL131" s="104">
        <f t="shared" si="43"/>
        <v>46347</v>
      </c>
      <c r="AM131" s="105">
        <f ca="1" t="shared" si="44"/>
        <v>34</v>
      </c>
      <c r="AN131" s="115"/>
      <c r="AO131" s="115"/>
      <c r="AP131" s="140"/>
      <c r="AQ131" s="141"/>
      <c r="AR131" s="71"/>
      <c r="AS131" s="72"/>
      <c r="AT131" s="73"/>
      <c r="AU131" s="79"/>
      <c r="AV131" s="119"/>
      <c r="AW131" s="115"/>
      <c r="AX131" s="107"/>
      <c r="AY131" s="104">
        <f t="shared" si="39"/>
        <v>0</v>
      </c>
      <c r="AZ131" s="105">
        <f ca="1" t="shared" si="40"/>
        <v>-46313</v>
      </c>
    </row>
    <row r="132" customHeight="1" spans="1:52">
      <c r="A132" s="70">
        <v>130</v>
      </c>
      <c r="B132" s="115" t="s">
        <v>615</v>
      </c>
      <c r="C132" s="140" t="s">
        <v>13</v>
      </c>
      <c r="D132" s="141" t="s">
        <v>616</v>
      </c>
      <c r="E132" s="71" t="s">
        <v>80</v>
      </c>
      <c r="F132" s="72"/>
      <c r="G132" s="73"/>
      <c r="H132" s="75"/>
      <c r="I132" s="102">
        <v>46030</v>
      </c>
      <c r="J132" s="115">
        <v>3</v>
      </c>
      <c r="K132" s="107" t="s">
        <v>617</v>
      </c>
      <c r="L132" s="104">
        <f t="shared" si="47"/>
        <v>46120</v>
      </c>
      <c r="M132" s="105">
        <f ca="1" t="shared" si="48"/>
        <v>-193</v>
      </c>
      <c r="N132" s="70"/>
      <c r="O132" s="115" t="s">
        <v>615</v>
      </c>
      <c r="P132" s="140" t="s">
        <v>13</v>
      </c>
      <c r="Q132" s="141" t="s">
        <v>616</v>
      </c>
      <c r="R132" s="71" t="s">
        <v>80</v>
      </c>
      <c r="S132" s="72"/>
      <c r="T132" s="73"/>
      <c r="U132" s="75"/>
      <c r="V132" s="119">
        <v>46115</v>
      </c>
      <c r="W132" s="70">
        <v>3</v>
      </c>
      <c r="X132" s="107" t="s">
        <v>618</v>
      </c>
      <c r="Y132" s="104">
        <f t="shared" si="45"/>
        <v>46206</v>
      </c>
      <c r="Z132" s="105">
        <f ca="1" t="shared" si="46"/>
        <v>-107</v>
      </c>
      <c r="AA132" s="70"/>
      <c r="AB132" s="115"/>
      <c r="AC132" s="140"/>
      <c r="AD132" s="141"/>
      <c r="AE132" s="71"/>
      <c r="AF132" s="72"/>
      <c r="AG132" s="73"/>
      <c r="AH132" s="79"/>
      <c r="AI132" s="119"/>
      <c r="AJ132" s="70"/>
      <c r="AK132" s="107"/>
      <c r="AL132" s="104">
        <f t="shared" si="43"/>
        <v>0</v>
      </c>
      <c r="AM132" s="105">
        <f ca="1" t="shared" si="44"/>
        <v>-46313</v>
      </c>
      <c r="AN132" s="115"/>
      <c r="AO132" s="115"/>
      <c r="AP132" s="147"/>
      <c r="AQ132" s="139"/>
      <c r="AR132" s="93"/>
      <c r="AS132" s="94"/>
      <c r="AT132" s="95"/>
      <c r="AU132" s="79"/>
      <c r="AV132" s="119"/>
      <c r="AW132" s="115"/>
      <c r="AX132" s="107"/>
      <c r="AY132" s="104">
        <f t="shared" si="39"/>
        <v>0</v>
      </c>
      <c r="AZ132" s="105">
        <f ca="1" t="shared" si="40"/>
        <v>-46313</v>
      </c>
    </row>
    <row r="133" customHeight="1" spans="1:52">
      <c r="A133" s="70">
        <v>131</v>
      </c>
      <c r="B133" s="115" t="s">
        <v>134</v>
      </c>
      <c r="C133" s="140" t="s">
        <v>38</v>
      </c>
      <c r="D133" s="154" t="s">
        <v>619</v>
      </c>
      <c r="E133" s="71" t="s">
        <v>189</v>
      </c>
      <c r="F133" s="72"/>
      <c r="G133" s="73"/>
      <c r="H133" s="75"/>
      <c r="I133" s="102">
        <v>46030</v>
      </c>
      <c r="J133" s="115">
        <v>3</v>
      </c>
      <c r="K133" s="107" t="s">
        <v>620</v>
      </c>
      <c r="L133" s="104">
        <f t="shared" si="47"/>
        <v>46120</v>
      </c>
      <c r="M133" s="105">
        <f ca="1" t="shared" si="48"/>
        <v>-193</v>
      </c>
      <c r="N133" s="70"/>
      <c r="O133" s="115" t="s">
        <v>134</v>
      </c>
      <c r="P133" s="140" t="s">
        <v>38</v>
      </c>
      <c r="Q133" s="154" t="s">
        <v>619</v>
      </c>
      <c r="R133" s="71" t="s">
        <v>189</v>
      </c>
      <c r="S133" s="72"/>
      <c r="T133" s="73"/>
      <c r="U133" s="75"/>
      <c r="V133" s="119">
        <v>46114</v>
      </c>
      <c r="W133" s="70">
        <v>3</v>
      </c>
      <c r="X133" s="107" t="s">
        <v>621</v>
      </c>
      <c r="Y133" s="104">
        <f t="shared" si="45"/>
        <v>46205</v>
      </c>
      <c r="Z133" s="105">
        <f ca="1" t="shared" si="46"/>
        <v>-108</v>
      </c>
      <c r="AA133" s="70"/>
      <c r="AB133" s="70"/>
      <c r="AC133" s="140"/>
      <c r="AD133" s="154"/>
      <c r="AE133" s="71"/>
      <c r="AF133" s="72"/>
      <c r="AG133" s="73"/>
      <c r="AH133" s="156"/>
      <c r="AI133" s="119"/>
      <c r="AJ133" s="70"/>
      <c r="AK133" s="107"/>
      <c r="AL133" s="104">
        <f t="shared" si="43"/>
        <v>0</v>
      </c>
      <c r="AM133" s="105">
        <f ca="1" t="shared" si="44"/>
        <v>-46313</v>
      </c>
      <c r="AN133" s="115"/>
      <c r="AO133" s="115"/>
      <c r="AP133" s="147"/>
      <c r="AQ133" s="171"/>
      <c r="AR133" s="93"/>
      <c r="AS133" s="94"/>
      <c r="AT133" s="95"/>
      <c r="AU133" s="156"/>
      <c r="AV133" s="119"/>
      <c r="AW133" s="115"/>
      <c r="AX133" s="107"/>
      <c r="AY133" s="104">
        <f t="shared" si="39"/>
        <v>0</v>
      </c>
      <c r="AZ133" s="105">
        <f ca="1" t="shared" si="40"/>
        <v>-46313</v>
      </c>
    </row>
    <row r="134" customHeight="1" spans="1:52">
      <c r="A134" s="70">
        <v>132</v>
      </c>
      <c r="B134" s="115" t="s">
        <v>134</v>
      </c>
      <c r="C134" s="140" t="s">
        <v>38</v>
      </c>
      <c r="D134" s="154" t="s">
        <v>622</v>
      </c>
      <c r="E134" s="71" t="s">
        <v>623</v>
      </c>
      <c r="F134" s="72"/>
      <c r="G134" s="73"/>
      <c r="H134" s="79" t="s">
        <v>16</v>
      </c>
      <c r="I134" s="102">
        <v>46030</v>
      </c>
      <c r="J134" s="115">
        <v>3</v>
      </c>
      <c r="K134" s="107" t="s">
        <v>624</v>
      </c>
      <c r="L134" s="104">
        <f t="shared" si="47"/>
        <v>46120</v>
      </c>
      <c r="M134" s="105">
        <f ca="1" t="shared" si="48"/>
        <v>-193</v>
      </c>
      <c r="N134" s="70"/>
      <c r="O134" s="115" t="s">
        <v>134</v>
      </c>
      <c r="P134" s="140" t="s">
        <v>38</v>
      </c>
      <c r="Q134" s="154" t="s">
        <v>622</v>
      </c>
      <c r="R134" s="71" t="s">
        <v>623</v>
      </c>
      <c r="S134" s="72"/>
      <c r="T134" s="73"/>
      <c r="U134" s="156" t="s">
        <v>16</v>
      </c>
      <c r="V134" s="119">
        <v>46113</v>
      </c>
      <c r="W134" s="70">
        <v>3</v>
      </c>
      <c r="X134" s="107" t="s">
        <v>625</v>
      </c>
      <c r="Y134" s="104">
        <f t="shared" si="45"/>
        <v>46204</v>
      </c>
      <c r="Z134" s="105">
        <f ca="1" t="shared" si="46"/>
        <v>-109</v>
      </c>
      <c r="AA134" s="70"/>
      <c r="AB134" s="115" t="s">
        <v>134</v>
      </c>
      <c r="AC134" s="140" t="s">
        <v>38</v>
      </c>
      <c r="AD134" s="154" t="s">
        <v>622</v>
      </c>
      <c r="AE134" s="71" t="s">
        <v>623</v>
      </c>
      <c r="AF134" s="72"/>
      <c r="AG134" s="73"/>
      <c r="AH134" s="156" t="s">
        <v>16</v>
      </c>
      <c r="AI134" s="119">
        <v>46201</v>
      </c>
      <c r="AJ134" s="70">
        <v>3</v>
      </c>
      <c r="AK134" s="107" t="s">
        <v>626</v>
      </c>
      <c r="AL134" s="104">
        <f t="shared" si="43"/>
        <v>46293</v>
      </c>
      <c r="AM134" s="105">
        <f ca="1" t="shared" si="44"/>
        <v>-20</v>
      </c>
      <c r="AN134" s="115"/>
      <c r="AO134" s="115" t="s">
        <v>134</v>
      </c>
      <c r="AP134" s="140" t="s">
        <v>38</v>
      </c>
      <c r="AQ134" s="154" t="s">
        <v>622</v>
      </c>
      <c r="AR134" s="71" t="s">
        <v>623</v>
      </c>
      <c r="AS134" s="72"/>
      <c r="AT134" s="73"/>
      <c r="AU134" s="156" t="s">
        <v>16</v>
      </c>
      <c r="AV134" s="119">
        <v>46291</v>
      </c>
      <c r="AW134" s="115">
        <v>3</v>
      </c>
      <c r="AX134" s="107" t="s">
        <v>627</v>
      </c>
      <c r="AY134" s="104">
        <f t="shared" si="39"/>
        <v>46382</v>
      </c>
      <c r="AZ134" s="105">
        <f ca="1" t="shared" si="40"/>
        <v>69</v>
      </c>
    </row>
    <row r="135" customHeight="1" spans="1:52">
      <c r="A135" s="70">
        <v>133</v>
      </c>
      <c r="B135" s="115" t="s">
        <v>134</v>
      </c>
      <c r="C135" s="140" t="s">
        <v>38</v>
      </c>
      <c r="D135" s="154" t="s">
        <v>628</v>
      </c>
      <c r="E135" s="71" t="s">
        <v>623</v>
      </c>
      <c r="F135" s="72"/>
      <c r="G135" s="73"/>
      <c r="H135" s="75"/>
      <c r="I135" s="102">
        <v>46030</v>
      </c>
      <c r="J135" s="115">
        <v>3</v>
      </c>
      <c r="K135" s="107" t="s">
        <v>629</v>
      </c>
      <c r="L135" s="104">
        <f t="shared" si="47"/>
        <v>46120</v>
      </c>
      <c r="M135" s="105">
        <f ca="1" t="shared" si="48"/>
        <v>-193</v>
      </c>
      <c r="N135" s="70"/>
      <c r="O135" s="115" t="s">
        <v>134</v>
      </c>
      <c r="P135" s="140" t="s">
        <v>38</v>
      </c>
      <c r="Q135" s="154" t="s">
        <v>628</v>
      </c>
      <c r="R135" s="71" t="s">
        <v>623</v>
      </c>
      <c r="S135" s="72"/>
      <c r="T135" s="73"/>
      <c r="U135" s="75"/>
      <c r="V135" s="119">
        <v>46122</v>
      </c>
      <c r="W135" s="70">
        <v>3</v>
      </c>
      <c r="X135" s="103" t="s">
        <v>630</v>
      </c>
      <c r="Y135" s="104">
        <f t="shared" si="45"/>
        <v>46213</v>
      </c>
      <c r="Z135" s="105">
        <f ca="1" t="shared" si="46"/>
        <v>-100</v>
      </c>
      <c r="AA135" s="70"/>
      <c r="AB135" s="115" t="s">
        <v>134</v>
      </c>
      <c r="AC135" s="140" t="s">
        <v>38</v>
      </c>
      <c r="AD135" s="154" t="s">
        <v>628</v>
      </c>
      <c r="AE135" s="71" t="s">
        <v>623</v>
      </c>
      <c r="AF135" s="72"/>
      <c r="AG135" s="73"/>
      <c r="AH135" s="75"/>
      <c r="AI135" s="119">
        <v>46206</v>
      </c>
      <c r="AJ135" s="70">
        <v>3</v>
      </c>
      <c r="AK135" s="103" t="s">
        <v>631</v>
      </c>
      <c r="AL135" s="104">
        <f t="shared" ref="AL134:AL167" si="49">EDATE(AI135,AJ135)</f>
        <v>46298</v>
      </c>
      <c r="AM135" s="105">
        <f ca="1" t="shared" ref="AM134:AM167" si="50">AL135-TODAY()</f>
        <v>-15</v>
      </c>
      <c r="AN135" s="115"/>
      <c r="AO135" s="115" t="s">
        <v>134</v>
      </c>
      <c r="AP135" s="140" t="s">
        <v>38</v>
      </c>
      <c r="AQ135" s="154" t="s">
        <v>628</v>
      </c>
      <c r="AR135" s="71" t="s">
        <v>623</v>
      </c>
      <c r="AS135" s="72"/>
      <c r="AT135" s="73"/>
      <c r="AU135" s="75"/>
      <c r="AV135" s="119">
        <v>46300</v>
      </c>
      <c r="AW135" s="115">
        <v>3</v>
      </c>
      <c r="AX135" s="106" t="s">
        <v>632</v>
      </c>
      <c r="AY135" s="104">
        <f t="shared" si="39"/>
        <v>46392</v>
      </c>
      <c r="AZ135" s="105">
        <f ca="1" t="shared" si="40"/>
        <v>79</v>
      </c>
    </row>
    <row r="136" customHeight="1" spans="1:52">
      <c r="A136" s="70">
        <v>134</v>
      </c>
      <c r="B136" s="115" t="s">
        <v>134</v>
      </c>
      <c r="C136" s="155" t="s">
        <v>13</v>
      </c>
      <c r="D136" s="154" t="s">
        <v>633</v>
      </c>
      <c r="E136" s="133" t="s">
        <v>126</v>
      </c>
      <c r="F136" s="134"/>
      <c r="G136" s="135"/>
      <c r="H136" s="156" t="s">
        <v>16</v>
      </c>
      <c r="I136" s="102">
        <v>46030</v>
      </c>
      <c r="J136" s="115">
        <v>3</v>
      </c>
      <c r="K136" s="107" t="s">
        <v>634</v>
      </c>
      <c r="L136" s="104">
        <f t="shared" si="47"/>
        <v>46120</v>
      </c>
      <c r="M136" s="105">
        <f ca="1" t="shared" si="48"/>
        <v>-193</v>
      </c>
      <c r="N136" s="70"/>
      <c r="O136" s="115" t="s">
        <v>134</v>
      </c>
      <c r="P136" s="155" t="s">
        <v>13</v>
      </c>
      <c r="Q136" s="154" t="s">
        <v>633</v>
      </c>
      <c r="R136" s="133" t="s">
        <v>126</v>
      </c>
      <c r="S136" s="134"/>
      <c r="T136" s="135"/>
      <c r="U136" s="156" t="s">
        <v>16</v>
      </c>
      <c r="V136" s="119">
        <v>46120</v>
      </c>
      <c r="W136" s="166">
        <v>3</v>
      </c>
      <c r="X136" s="107" t="s">
        <v>635</v>
      </c>
      <c r="Y136" s="104">
        <f t="shared" ref="Y135:Y151" si="51">EDATE(V136,W136)</f>
        <v>46211</v>
      </c>
      <c r="Z136" s="105">
        <f ca="1" t="shared" ref="Z135:Z151" si="52">Y136-TODAY()</f>
        <v>-102</v>
      </c>
      <c r="AA136" s="70"/>
      <c r="AB136" s="70"/>
      <c r="AC136" s="155"/>
      <c r="AD136" s="154"/>
      <c r="AE136" s="133"/>
      <c r="AF136" s="134"/>
      <c r="AG136" s="135"/>
      <c r="AH136" s="156"/>
      <c r="AI136" s="119"/>
      <c r="AJ136" s="166"/>
      <c r="AK136" s="107"/>
      <c r="AL136" s="104">
        <f t="shared" si="49"/>
        <v>0</v>
      </c>
      <c r="AM136" s="105">
        <f ca="1" t="shared" si="50"/>
        <v>-46313</v>
      </c>
      <c r="AN136" s="115"/>
      <c r="AO136" s="70"/>
      <c r="AP136" s="155"/>
      <c r="AQ136" s="154"/>
      <c r="AR136" s="133"/>
      <c r="AS136" s="134"/>
      <c r="AT136" s="135"/>
      <c r="AU136" s="156"/>
      <c r="AV136" s="119"/>
      <c r="AW136" s="178"/>
      <c r="AX136" s="107"/>
      <c r="AY136" s="104">
        <f t="shared" si="39"/>
        <v>0</v>
      </c>
      <c r="AZ136" s="105">
        <f ca="1" t="shared" si="40"/>
        <v>-46313</v>
      </c>
    </row>
    <row r="137" customHeight="1" spans="1:52">
      <c r="A137" s="70">
        <v>135</v>
      </c>
      <c r="B137" s="115" t="s">
        <v>134</v>
      </c>
      <c r="C137" s="155" t="s">
        <v>13</v>
      </c>
      <c r="D137" s="154" t="s">
        <v>636</v>
      </c>
      <c r="E137" s="133" t="s">
        <v>76</v>
      </c>
      <c r="F137" s="134"/>
      <c r="G137" s="135"/>
      <c r="H137" s="156" t="s">
        <v>16</v>
      </c>
      <c r="I137" s="102">
        <v>46030</v>
      </c>
      <c r="J137" s="115">
        <v>3</v>
      </c>
      <c r="K137" s="107" t="s">
        <v>637</v>
      </c>
      <c r="L137" s="104">
        <f t="shared" si="47"/>
        <v>46120</v>
      </c>
      <c r="M137" s="105">
        <f ca="1" t="shared" si="48"/>
        <v>-193</v>
      </c>
      <c r="N137" s="70"/>
      <c r="O137" s="115" t="s">
        <v>134</v>
      </c>
      <c r="P137" s="155" t="s">
        <v>13</v>
      </c>
      <c r="Q137" s="154" t="s">
        <v>636</v>
      </c>
      <c r="R137" s="133" t="s">
        <v>76</v>
      </c>
      <c r="S137" s="134"/>
      <c r="T137" s="135"/>
      <c r="U137" s="156" t="s">
        <v>16</v>
      </c>
      <c r="V137" s="119">
        <v>46125</v>
      </c>
      <c r="W137" s="166">
        <v>3</v>
      </c>
      <c r="X137" s="107" t="s">
        <v>638</v>
      </c>
      <c r="Y137" s="104">
        <f t="shared" si="51"/>
        <v>46216</v>
      </c>
      <c r="Z137" s="105">
        <f ca="1" t="shared" si="52"/>
        <v>-97</v>
      </c>
      <c r="AA137" s="70"/>
      <c r="AB137" s="115" t="s">
        <v>134</v>
      </c>
      <c r="AC137" s="155" t="s">
        <v>13</v>
      </c>
      <c r="AD137" s="154" t="s">
        <v>636</v>
      </c>
      <c r="AE137" s="133" t="s">
        <v>76</v>
      </c>
      <c r="AF137" s="134"/>
      <c r="AG137" s="135"/>
      <c r="AH137" s="156" t="s">
        <v>16</v>
      </c>
      <c r="AI137" s="119">
        <v>46221</v>
      </c>
      <c r="AJ137" s="166">
        <v>3</v>
      </c>
      <c r="AK137" s="107" t="s">
        <v>639</v>
      </c>
      <c r="AL137" s="104">
        <f t="shared" si="49"/>
        <v>46313</v>
      </c>
      <c r="AM137" s="105">
        <f ca="1" t="shared" si="50"/>
        <v>0</v>
      </c>
      <c r="AN137" s="115"/>
      <c r="AO137" s="115" t="s">
        <v>134</v>
      </c>
      <c r="AP137" s="155" t="s">
        <v>13</v>
      </c>
      <c r="AQ137" s="154" t="s">
        <v>636</v>
      </c>
      <c r="AR137" s="133" t="s">
        <v>76</v>
      </c>
      <c r="AS137" s="134"/>
      <c r="AT137" s="135"/>
      <c r="AU137" s="156" t="s">
        <v>16</v>
      </c>
      <c r="AV137" s="119">
        <v>46307</v>
      </c>
      <c r="AW137" s="178">
        <v>3</v>
      </c>
      <c r="AX137" s="107"/>
      <c r="AY137" s="104">
        <f t="shared" si="39"/>
        <v>46399</v>
      </c>
      <c r="AZ137" s="105">
        <f ca="1" t="shared" si="40"/>
        <v>86</v>
      </c>
    </row>
    <row r="138" customHeight="1" spans="1:52">
      <c r="A138" s="70">
        <v>136</v>
      </c>
      <c r="B138" s="115" t="s">
        <v>134</v>
      </c>
      <c r="C138" s="155" t="s">
        <v>13</v>
      </c>
      <c r="D138" s="154" t="s">
        <v>640</v>
      </c>
      <c r="E138" s="133" t="s">
        <v>126</v>
      </c>
      <c r="F138" s="134"/>
      <c r="G138" s="135"/>
      <c r="H138" s="156" t="s">
        <v>16</v>
      </c>
      <c r="I138" s="102">
        <v>46030</v>
      </c>
      <c r="J138" s="115">
        <v>3</v>
      </c>
      <c r="K138" s="107" t="s">
        <v>641</v>
      </c>
      <c r="L138" s="104">
        <f t="shared" si="47"/>
        <v>46120</v>
      </c>
      <c r="M138" s="105">
        <f ca="1" t="shared" si="48"/>
        <v>-193</v>
      </c>
      <c r="N138" s="70"/>
      <c r="O138" s="115" t="s">
        <v>134</v>
      </c>
      <c r="P138" s="155" t="s">
        <v>13</v>
      </c>
      <c r="Q138" s="154" t="s">
        <v>640</v>
      </c>
      <c r="R138" s="133" t="s">
        <v>126</v>
      </c>
      <c r="S138" s="134"/>
      <c r="T138" s="135"/>
      <c r="U138" s="156" t="s">
        <v>16</v>
      </c>
      <c r="V138" s="121">
        <v>46130</v>
      </c>
      <c r="W138" s="166">
        <v>3</v>
      </c>
      <c r="X138" s="107" t="s">
        <v>642</v>
      </c>
      <c r="Y138" s="104">
        <f t="shared" si="51"/>
        <v>46221</v>
      </c>
      <c r="Z138" s="105">
        <f ca="1" t="shared" si="52"/>
        <v>-92</v>
      </c>
      <c r="AA138" s="70"/>
      <c r="AB138" s="115" t="s">
        <v>134</v>
      </c>
      <c r="AC138" s="155" t="s">
        <v>13</v>
      </c>
      <c r="AD138" s="154" t="s">
        <v>640</v>
      </c>
      <c r="AE138" s="133" t="s">
        <v>126</v>
      </c>
      <c r="AF138" s="134"/>
      <c r="AG138" s="135"/>
      <c r="AH138" s="156" t="s">
        <v>16</v>
      </c>
      <c r="AI138" s="121">
        <v>46214</v>
      </c>
      <c r="AJ138" s="166">
        <v>3</v>
      </c>
      <c r="AK138" s="107" t="s">
        <v>643</v>
      </c>
      <c r="AL138" s="104">
        <f t="shared" si="49"/>
        <v>46306</v>
      </c>
      <c r="AM138" s="105">
        <f ca="1" t="shared" si="50"/>
        <v>-7</v>
      </c>
      <c r="AN138" s="115"/>
      <c r="AO138" s="115"/>
      <c r="AP138" s="155"/>
      <c r="AQ138" s="154"/>
      <c r="AR138" s="133"/>
      <c r="AS138" s="134"/>
      <c r="AT138" s="135"/>
      <c r="AU138" s="156"/>
      <c r="AV138" s="121"/>
      <c r="AW138" s="178"/>
      <c r="AX138" s="107"/>
      <c r="AY138" s="104">
        <f t="shared" ref="AY134:AY158" si="53">EDATE(AV138,AW138)</f>
        <v>0</v>
      </c>
      <c r="AZ138" s="105">
        <f ca="1" t="shared" ref="AZ134:AZ158" si="54">AY138-TODAY()</f>
        <v>-46313</v>
      </c>
    </row>
    <row r="139" customHeight="1" spans="1:52">
      <c r="A139" s="70">
        <v>137</v>
      </c>
      <c r="B139" s="70" t="s">
        <v>644</v>
      </c>
      <c r="C139" s="155" t="s">
        <v>264</v>
      </c>
      <c r="D139" s="154" t="s">
        <v>265</v>
      </c>
      <c r="E139" s="133" t="s">
        <v>266</v>
      </c>
      <c r="F139" s="134"/>
      <c r="G139" s="135"/>
      <c r="H139" s="157"/>
      <c r="I139" s="102">
        <v>46030</v>
      </c>
      <c r="J139" s="115">
        <v>3</v>
      </c>
      <c r="K139" s="107" t="s">
        <v>645</v>
      </c>
      <c r="L139" s="104">
        <f t="shared" si="47"/>
        <v>46120</v>
      </c>
      <c r="M139" s="105">
        <f ca="1" t="shared" si="48"/>
        <v>-193</v>
      </c>
      <c r="N139" s="70"/>
      <c r="O139" s="70" t="s">
        <v>644</v>
      </c>
      <c r="P139" s="155" t="s">
        <v>264</v>
      </c>
      <c r="Q139" s="154" t="s">
        <v>265</v>
      </c>
      <c r="R139" s="133" t="s">
        <v>266</v>
      </c>
      <c r="S139" s="134"/>
      <c r="T139" s="135"/>
      <c r="U139" s="157"/>
      <c r="V139" s="165">
        <v>46114</v>
      </c>
      <c r="W139" s="166">
        <v>3</v>
      </c>
      <c r="X139" s="167" t="s">
        <v>646</v>
      </c>
      <c r="Y139" s="104">
        <f t="shared" si="51"/>
        <v>46205</v>
      </c>
      <c r="Z139" s="105">
        <f ca="1" t="shared" si="52"/>
        <v>-108</v>
      </c>
      <c r="AA139" s="70"/>
      <c r="AB139" s="70" t="s">
        <v>644</v>
      </c>
      <c r="AC139" s="155" t="s">
        <v>264</v>
      </c>
      <c r="AD139" s="154" t="s">
        <v>265</v>
      </c>
      <c r="AE139" s="133" t="s">
        <v>266</v>
      </c>
      <c r="AF139" s="134"/>
      <c r="AG139" s="135"/>
      <c r="AH139" s="157"/>
      <c r="AI139" s="165">
        <v>46219</v>
      </c>
      <c r="AJ139" s="166">
        <v>3</v>
      </c>
      <c r="AK139" s="167" t="s">
        <v>647</v>
      </c>
      <c r="AL139" s="104">
        <f t="shared" si="49"/>
        <v>46311</v>
      </c>
      <c r="AM139" s="105">
        <f ca="1" t="shared" si="50"/>
        <v>-2</v>
      </c>
      <c r="AN139" s="115"/>
      <c r="AO139" s="70"/>
      <c r="AP139" s="155"/>
      <c r="AQ139" s="154"/>
      <c r="AR139" s="133"/>
      <c r="AS139" s="134"/>
      <c r="AT139" s="135"/>
      <c r="AU139" s="172"/>
      <c r="AV139" s="173"/>
      <c r="AW139" s="178"/>
      <c r="AX139" s="91"/>
      <c r="AY139" s="104">
        <f t="shared" si="53"/>
        <v>0</v>
      </c>
      <c r="AZ139" s="105">
        <f ca="1" t="shared" si="54"/>
        <v>-46313</v>
      </c>
    </row>
    <row r="140" customHeight="1" spans="1:52">
      <c r="A140" s="70">
        <v>138</v>
      </c>
      <c r="B140" s="70" t="s">
        <v>648</v>
      </c>
      <c r="C140" s="155" t="s">
        <v>264</v>
      </c>
      <c r="D140" s="154" t="s">
        <v>649</v>
      </c>
      <c r="E140" s="133" t="s">
        <v>650</v>
      </c>
      <c r="F140" s="134"/>
      <c r="G140" s="135"/>
      <c r="H140" s="157"/>
      <c r="I140" s="102">
        <v>46030</v>
      </c>
      <c r="J140" s="115">
        <v>3</v>
      </c>
      <c r="K140" s="107" t="s">
        <v>651</v>
      </c>
      <c r="L140" s="104">
        <f t="shared" si="47"/>
        <v>46120</v>
      </c>
      <c r="M140" s="105">
        <f ca="1" t="shared" si="48"/>
        <v>-193</v>
      </c>
      <c r="N140" s="70"/>
      <c r="O140" s="70"/>
      <c r="P140" s="155"/>
      <c r="Q140" s="154"/>
      <c r="R140" s="133"/>
      <c r="S140" s="134"/>
      <c r="T140" s="135"/>
      <c r="U140" s="156"/>
      <c r="V140" s="165"/>
      <c r="W140" s="166"/>
      <c r="X140" s="168"/>
      <c r="Y140" s="104">
        <f t="shared" si="51"/>
        <v>0</v>
      </c>
      <c r="Z140" s="105">
        <f ca="1" t="shared" si="52"/>
        <v>-46313</v>
      </c>
      <c r="AA140" s="70"/>
      <c r="AB140" s="70"/>
      <c r="AC140" s="155"/>
      <c r="AD140" s="154"/>
      <c r="AE140" s="133"/>
      <c r="AF140" s="134"/>
      <c r="AG140" s="135"/>
      <c r="AH140" s="156"/>
      <c r="AI140" s="165"/>
      <c r="AJ140" s="166"/>
      <c r="AK140" s="168"/>
      <c r="AL140" s="104">
        <f t="shared" si="49"/>
        <v>0</v>
      </c>
      <c r="AM140" s="105">
        <f ca="1" t="shared" si="50"/>
        <v>-46313</v>
      </c>
      <c r="AN140" s="115"/>
      <c r="AO140" s="70"/>
      <c r="AP140" s="155"/>
      <c r="AQ140" s="154"/>
      <c r="AR140" s="133"/>
      <c r="AS140" s="134"/>
      <c r="AT140" s="135"/>
      <c r="AU140" s="172"/>
      <c r="AV140" s="173"/>
      <c r="AW140" s="178"/>
      <c r="AX140" s="84"/>
      <c r="AY140" s="104">
        <f t="shared" si="53"/>
        <v>0</v>
      </c>
      <c r="AZ140" s="105">
        <f ca="1" t="shared" si="54"/>
        <v>-46313</v>
      </c>
    </row>
    <row r="141" customHeight="1" spans="1:52">
      <c r="A141" s="70">
        <v>139</v>
      </c>
      <c r="B141" s="70" t="s">
        <v>652</v>
      </c>
      <c r="C141" s="155" t="s">
        <v>374</v>
      </c>
      <c r="D141" s="144" t="s">
        <v>653</v>
      </c>
      <c r="E141" s="133" t="s">
        <v>654</v>
      </c>
      <c r="F141" s="134"/>
      <c r="G141" s="135"/>
      <c r="H141" s="156" t="s">
        <v>16</v>
      </c>
      <c r="I141" s="102">
        <v>46030</v>
      </c>
      <c r="J141" s="115">
        <v>3</v>
      </c>
      <c r="K141" s="107" t="s">
        <v>655</v>
      </c>
      <c r="L141" s="104">
        <f t="shared" si="47"/>
        <v>46120</v>
      </c>
      <c r="M141" s="105">
        <f ca="1" t="shared" si="48"/>
        <v>-193</v>
      </c>
      <c r="N141" s="70"/>
      <c r="O141" s="70" t="s">
        <v>652</v>
      </c>
      <c r="P141" s="155" t="s">
        <v>374</v>
      </c>
      <c r="Q141" s="144" t="s">
        <v>653</v>
      </c>
      <c r="R141" s="133" t="s">
        <v>654</v>
      </c>
      <c r="S141" s="134"/>
      <c r="T141" s="135"/>
      <c r="U141" s="156" t="s">
        <v>16</v>
      </c>
      <c r="V141" s="165">
        <v>46137</v>
      </c>
      <c r="W141" s="105">
        <v>3</v>
      </c>
      <c r="X141" s="167" t="s">
        <v>656</v>
      </c>
      <c r="Y141" s="104">
        <f t="shared" si="51"/>
        <v>46228</v>
      </c>
      <c r="Z141" s="105">
        <f ca="1" t="shared" si="52"/>
        <v>-85</v>
      </c>
      <c r="AA141" s="70"/>
      <c r="AB141" s="70" t="s">
        <v>652</v>
      </c>
      <c r="AC141" s="155" t="s">
        <v>374</v>
      </c>
      <c r="AD141" s="144" t="s">
        <v>653</v>
      </c>
      <c r="AE141" s="133" t="s">
        <v>654</v>
      </c>
      <c r="AF141" s="134"/>
      <c r="AG141" s="135"/>
      <c r="AH141" s="156" t="s">
        <v>16</v>
      </c>
      <c r="AI141" s="165">
        <v>46258</v>
      </c>
      <c r="AJ141" s="105">
        <v>3</v>
      </c>
      <c r="AK141" s="167" t="s">
        <v>657</v>
      </c>
      <c r="AL141" s="104">
        <f t="shared" si="49"/>
        <v>46350</v>
      </c>
      <c r="AM141" s="105">
        <f ca="1" t="shared" si="50"/>
        <v>37</v>
      </c>
      <c r="AN141" s="115"/>
      <c r="AO141" s="70"/>
      <c r="AP141" s="155"/>
      <c r="AQ141" s="144"/>
      <c r="AR141" s="105"/>
      <c r="AS141" s="105"/>
      <c r="AT141" s="105"/>
      <c r="AU141" s="172"/>
      <c r="AV141" s="173"/>
      <c r="AW141" s="91"/>
      <c r="AX141" s="91"/>
      <c r="AY141" s="104">
        <f t="shared" si="53"/>
        <v>0</v>
      </c>
      <c r="AZ141" s="105">
        <f ca="1" t="shared" si="54"/>
        <v>-46313</v>
      </c>
    </row>
    <row r="142" customHeight="1" spans="1:52">
      <c r="A142" s="70">
        <v>140</v>
      </c>
      <c r="B142" s="70" t="s">
        <v>555</v>
      </c>
      <c r="C142" s="155" t="s">
        <v>374</v>
      </c>
      <c r="D142" s="71" t="s">
        <v>658</v>
      </c>
      <c r="E142" s="133" t="s">
        <v>659</v>
      </c>
      <c r="F142" s="134"/>
      <c r="G142" s="135"/>
      <c r="H142" s="156" t="s">
        <v>16</v>
      </c>
      <c r="I142" s="102">
        <v>46030</v>
      </c>
      <c r="J142" s="115">
        <v>3</v>
      </c>
      <c r="K142" s="107" t="s">
        <v>660</v>
      </c>
      <c r="L142" s="104">
        <f t="shared" si="47"/>
        <v>46120</v>
      </c>
      <c r="M142" s="105">
        <f ca="1" t="shared" si="48"/>
        <v>-193</v>
      </c>
      <c r="N142" s="70"/>
      <c r="O142" s="70" t="s">
        <v>555</v>
      </c>
      <c r="P142" s="155" t="s">
        <v>374</v>
      </c>
      <c r="Q142" s="71" t="s">
        <v>658</v>
      </c>
      <c r="R142" s="133" t="s">
        <v>659</v>
      </c>
      <c r="S142" s="134"/>
      <c r="T142" s="135"/>
      <c r="U142" s="156" t="s">
        <v>16</v>
      </c>
      <c r="V142" s="165">
        <v>46135</v>
      </c>
      <c r="W142" s="70">
        <v>3</v>
      </c>
      <c r="X142" s="167" t="s">
        <v>661</v>
      </c>
      <c r="Y142" s="104">
        <f t="shared" si="51"/>
        <v>46226</v>
      </c>
      <c r="Z142" s="105">
        <f ca="1" t="shared" si="52"/>
        <v>-87</v>
      </c>
      <c r="AA142" s="70"/>
      <c r="AB142" s="70" t="s">
        <v>555</v>
      </c>
      <c r="AC142" s="155" t="s">
        <v>374</v>
      </c>
      <c r="AD142" s="71" t="s">
        <v>658</v>
      </c>
      <c r="AE142" s="133" t="s">
        <v>659</v>
      </c>
      <c r="AF142" s="134"/>
      <c r="AG142" s="135"/>
      <c r="AH142" s="156" t="s">
        <v>16</v>
      </c>
      <c r="AI142" s="170">
        <v>46223</v>
      </c>
      <c r="AJ142" s="70">
        <v>3</v>
      </c>
      <c r="AK142" s="167" t="s">
        <v>662</v>
      </c>
      <c r="AL142" s="104">
        <f t="shared" si="49"/>
        <v>46315</v>
      </c>
      <c r="AM142" s="105">
        <f ca="1" t="shared" si="50"/>
        <v>2</v>
      </c>
      <c r="AN142" s="115"/>
      <c r="AO142" s="70"/>
      <c r="AP142" s="155"/>
      <c r="AQ142" s="71"/>
      <c r="AR142" s="133"/>
      <c r="AS142" s="134"/>
      <c r="AT142" s="135"/>
      <c r="AU142" s="156"/>
      <c r="AV142" s="173"/>
      <c r="AW142" s="115"/>
      <c r="AX142" s="91"/>
      <c r="AY142" s="104">
        <f t="shared" si="53"/>
        <v>0</v>
      </c>
      <c r="AZ142" s="105">
        <f ca="1" t="shared" si="54"/>
        <v>-46313</v>
      </c>
    </row>
    <row r="143" customHeight="1" spans="1:52">
      <c r="A143" s="70">
        <v>141</v>
      </c>
      <c r="B143" s="70" t="s">
        <v>555</v>
      </c>
      <c r="C143" s="155" t="s">
        <v>374</v>
      </c>
      <c r="D143" s="71" t="s">
        <v>663</v>
      </c>
      <c r="E143" s="130" t="s">
        <v>664</v>
      </c>
      <c r="F143" s="131"/>
      <c r="G143" s="132"/>
      <c r="H143" s="156" t="s">
        <v>16</v>
      </c>
      <c r="I143" s="102">
        <v>46030</v>
      </c>
      <c r="J143" s="115">
        <v>3</v>
      </c>
      <c r="K143" s="107" t="s">
        <v>665</v>
      </c>
      <c r="L143" s="104">
        <f t="shared" si="47"/>
        <v>46120</v>
      </c>
      <c r="M143" s="105">
        <f ca="1" t="shared" si="48"/>
        <v>-193</v>
      </c>
      <c r="N143" s="70"/>
      <c r="O143" s="70" t="s">
        <v>555</v>
      </c>
      <c r="P143" s="155" t="s">
        <v>374</v>
      </c>
      <c r="Q143" s="71" t="s">
        <v>663</v>
      </c>
      <c r="R143" s="130" t="s">
        <v>664</v>
      </c>
      <c r="S143" s="131"/>
      <c r="T143" s="132"/>
      <c r="U143" s="156" t="s">
        <v>16</v>
      </c>
      <c r="V143" s="165">
        <v>46138</v>
      </c>
      <c r="W143" s="70">
        <v>3</v>
      </c>
      <c r="X143" s="168" t="s">
        <v>666</v>
      </c>
      <c r="Y143" s="104">
        <f t="shared" si="51"/>
        <v>46229</v>
      </c>
      <c r="Z143" s="105">
        <f ca="1" t="shared" si="52"/>
        <v>-84</v>
      </c>
      <c r="AA143" s="70"/>
      <c r="AB143" s="70" t="s">
        <v>555</v>
      </c>
      <c r="AC143" s="155" t="s">
        <v>374</v>
      </c>
      <c r="AD143" s="71" t="s">
        <v>663</v>
      </c>
      <c r="AE143" s="130" t="s">
        <v>664</v>
      </c>
      <c r="AF143" s="131"/>
      <c r="AG143" s="132"/>
      <c r="AH143" s="156" t="s">
        <v>16</v>
      </c>
      <c r="AI143" s="165">
        <v>46243</v>
      </c>
      <c r="AJ143" s="70">
        <v>3</v>
      </c>
      <c r="AK143" s="168" t="s">
        <v>667</v>
      </c>
      <c r="AL143" s="104">
        <f t="shared" si="49"/>
        <v>46335</v>
      </c>
      <c r="AM143" s="105">
        <f ca="1" t="shared" si="50"/>
        <v>22</v>
      </c>
      <c r="AN143" s="115"/>
      <c r="AO143" s="115"/>
      <c r="AP143" s="115"/>
      <c r="AQ143" s="93"/>
      <c r="AR143" s="127"/>
      <c r="AS143" s="128"/>
      <c r="AT143" s="129"/>
      <c r="AU143" s="86"/>
      <c r="AV143" s="173"/>
      <c r="AW143" s="115"/>
      <c r="AX143" s="84"/>
      <c r="AY143" s="104">
        <f t="shared" si="53"/>
        <v>0</v>
      </c>
      <c r="AZ143" s="105">
        <f ca="1" t="shared" si="54"/>
        <v>-46313</v>
      </c>
    </row>
    <row r="144" customHeight="1" spans="1:52">
      <c r="A144" s="70">
        <v>142</v>
      </c>
      <c r="B144" s="70" t="s">
        <v>555</v>
      </c>
      <c r="C144" s="155" t="s">
        <v>374</v>
      </c>
      <c r="D144" s="71" t="s">
        <v>668</v>
      </c>
      <c r="E144" s="133" t="s">
        <v>659</v>
      </c>
      <c r="F144" s="134"/>
      <c r="G144" s="135"/>
      <c r="H144" s="156" t="s">
        <v>16</v>
      </c>
      <c r="I144" s="102">
        <v>46030</v>
      </c>
      <c r="J144" s="115">
        <v>3</v>
      </c>
      <c r="K144" s="107" t="s">
        <v>669</v>
      </c>
      <c r="L144" s="104">
        <f t="shared" si="47"/>
        <v>46120</v>
      </c>
      <c r="M144" s="105">
        <f ca="1" t="shared" si="48"/>
        <v>-193</v>
      </c>
      <c r="N144" s="70"/>
      <c r="O144" s="70" t="s">
        <v>555</v>
      </c>
      <c r="P144" s="155" t="s">
        <v>374</v>
      </c>
      <c r="Q144" s="71" t="s">
        <v>668</v>
      </c>
      <c r="R144" s="133" t="s">
        <v>659</v>
      </c>
      <c r="S144" s="134"/>
      <c r="T144" s="135"/>
      <c r="U144" s="156" t="s">
        <v>16</v>
      </c>
      <c r="V144" s="165">
        <v>46160</v>
      </c>
      <c r="W144" s="70">
        <v>3</v>
      </c>
      <c r="X144" s="168" t="s">
        <v>670</v>
      </c>
      <c r="Y144" s="104">
        <f t="shared" si="51"/>
        <v>46252</v>
      </c>
      <c r="Z144" s="105">
        <f ca="1" t="shared" si="52"/>
        <v>-61</v>
      </c>
      <c r="AA144" s="70"/>
      <c r="AB144" s="70" t="s">
        <v>555</v>
      </c>
      <c r="AC144" s="155" t="s">
        <v>374</v>
      </c>
      <c r="AD144" s="71" t="s">
        <v>668</v>
      </c>
      <c r="AE144" s="133" t="s">
        <v>659</v>
      </c>
      <c r="AF144" s="134"/>
      <c r="AG144" s="135"/>
      <c r="AH144" s="156" t="s">
        <v>16</v>
      </c>
      <c r="AI144" s="165">
        <v>46258</v>
      </c>
      <c r="AJ144" s="70">
        <v>3</v>
      </c>
      <c r="AK144" s="168" t="s">
        <v>671</v>
      </c>
      <c r="AL144" s="104">
        <f t="shared" si="49"/>
        <v>46350</v>
      </c>
      <c r="AM144" s="105">
        <f ca="1" t="shared" si="50"/>
        <v>37</v>
      </c>
      <c r="AN144" s="115"/>
      <c r="AO144" s="115"/>
      <c r="AP144" s="174"/>
      <c r="AQ144" s="93"/>
      <c r="AR144" s="127"/>
      <c r="AS144" s="128"/>
      <c r="AT144" s="129"/>
      <c r="AU144" s="86"/>
      <c r="AV144" s="173"/>
      <c r="AW144" s="115"/>
      <c r="AX144" s="84"/>
      <c r="AY144" s="104">
        <f t="shared" si="53"/>
        <v>0</v>
      </c>
      <c r="AZ144" s="105">
        <f ca="1" t="shared" si="54"/>
        <v>-46313</v>
      </c>
    </row>
    <row r="145" customHeight="1" spans="1:52">
      <c r="A145" s="70">
        <v>143</v>
      </c>
      <c r="B145" s="70" t="s">
        <v>672</v>
      </c>
      <c r="C145" s="155" t="s">
        <v>374</v>
      </c>
      <c r="D145" s="71" t="s">
        <v>673</v>
      </c>
      <c r="E145" s="130" t="s">
        <v>674</v>
      </c>
      <c r="F145" s="131"/>
      <c r="G145" s="132"/>
      <c r="H145" s="156" t="s">
        <v>16</v>
      </c>
      <c r="I145" s="102">
        <v>46030</v>
      </c>
      <c r="J145" s="115">
        <v>3</v>
      </c>
      <c r="K145" s="107" t="s">
        <v>675</v>
      </c>
      <c r="L145" s="104">
        <f t="shared" si="47"/>
        <v>46120</v>
      </c>
      <c r="M145" s="105">
        <f ca="1" t="shared" si="48"/>
        <v>-193</v>
      </c>
      <c r="N145" s="70"/>
      <c r="O145" s="70" t="s">
        <v>672</v>
      </c>
      <c r="P145" s="155" t="s">
        <v>374</v>
      </c>
      <c r="Q145" s="71" t="s">
        <v>673</v>
      </c>
      <c r="R145" s="130" t="s">
        <v>674</v>
      </c>
      <c r="S145" s="131"/>
      <c r="T145" s="132"/>
      <c r="U145" s="156" t="s">
        <v>16</v>
      </c>
      <c r="V145" s="165">
        <v>46123</v>
      </c>
      <c r="W145" s="70">
        <v>3</v>
      </c>
      <c r="X145" s="168" t="s">
        <v>676</v>
      </c>
      <c r="Y145" s="104">
        <f t="shared" si="51"/>
        <v>46214</v>
      </c>
      <c r="Z145" s="105">
        <f ca="1" t="shared" si="52"/>
        <v>-99</v>
      </c>
      <c r="AA145" s="70"/>
      <c r="AB145" s="70" t="s">
        <v>672</v>
      </c>
      <c r="AC145" s="155" t="s">
        <v>374</v>
      </c>
      <c r="AD145" s="71" t="s">
        <v>673</v>
      </c>
      <c r="AE145" s="130" t="s">
        <v>674</v>
      </c>
      <c r="AF145" s="131"/>
      <c r="AG145" s="131"/>
      <c r="AH145" s="86" t="s">
        <v>16</v>
      </c>
      <c r="AI145" s="165">
        <v>46206</v>
      </c>
      <c r="AJ145" s="70">
        <v>3</v>
      </c>
      <c r="AK145" s="168" t="s">
        <v>677</v>
      </c>
      <c r="AL145" s="104">
        <f t="shared" si="49"/>
        <v>46298</v>
      </c>
      <c r="AM145" s="105">
        <f ca="1" t="shared" si="50"/>
        <v>-15</v>
      </c>
      <c r="AN145" s="115"/>
      <c r="AO145" s="115"/>
      <c r="AP145" s="174"/>
      <c r="AQ145" s="93"/>
      <c r="AR145" s="127"/>
      <c r="AS145" s="128"/>
      <c r="AT145" s="129"/>
      <c r="AU145" s="86"/>
      <c r="AV145" s="173"/>
      <c r="AW145" s="115"/>
      <c r="AX145" s="84"/>
      <c r="AY145" s="104">
        <f t="shared" si="53"/>
        <v>0</v>
      </c>
      <c r="AZ145" s="105">
        <f ca="1" t="shared" si="54"/>
        <v>-46313</v>
      </c>
    </row>
    <row r="146" customHeight="1" spans="1:52">
      <c r="A146" s="70">
        <v>144</v>
      </c>
      <c r="B146" s="70" t="s">
        <v>678</v>
      </c>
      <c r="C146" s="155" t="s">
        <v>374</v>
      </c>
      <c r="D146" s="71" t="s">
        <v>679</v>
      </c>
      <c r="E146" s="158" t="s">
        <v>680</v>
      </c>
      <c r="F146" s="159"/>
      <c r="G146" s="160"/>
      <c r="H146" s="156" t="s">
        <v>16</v>
      </c>
      <c r="I146" s="102">
        <v>46030</v>
      </c>
      <c r="J146" s="115">
        <v>3</v>
      </c>
      <c r="K146" s="107" t="s">
        <v>681</v>
      </c>
      <c r="L146" s="104">
        <f t="shared" si="47"/>
        <v>46120</v>
      </c>
      <c r="M146" s="105">
        <f ca="1" t="shared" si="48"/>
        <v>-193</v>
      </c>
      <c r="N146" s="70"/>
      <c r="O146" s="70" t="s">
        <v>678</v>
      </c>
      <c r="P146" s="155" t="s">
        <v>374</v>
      </c>
      <c r="Q146" s="71" t="s">
        <v>679</v>
      </c>
      <c r="R146" s="158" t="s">
        <v>680</v>
      </c>
      <c r="S146" s="159"/>
      <c r="T146" s="160"/>
      <c r="U146" s="169" t="s">
        <v>16</v>
      </c>
      <c r="V146" s="110">
        <v>46113</v>
      </c>
      <c r="W146" s="70">
        <v>3</v>
      </c>
      <c r="X146" s="97" t="s">
        <v>682</v>
      </c>
      <c r="Y146" s="104">
        <f t="shared" si="51"/>
        <v>46204</v>
      </c>
      <c r="Z146" s="105">
        <f ca="1" t="shared" si="52"/>
        <v>-109</v>
      </c>
      <c r="AA146" s="70"/>
      <c r="AB146" s="70" t="s">
        <v>678</v>
      </c>
      <c r="AC146" s="155" t="s">
        <v>374</v>
      </c>
      <c r="AD146" s="71" t="s">
        <v>679</v>
      </c>
      <c r="AE146" s="158" t="s">
        <v>680</v>
      </c>
      <c r="AF146" s="159"/>
      <c r="AG146" s="159"/>
      <c r="AH146" s="86" t="s">
        <v>16</v>
      </c>
      <c r="AI146" s="111">
        <v>46203</v>
      </c>
      <c r="AJ146" s="70">
        <v>3</v>
      </c>
      <c r="AK146" s="97" t="s">
        <v>683</v>
      </c>
      <c r="AL146" s="104">
        <f t="shared" si="49"/>
        <v>46295</v>
      </c>
      <c r="AM146" s="105">
        <f ca="1" t="shared" si="50"/>
        <v>-18</v>
      </c>
      <c r="AN146" s="115"/>
      <c r="AO146" s="70" t="s">
        <v>678</v>
      </c>
      <c r="AP146" s="155" t="s">
        <v>374</v>
      </c>
      <c r="AQ146" s="71" t="s">
        <v>679</v>
      </c>
      <c r="AR146" s="158" t="s">
        <v>680</v>
      </c>
      <c r="AS146" s="159"/>
      <c r="AT146" s="159"/>
      <c r="AU146" s="86" t="s">
        <v>16</v>
      </c>
      <c r="AV146" s="119">
        <v>46294</v>
      </c>
      <c r="AW146" s="115">
        <v>3</v>
      </c>
      <c r="AX146" s="107" t="s">
        <v>684</v>
      </c>
      <c r="AY146" s="104">
        <f t="shared" si="53"/>
        <v>46385</v>
      </c>
      <c r="AZ146" s="105">
        <f ca="1" t="shared" si="54"/>
        <v>72</v>
      </c>
    </row>
    <row r="147" customHeight="1" spans="1:52">
      <c r="A147" s="70">
        <v>145</v>
      </c>
      <c r="B147" s="70" t="s">
        <v>685</v>
      </c>
      <c r="C147" s="70" t="s">
        <v>13</v>
      </c>
      <c r="D147" s="71" t="s">
        <v>686</v>
      </c>
      <c r="E147" s="105" t="s">
        <v>687</v>
      </c>
      <c r="F147" s="105"/>
      <c r="G147" s="105"/>
      <c r="H147" s="92"/>
      <c r="I147" s="102">
        <v>46031</v>
      </c>
      <c r="J147" s="70">
        <v>3</v>
      </c>
      <c r="K147" s="84" t="s">
        <v>688</v>
      </c>
      <c r="L147" s="104">
        <f t="shared" si="47"/>
        <v>46121</v>
      </c>
      <c r="M147" s="105">
        <f ca="1" t="shared" si="48"/>
        <v>-192</v>
      </c>
      <c r="N147" s="70"/>
      <c r="O147" s="70" t="s">
        <v>685</v>
      </c>
      <c r="P147" s="70" t="s">
        <v>13</v>
      </c>
      <c r="Q147" s="71" t="s">
        <v>686</v>
      </c>
      <c r="R147" s="105" t="s">
        <v>687</v>
      </c>
      <c r="S147" s="105"/>
      <c r="T147" s="105"/>
      <c r="U147" s="92"/>
      <c r="V147" s="110">
        <v>46135</v>
      </c>
      <c r="W147" s="70">
        <v>3</v>
      </c>
      <c r="X147" s="97" t="s">
        <v>689</v>
      </c>
      <c r="Y147" s="104">
        <f t="shared" si="51"/>
        <v>46226</v>
      </c>
      <c r="Z147" s="105">
        <f ca="1" t="shared" si="52"/>
        <v>-87</v>
      </c>
      <c r="AA147" s="70"/>
      <c r="AB147" s="70" t="s">
        <v>685</v>
      </c>
      <c r="AC147" s="70" t="s">
        <v>13</v>
      </c>
      <c r="AD147" s="71" t="s">
        <v>686</v>
      </c>
      <c r="AE147" s="105" t="s">
        <v>687</v>
      </c>
      <c r="AF147" s="105"/>
      <c r="AG147" s="105"/>
      <c r="AH147" s="92"/>
      <c r="AI147" s="110">
        <v>46234</v>
      </c>
      <c r="AJ147" s="70">
        <v>3</v>
      </c>
      <c r="AK147" s="97" t="s">
        <v>690</v>
      </c>
      <c r="AL147" s="104">
        <f t="shared" si="49"/>
        <v>46326</v>
      </c>
      <c r="AM147" s="105">
        <f ca="1" t="shared" si="50"/>
        <v>13</v>
      </c>
      <c r="AN147" s="115"/>
      <c r="AO147" s="115"/>
      <c r="AP147" s="115"/>
      <c r="AQ147" s="93"/>
      <c r="AR147" s="93"/>
      <c r="AS147" s="94"/>
      <c r="AT147" s="95"/>
      <c r="AU147" s="79"/>
      <c r="AV147" s="119"/>
      <c r="AW147" s="115"/>
      <c r="AX147" s="107"/>
      <c r="AY147" s="104">
        <f t="shared" si="53"/>
        <v>0</v>
      </c>
      <c r="AZ147" s="105">
        <f ca="1" t="shared" si="54"/>
        <v>-46313</v>
      </c>
    </row>
    <row r="148" customHeight="1" spans="1:52">
      <c r="A148" s="70">
        <v>146</v>
      </c>
      <c r="B148" s="70" t="s">
        <v>12</v>
      </c>
      <c r="C148" s="70" t="s">
        <v>38</v>
      </c>
      <c r="D148" s="71" t="s">
        <v>691</v>
      </c>
      <c r="E148" s="137" t="s">
        <v>28</v>
      </c>
      <c r="F148" s="161"/>
      <c r="G148" s="162"/>
      <c r="H148" s="163" t="s">
        <v>16</v>
      </c>
      <c r="I148" s="102">
        <v>46031</v>
      </c>
      <c r="J148" s="70">
        <v>3</v>
      </c>
      <c r="K148" s="84" t="s">
        <v>692</v>
      </c>
      <c r="L148" s="104">
        <f t="shared" si="47"/>
        <v>46121</v>
      </c>
      <c r="M148" s="105">
        <f ca="1" t="shared" si="48"/>
        <v>-192</v>
      </c>
      <c r="N148" s="70"/>
      <c r="O148" s="70" t="s">
        <v>12</v>
      </c>
      <c r="P148" s="70" t="s">
        <v>38</v>
      </c>
      <c r="Q148" s="71" t="s">
        <v>691</v>
      </c>
      <c r="R148" s="137" t="s">
        <v>28</v>
      </c>
      <c r="S148" s="161"/>
      <c r="T148" s="162"/>
      <c r="U148" s="163" t="s">
        <v>16</v>
      </c>
      <c r="V148" s="110">
        <v>46114</v>
      </c>
      <c r="W148" s="70">
        <v>3</v>
      </c>
      <c r="X148" s="97" t="s">
        <v>693</v>
      </c>
      <c r="Y148" s="104">
        <f t="shared" si="51"/>
        <v>46205</v>
      </c>
      <c r="Z148" s="105">
        <f ca="1" t="shared" si="52"/>
        <v>-108</v>
      </c>
      <c r="AA148" s="70"/>
      <c r="AB148" s="70" t="s">
        <v>694</v>
      </c>
      <c r="AC148" s="70" t="s">
        <v>38</v>
      </c>
      <c r="AD148" s="71" t="s">
        <v>691</v>
      </c>
      <c r="AE148" s="137" t="s">
        <v>28</v>
      </c>
      <c r="AF148" s="161"/>
      <c r="AG148" s="162"/>
      <c r="AH148" s="163" t="s">
        <v>16</v>
      </c>
      <c r="AI148" s="110">
        <v>46233</v>
      </c>
      <c r="AJ148" s="70">
        <v>3</v>
      </c>
      <c r="AK148" s="97" t="s">
        <v>695</v>
      </c>
      <c r="AL148" s="104">
        <f t="shared" si="49"/>
        <v>46325</v>
      </c>
      <c r="AM148" s="105">
        <f ca="1" t="shared" si="50"/>
        <v>12</v>
      </c>
      <c r="AN148" s="115"/>
      <c r="AO148" s="115"/>
      <c r="AP148" s="115"/>
      <c r="AQ148" s="93"/>
      <c r="AR148" s="93"/>
      <c r="AS148" s="94"/>
      <c r="AT148" s="95"/>
      <c r="AU148" s="79"/>
      <c r="AV148" s="119"/>
      <c r="AW148" s="115"/>
      <c r="AX148" s="107"/>
      <c r="AY148" s="104">
        <f t="shared" si="53"/>
        <v>0</v>
      </c>
      <c r="AZ148" s="105">
        <f ca="1" t="shared" si="54"/>
        <v>-46313</v>
      </c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696</v>
      </c>
      <c r="E149" s="71" t="s">
        <v>126</v>
      </c>
      <c r="F149" s="72"/>
      <c r="G149" s="73"/>
      <c r="H149" s="164"/>
      <c r="I149" s="102">
        <v>46031</v>
      </c>
      <c r="J149" s="70">
        <v>3</v>
      </c>
      <c r="K149" s="84" t="s">
        <v>697</v>
      </c>
      <c r="L149" s="104">
        <f t="shared" si="47"/>
        <v>46121</v>
      </c>
      <c r="M149" s="105">
        <f ca="1" t="shared" si="48"/>
        <v>-192</v>
      </c>
      <c r="N149" s="70"/>
      <c r="O149" s="70" t="s">
        <v>12</v>
      </c>
      <c r="P149" s="70" t="s">
        <v>13</v>
      </c>
      <c r="Q149" s="71" t="s">
        <v>696</v>
      </c>
      <c r="R149" s="71" t="s">
        <v>126</v>
      </c>
      <c r="S149" s="72"/>
      <c r="T149" s="73"/>
      <c r="U149" s="75"/>
      <c r="V149" s="110">
        <v>46113</v>
      </c>
      <c r="W149" s="70">
        <v>3</v>
      </c>
      <c r="X149" s="97" t="s">
        <v>698</v>
      </c>
      <c r="Y149" s="104">
        <f t="shared" si="51"/>
        <v>46204</v>
      </c>
      <c r="Z149" s="105">
        <f ca="1" t="shared" si="52"/>
        <v>-109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49"/>
        <v>0</v>
      </c>
      <c r="AM149" s="105">
        <f ca="1" t="shared" si="50"/>
        <v>-46313</v>
      </c>
      <c r="AN149" s="115"/>
      <c r="AO149" s="115"/>
      <c r="AP149" s="115"/>
      <c r="AQ149" s="93"/>
      <c r="AR149" s="93"/>
      <c r="AS149" s="94"/>
      <c r="AT149" s="95"/>
      <c r="AU149" s="79"/>
      <c r="AV149" s="119"/>
      <c r="AW149" s="115"/>
      <c r="AX149" s="107"/>
      <c r="AY149" s="104">
        <f t="shared" si="53"/>
        <v>0</v>
      </c>
      <c r="AZ149" s="105">
        <f ca="1" t="shared" si="54"/>
        <v>-46313</v>
      </c>
    </row>
    <row r="150" customHeight="1" spans="1:52">
      <c r="A150" s="70">
        <v>148</v>
      </c>
      <c r="B150" s="70" t="s">
        <v>12</v>
      </c>
      <c r="C150" s="70" t="s">
        <v>38</v>
      </c>
      <c r="D150" s="71" t="s">
        <v>699</v>
      </c>
      <c r="E150" s="71" t="s">
        <v>189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700</v>
      </c>
      <c r="L150" s="104">
        <f t="shared" si="47"/>
        <v>46121</v>
      </c>
      <c r="M150" s="105">
        <f ca="1" t="shared" si="48"/>
        <v>-192</v>
      </c>
      <c r="N150" s="70"/>
      <c r="O150" s="70" t="s">
        <v>12</v>
      </c>
      <c r="P150" s="70" t="s">
        <v>38</v>
      </c>
      <c r="Q150" s="71" t="s">
        <v>699</v>
      </c>
      <c r="R150" s="71" t="s">
        <v>189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701</v>
      </c>
      <c r="Y150" s="104">
        <f t="shared" si="51"/>
        <v>46210</v>
      </c>
      <c r="Z150" s="105">
        <f ca="1" t="shared" si="52"/>
        <v>-103</v>
      </c>
      <c r="AA150" s="70"/>
      <c r="AB150" s="70" t="s">
        <v>12</v>
      </c>
      <c r="AC150" s="70" t="s">
        <v>38</v>
      </c>
      <c r="AD150" s="71" t="s">
        <v>699</v>
      </c>
      <c r="AE150" s="71" t="s">
        <v>189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702</v>
      </c>
      <c r="AL150" s="104">
        <f t="shared" si="49"/>
        <v>46297</v>
      </c>
      <c r="AM150" s="105">
        <f ca="1" t="shared" si="50"/>
        <v>-16</v>
      </c>
      <c r="AN150" s="115"/>
      <c r="AO150" s="115"/>
      <c r="AP150" s="115"/>
      <c r="AQ150" s="93"/>
      <c r="AR150" s="93"/>
      <c r="AS150" s="94"/>
      <c r="AT150" s="95"/>
      <c r="AU150" s="79"/>
      <c r="AV150" s="119"/>
      <c r="AW150" s="115"/>
      <c r="AX150" s="107"/>
      <c r="AY150" s="104">
        <f t="shared" si="53"/>
        <v>0</v>
      </c>
      <c r="AZ150" s="105">
        <f ca="1" t="shared" si="54"/>
        <v>-46313</v>
      </c>
    </row>
    <row r="151" customHeight="1" spans="1:52">
      <c r="A151" s="70">
        <v>149</v>
      </c>
      <c r="B151" s="70" t="s">
        <v>74</v>
      </c>
      <c r="C151" s="70" t="s">
        <v>38</v>
      </c>
      <c r="D151" s="71" t="s">
        <v>703</v>
      </c>
      <c r="E151" s="71" t="s">
        <v>40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704</v>
      </c>
      <c r="L151" s="104">
        <f t="shared" si="47"/>
        <v>46121</v>
      </c>
      <c r="M151" s="105">
        <f ca="1" t="shared" si="48"/>
        <v>-192</v>
      </c>
      <c r="N151" s="70"/>
      <c r="O151" s="70" t="s">
        <v>74</v>
      </c>
      <c r="P151" s="70" t="s">
        <v>38</v>
      </c>
      <c r="Q151" s="71" t="s">
        <v>703</v>
      </c>
      <c r="R151" s="71" t="s">
        <v>40</v>
      </c>
      <c r="S151" s="72"/>
      <c r="T151" s="73"/>
      <c r="U151" s="119" t="s">
        <v>16</v>
      </c>
      <c r="V151" s="110">
        <v>46155</v>
      </c>
      <c r="W151" s="70">
        <v>3</v>
      </c>
      <c r="X151" s="97" t="s">
        <v>705</v>
      </c>
      <c r="Y151" s="104">
        <f t="shared" si="51"/>
        <v>46247</v>
      </c>
      <c r="Z151" s="105">
        <f ca="1" t="shared" si="52"/>
        <v>-66</v>
      </c>
      <c r="AA151" s="70"/>
      <c r="AB151" s="70" t="s">
        <v>74</v>
      </c>
      <c r="AC151" s="70" t="s">
        <v>38</v>
      </c>
      <c r="AD151" s="71" t="s">
        <v>703</v>
      </c>
      <c r="AE151" s="71" t="s">
        <v>40</v>
      </c>
      <c r="AF151" s="72"/>
      <c r="AG151" s="73"/>
      <c r="AH151" s="119" t="s">
        <v>16</v>
      </c>
      <c r="AI151" s="110">
        <v>46251</v>
      </c>
      <c r="AJ151" s="70">
        <v>3</v>
      </c>
      <c r="AK151" s="97" t="s">
        <v>706</v>
      </c>
      <c r="AL151" s="104">
        <f t="shared" si="49"/>
        <v>46343</v>
      </c>
      <c r="AM151" s="105">
        <f ca="1" t="shared" si="50"/>
        <v>30</v>
      </c>
      <c r="AN151" s="115"/>
      <c r="AO151" s="70"/>
      <c r="AP151" s="70"/>
      <c r="AQ151" s="71"/>
      <c r="AR151" s="71"/>
      <c r="AS151" s="72"/>
      <c r="AT151" s="73"/>
      <c r="AU151" s="119"/>
      <c r="AV151" s="119"/>
      <c r="AW151" s="115"/>
      <c r="AX151" s="107"/>
      <c r="AY151" s="104">
        <f t="shared" si="53"/>
        <v>0</v>
      </c>
      <c r="AZ151" s="105">
        <f ca="1" t="shared" si="54"/>
        <v>-46313</v>
      </c>
    </row>
    <row r="152" customHeight="1" spans="1:52">
      <c r="A152" s="70">
        <v>150</v>
      </c>
      <c r="B152" s="70" t="s">
        <v>229</v>
      </c>
      <c r="C152" s="70" t="s">
        <v>13</v>
      </c>
      <c r="D152" s="71" t="s">
        <v>707</v>
      </c>
      <c r="E152" s="71" t="s">
        <v>708</v>
      </c>
      <c r="F152" s="72"/>
      <c r="G152" s="73"/>
      <c r="H152" s="75"/>
      <c r="I152" s="102">
        <v>46031</v>
      </c>
      <c r="J152" s="70">
        <v>3</v>
      </c>
      <c r="K152" s="84" t="s">
        <v>709</v>
      </c>
      <c r="L152" s="104">
        <f t="shared" si="47"/>
        <v>46121</v>
      </c>
      <c r="M152" s="105">
        <f ca="1" t="shared" si="48"/>
        <v>-192</v>
      </c>
      <c r="N152" s="70"/>
      <c r="O152" s="70" t="s">
        <v>229</v>
      </c>
      <c r="P152" s="70" t="s">
        <v>13</v>
      </c>
      <c r="Q152" s="71" t="s">
        <v>707</v>
      </c>
      <c r="R152" s="71" t="s">
        <v>708</v>
      </c>
      <c r="S152" s="72"/>
      <c r="T152" s="73"/>
      <c r="U152" s="75"/>
      <c r="V152" s="110">
        <v>46215</v>
      </c>
      <c r="W152" s="70">
        <v>3</v>
      </c>
      <c r="X152" s="97" t="s">
        <v>710</v>
      </c>
      <c r="Y152" s="104">
        <f t="shared" ref="Y152:Y163" si="55">EDATE(V152,W152)</f>
        <v>46307</v>
      </c>
      <c r="Z152" s="105">
        <f ca="1" t="shared" ref="Z152:Z163" si="56">Y152-TODAY()</f>
        <v>-6</v>
      </c>
      <c r="AA152" s="70"/>
      <c r="AB152" s="70" t="s">
        <v>229</v>
      </c>
      <c r="AC152" s="70" t="s">
        <v>13</v>
      </c>
      <c r="AD152" s="71" t="s">
        <v>707</v>
      </c>
      <c r="AE152" s="71" t="s">
        <v>708</v>
      </c>
      <c r="AF152" s="72"/>
      <c r="AG152" s="73"/>
      <c r="AH152" s="75"/>
      <c r="AI152" s="110">
        <v>46308</v>
      </c>
      <c r="AJ152" s="70">
        <v>3</v>
      </c>
      <c r="AK152" s="97"/>
      <c r="AL152" s="104">
        <f t="shared" ref="AL152:AL157" si="57">EDATE(AI152,AJ152)</f>
        <v>46400</v>
      </c>
      <c r="AM152" s="105">
        <f ca="1" t="shared" ref="AM152:AM157" si="58">AL152-TODAY()</f>
        <v>87</v>
      </c>
      <c r="AN152" s="115"/>
      <c r="AO152" s="70"/>
      <c r="AP152" s="70"/>
      <c r="AQ152" s="71"/>
      <c r="AR152" s="71"/>
      <c r="AS152" s="72"/>
      <c r="AT152" s="73"/>
      <c r="AU152" s="114"/>
      <c r="AV152" s="119"/>
      <c r="AW152" s="115"/>
      <c r="AX152" s="107"/>
      <c r="AY152" s="104">
        <f t="shared" si="53"/>
        <v>0</v>
      </c>
      <c r="AZ152" s="105">
        <f ca="1" t="shared" si="54"/>
        <v>-46313</v>
      </c>
    </row>
    <row r="153" customHeight="1" spans="1:52">
      <c r="A153" s="70">
        <v>151</v>
      </c>
      <c r="B153" s="70" t="s">
        <v>229</v>
      </c>
      <c r="C153" s="70" t="s">
        <v>13</v>
      </c>
      <c r="D153" s="71" t="s">
        <v>711</v>
      </c>
      <c r="E153" s="133" t="s">
        <v>126</v>
      </c>
      <c r="F153" s="134"/>
      <c r="G153" s="135"/>
      <c r="H153" s="74" t="s">
        <v>16</v>
      </c>
      <c r="I153" s="102">
        <v>46031</v>
      </c>
      <c r="J153" s="70">
        <v>3</v>
      </c>
      <c r="K153" s="84" t="s">
        <v>712</v>
      </c>
      <c r="L153" s="104">
        <f t="shared" si="47"/>
        <v>46121</v>
      </c>
      <c r="M153" s="105">
        <f ca="1" t="shared" si="48"/>
        <v>-192</v>
      </c>
      <c r="N153" s="70"/>
      <c r="O153" s="70" t="s">
        <v>229</v>
      </c>
      <c r="P153" s="70" t="s">
        <v>13</v>
      </c>
      <c r="Q153" s="71" t="s">
        <v>711</v>
      </c>
      <c r="R153" s="133" t="s">
        <v>126</v>
      </c>
      <c r="S153" s="134"/>
      <c r="T153" s="135"/>
      <c r="U153" s="74" t="s">
        <v>16</v>
      </c>
      <c r="V153" s="110">
        <v>46122</v>
      </c>
      <c r="W153" s="70">
        <v>3</v>
      </c>
      <c r="X153" s="97" t="s">
        <v>713</v>
      </c>
      <c r="Y153" s="104">
        <f t="shared" si="55"/>
        <v>46213</v>
      </c>
      <c r="Z153" s="105">
        <f ca="1" t="shared" si="56"/>
        <v>-100</v>
      </c>
      <c r="AA153" s="70"/>
      <c r="AB153" s="70" t="s">
        <v>229</v>
      </c>
      <c r="AC153" s="70" t="s">
        <v>13</v>
      </c>
      <c r="AD153" s="71" t="s">
        <v>711</v>
      </c>
      <c r="AE153" s="133" t="s">
        <v>126</v>
      </c>
      <c r="AF153" s="134"/>
      <c r="AG153" s="135"/>
      <c r="AH153" s="74" t="s">
        <v>16</v>
      </c>
      <c r="AI153" s="110">
        <v>46213</v>
      </c>
      <c r="AJ153" s="70">
        <v>3</v>
      </c>
      <c r="AK153" s="97" t="s">
        <v>714</v>
      </c>
      <c r="AL153" s="104">
        <f t="shared" si="57"/>
        <v>46305</v>
      </c>
      <c r="AM153" s="105">
        <f ca="1" t="shared" si="58"/>
        <v>-8</v>
      </c>
      <c r="AN153" s="115"/>
      <c r="AO153" s="70"/>
      <c r="AP153" s="70"/>
      <c r="AQ153" s="71"/>
      <c r="AR153" s="133"/>
      <c r="AS153" s="134"/>
      <c r="AT153" s="135"/>
      <c r="AU153" s="79"/>
      <c r="AV153" s="119"/>
      <c r="AW153" s="115"/>
      <c r="AX153" s="107"/>
      <c r="AY153" s="104">
        <f t="shared" si="53"/>
        <v>0</v>
      </c>
      <c r="AZ153" s="105">
        <f ca="1" t="shared" si="54"/>
        <v>-46313</v>
      </c>
    </row>
    <row r="154" customHeight="1" spans="1:52">
      <c r="A154" s="70">
        <v>152</v>
      </c>
      <c r="B154" s="70" t="s">
        <v>229</v>
      </c>
      <c r="C154" s="70" t="s">
        <v>38</v>
      </c>
      <c r="D154" s="71" t="s">
        <v>715</v>
      </c>
      <c r="E154" s="105" t="s">
        <v>189</v>
      </c>
      <c r="F154" s="105"/>
      <c r="G154" s="105"/>
      <c r="H154" s="75"/>
      <c r="I154" s="102">
        <v>46031</v>
      </c>
      <c r="J154" s="70">
        <v>3</v>
      </c>
      <c r="K154" s="84" t="s">
        <v>716</v>
      </c>
      <c r="L154" s="104">
        <f t="shared" si="47"/>
        <v>46121</v>
      </c>
      <c r="M154" s="105">
        <f ca="1" t="shared" si="48"/>
        <v>-192</v>
      </c>
      <c r="N154" s="70"/>
      <c r="O154" s="70" t="s">
        <v>229</v>
      </c>
      <c r="P154" s="70" t="s">
        <v>38</v>
      </c>
      <c r="Q154" s="71" t="s">
        <v>715</v>
      </c>
      <c r="R154" s="105" t="s">
        <v>189</v>
      </c>
      <c r="S154" s="105"/>
      <c r="T154" s="105"/>
      <c r="U154" s="75"/>
      <c r="V154" s="110">
        <v>46157</v>
      </c>
      <c r="W154" s="70">
        <v>3</v>
      </c>
      <c r="X154" s="97" t="s">
        <v>717</v>
      </c>
      <c r="Y154" s="104">
        <f t="shared" si="55"/>
        <v>46249</v>
      </c>
      <c r="Z154" s="105">
        <f ca="1" t="shared" si="56"/>
        <v>-64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57"/>
        <v>0</v>
      </c>
      <c r="AM154" s="105">
        <f ca="1" t="shared" si="58"/>
        <v>-46313</v>
      </c>
      <c r="AN154" s="115"/>
      <c r="AO154" s="70"/>
      <c r="AP154" s="70"/>
      <c r="AQ154" s="71"/>
      <c r="AR154" s="105"/>
      <c r="AS154" s="105"/>
      <c r="AT154" s="105"/>
      <c r="AU154" s="79"/>
      <c r="AV154" s="119"/>
      <c r="AW154" s="115"/>
      <c r="AX154" s="107"/>
      <c r="AY154" s="104">
        <f t="shared" si="53"/>
        <v>0</v>
      </c>
      <c r="AZ154" s="105">
        <f ca="1" t="shared" si="54"/>
        <v>-46313</v>
      </c>
    </row>
    <row r="155" customHeight="1" spans="1:52">
      <c r="A155" s="70">
        <v>153</v>
      </c>
      <c r="B155" s="70" t="s">
        <v>718</v>
      </c>
      <c r="C155" s="70" t="s">
        <v>13</v>
      </c>
      <c r="D155" s="71" t="s">
        <v>719</v>
      </c>
      <c r="E155" s="105" t="s">
        <v>76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720</v>
      </c>
      <c r="L155" s="104">
        <f t="shared" si="47"/>
        <v>46121</v>
      </c>
      <c r="M155" s="105">
        <f ca="1" t="shared" si="48"/>
        <v>-192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55"/>
        <v>0</v>
      </c>
      <c r="Z155" s="105">
        <f ca="1" t="shared" si="56"/>
        <v>-46313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57"/>
        <v>0</v>
      </c>
      <c r="AM155" s="105">
        <f ca="1" t="shared" si="58"/>
        <v>-46313</v>
      </c>
      <c r="AN155" s="115"/>
      <c r="AO155" s="115"/>
      <c r="AP155" s="115"/>
      <c r="AQ155" s="93"/>
      <c r="AR155" s="91"/>
      <c r="AS155" s="91"/>
      <c r="AT155" s="91"/>
      <c r="AU155" s="79"/>
      <c r="AV155" s="119"/>
      <c r="AW155" s="115"/>
      <c r="AX155" s="107"/>
      <c r="AY155" s="104">
        <f t="shared" si="53"/>
        <v>0</v>
      </c>
      <c r="AZ155" s="105">
        <f ca="1" t="shared" si="54"/>
        <v>-46313</v>
      </c>
    </row>
    <row r="156" customHeight="1" spans="1:52">
      <c r="A156" s="70">
        <v>154</v>
      </c>
      <c r="B156" s="70" t="s">
        <v>721</v>
      </c>
      <c r="C156" s="70" t="s">
        <v>38</v>
      </c>
      <c r="D156" s="71" t="s">
        <v>722</v>
      </c>
      <c r="E156" s="105" t="s">
        <v>51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723</v>
      </c>
      <c r="L156" s="104">
        <f t="shared" si="47"/>
        <v>46121</v>
      </c>
      <c r="M156" s="105">
        <f ca="1" t="shared" si="48"/>
        <v>-192</v>
      </c>
      <c r="N156" s="70"/>
      <c r="O156" s="70" t="s">
        <v>721</v>
      </c>
      <c r="P156" s="70" t="s">
        <v>38</v>
      </c>
      <c r="Q156" s="71" t="s">
        <v>722</v>
      </c>
      <c r="R156" s="105" t="s">
        <v>51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724</v>
      </c>
      <c r="Y156" s="104">
        <f t="shared" si="55"/>
        <v>46210</v>
      </c>
      <c r="Z156" s="105">
        <f ca="1" t="shared" si="56"/>
        <v>-103</v>
      </c>
      <c r="AA156" s="70"/>
      <c r="AB156" s="70" t="s">
        <v>721</v>
      </c>
      <c r="AC156" s="70" t="s">
        <v>38</v>
      </c>
      <c r="AD156" s="71" t="s">
        <v>722</v>
      </c>
      <c r="AE156" s="105" t="s">
        <v>51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725</v>
      </c>
      <c r="AL156" s="104">
        <f t="shared" si="57"/>
        <v>46306</v>
      </c>
      <c r="AM156" s="105">
        <f ca="1" t="shared" si="58"/>
        <v>-7</v>
      </c>
      <c r="AN156" s="115"/>
      <c r="AO156" s="70" t="s">
        <v>721</v>
      </c>
      <c r="AP156" s="70" t="s">
        <v>38</v>
      </c>
      <c r="AQ156" s="71" t="s">
        <v>722</v>
      </c>
      <c r="AR156" s="105" t="s">
        <v>51</v>
      </c>
      <c r="AS156" s="105"/>
      <c r="AT156" s="105"/>
      <c r="AU156" s="114" t="s">
        <v>16</v>
      </c>
      <c r="AV156" s="119">
        <v>46311</v>
      </c>
      <c r="AW156" s="115">
        <v>3</v>
      </c>
      <c r="AX156" s="107"/>
      <c r="AY156" s="104">
        <f t="shared" si="53"/>
        <v>46403</v>
      </c>
      <c r="AZ156" s="105">
        <f ca="1" t="shared" si="54"/>
        <v>90</v>
      </c>
    </row>
    <row r="157" customHeight="1" spans="1:52">
      <c r="A157" s="70">
        <v>155</v>
      </c>
      <c r="B157" s="70" t="s">
        <v>519</v>
      </c>
      <c r="C157" s="70" t="s">
        <v>38</v>
      </c>
      <c r="D157" s="71" t="s">
        <v>726</v>
      </c>
      <c r="E157" s="105" t="s">
        <v>40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727</v>
      </c>
      <c r="L157" s="104">
        <f t="shared" si="47"/>
        <v>46121</v>
      </c>
      <c r="M157" s="105">
        <f ca="1" t="shared" si="48"/>
        <v>-192</v>
      </c>
      <c r="N157" s="70"/>
      <c r="O157" s="70" t="s">
        <v>519</v>
      </c>
      <c r="P157" s="70" t="s">
        <v>38</v>
      </c>
      <c r="Q157" s="71" t="s">
        <v>726</v>
      </c>
      <c r="R157" s="105" t="s">
        <v>40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728</v>
      </c>
      <c r="Y157" s="104">
        <f t="shared" si="55"/>
        <v>46206</v>
      </c>
      <c r="Z157" s="105">
        <f ca="1" t="shared" si="56"/>
        <v>-107</v>
      </c>
      <c r="AA157" s="70"/>
      <c r="AB157" s="70" t="s">
        <v>519</v>
      </c>
      <c r="AC157" s="70" t="s">
        <v>38</v>
      </c>
      <c r="AD157" s="71" t="s">
        <v>726</v>
      </c>
      <c r="AE157" s="105" t="s">
        <v>40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729</v>
      </c>
      <c r="AL157" s="104">
        <f t="shared" si="57"/>
        <v>46304</v>
      </c>
      <c r="AM157" s="105">
        <f ca="1" t="shared" si="58"/>
        <v>-9</v>
      </c>
      <c r="AN157" s="115"/>
      <c r="AO157" s="70" t="s">
        <v>519</v>
      </c>
      <c r="AP157" s="70" t="s">
        <v>38</v>
      </c>
      <c r="AQ157" s="71" t="s">
        <v>726</v>
      </c>
      <c r="AR157" s="105" t="s">
        <v>40</v>
      </c>
      <c r="AS157" s="105"/>
      <c r="AT157" s="105"/>
      <c r="AU157" s="114" t="s">
        <v>16</v>
      </c>
      <c r="AV157" s="119">
        <v>46303</v>
      </c>
      <c r="AW157" s="115">
        <v>3</v>
      </c>
      <c r="AX157" s="107" t="s">
        <v>730</v>
      </c>
      <c r="AY157" s="104">
        <f t="shared" si="53"/>
        <v>46395</v>
      </c>
      <c r="AZ157" s="105">
        <f ca="1" t="shared" si="54"/>
        <v>82</v>
      </c>
    </row>
    <row r="158" customHeight="1" spans="1:52">
      <c r="A158" s="70">
        <v>156</v>
      </c>
      <c r="B158" s="70" t="s">
        <v>731</v>
      </c>
      <c r="C158" s="70" t="s">
        <v>13</v>
      </c>
      <c r="D158" s="71" t="s">
        <v>732</v>
      </c>
      <c r="E158" s="105" t="s">
        <v>28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733</v>
      </c>
      <c r="L158" s="104">
        <f t="shared" si="47"/>
        <v>46121</v>
      </c>
      <c r="M158" s="105">
        <f ca="1" t="shared" si="48"/>
        <v>-192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55"/>
        <v>0</v>
      </c>
      <c r="Z158" s="105">
        <f ca="1" t="shared" si="56"/>
        <v>-46313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49"/>
        <v>0</v>
      </c>
      <c r="AM158" s="105">
        <f ca="1" t="shared" si="50"/>
        <v>-46313</v>
      </c>
      <c r="AN158" s="115"/>
      <c r="AO158" s="115"/>
      <c r="AP158" s="115"/>
      <c r="AQ158" s="93"/>
      <c r="AR158" s="91"/>
      <c r="AS158" s="91"/>
      <c r="AT158" s="91"/>
      <c r="AU158" s="79"/>
      <c r="AV158" s="119"/>
      <c r="AW158" s="115"/>
      <c r="AX158" s="107"/>
      <c r="AY158" s="104">
        <f t="shared" si="53"/>
        <v>0</v>
      </c>
      <c r="AZ158" s="105">
        <f ca="1" t="shared" si="54"/>
        <v>-46313</v>
      </c>
    </row>
    <row r="159" customHeight="1" spans="1:52">
      <c r="A159" s="70">
        <v>157</v>
      </c>
      <c r="B159" s="70" t="s">
        <v>731</v>
      </c>
      <c r="C159" s="70" t="s">
        <v>38</v>
      </c>
      <c r="D159" s="71" t="s">
        <v>734</v>
      </c>
      <c r="E159" s="137" t="s">
        <v>735</v>
      </c>
      <c r="F159" s="161"/>
      <c r="G159" s="162"/>
      <c r="H159" s="75"/>
      <c r="I159" s="102">
        <v>46031</v>
      </c>
      <c r="J159" s="70">
        <v>3</v>
      </c>
      <c r="K159" s="84" t="s">
        <v>736</v>
      </c>
      <c r="L159" s="104">
        <f t="shared" si="47"/>
        <v>46121</v>
      </c>
      <c r="M159" s="105">
        <f ca="1" t="shared" si="48"/>
        <v>-192</v>
      </c>
      <c r="N159" s="70"/>
      <c r="O159" s="70" t="s">
        <v>731</v>
      </c>
      <c r="P159" s="70" t="s">
        <v>38</v>
      </c>
      <c r="Q159" s="71" t="s">
        <v>734</v>
      </c>
      <c r="R159" s="137" t="s">
        <v>735</v>
      </c>
      <c r="S159" s="161"/>
      <c r="T159" s="162"/>
      <c r="U159" s="75"/>
      <c r="V159" s="110">
        <v>46138</v>
      </c>
      <c r="W159" s="70">
        <v>3</v>
      </c>
      <c r="X159" s="97" t="s">
        <v>737</v>
      </c>
      <c r="Y159" s="104">
        <f t="shared" si="55"/>
        <v>46229</v>
      </c>
      <c r="Z159" s="105">
        <f ca="1" t="shared" si="56"/>
        <v>-84</v>
      </c>
      <c r="AA159" s="70"/>
      <c r="AB159" s="70"/>
      <c r="AC159" s="70"/>
      <c r="AD159" s="71"/>
      <c r="AE159" s="137"/>
      <c r="AF159" s="161"/>
      <c r="AG159" s="162"/>
      <c r="AH159" s="79"/>
      <c r="AI159" s="110"/>
      <c r="AJ159" s="70"/>
      <c r="AK159" s="97"/>
      <c r="AL159" s="104">
        <f t="shared" si="49"/>
        <v>0</v>
      </c>
      <c r="AM159" s="105">
        <f ca="1" t="shared" si="50"/>
        <v>-46313</v>
      </c>
      <c r="AN159" s="115"/>
      <c r="AO159" s="115"/>
      <c r="AP159" s="115"/>
      <c r="AQ159" s="93"/>
      <c r="AR159" s="175"/>
      <c r="AS159" s="176"/>
      <c r="AT159" s="177"/>
      <c r="AU159" s="79"/>
      <c r="AV159" s="119"/>
      <c r="AW159" s="115"/>
      <c r="AX159" s="107"/>
      <c r="AY159" s="104"/>
      <c r="AZ159" s="105"/>
    </row>
    <row r="160" customHeight="1" spans="1:52">
      <c r="A160" s="70">
        <v>158</v>
      </c>
      <c r="B160" s="70" t="s">
        <v>731</v>
      </c>
      <c r="C160" s="70" t="s">
        <v>38</v>
      </c>
      <c r="D160" s="71" t="s">
        <v>738</v>
      </c>
      <c r="E160" s="137" t="s">
        <v>735</v>
      </c>
      <c r="F160" s="161"/>
      <c r="G160" s="162"/>
      <c r="H160" s="75"/>
      <c r="I160" s="102">
        <v>46031</v>
      </c>
      <c r="J160" s="70">
        <v>3</v>
      </c>
      <c r="K160" s="84" t="s">
        <v>739</v>
      </c>
      <c r="L160" s="104">
        <f t="shared" si="47"/>
        <v>46121</v>
      </c>
      <c r="M160" s="105">
        <f ca="1" t="shared" si="48"/>
        <v>-192</v>
      </c>
      <c r="N160" s="70"/>
      <c r="O160" s="70" t="s">
        <v>731</v>
      </c>
      <c r="P160" s="70" t="s">
        <v>38</v>
      </c>
      <c r="Q160" s="71" t="s">
        <v>738</v>
      </c>
      <c r="R160" s="137" t="s">
        <v>735</v>
      </c>
      <c r="S160" s="161"/>
      <c r="T160" s="162"/>
      <c r="U160" s="75"/>
      <c r="V160" s="110">
        <v>46138</v>
      </c>
      <c r="W160" s="70">
        <v>3</v>
      </c>
      <c r="X160" s="97" t="s">
        <v>740</v>
      </c>
      <c r="Y160" s="104">
        <f t="shared" si="55"/>
        <v>46229</v>
      </c>
      <c r="Z160" s="105">
        <f ca="1" t="shared" si="56"/>
        <v>-84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49"/>
        <v>0</v>
      </c>
      <c r="AM160" s="105">
        <f ca="1" t="shared" si="50"/>
        <v>-46313</v>
      </c>
      <c r="AN160" s="115"/>
      <c r="AO160" s="70"/>
      <c r="AP160" s="70"/>
      <c r="AQ160" s="70"/>
      <c r="AR160" s="71"/>
      <c r="AS160" s="72"/>
      <c r="AT160" s="73"/>
      <c r="AU160" s="79"/>
      <c r="AV160" s="119"/>
      <c r="AW160" s="115"/>
      <c r="AX160" s="107"/>
      <c r="AY160" s="104"/>
      <c r="AZ160" s="105"/>
    </row>
    <row r="161" customHeight="1" spans="1:52">
      <c r="A161" s="70">
        <v>159</v>
      </c>
      <c r="B161" s="70" t="s">
        <v>741</v>
      </c>
      <c r="C161" s="70" t="s">
        <v>38</v>
      </c>
      <c r="D161" s="71" t="s">
        <v>742</v>
      </c>
      <c r="E161" s="71" t="s">
        <v>145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743</v>
      </c>
      <c r="L161" s="104">
        <f t="shared" si="47"/>
        <v>46121</v>
      </c>
      <c r="M161" s="105">
        <f ca="1" t="shared" si="48"/>
        <v>-192</v>
      </c>
      <c r="N161" s="70"/>
      <c r="O161" s="70" t="s">
        <v>741</v>
      </c>
      <c r="P161" s="70" t="s">
        <v>38</v>
      </c>
      <c r="Q161" s="71" t="s">
        <v>742</v>
      </c>
      <c r="R161" s="71" t="s">
        <v>145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744</v>
      </c>
      <c r="Y161" s="104">
        <f t="shared" si="55"/>
        <v>46210</v>
      </c>
      <c r="Z161" s="105">
        <f ca="1" t="shared" si="56"/>
        <v>-103</v>
      </c>
      <c r="AA161" s="70"/>
      <c r="AB161" s="70" t="s">
        <v>741</v>
      </c>
      <c r="AC161" s="70" t="s">
        <v>38</v>
      </c>
      <c r="AD161" s="71" t="s">
        <v>742</v>
      </c>
      <c r="AE161" s="71" t="s">
        <v>145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745</v>
      </c>
      <c r="AL161" s="104">
        <f t="shared" si="49"/>
        <v>46318</v>
      </c>
      <c r="AM161" s="105">
        <f ca="1" t="shared" si="50"/>
        <v>5</v>
      </c>
      <c r="AN161" s="115"/>
      <c r="AO161" s="70"/>
      <c r="AP161" s="70"/>
      <c r="AQ161" s="71"/>
      <c r="AR161" s="130"/>
      <c r="AS161" s="131"/>
      <c r="AT161" s="132"/>
      <c r="AU161" s="79"/>
      <c r="AV161" s="119"/>
      <c r="AW161" s="115"/>
      <c r="AX161" s="107"/>
      <c r="AY161" s="104"/>
      <c r="AZ161" s="105"/>
    </row>
    <row r="162" customHeight="1" spans="1:52">
      <c r="A162" s="70">
        <v>160</v>
      </c>
      <c r="B162" s="70" t="s">
        <v>644</v>
      </c>
      <c r="C162" s="70" t="s">
        <v>264</v>
      </c>
      <c r="D162" s="71" t="s">
        <v>746</v>
      </c>
      <c r="E162" s="71" t="s">
        <v>747</v>
      </c>
      <c r="F162" s="72"/>
      <c r="G162" s="73"/>
      <c r="H162" s="75"/>
      <c r="I162" s="102">
        <v>46031</v>
      </c>
      <c r="J162" s="70">
        <v>3</v>
      </c>
      <c r="K162" s="84" t="s">
        <v>748</v>
      </c>
      <c r="L162" s="104">
        <f t="shared" si="47"/>
        <v>46121</v>
      </c>
      <c r="M162" s="105">
        <f ca="1" t="shared" si="48"/>
        <v>-192</v>
      </c>
      <c r="N162" s="70"/>
      <c r="O162" s="70" t="s">
        <v>644</v>
      </c>
      <c r="P162" s="70" t="s">
        <v>264</v>
      </c>
      <c r="Q162" s="71" t="s">
        <v>746</v>
      </c>
      <c r="R162" s="71" t="s">
        <v>747</v>
      </c>
      <c r="S162" s="72"/>
      <c r="T162" s="73"/>
      <c r="U162" s="75"/>
      <c r="V162" s="110">
        <v>46191</v>
      </c>
      <c r="W162" s="70">
        <v>3</v>
      </c>
      <c r="X162" s="97" t="s">
        <v>749</v>
      </c>
      <c r="Y162" s="104">
        <f t="shared" si="55"/>
        <v>46283</v>
      </c>
      <c r="Z162" s="105">
        <f ca="1" t="shared" si="56"/>
        <v>-30</v>
      </c>
      <c r="AA162" s="70"/>
      <c r="AB162" s="70" t="s">
        <v>644</v>
      </c>
      <c r="AC162" s="70" t="s">
        <v>264</v>
      </c>
      <c r="AD162" s="71" t="s">
        <v>746</v>
      </c>
      <c r="AE162" s="71" t="s">
        <v>747</v>
      </c>
      <c r="AF162" s="72"/>
      <c r="AG162" s="73"/>
      <c r="AH162" s="75"/>
      <c r="AI162" s="110">
        <v>46270</v>
      </c>
      <c r="AJ162" s="70">
        <v>3</v>
      </c>
      <c r="AK162" s="97" t="s">
        <v>750</v>
      </c>
      <c r="AL162" s="104">
        <f t="shared" si="49"/>
        <v>46361</v>
      </c>
      <c r="AM162" s="105">
        <f ca="1" t="shared" si="50"/>
        <v>48</v>
      </c>
      <c r="AN162" s="115"/>
      <c r="AO162" s="115"/>
      <c r="AP162" s="115"/>
      <c r="AQ162" s="93"/>
      <c r="AR162" s="127"/>
      <c r="AS162" s="128"/>
      <c r="AT162" s="129"/>
      <c r="AU162" s="79"/>
      <c r="AV162" s="119"/>
      <c r="AW162" s="115"/>
      <c r="AX162" s="107"/>
      <c r="AY162" s="104"/>
      <c r="AZ162" s="105"/>
    </row>
    <row r="163" customHeight="1" spans="1:52">
      <c r="A163" s="70">
        <v>161</v>
      </c>
      <c r="B163" s="70" t="s">
        <v>751</v>
      </c>
      <c r="C163" s="70" t="s">
        <v>264</v>
      </c>
      <c r="D163" s="71" t="s">
        <v>752</v>
      </c>
      <c r="E163" s="130" t="s">
        <v>753</v>
      </c>
      <c r="F163" s="131"/>
      <c r="G163" s="132"/>
      <c r="H163" s="75"/>
      <c r="I163" s="102">
        <v>46031</v>
      </c>
      <c r="J163" s="70">
        <v>3</v>
      </c>
      <c r="K163" s="84" t="s">
        <v>754</v>
      </c>
      <c r="L163" s="104">
        <f t="shared" si="47"/>
        <v>46121</v>
      </c>
      <c r="M163" s="105">
        <f ca="1" t="shared" si="48"/>
        <v>-192</v>
      </c>
      <c r="N163" s="70"/>
      <c r="O163" s="70" t="s">
        <v>751</v>
      </c>
      <c r="P163" s="70" t="s">
        <v>264</v>
      </c>
      <c r="Q163" s="71" t="s">
        <v>752</v>
      </c>
      <c r="R163" s="130" t="s">
        <v>753</v>
      </c>
      <c r="S163" s="131"/>
      <c r="T163" s="132"/>
      <c r="U163" s="75"/>
      <c r="V163" s="110">
        <v>46139</v>
      </c>
      <c r="W163" s="70">
        <v>3</v>
      </c>
      <c r="X163" s="97" t="s">
        <v>755</v>
      </c>
      <c r="Y163" s="104">
        <f t="shared" si="55"/>
        <v>46230</v>
      </c>
      <c r="Z163" s="105">
        <f ca="1" t="shared" si="56"/>
        <v>-83</v>
      </c>
      <c r="AA163" s="70"/>
      <c r="AB163" s="70" t="s">
        <v>751</v>
      </c>
      <c r="AC163" s="70" t="s">
        <v>264</v>
      </c>
      <c r="AD163" s="71" t="s">
        <v>752</v>
      </c>
      <c r="AE163" s="130" t="s">
        <v>753</v>
      </c>
      <c r="AF163" s="131"/>
      <c r="AG163" s="132"/>
      <c r="AH163" s="75"/>
      <c r="AI163" s="110">
        <v>46228</v>
      </c>
      <c r="AJ163" s="70">
        <v>3</v>
      </c>
      <c r="AK163" s="97" t="s">
        <v>756</v>
      </c>
      <c r="AL163" s="104">
        <f t="shared" si="49"/>
        <v>46320</v>
      </c>
      <c r="AM163" s="105">
        <f ca="1" t="shared" si="50"/>
        <v>7</v>
      </c>
      <c r="AN163" s="115"/>
      <c r="AO163" s="70"/>
      <c r="AP163" s="70"/>
      <c r="AQ163" s="71"/>
      <c r="AR163" s="130"/>
      <c r="AS163" s="131"/>
      <c r="AT163" s="132"/>
      <c r="AU163" s="79"/>
      <c r="AV163" s="119"/>
      <c r="AW163" s="115"/>
      <c r="AX163" s="107"/>
      <c r="AY163" s="104"/>
      <c r="AZ163" s="105"/>
    </row>
    <row r="164" customHeight="1" spans="1:52">
      <c r="A164" s="70">
        <v>162</v>
      </c>
      <c r="B164" s="70" t="s">
        <v>757</v>
      </c>
      <c r="C164" s="70" t="s">
        <v>264</v>
      </c>
      <c r="D164" s="71" t="s">
        <v>758</v>
      </c>
      <c r="E164" s="130" t="s">
        <v>368</v>
      </c>
      <c r="F164" s="131"/>
      <c r="G164" s="132"/>
      <c r="H164" s="75"/>
      <c r="I164" s="102">
        <v>46031</v>
      </c>
      <c r="J164" s="70">
        <v>3</v>
      </c>
      <c r="K164" s="84" t="s">
        <v>759</v>
      </c>
      <c r="L164" s="104">
        <f t="shared" si="47"/>
        <v>46121</v>
      </c>
      <c r="M164" s="105">
        <f ca="1" t="shared" si="48"/>
        <v>-192</v>
      </c>
      <c r="N164" s="70"/>
      <c r="O164" s="70" t="s">
        <v>757</v>
      </c>
      <c r="P164" s="70" t="s">
        <v>264</v>
      </c>
      <c r="Q164" s="71" t="s">
        <v>758</v>
      </c>
      <c r="R164" s="130" t="s">
        <v>368</v>
      </c>
      <c r="S164" s="131"/>
      <c r="T164" s="132"/>
      <c r="U164" s="75"/>
      <c r="V164" s="110">
        <v>46120</v>
      </c>
      <c r="W164" s="70">
        <v>3</v>
      </c>
      <c r="X164" s="97" t="s">
        <v>760</v>
      </c>
      <c r="Y164" s="104">
        <f t="shared" ref="Y158:Y184" si="59">EDATE(V164,W164)</f>
        <v>46211</v>
      </c>
      <c r="Z164" s="105">
        <f ca="1" t="shared" ref="Z158:Z184" si="60">Y164-TODAY()</f>
        <v>-102</v>
      </c>
      <c r="AA164" s="70"/>
      <c r="AB164" s="70" t="s">
        <v>757</v>
      </c>
      <c r="AC164" s="70" t="s">
        <v>264</v>
      </c>
      <c r="AD164" s="71" t="s">
        <v>758</v>
      </c>
      <c r="AE164" s="130" t="s">
        <v>368</v>
      </c>
      <c r="AF164" s="131"/>
      <c r="AG164" s="132"/>
      <c r="AH164" s="75"/>
      <c r="AI164" s="110">
        <v>46217</v>
      </c>
      <c r="AJ164" s="70">
        <v>3</v>
      </c>
      <c r="AK164" s="97" t="s">
        <v>761</v>
      </c>
      <c r="AL164" s="104">
        <f t="shared" si="49"/>
        <v>46309</v>
      </c>
      <c r="AM164" s="105">
        <f ca="1" t="shared" si="50"/>
        <v>-4</v>
      </c>
      <c r="AN164" s="115"/>
      <c r="AO164" s="70" t="s">
        <v>757</v>
      </c>
      <c r="AP164" s="70" t="s">
        <v>264</v>
      </c>
      <c r="AQ164" s="71" t="s">
        <v>758</v>
      </c>
      <c r="AR164" s="130" t="s">
        <v>368</v>
      </c>
      <c r="AS164" s="131"/>
      <c r="AT164" s="132"/>
      <c r="AU164" s="75"/>
      <c r="AV164" s="119">
        <v>46304</v>
      </c>
      <c r="AW164" s="115">
        <v>3</v>
      </c>
      <c r="AX164" s="107" t="s">
        <v>762</v>
      </c>
      <c r="AY164" s="104">
        <f t="shared" ref="AY164:AY175" si="61">EDATE(AV164,AW164)</f>
        <v>46396</v>
      </c>
      <c r="AZ164" s="105">
        <f ca="1" t="shared" ref="AZ164:AZ175" si="62">AY164-TODAY()</f>
        <v>83</v>
      </c>
    </row>
    <row r="165" s="58" customFormat="1" customHeight="1" spans="1:52">
      <c r="A165" s="70">
        <v>163</v>
      </c>
      <c r="B165" s="70" t="s">
        <v>263</v>
      </c>
      <c r="C165" s="70" t="s">
        <v>264</v>
      </c>
      <c r="D165" s="93" t="s">
        <v>763</v>
      </c>
      <c r="E165" s="130" t="s">
        <v>764</v>
      </c>
      <c r="F165" s="131"/>
      <c r="G165" s="132"/>
      <c r="H165" s="75"/>
      <c r="I165" s="102">
        <v>46031</v>
      </c>
      <c r="J165" s="70">
        <v>3</v>
      </c>
      <c r="K165" s="84" t="s">
        <v>765</v>
      </c>
      <c r="L165" s="104">
        <f t="shared" si="47"/>
        <v>46121</v>
      </c>
      <c r="M165" s="105">
        <f ca="1" t="shared" si="48"/>
        <v>-192</v>
      </c>
      <c r="N165" s="70"/>
      <c r="O165" s="70" t="s">
        <v>263</v>
      </c>
      <c r="P165" s="70" t="s">
        <v>264</v>
      </c>
      <c r="Q165" s="93" t="s">
        <v>763</v>
      </c>
      <c r="R165" s="130" t="s">
        <v>764</v>
      </c>
      <c r="S165" s="131"/>
      <c r="T165" s="132"/>
      <c r="U165" s="75"/>
      <c r="V165" s="110">
        <v>46161</v>
      </c>
      <c r="W165" s="115">
        <v>3</v>
      </c>
      <c r="X165" s="97" t="s">
        <v>766</v>
      </c>
      <c r="Y165" s="104">
        <f t="shared" si="59"/>
        <v>46253</v>
      </c>
      <c r="Z165" s="105">
        <f ca="1" t="shared" si="60"/>
        <v>-60</v>
      </c>
      <c r="AA165" s="70"/>
      <c r="AB165" s="70" t="s">
        <v>263</v>
      </c>
      <c r="AC165" s="70" t="s">
        <v>264</v>
      </c>
      <c r="AD165" s="93" t="s">
        <v>763</v>
      </c>
      <c r="AE165" s="130" t="s">
        <v>764</v>
      </c>
      <c r="AF165" s="131"/>
      <c r="AG165" s="132"/>
      <c r="AH165" s="75"/>
      <c r="AI165" s="110">
        <v>46256</v>
      </c>
      <c r="AJ165" s="115">
        <v>3</v>
      </c>
      <c r="AK165" s="97"/>
      <c r="AL165" s="104">
        <f t="shared" si="49"/>
        <v>46348</v>
      </c>
      <c r="AM165" s="105">
        <f ca="1" t="shared" si="50"/>
        <v>35</v>
      </c>
      <c r="AN165" s="115"/>
      <c r="AO165" s="115"/>
      <c r="AP165" s="70"/>
      <c r="AQ165" s="93"/>
      <c r="AR165" s="127"/>
      <c r="AS165" s="128"/>
      <c r="AT165" s="129"/>
      <c r="AU165" s="114"/>
      <c r="AV165" s="119"/>
      <c r="AW165" s="115"/>
      <c r="AX165" s="107"/>
      <c r="AY165" s="104">
        <f t="shared" si="61"/>
        <v>0</v>
      </c>
      <c r="AZ165" s="105">
        <f ca="1" t="shared" si="62"/>
        <v>-46313</v>
      </c>
    </row>
    <row r="166" s="58" customFormat="1" customHeight="1" spans="1:52">
      <c r="A166" s="70">
        <v>164</v>
      </c>
      <c r="B166" s="70" t="s">
        <v>263</v>
      </c>
      <c r="C166" s="70" t="s">
        <v>264</v>
      </c>
      <c r="D166" s="93" t="s">
        <v>265</v>
      </c>
      <c r="E166" s="127" t="s">
        <v>266</v>
      </c>
      <c r="F166" s="128"/>
      <c r="G166" s="129"/>
      <c r="H166" s="75"/>
      <c r="I166" s="102">
        <v>46031</v>
      </c>
      <c r="J166" s="165" t="s">
        <v>767</v>
      </c>
      <c r="K166" s="107" t="s">
        <v>434</v>
      </c>
      <c r="L166" s="104" t="e">
        <f t="shared" si="47"/>
        <v>#VALUE!</v>
      </c>
      <c r="M166" s="105" t="e">
        <f ca="1" t="shared" si="48"/>
        <v>#VALUE!</v>
      </c>
      <c r="N166" s="70"/>
      <c r="O166" s="70"/>
      <c r="P166" s="70"/>
      <c r="Q166" s="93"/>
      <c r="R166" s="127"/>
      <c r="S166" s="128"/>
      <c r="T166" s="129"/>
      <c r="U166" s="74"/>
      <c r="V166" s="110"/>
      <c r="W166" s="115"/>
      <c r="X166" s="97"/>
      <c r="Y166" s="104">
        <f t="shared" si="59"/>
        <v>0</v>
      </c>
      <c r="Z166" s="105">
        <f ca="1" t="shared" si="60"/>
        <v>-46313</v>
      </c>
      <c r="AA166" s="70"/>
      <c r="AB166" s="70"/>
      <c r="AC166" s="70"/>
      <c r="AD166" s="93"/>
      <c r="AE166" s="127"/>
      <c r="AF166" s="128"/>
      <c r="AG166" s="129"/>
      <c r="AH166" s="74"/>
      <c r="AI166" s="110"/>
      <c r="AJ166" s="115"/>
      <c r="AK166" s="97"/>
      <c r="AL166" s="104">
        <f t="shared" si="49"/>
        <v>0</v>
      </c>
      <c r="AM166" s="105">
        <f ca="1" t="shared" si="50"/>
        <v>-46313</v>
      </c>
      <c r="AN166" s="115"/>
      <c r="AO166" s="115"/>
      <c r="AP166" s="70"/>
      <c r="AQ166" s="93"/>
      <c r="AR166" s="127"/>
      <c r="AS166" s="128"/>
      <c r="AT166" s="129"/>
      <c r="AU166" s="114"/>
      <c r="AV166" s="119"/>
      <c r="AW166" s="115"/>
      <c r="AX166" s="107"/>
      <c r="AY166" s="104">
        <f t="shared" si="61"/>
        <v>0</v>
      </c>
      <c r="AZ166" s="105">
        <f ca="1" t="shared" si="62"/>
        <v>-46313</v>
      </c>
    </row>
    <row r="167" s="58" customFormat="1" customHeight="1" spans="1:52">
      <c r="A167" s="70">
        <v>165</v>
      </c>
      <c r="B167" s="115" t="s">
        <v>768</v>
      </c>
      <c r="C167" s="70" t="s">
        <v>374</v>
      </c>
      <c r="D167" s="93" t="s">
        <v>769</v>
      </c>
      <c r="E167" s="127" t="s">
        <v>770</v>
      </c>
      <c r="F167" s="128"/>
      <c r="G167" s="129"/>
      <c r="H167" s="75"/>
      <c r="I167" s="102">
        <v>46031</v>
      </c>
      <c r="J167" s="70">
        <v>3</v>
      </c>
      <c r="K167" s="107" t="s">
        <v>771</v>
      </c>
      <c r="L167" s="104">
        <f t="shared" si="47"/>
        <v>46121</v>
      </c>
      <c r="M167" s="105">
        <f ca="1" t="shared" si="48"/>
        <v>-192</v>
      </c>
      <c r="N167" s="70"/>
      <c r="O167" s="115" t="s">
        <v>768</v>
      </c>
      <c r="P167" s="70" t="s">
        <v>374</v>
      </c>
      <c r="Q167" s="93" t="s">
        <v>769</v>
      </c>
      <c r="R167" s="127" t="s">
        <v>770</v>
      </c>
      <c r="S167" s="128"/>
      <c r="T167" s="129"/>
      <c r="U167" s="75"/>
      <c r="V167" s="110">
        <v>46199</v>
      </c>
      <c r="W167" s="115">
        <v>3</v>
      </c>
      <c r="X167" s="97" t="s">
        <v>772</v>
      </c>
      <c r="Y167" s="104">
        <f t="shared" si="59"/>
        <v>46291</v>
      </c>
      <c r="Z167" s="105">
        <f ca="1" t="shared" si="60"/>
        <v>-22</v>
      </c>
      <c r="AA167" s="70"/>
      <c r="AB167" s="115"/>
      <c r="AC167" s="70"/>
      <c r="AD167" s="93"/>
      <c r="AE167" s="127"/>
      <c r="AF167" s="128"/>
      <c r="AG167" s="129"/>
      <c r="AH167" s="74"/>
      <c r="AI167" s="110"/>
      <c r="AJ167" s="115"/>
      <c r="AK167" s="97"/>
      <c r="AL167" s="104">
        <f t="shared" si="49"/>
        <v>0</v>
      </c>
      <c r="AM167" s="105">
        <f ca="1" t="shared" si="50"/>
        <v>-46313</v>
      </c>
      <c r="AN167" s="115"/>
      <c r="AO167" s="115"/>
      <c r="AP167" s="70"/>
      <c r="AQ167" s="93"/>
      <c r="AR167" s="127"/>
      <c r="AS167" s="128"/>
      <c r="AT167" s="129"/>
      <c r="AU167" s="114"/>
      <c r="AV167" s="119"/>
      <c r="AW167" s="115"/>
      <c r="AX167" s="107"/>
      <c r="AY167" s="104">
        <f t="shared" si="61"/>
        <v>0</v>
      </c>
      <c r="AZ167" s="105">
        <f ca="1" t="shared" si="62"/>
        <v>-46313</v>
      </c>
    </row>
    <row r="168" s="58" customFormat="1" customHeight="1" spans="1:52">
      <c r="A168" s="70">
        <v>166</v>
      </c>
      <c r="B168" s="115" t="s">
        <v>768</v>
      </c>
      <c r="C168" s="70" t="s">
        <v>374</v>
      </c>
      <c r="D168" s="93" t="s">
        <v>773</v>
      </c>
      <c r="E168" s="127" t="s">
        <v>770</v>
      </c>
      <c r="F168" s="128"/>
      <c r="G168" s="129"/>
      <c r="H168" s="75"/>
      <c r="I168" s="102">
        <v>46031</v>
      </c>
      <c r="J168" s="70">
        <v>3</v>
      </c>
      <c r="K168" s="107" t="s">
        <v>774</v>
      </c>
      <c r="L168" s="104">
        <f t="shared" si="47"/>
        <v>46121</v>
      </c>
      <c r="M168" s="105">
        <f ca="1" t="shared" si="48"/>
        <v>-192</v>
      </c>
      <c r="N168" s="70"/>
      <c r="O168" s="115" t="s">
        <v>768</v>
      </c>
      <c r="P168" s="70" t="s">
        <v>374</v>
      </c>
      <c r="Q168" s="93" t="s">
        <v>773</v>
      </c>
      <c r="R168" s="127" t="s">
        <v>770</v>
      </c>
      <c r="S168" s="128"/>
      <c r="T168" s="129"/>
      <c r="U168" s="75"/>
      <c r="V168" s="119">
        <v>46199</v>
      </c>
      <c r="W168" s="115">
        <v>3</v>
      </c>
      <c r="X168" s="97" t="s">
        <v>775</v>
      </c>
      <c r="Y168" s="104">
        <f t="shared" si="59"/>
        <v>46291</v>
      </c>
      <c r="Z168" s="105">
        <f ca="1" t="shared" si="60"/>
        <v>-22</v>
      </c>
      <c r="AA168" s="70"/>
      <c r="AB168" s="115"/>
      <c r="AC168" s="115"/>
      <c r="AD168" s="93"/>
      <c r="AE168" s="127"/>
      <c r="AF168" s="128"/>
      <c r="AG168" s="129"/>
      <c r="AH168" s="74"/>
      <c r="AI168" s="119"/>
      <c r="AJ168" s="115"/>
      <c r="AK168" s="107"/>
      <c r="AL168" s="104">
        <f t="shared" ref="AL168:AL192" si="63">EDATE(AI168,AJ168)</f>
        <v>0</v>
      </c>
      <c r="AM168" s="105">
        <f ca="1" t="shared" ref="AM168:AM192" si="64">AL168-TODAY()</f>
        <v>-46313</v>
      </c>
      <c r="AN168" s="115"/>
      <c r="AO168" s="115"/>
      <c r="AP168" s="115"/>
      <c r="AQ168" s="93"/>
      <c r="AR168" s="127"/>
      <c r="AS168" s="128"/>
      <c r="AT168" s="129"/>
      <c r="AU168" s="79"/>
      <c r="AV168" s="119"/>
      <c r="AW168" s="115"/>
      <c r="AX168" s="107"/>
      <c r="AY168" s="104">
        <f t="shared" si="61"/>
        <v>0</v>
      </c>
      <c r="AZ168" s="105">
        <f ca="1" t="shared" si="62"/>
        <v>-46313</v>
      </c>
    </row>
    <row r="169" s="58" customFormat="1" customHeight="1" spans="1:52">
      <c r="A169" s="70">
        <v>167</v>
      </c>
      <c r="B169" s="115" t="s">
        <v>776</v>
      </c>
      <c r="C169" s="70" t="s">
        <v>374</v>
      </c>
      <c r="D169" s="93" t="s">
        <v>777</v>
      </c>
      <c r="E169" s="127" t="s">
        <v>778</v>
      </c>
      <c r="F169" s="128"/>
      <c r="G169" s="129"/>
      <c r="H169" s="75"/>
      <c r="I169" s="102">
        <v>46031</v>
      </c>
      <c r="J169" s="70">
        <v>3</v>
      </c>
      <c r="K169" s="107" t="s">
        <v>779</v>
      </c>
      <c r="L169" s="104">
        <f t="shared" si="47"/>
        <v>46121</v>
      </c>
      <c r="M169" s="105">
        <f ca="1" t="shared" si="48"/>
        <v>-192</v>
      </c>
      <c r="N169" s="70"/>
      <c r="O169" s="115" t="s">
        <v>776</v>
      </c>
      <c r="P169" s="70" t="s">
        <v>374</v>
      </c>
      <c r="Q169" s="93" t="s">
        <v>777</v>
      </c>
      <c r="R169" s="127" t="s">
        <v>778</v>
      </c>
      <c r="S169" s="128"/>
      <c r="T169" s="129"/>
      <c r="U169" s="75"/>
      <c r="V169" s="119">
        <v>46185</v>
      </c>
      <c r="W169" s="115">
        <v>3</v>
      </c>
      <c r="X169" s="107" t="s">
        <v>780</v>
      </c>
      <c r="Y169" s="104">
        <f t="shared" si="59"/>
        <v>46277</v>
      </c>
      <c r="Z169" s="105">
        <f ca="1" t="shared" si="60"/>
        <v>-36</v>
      </c>
      <c r="AA169" s="70"/>
      <c r="AB169" s="115" t="s">
        <v>776</v>
      </c>
      <c r="AC169" s="70" t="s">
        <v>374</v>
      </c>
      <c r="AD169" s="93" t="s">
        <v>777</v>
      </c>
      <c r="AE169" s="127" t="s">
        <v>778</v>
      </c>
      <c r="AF169" s="128"/>
      <c r="AG169" s="129"/>
      <c r="AH169" s="75"/>
      <c r="AI169" s="119">
        <v>46264</v>
      </c>
      <c r="AJ169" s="115">
        <v>3</v>
      </c>
      <c r="AK169" s="107" t="s">
        <v>781</v>
      </c>
      <c r="AL169" s="104">
        <f t="shared" si="63"/>
        <v>46356</v>
      </c>
      <c r="AM169" s="105">
        <f ca="1" t="shared" si="64"/>
        <v>43</v>
      </c>
      <c r="AN169" s="115"/>
      <c r="AO169" s="115"/>
      <c r="AP169" s="115"/>
      <c r="AQ169" s="93"/>
      <c r="AR169" s="127"/>
      <c r="AS169" s="128"/>
      <c r="AT169" s="129"/>
      <c r="AU169" s="79"/>
      <c r="AV169" s="119"/>
      <c r="AW169" s="115"/>
      <c r="AX169" s="107"/>
      <c r="AY169" s="104">
        <f t="shared" si="61"/>
        <v>0</v>
      </c>
      <c r="AZ169" s="105">
        <f ca="1" t="shared" si="62"/>
        <v>-46313</v>
      </c>
    </row>
    <row r="170" s="58" customFormat="1" customHeight="1" spans="1:52">
      <c r="A170" s="70">
        <v>168</v>
      </c>
      <c r="B170" s="115" t="s">
        <v>782</v>
      </c>
      <c r="C170" s="70" t="s">
        <v>374</v>
      </c>
      <c r="D170" s="93" t="s">
        <v>783</v>
      </c>
      <c r="E170" s="127" t="s">
        <v>548</v>
      </c>
      <c r="F170" s="128"/>
      <c r="G170" s="129"/>
      <c r="H170" s="114" t="s">
        <v>16</v>
      </c>
      <c r="I170" s="102">
        <v>46031</v>
      </c>
      <c r="J170" s="70">
        <v>3</v>
      </c>
      <c r="K170" s="107" t="s">
        <v>784</v>
      </c>
      <c r="L170" s="104">
        <f t="shared" si="47"/>
        <v>46121</v>
      </c>
      <c r="M170" s="105">
        <f ca="1" t="shared" si="48"/>
        <v>-192</v>
      </c>
      <c r="N170" s="70"/>
      <c r="O170" s="115" t="s">
        <v>782</v>
      </c>
      <c r="P170" s="70" t="s">
        <v>374</v>
      </c>
      <c r="Q170" s="93" t="s">
        <v>783</v>
      </c>
      <c r="R170" s="127" t="s">
        <v>548</v>
      </c>
      <c r="S170" s="128"/>
      <c r="T170" s="129"/>
      <c r="U170" s="114" t="s">
        <v>16</v>
      </c>
      <c r="V170" s="119">
        <v>46135</v>
      </c>
      <c r="W170" s="115">
        <v>3</v>
      </c>
      <c r="X170" s="107" t="s">
        <v>785</v>
      </c>
      <c r="Y170" s="104">
        <f t="shared" si="59"/>
        <v>46226</v>
      </c>
      <c r="Z170" s="105">
        <f ca="1" t="shared" si="60"/>
        <v>-87</v>
      </c>
      <c r="AA170" s="70"/>
      <c r="AB170" s="115" t="s">
        <v>782</v>
      </c>
      <c r="AC170" s="70" t="s">
        <v>374</v>
      </c>
      <c r="AD170" s="93" t="s">
        <v>783</v>
      </c>
      <c r="AE170" s="127" t="s">
        <v>548</v>
      </c>
      <c r="AF170" s="128"/>
      <c r="AG170" s="129"/>
      <c r="AH170" s="114" t="s">
        <v>16</v>
      </c>
      <c r="AI170" s="119">
        <v>46256</v>
      </c>
      <c r="AJ170" s="115">
        <v>3</v>
      </c>
      <c r="AK170" s="107" t="s">
        <v>786</v>
      </c>
      <c r="AL170" s="104">
        <f t="shared" si="63"/>
        <v>46348</v>
      </c>
      <c r="AM170" s="105">
        <f ca="1" t="shared" si="64"/>
        <v>35</v>
      </c>
      <c r="AN170" s="115"/>
      <c r="AO170" s="115"/>
      <c r="AP170" s="70"/>
      <c r="AQ170" s="93"/>
      <c r="AR170" s="127"/>
      <c r="AS170" s="128"/>
      <c r="AT170" s="129"/>
      <c r="AU170" s="114"/>
      <c r="AV170" s="119"/>
      <c r="AW170" s="115"/>
      <c r="AX170" s="107"/>
      <c r="AY170" s="104">
        <f t="shared" si="61"/>
        <v>0</v>
      </c>
      <c r="AZ170" s="105">
        <f ca="1" t="shared" si="62"/>
        <v>-46313</v>
      </c>
    </row>
    <row r="171" s="58" customFormat="1" customHeight="1" spans="1:52">
      <c r="A171" s="70">
        <v>169</v>
      </c>
      <c r="B171" s="115" t="s">
        <v>782</v>
      </c>
      <c r="C171" s="70" t="s">
        <v>374</v>
      </c>
      <c r="D171" s="93" t="s">
        <v>787</v>
      </c>
      <c r="E171" s="127" t="s">
        <v>548</v>
      </c>
      <c r="F171" s="128"/>
      <c r="G171" s="129"/>
      <c r="H171" s="114" t="s">
        <v>16</v>
      </c>
      <c r="I171" s="102">
        <v>46031</v>
      </c>
      <c r="J171" s="70">
        <v>3</v>
      </c>
      <c r="K171" s="107" t="s">
        <v>788</v>
      </c>
      <c r="L171" s="104">
        <f t="shared" si="47"/>
        <v>46121</v>
      </c>
      <c r="M171" s="105">
        <f ca="1" t="shared" si="48"/>
        <v>-192</v>
      </c>
      <c r="N171" s="70"/>
      <c r="O171" s="115" t="s">
        <v>782</v>
      </c>
      <c r="P171" s="70" t="s">
        <v>374</v>
      </c>
      <c r="Q171" s="93" t="s">
        <v>787</v>
      </c>
      <c r="R171" s="127" t="s">
        <v>548</v>
      </c>
      <c r="S171" s="128"/>
      <c r="T171" s="129"/>
      <c r="U171" s="114" t="s">
        <v>16</v>
      </c>
      <c r="V171" s="119">
        <v>46184</v>
      </c>
      <c r="W171" s="115">
        <v>3</v>
      </c>
      <c r="X171" s="107" t="s">
        <v>789</v>
      </c>
      <c r="Y171" s="104">
        <f t="shared" si="59"/>
        <v>46276</v>
      </c>
      <c r="Z171" s="105">
        <f ca="1" t="shared" si="60"/>
        <v>-37</v>
      </c>
      <c r="AA171" s="70"/>
      <c r="AB171" s="115" t="s">
        <v>782</v>
      </c>
      <c r="AC171" s="70" t="s">
        <v>374</v>
      </c>
      <c r="AD171" s="93" t="s">
        <v>787</v>
      </c>
      <c r="AE171" s="127" t="s">
        <v>548</v>
      </c>
      <c r="AF171" s="128"/>
      <c r="AG171" s="129"/>
      <c r="AH171" s="114" t="s">
        <v>16</v>
      </c>
      <c r="AI171" s="119">
        <v>46270</v>
      </c>
      <c r="AJ171" s="115">
        <v>3</v>
      </c>
      <c r="AK171" s="107" t="s">
        <v>790</v>
      </c>
      <c r="AL171" s="104">
        <f t="shared" si="63"/>
        <v>46361</v>
      </c>
      <c r="AM171" s="105">
        <f ca="1" t="shared" si="64"/>
        <v>48</v>
      </c>
      <c r="AN171" s="115"/>
      <c r="AO171" s="115"/>
      <c r="AP171" s="115"/>
      <c r="AQ171" s="93"/>
      <c r="AR171" s="127"/>
      <c r="AS171" s="128"/>
      <c r="AT171" s="129"/>
      <c r="AU171" s="79"/>
      <c r="AV171" s="119"/>
      <c r="AW171" s="115"/>
      <c r="AX171" s="107"/>
      <c r="AY171" s="104">
        <f t="shared" si="61"/>
        <v>0</v>
      </c>
      <c r="AZ171" s="105">
        <f ca="1" t="shared" si="62"/>
        <v>-46313</v>
      </c>
    </row>
    <row r="172" s="58" customFormat="1" customHeight="1" spans="1:52">
      <c r="A172" s="70">
        <v>170</v>
      </c>
      <c r="B172" s="115" t="s">
        <v>791</v>
      </c>
      <c r="C172" s="70" t="s">
        <v>374</v>
      </c>
      <c r="D172" s="93" t="s">
        <v>792</v>
      </c>
      <c r="E172" s="127" t="s">
        <v>793</v>
      </c>
      <c r="F172" s="128"/>
      <c r="G172" s="129"/>
      <c r="H172" s="75"/>
      <c r="I172" s="102">
        <v>46031</v>
      </c>
      <c r="J172" s="70">
        <v>3</v>
      </c>
      <c r="K172" s="107" t="s">
        <v>794</v>
      </c>
      <c r="L172" s="104">
        <f t="shared" si="47"/>
        <v>46121</v>
      </c>
      <c r="M172" s="105">
        <f ca="1" t="shared" si="48"/>
        <v>-192</v>
      </c>
      <c r="N172" s="70"/>
      <c r="O172" s="115"/>
      <c r="P172" s="115"/>
      <c r="Q172" s="93"/>
      <c r="R172" s="127"/>
      <c r="S172" s="128"/>
      <c r="T172" s="129"/>
      <c r="U172" s="79"/>
      <c r="V172" s="102"/>
      <c r="W172" s="70"/>
      <c r="X172" s="103"/>
      <c r="Y172" s="104">
        <f t="shared" si="59"/>
        <v>0</v>
      </c>
      <c r="Z172" s="105">
        <f ca="1" t="shared" si="60"/>
        <v>-46313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63"/>
        <v>0</v>
      </c>
      <c r="AM172" s="105">
        <f ca="1" t="shared" si="64"/>
        <v>-46313</v>
      </c>
      <c r="AN172" s="115"/>
      <c r="AO172" s="115"/>
      <c r="AP172" s="115"/>
      <c r="AQ172" s="93"/>
      <c r="AR172" s="93"/>
      <c r="AS172" s="94"/>
      <c r="AT172" s="95"/>
      <c r="AU172" s="79"/>
      <c r="AV172" s="117"/>
      <c r="AW172" s="115"/>
      <c r="AX172" s="106"/>
      <c r="AY172" s="104">
        <f t="shared" si="61"/>
        <v>0</v>
      </c>
      <c r="AZ172" s="105">
        <f ca="1" t="shared" si="62"/>
        <v>-46313</v>
      </c>
    </row>
    <row r="173" s="58" customFormat="1" customHeight="1" spans="1:52">
      <c r="A173" s="70">
        <v>171</v>
      </c>
      <c r="B173" s="115" t="s">
        <v>791</v>
      </c>
      <c r="C173" s="70" t="s">
        <v>374</v>
      </c>
      <c r="D173" s="93" t="s">
        <v>795</v>
      </c>
      <c r="E173" s="127" t="s">
        <v>793</v>
      </c>
      <c r="F173" s="128"/>
      <c r="G173" s="129"/>
      <c r="H173" s="75"/>
      <c r="I173" s="102">
        <v>46031</v>
      </c>
      <c r="J173" s="70">
        <v>3</v>
      </c>
      <c r="K173" s="107" t="s">
        <v>796</v>
      </c>
      <c r="L173" s="104">
        <f t="shared" si="47"/>
        <v>46121</v>
      </c>
      <c r="M173" s="105">
        <f ca="1" t="shared" si="48"/>
        <v>-192</v>
      </c>
      <c r="N173" s="70"/>
      <c r="O173" s="115" t="s">
        <v>791</v>
      </c>
      <c r="P173" s="70" t="s">
        <v>374</v>
      </c>
      <c r="Q173" s="93" t="s">
        <v>795</v>
      </c>
      <c r="R173" s="127" t="s">
        <v>793</v>
      </c>
      <c r="S173" s="128"/>
      <c r="T173" s="129"/>
      <c r="U173" s="75"/>
      <c r="V173" s="119">
        <v>46185</v>
      </c>
      <c r="W173" s="115">
        <v>3</v>
      </c>
      <c r="X173" s="107" t="s">
        <v>797</v>
      </c>
      <c r="Y173" s="104">
        <f t="shared" si="59"/>
        <v>46277</v>
      </c>
      <c r="Z173" s="105">
        <f ca="1" t="shared" si="60"/>
        <v>-36</v>
      </c>
      <c r="AA173" s="70"/>
      <c r="AB173" s="115"/>
      <c r="AC173" s="115"/>
      <c r="AD173" s="93"/>
      <c r="AE173" s="127"/>
      <c r="AF173" s="128"/>
      <c r="AG173" s="129"/>
      <c r="AH173" s="79"/>
      <c r="AI173" s="119"/>
      <c r="AJ173" s="115"/>
      <c r="AK173" s="107"/>
      <c r="AL173" s="104">
        <f t="shared" si="63"/>
        <v>0</v>
      </c>
      <c r="AM173" s="105">
        <f ca="1" t="shared" si="64"/>
        <v>-46313</v>
      </c>
      <c r="AN173" s="115"/>
      <c r="AO173" s="115"/>
      <c r="AP173" s="115"/>
      <c r="AQ173" s="93"/>
      <c r="AR173" s="127"/>
      <c r="AS173" s="128"/>
      <c r="AT173" s="129"/>
      <c r="AU173" s="79"/>
      <c r="AV173" s="119"/>
      <c r="AW173" s="115"/>
      <c r="AX173" s="107"/>
      <c r="AY173" s="104">
        <f t="shared" si="61"/>
        <v>0</v>
      </c>
      <c r="AZ173" s="105">
        <f ca="1" t="shared" si="62"/>
        <v>-46313</v>
      </c>
    </row>
    <row r="174" s="58" customFormat="1" customHeight="1" spans="1:52">
      <c r="A174" s="70">
        <v>172</v>
      </c>
      <c r="B174" s="115" t="s">
        <v>798</v>
      </c>
      <c r="C174" s="70" t="s">
        <v>374</v>
      </c>
      <c r="D174" s="93" t="s">
        <v>799</v>
      </c>
      <c r="E174" s="127" t="s">
        <v>800</v>
      </c>
      <c r="F174" s="128"/>
      <c r="G174" s="129"/>
      <c r="H174" s="79" t="s">
        <v>16</v>
      </c>
      <c r="I174" s="102">
        <v>46031</v>
      </c>
      <c r="J174" s="70">
        <v>3</v>
      </c>
      <c r="K174" s="107" t="s">
        <v>801</v>
      </c>
      <c r="L174" s="104">
        <f t="shared" si="47"/>
        <v>46121</v>
      </c>
      <c r="M174" s="105">
        <f ca="1" t="shared" si="48"/>
        <v>-192</v>
      </c>
      <c r="N174" s="70"/>
      <c r="O174" s="115" t="s">
        <v>798</v>
      </c>
      <c r="P174" s="70" t="s">
        <v>374</v>
      </c>
      <c r="Q174" s="93" t="s">
        <v>799</v>
      </c>
      <c r="R174" s="127" t="s">
        <v>800</v>
      </c>
      <c r="S174" s="128"/>
      <c r="T174" s="129"/>
      <c r="U174" s="79" t="s">
        <v>16</v>
      </c>
      <c r="V174" s="119">
        <v>46123</v>
      </c>
      <c r="W174" s="115">
        <v>3</v>
      </c>
      <c r="X174" s="107" t="s">
        <v>802</v>
      </c>
      <c r="Y174" s="104">
        <f t="shared" si="59"/>
        <v>46214</v>
      </c>
      <c r="Z174" s="105">
        <f ca="1" t="shared" si="60"/>
        <v>-99</v>
      </c>
      <c r="AA174" s="70"/>
      <c r="AB174" s="115" t="s">
        <v>798</v>
      </c>
      <c r="AC174" s="70" t="s">
        <v>374</v>
      </c>
      <c r="AD174" s="93" t="s">
        <v>799</v>
      </c>
      <c r="AE174" s="127" t="s">
        <v>800</v>
      </c>
      <c r="AF174" s="128"/>
      <c r="AG174" s="129"/>
      <c r="AH174" s="79" t="s">
        <v>16</v>
      </c>
      <c r="AI174" s="119">
        <v>46214</v>
      </c>
      <c r="AJ174" s="115">
        <v>3</v>
      </c>
      <c r="AK174" s="107" t="s">
        <v>803</v>
      </c>
      <c r="AL174" s="104">
        <f t="shared" si="63"/>
        <v>46306</v>
      </c>
      <c r="AM174" s="105">
        <f ca="1" t="shared" si="64"/>
        <v>-7</v>
      </c>
      <c r="AN174" s="115"/>
      <c r="AO174" s="115" t="s">
        <v>798</v>
      </c>
      <c r="AP174" s="70" t="s">
        <v>374</v>
      </c>
      <c r="AQ174" s="93" t="s">
        <v>799</v>
      </c>
      <c r="AR174" s="127" t="s">
        <v>800</v>
      </c>
      <c r="AS174" s="128"/>
      <c r="AT174" s="129"/>
      <c r="AU174" s="79" t="s">
        <v>16</v>
      </c>
      <c r="AV174" s="119">
        <v>46305</v>
      </c>
      <c r="AW174" s="115">
        <v>3</v>
      </c>
      <c r="AX174" s="107"/>
      <c r="AY174" s="104">
        <f t="shared" si="61"/>
        <v>46397</v>
      </c>
      <c r="AZ174" s="105">
        <f ca="1" t="shared" si="62"/>
        <v>84</v>
      </c>
    </row>
    <row r="175" s="58" customFormat="1" customHeight="1" spans="1:52">
      <c r="A175" s="70">
        <v>173</v>
      </c>
      <c r="B175" s="115" t="s">
        <v>12</v>
      </c>
      <c r="C175" s="115" t="s">
        <v>38</v>
      </c>
      <c r="D175" s="93" t="s">
        <v>804</v>
      </c>
      <c r="E175" s="127" t="s">
        <v>69</v>
      </c>
      <c r="F175" s="128"/>
      <c r="G175" s="129"/>
      <c r="H175" s="79" t="s">
        <v>16</v>
      </c>
      <c r="I175" s="102">
        <v>46032</v>
      </c>
      <c r="J175" s="70">
        <v>3</v>
      </c>
      <c r="K175" s="107" t="s">
        <v>805</v>
      </c>
      <c r="L175" s="104">
        <f t="shared" si="47"/>
        <v>46122</v>
      </c>
      <c r="M175" s="105">
        <f ca="1" t="shared" si="48"/>
        <v>-191</v>
      </c>
      <c r="N175" s="70"/>
      <c r="O175" s="115" t="s">
        <v>12</v>
      </c>
      <c r="P175" s="115" t="s">
        <v>38</v>
      </c>
      <c r="Q175" s="93" t="s">
        <v>804</v>
      </c>
      <c r="R175" s="127" t="s">
        <v>69</v>
      </c>
      <c r="S175" s="128"/>
      <c r="T175" s="129"/>
      <c r="U175" s="79" t="s">
        <v>16</v>
      </c>
      <c r="V175" s="119">
        <v>46122</v>
      </c>
      <c r="W175" s="115">
        <v>3</v>
      </c>
      <c r="X175" s="107" t="s">
        <v>806</v>
      </c>
      <c r="Y175" s="104">
        <f t="shared" si="59"/>
        <v>46213</v>
      </c>
      <c r="Z175" s="105">
        <f ca="1" t="shared" si="60"/>
        <v>-100</v>
      </c>
      <c r="AA175" s="70"/>
      <c r="AB175" s="115" t="s">
        <v>12</v>
      </c>
      <c r="AC175" s="115" t="s">
        <v>38</v>
      </c>
      <c r="AD175" s="93" t="s">
        <v>804</v>
      </c>
      <c r="AE175" s="127" t="s">
        <v>69</v>
      </c>
      <c r="AF175" s="128"/>
      <c r="AG175" s="129"/>
      <c r="AH175" s="79" t="s">
        <v>16</v>
      </c>
      <c r="AI175" s="119">
        <v>46205</v>
      </c>
      <c r="AJ175" s="115">
        <v>3</v>
      </c>
      <c r="AK175" s="107" t="s">
        <v>807</v>
      </c>
      <c r="AL175" s="104">
        <f t="shared" si="63"/>
        <v>46297</v>
      </c>
      <c r="AM175" s="105">
        <f ca="1" t="shared" si="64"/>
        <v>-16</v>
      </c>
      <c r="AN175" s="115"/>
      <c r="AO175" s="115" t="s">
        <v>12</v>
      </c>
      <c r="AP175" s="115" t="s">
        <v>38</v>
      </c>
      <c r="AQ175" s="93" t="s">
        <v>804</v>
      </c>
      <c r="AR175" s="127" t="s">
        <v>69</v>
      </c>
      <c r="AS175" s="128"/>
      <c r="AT175" s="129"/>
      <c r="AU175" s="79" t="s">
        <v>16</v>
      </c>
      <c r="AV175" s="119">
        <v>46294</v>
      </c>
      <c r="AW175" s="115">
        <v>3</v>
      </c>
      <c r="AX175" s="107" t="s">
        <v>808</v>
      </c>
      <c r="AY175" s="104">
        <f t="shared" si="61"/>
        <v>46385</v>
      </c>
      <c r="AZ175" s="105">
        <f ca="1" t="shared" si="62"/>
        <v>72</v>
      </c>
    </row>
    <row r="176" s="58" customFormat="1" customHeight="1" spans="1:52">
      <c r="A176" s="70">
        <v>174</v>
      </c>
      <c r="B176" s="115" t="s">
        <v>12</v>
      </c>
      <c r="C176" s="115" t="s">
        <v>13</v>
      </c>
      <c r="D176" s="93" t="s">
        <v>809</v>
      </c>
      <c r="E176" s="127" t="s">
        <v>126</v>
      </c>
      <c r="F176" s="128"/>
      <c r="G176" s="129"/>
      <c r="H176" s="79" t="s">
        <v>16</v>
      </c>
      <c r="I176" s="102">
        <v>46032</v>
      </c>
      <c r="J176" s="70">
        <v>3</v>
      </c>
      <c r="K176" s="107" t="s">
        <v>810</v>
      </c>
      <c r="L176" s="104">
        <f t="shared" si="47"/>
        <v>46122</v>
      </c>
      <c r="M176" s="105">
        <f ca="1" t="shared" si="48"/>
        <v>-191</v>
      </c>
      <c r="N176" s="70"/>
      <c r="O176" s="115" t="s">
        <v>12</v>
      </c>
      <c r="P176" s="115" t="s">
        <v>13</v>
      </c>
      <c r="Q176" s="93" t="s">
        <v>809</v>
      </c>
      <c r="R176" s="127" t="s">
        <v>126</v>
      </c>
      <c r="S176" s="128"/>
      <c r="T176" s="129"/>
      <c r="U176" s="79" t="s">
        <v>16</v>
      </c>
      <c r="V176" s="119">
        <v>46122</v>
      </c>
      <c r="W176" s="115">
        <v>3</v>
      </c>
      <c r="X176" s="107" t="s">
        <v>811</v>
      </c>
      <c r="Y176" s="104">
        <f t="shared" si="59"/>
        <v>46213</v>
      </c>
      <c r="Z176" s="105">
        <f ca="1" t="shared" si="60"/>
        <v>-100</v>
      </c>
      <c r="AA176" s="70"/>
      <c r="AB176" s="115" t="s">
        <v>12</v>
      </c>
      <c r="AC176" s="115" t="s">
        <v>13</v>
      </c>
      <c r="AD176" s="93" t="s">
        <v>809</v>
      </c>
      <c r="AE176" s="127" t="s">
        <v>126</v>
      </c>
      <c r="AF176" s="128"/>
      <c r="AG176" s="129"/>
      <c r="AH176" s="79" t="s">
        <v>16</v>
      </c>
      <c r="AI176" s="119">
        <v>46220</v>
      </c>
      <c r="AJ176" s="115">
        <v>3</v>
      </c>
      <c r="AK176" s="107" t="s">
        <v>812</v>
      </c>
      <c r="AL176" s="104">
        <f t="shared" si="63"/>
        <v>46312</v>
      </c>
      <c r="AM176" s="105">
        <f ca="1" t="shared" si="64"/>
        <v>-1</v>
      </c>
      <c r="AN176" s="115"/>
      <c r="AO176" s="115" t="s">
        <v>694</v>
      </c>
      <c r="AP176" s="115" t="s">
        <v>13</v>
      </c>
      <c r="AQ176" s="93" t="s">
        <v>809</v>
      </c>
      <c r="AR176" s="127" t="s">
        <v>126</v>
      </c>
      <c r="AS176" s="128"/>
      <c r="AT176" s="129"/>
      <c r="AU176" s="79" t="s">
        <v>16</v>
      </c>
      <c r="AV176" s="119">
        <v>46310</v>
      </c>
      <c r="AW176" s="115">
        <v>3</v>
      </c>
      <c r="AX176" s="107"/>
      <c r="AY176" s="104">
        <f t="shared" ref="AY175:AY199" si="65">EDATE(AV176,AW176)</f>
        <v>46402</v>
      </c>
      <c r="AZ176" s="105">
        <f ca="1" t="shared" ref="AZ175:AZ199" si="66">AY176-TODAY()</f>
        <v>89</v>
      </c>
    </row>
    <row r="177" s="58" customFormat="1" customHeight="1" spans="1:52">
      <c r="A177" s="70">
        <v>175</v>
      </c>
      <c r="B177" s="115" t="s">
        <v>229</v>
      </c>
      <c r="C177" s="115" t="s">
        <v>38</v>
      </c>
      <c r="D177" s="93" t="s">
        <v>221</v>
      </c>
      <c r="E177" s="127" t="s">
        <v>222</v>
      </c>
      <c r="F177" s="128"/>
      <c r="G177" s="129"/>
      <c r="H177" s="75"/>
      <c r="I177" s="102">
        <v>46032</v>
      </c>
      <c r="J177" s="70">
        <v>3</v>
      </c>
      <c r="K177" s="107" t="s">
        <v>813</v>
      </c>
      <c r="L177" s="104">
        <f t="shared" si="47"/>
        <v>46122</v>
      </c>
      <c r="M177" s="105">
        <f ca="1" t="shared" si="48"/>
        <v>-191</v>
      </c>
      <c r="N177" s="70"/>
      <c r="O177" s="115" t="s">
        <v>229</v>
      </c>
      <c r="P177" s="115" t="s">
        <v>38</v>
      </c>
      <c r="Q177" s="93" t="s">
        <v>221</v>
      </c>
      <c r="R177" s="127" t="s">
        <v>222</v>
      </c>
      <c r="S177" s="128"/>
      <c r="T177" s="129"/>
      <c r="U177" s="75"/>
      <c r="V177" s="119">
        <v>46122</v>
      </c>
      <c r="W177" s="115">
        <v>3</v>
      </c>
      <c r="X177" s="107" t="s">
        <v>814</v>
      </c>
      <c r="Y177" s="104">
        <f t="shared" si="59"/>
        <v>46213</v>
      </c>
      <c r="Z177" s="105">
        <f ca="1" t="shared" si="60"/>
        <v>-100</v>
      </c>
      <c r="AA177" s="70"/>
      <c r="AB177" s="115" t="s">
        <v>229</v>
      </c>
      <c r="AC177" s="115" t="s">
        <v>38</v>
      </c>
      <c r="AD177" s="93" t="s">
        <v>221</v>
      </c>
      <c r="AE177" s="127" t="s">
        <v>222</v>
      </c>
      <c r="AF177" s="128"/>
      <c r="AG177" s="129"/>
      <c r="AH177" s="75"/>
      <c r="AI177" s="119">
        <v>46291</v>
      </c>
      <c r="AJ177" s="115">
        <v>3</v>
      </c>
      <c r="AK177" s="107" t="s">
        <v>815</v>
      </c>
      <c r="AL177" s="104">
        <f t="shared" si="63"/>
        <v>46382</v>
      </c>
      <c r="AM177" s="105">
        <f ca="1" t="shared" si="64"/>
        <v>69</v>
      </c>
      <c r="AN177" s="115"/>
      <c r="AO177" s="115"/>
      <c r="AP177" s="115"/>
      <c r="AQ177" s="93"/>
      <c r="AR177" s="127"/>
      <c r="AS177" s="128"/>
      <c r="AT177" s="129"/>
      <c r="AU177" s="79"/>
      <c r="AV177" s="119"/>
      <c r="AW177" s="115"/>
      <c r="AX177" s="107"/>
      <c r="AY177" s="104">
        <f t="shared" si="65"/>
        <v>0</v>
      </c>
      <c r="AZ177" s="105">
        <f ca="1" t="shared" si="66"/>
        <v>-46313</v>
      </c>
    </row>
    <row r="178" s="58" customFormat="1" customHeight="1" spans="1:52">
      <c r="A178" s="70">
        <v>176</v>
      </c>
      <c r="B178" s="115" t="s">
        <v>229</v>
      </c>
      <c r="C178" s="115" t="s">
        <v>13</v>
      </c>
      <c r="D178" s="93" t="s">
        <v>816</v>
      </c>
      <c r="E178" s="127" t="s">
        <v>126</v>
      </c>
      <c r="F178" s="128"/>
      <c r="G178" s="129"/>
      <c r="H178" s="75"/>
      <c r="I178" s="102">
        <v>46032</v>
      </c>
      <c r="J178" s="70">
        <v>3</v>
      </c>
      <c r="K178" s="107" t="s">
        <v>817</v>
      </c>
      <c r="L178" s="104">
        <f t="shared" si="47"/>
        <v>46122</v>
      </c>
      <c r="M178" s="105">
        <f ca="1" t="shared" si="48"/>
        <v>-191</v>
      </c>
      <c r="N178" s="70"/>
      <c r="O178" s="115" t="s">
        <v>229</v>
      </c>
      <c r="P178" s="115" t="s">
        <v>13</v>
      </c>
      <c r="Q178" s="93" t="s">
        <v>816</v>
      </c>
      <c r="R178" s="127" t="s">
        <v>126</v>
      </c>
      <c r="S178" s="128"/>
      <c r="T178" s="129"/>
      <c r="U178" s="75"/>
      <c r="V178" s="119">
        <v>46120</v>
      </c>
      <c r="W178" s="115">
        <v>3</v>
      </c>
      <c r="X178" s="107" t="s">
        <v>818</v>
      </c>
      <c r="Y178" s="104">
        <f t="shared" si="59"/>
        <v>46211</v>
      </c>
      <c r="Z178" s="105">
        <f ca="1" t="shared" si="60"/>
        <v>-102</v>
      </c>
      <c r="AA178" s="70"/>
      <c r="AB178" s="115" t="s">
        <v>229</v>
      </c>
      <c r="AC178" s="115" t="s">
        <v>13</v>
      </c>
      <c r="AD178" s="93" t="s">
        <v>816</v>
      </c>
      <c r="AE178" s="127" t="s">
        <v>126</v>
      </c>
      <c r="AF178" s="128"/>
      <c r="AG178" s="129"/>
      <c r="AH178" s="75"/>
      <c r="AI178" s="119">
        <v>46309</v>
      </c>
      <c r="AJ178" s="115">
        <v>3</v>
      </c>
      <c r="AK178" s="107"/>
      <c r="AL178" s="104">
        <f t="shared" si="63"/>
        <v>46401</v>
      </c>
      <c r="AM178" s="105">
        <f ca="1" t="shared" si="64"/>
        <v>88</v>
      </c>
      <c r="AN178" s="115"/>
      <c r="AO178" s="115"/>
      <c r="AP178" s="115"/>
      <c r="AQ178" s="93"/>
      <c r="AR178" s="127"/>
      <c r="AS178" s="128"/>
      <c r="AT178" s="129"/>
      <c r="AU178" s="114"/>
      <c r="AV178" s="119"/>
      <c r="AW178" s="115"/>
      <c r="AX178" s="107"/>
      <c r="AY178" s="104">
        <f t="shared" si="65"/>
        <v>0</v>
      </c>
      <c r="AZ178" s="105">
        <f ca="1" t="shared" si="66"/>
        <v>-46313</v>
      </c>
    </row>
    <row r="179" s="58" customFormat="1" customHeight="1" spans="1:52">
      <c r="A179" s="70">
        <v>177</v>
      </c>
      <c r="B179" s="115" t="s">
        <v>229</v>
      </c>
      <c r="C179" s="115" t="s">
        <v>13</v>
      </c>
      <c r="D179" s="93" t="s">
        <v>819</v>
      </c>
      <c r="E179" s="127" t="s">
        <v>820</v>
      </c>
      <c r="F179" s="128"/>
      <c r="G179" s="129"/>
      <c r="H179" s="75"/>
      <c r="I179" s="102">
        <v>46032</v>
      </c>
      <c r="J179" s="70">
        <v>3</v>
      </c>
      <c r="K179" s="107" t="s">
        <v>821</v>
      </c>
      <c r="L179" s="104">
        <f t="shared" si="47"/>
        <v>46122</v>
      </c>
      <c r="M179" s="105">
        <f ca="1" t="shared" si="48"/>
        <v>-191</v>
      </c>
      <c r="N179" s="70"/>
      <c r="O179" s="115" t="s">
        <v>229</v>
      </c>
      <c r="P179" s="115" t="s">
        <v>13</v>
      </c>
      <c r="Q179" s="93" t="s">
        <v>819</v>
      </c>
      <c r="R179" s="127" t="s">
        <v>820</v>
      </c>
      <c r="S179" s="128"/>
      <c r="T179" s="129"/>
      <c r="U179" s="75"/>
      <c r="V179" s="119">
        <v>46309</v>
      </c>
      <c r="W179" s="115">
        <v>3</v>
      </c>
      <c r="X179" s="107"/>
      <c r="Y179" s="104">
        <f t="shared" si="59"/>
        <v>46401</v>
      </c>
      <c r="Z179" s="105">
        <f ca="1" t="shared" si="60"/>
        <v>88</v>
      </c>
      <c r="AA179" s="70"/>
      <c r="AB179" s="115"/>
      <c r="AC179" s="115"/>
      <c r="AD179" s="93"/>
      <c r="AE179" s="127"/>
      <c r="AF179" s="128"/>
      <c r="AG179" s="129"/>
      <c r="AH179" s="114"/>
      <c r="AI179" s="119"/>
      <c r="AJ179" s="115"/>
      <c r="AK179" s="107"/>
      <c r="AL179" s="104">
        <f t="shared" si="63"/>
        <v>0</v>
      </c>
      <c r="AM179" s="105">
        <f ca="1" t="shared" si="64"/>
        <v>-46313</v>
      </c>
      <c r="AN179" s="115"/>
      <c r="AO179" s="115"/>
      <c r="AP179" s="115"/>
      <c r="AQ179" s="93"/>
      <c r="AR179" s="127"/>
      <c r="AS179" s="128"/>
      <c r="AT179" s="129"/>
      <c r="AU179" s="114"/>
      <c r="AV179" s="119"/>
      <c r="AW179" s="115"/>
      <c r="AX179" s="107"/>
      <c r="AY179" s="104">
        <f t="shared" si="65"/>
        <v>0</v>
      </c>
      <c r="AZ179" s="105">
        <f ca="1" t="shared" si="66"/>
        <v>-46313</v>
      </c>
    </row>
    <row r="180" customHeight="1" spans="1:52">
      <c r="A180" s="70">
        <v>178</v>
      </c>
      <c r="B180" s="115" t="s">
        <v>229</v>
      </c>
      <c r="C180" s="115" t="s">
        <v>38</v>
      </c>
      <c r="D180" s="71" t="s">
        <v>82</v>
      </c>
      <c r="E180" s="130" t="s">
        <v>83</v>
      </c>
      <c r="F180" s="131"/>
      <c r="G180" s="132"/>
      <c r="H180" s="75"/>
      <c r="I180" s="102">
        <v>46032</v>
      </c>
      <c r="J180" s="70">
        <v>3</v>
      </c>
      <c r="K180" s="107" t="s">
        <v>822</v>
      </c>
      <c r="L180" s="104">
        <f t="shared" si="47"/>
        <v>46122</v>
      </c>
      <c r="M180" s="105">
        <f ca="1" t="shared" si="48"/>
        <v>-191</v>
      </c>
      <c r="N180" s="70"/>
      <c r="O180" s="115" t="s">
        <v>229</v>
      </c>
      <c r="P180" s="115" t="s">
        <v>38</v>
      </c>
      <c r="Q180" s="71" t="s">
        <v>82</v>
      </c>
      <c r="R180" s="130" t="s">
        <v>83</v>
      </c>
      <c r="S180" s="131"/>
      <c r="T180" s="132"/>
      <c r="U180" s="75"/>
      <c r="V180" s="119">
        <v>46132</v>
      </c>
      <c r="W180" s="115">
        <v>3</v>
      </c>
      <c r="X180" s="107" t="s">
        <v>823</v>
      </c>
      <c r="Y180" s="104">
        <f t="shared" si="59"/>
        <v>46223</v>
      </c>
      <c r="Z180" s="105">
        <f ca="1" t="shared" si="60"/>
        <v>-90</v>
      </c>
      <c r="AA180" s="70"/>
      <c r="AB180" s="115" t="s">
        <v>229</v>
      </c>
      <c r="AC180" s="115" t="s">
        <v>38</v>
      </c>
      <c r="AD180" s="71" t="s">
        <v>82</v>
      </c>
      <c r="AE180" s="130" t="s">
        <v>83</v>
      </c>
      <c r="AF180" s="131"/>
      <c r="AG180" s="132"/>
      <c r="AH180" s="75"/>
      <c r="AI180" s="119">
        <v>46237</v>
      </c>
      <c r="AJ180" s="70">
        <v>3</v>
      </c>
      <c r="AK180" s="107" t="s">
        <v>824</v>
      </c>
      <c r="AL180" s="104">
        <f t="shared" si="63"/>
        <v>46329</v>
      </c>
      <c r="AM180" s="105">
        <f ca="1" t="shared" si="64"/>
        <v>16</v>
      </c>
      <c r="AN180" s="115"/>
      <c r="AO180" s="115"/>
      <c r="AP180" s="115"/>
      <c r="AQ180" s="93"/>
      <c r="AR180" s="127"/>
      <c r="AS180" s="128"/>
      <c r="AT180" s="129"/>
      <c r="AU180" s="79"/>
      <c r="AV180" s="119"/>
      <c r="AW180" s="115"/>
      <c r="AX180" s="107"/>
      <c r="AY180" s="104">
        <f t="shared" si="65"/>
        <v>0</v>
      </c>
      <c r="AZ180" s="105">
        <f ca="1" t="shared" si="66"/>
        <v>-46313</v>
      </c>
    </row>
    <row r="181" customHeight="1" spans="1:52">
      <c r="A181" s="70">
        <v>179</v>
      </c>
      <c r="B181" s="115" t="s">
        <v>229</v>
      </c>
      <c r="C181" s="70" t="s">
        <v>13</v>
      </c>
      <c r="D181" s="71" t="s">
        <v>87</v>
      </c>
      <c r="E181" s="127" t="s">
        <v>88</v>
      </c>
      <c r="F181" s="128"/>
      <c r="G181" s="129"/>
      <c r="H181" s="75"/>
      <c r="I181" s="102">
        <v>46032</v>
      </c>
      <c r="J181" s="70">
        <v>3</v>
      </c>
      <c r="K181" s="107" t="s">
        <v>825</v>
      </c>
      <c r="L181" s="104">
        <f t="shared" si="47"/>
        <v>46122</v>
      </c>
      <c r="M181" s="105">
        <f ca="1" t="shared" si="48"/>
        <v>-191</v>
      </c>
      <c r="N181" s="70"/>
      <c r="O181" s="115" t="s">
        <v>229</v>
      </c>
      <c r="P181" s="70" t="s">
        <v>13</v>
      </c>
      <c r="Q181" s="71" t="s">
        <v>87</v>
      </c>
      <c r="R181" s="127" t="s">
        <v>88</v>
      </c>
      <c r="S181" s="128"/>
      <c r="T181" s="129"/>
      <c r="U181" s="75"/>
      <c r="V181" s="119">
        <v>46133</v>
      </c>
      <c r="W181" s="70">
        <v>3</v>
      </c>
      <c r="X181" s="97" t="s">
        <v>826</v>
      </c>
      <c r="Y181" s="104">
        <f t="shared" si="59"/>
        <v>46224</v>
      </c>
      <c r="Z181" s="105">
        <f ca="1" t="shared" si="60"/>
        <v>-89</v>
      </c>
      <c r="AA181" s="70"/>
      <c r="AB181" s="115" t="s">
        <v>229</v>
      </c>
      <c r="AC181" s="70" t="s">
        <v>13</v>
      </c>
      <c r="AD181" s="71" t="s">
        <v>87</v>
      </c>
      <c r="AE181" s="127" t="s">
        <v>88</v>
      </c>
      <c r="AF181" s="128"/>
      <c r="AG181" s="129"/>
      <c r="AH181" s="75"/>
      <c r="AI181" s="119">
        <v>46250</v>
      </c>
      <c r="AJ181" s="70">
        <v>3</v>
      </c>
      <c r="AK181" s="97" t="s">
        <v>827</v>
      </c>
      <c r="AL181" s="104">
        <f t="shared" si="63"/>
        <v>46342</v>
      </c>
      <c r="AM181" s="105">
        <f ca="1" t="shared" si="64"/>
        <v>29</v>
      </c>
      <c r="AN181" s="115"/>
      <c r="AO181" s="70"/>
      <c r="AP181" s="70"/>
      <c r="AQ181" s="71"/>
      <c r="AR181" s="127"/>
      <c r="AS181" s="128"/>
      <c r="AT181" s="129"/>
      <c r="AU181" s="79"/>
      <c r="AV181" s="119"/>
      <c r="AW181" s="115"/>
      <c r="AX181" s="107"/>
      <c r="AY181" s="104">
        <f t="shared" si="65"/>
        <v>0</v>
      </c>
      <c r="AZ181" s="105">
        <f ca="1" t="shared" si="66"/>
        <v>-46313</v>
      </c>
    </row>
    <row r="182" customHeight="1" spans="1:52">
      <c r="A182" s="70">
        <v>180</v>
      </c>
      <c r="B182" s="115" t="s">
        <v>229</v>
      </c>
      <c r="C182" s="70" t="s">
        <v>38</v>
      </c>
      <c r="D182" s="71" t="s">
        <v>828</v>
      </c>
      <c r="E182" s="130" t="s">
        <v>593</v>
      </c>
      <c r="F182" s="131"/>
      <c r="G182" s="132"/>
      <c r="H182" s="75"/>
      <c r="I182" s="102">
        <v>46032</v>
      </c>
      <c r="J182" s="70">
        <v>3</v>
      </c>
      <c r="K182" s="107" t="s">
        <v>829</v>
      </c>
      <c r="L182" s="104">
        <f t="shared" si="47"/>
        <v>46122</v>
      </c>
      <c r="M182" s="105">
        <f ca="1" t="shared" si="48"/>
        <v>-191</v>
      </c>
      <c r="N182" s="70"/>
      <c r="O182" s="115" t="s">
        <v>229</v>
      </c>
      <c r="P182" s="70" t="s">
        <v>38</v>
      </c>
      <c r="Q182" s="71" t="s">
        <v>828</v>
      </c>
      <c r="R182" s="130" t="s">
        <v>593</v>
      </c>
      <c r="S182" s="131"/>
      <c r="T182" s="132"/>
      <c r="U182" s="75"/>
      <c r="V182" s="119">
        <v>46133</v>
      </c>
      <c r="W182" s="70">
        <v>3</v>
      </c>
      <c r="X182" s="97" t="s">
        <v>830</v>
      </c>
      <c r="Y182" s="104">
        <f t="shared" si="59"/>
        <v>46224</v>
      </c>
      <c r="Z182" s="105">
        <f ca="1" t="shared" si="60"/>
        <v>-89</v>
      </c>
      <c r="AA182" s="70"/>
      <c r="AB182" s="115" t="s">
        <v>229</v>
      </c>
      <c r="AC182" s="70" t="s">
        <v>38</v>
      </c>
      <c r="AD182" s="71" t="s">
        <v>828</v>
      </c>
      <c r="AE182" s="130" t="s">
        <v>593</v>
      </c>
      <c r="AF182" s="131"/>
      <c r="AG182" s="132"/>
      <c r="AH182" s="75"/>
      <c r="AI182" s="119">
        <v>46250</v>
      </c>
      <c r="AJ182" s="70">
        <v>3</v>
      </c>
      <c r="AK182" s="97" t="s">
        <v>831</v>
      </c>
      <c r="AL182" s="104">
        <f t="shared" si="63"/>
        <v>46342</v>
      </c>
      <c r="AM182" s="105">
        <f ca="1" t="shared" si="64"/>
        <v>29</v>
      </c>
      <c r="AN182" s="115"/>
      <c r="AO182" s="115"/>
      <c r="AP182" s="115"/>
      <c r="AQ182" s="93"/>
      <c r="AR182" s="127"/>
      <c r="AS182" s="128"/>
      <c r="AT182" s="129"/>
      <c r="AU182" s="79"/>
      <c r="AV182" s="119"/>
      <c r="AW182" s="115"/>
      <c r="AX182" s="107"/>
      <c r="AY182" s="104">
        <f t="shared" si="65"/>
        <v>0</v>
      </c>
      <c r="AZ182" s="105">
        <f ca="1" t="shared" si="66"/>
        <v>-46313</v>
      </c>
    </row>
    <row r="183" customHeight="1" spans="1:52">
      <c r="A183" s="70">
        <v>181</v>
      </c>
      <c r="B183" s="115" t="s">
        <v>229</v>
      </c>
      <c r="C183" s="70" t="s">
        <v>38</v>
      </c>
      <c r="D183" s="71" t="s">
        <v>832</v>
      </c>
      <c r="E183" s="130" t="s">
        <v>589</v>
      </c>
      <c r="F183" s="131"/>
      <c r="G183" s="132"/>
      <c r="H183" s="75"/>
      <c r="I183" s="102">
        <v>46032</v>
      </c>
      <c r="J183" s="70">
        <v>3</v>
      </c>
      <c r="K183" s="107" t="s">
        <v>833</v>
      </c>
      <c r="L183" s="104">
        <f t="shared" si="47"/>
        <v>46122</v>
      </c>
      <c r="M183" s="105">
        <f ca="1" t="shared" si="48"/>
        <v>-191</v>
      </c>
      <c r="N183" s="70"/>
      <c r="O183" s="115" t="s">
        <v>229</v>
      </c>
      <c r="P183" s="70" t="s">
        <v>38</v>
      </c>
      <c r="Q183" s="71" t="s">
        <v>832</v>
      </c>
      <c r="R183" s="130" t="s">
        <v>589</v>
      </c>
      <c r="S183" s="131"/>
      <c r="T183" s="132"/>
      <c r="U183" s="75"/>
      <c r="V183" s="119">
        <v>46133</v>
      </c>
      <c r="W183" s="70">
        <v>3</v>
      </c>
      <c r="X183" s="97" t="s">
        <v>834</v>
      </c>
      <c r="Y183" s="104">
        <f t="shared" ref="Y183:Y213" si="67">EDATE(V183,W183)</f>
        <v>46224</v>
      </c>
      <c r="Z183" s="105">
        <f ca="1" t="shared" ref="Z183:Z213" si="68">Y183-TODAY()</f>
        <v>-89</v>
      </c>
      <c r="AA183" s="70"/>
      <c r="AB183" s="115" t="s">
        <v>229</v>
      </c>
      <c r="AC183" s="70" t="s">
        <v>38</v>
      </c>
      <c r="AD183" s="71" t="s">
        <v>832</v>
      </c>
      <c r="AE183" s="130" t="s">
        <v>589</v>
      </c>
      <c r="AF183" s="131"/>
      <c r="AG183" s="132"/>
      <c r="AH183" s="75"/>
      <c r="AI183" s="119">
        <v>46250</v>
      </c>
      <c r="AJ183" s="70">
        <v>3</v>
      </c>
      <c r="AK183" s="97" t="s">
        <v>835</v>
      </c>
      <c r="AL183" s="104">
        <f t="shared" si="63"/>
        <v>46342</v>
      </c>
      <c r="AM183" s="105">
        <f ca="1" t="shared" si="64"/>
        <v>29</v>
      </c>
      <c r="AN183" s="115"/>
      <c r="AO183" s="115"/>
      <c r="AP183" s="115"/>
      <c r="AQ183" s="93"/>
      <c r="AR183" s="127"/>
      <c r="AS183" s="128"/>
      <c r="AT183" s="129"/>
      <c r="AU183" s="79"/>
      <c r="AV183" s="119"/>
      <c r="AW183" s="115"/>
      <c r="AX183" s="107"/>
      <c r="AY183" s="104">
        <f t="shared" si="65"/>
        <v>0</v>
      </c>
      <c r="AZ183" s="105">
        <f ca="1" t="shared" si="66"/>
        <v>-46313</v>
      </c>
    </row>
    <row r="184" customHeight="1" spans="1:52">
      <c r="A184" s="70">
        <v>182</v>
      </c>
      <c r="B184" s="115" t="s">
        <v>229</v>
      </c>
      <c r="C184" s="70" t="s">
        <v>13</v>
      </c>
      <c r="D184" s="71" t="s">
        <v>79</v>
      </c>
      <c r="E184" s="130" t="s">
        <v>80</v>
      </c>
      <c r="F184" s="131"/>
      <c r="G184" s="132"/>
      <c r="H184" s="75"/>
      <c r="I184" s="102">
        <v>46032</v>
      </c>
      <c r="J184" s="70">
        <v>3</v>
      </c>
      <c r="K184" s="107" t="s">
        <v>836</v>
      </c>
      <c r="L184" s="104">
        <f t="shared" si="47"/>
        <v>46122</v>
      </c>
      <c r="M184" s="105">
        <f ca="1" t="shared" si="48"/>
        <v>-191</v>
      </c>
      <c r="N184" s="70"/>
      <c r="O184" s="115" t="s">
        <v>229</v>
      </c>
      <c r="P184" s="70" t="s">
        <v>13</v>
      </c>
      <c r="Q184" s="71" t="s">
        <v>79</v>
      </c>
      <c r="R184" s="130" t="s">
        <v>80</v>
      </c>
      <c r="S184" s="131"/>
      <c r="T184" s="132"/>
      <c r="U184" s="75"/>
      <c r="V184" s="119">
        <v>46119</v>
      </c>
      <c r="W184" s="70">
        <v>3</v>
      </c>
      <c r="X184" s="97" t="s">
        <v>837</v>
      </c>
      <c r="Y184" s="104">
        <f t="shared" si="67"/>
        <v>46210</v>
      </c>
      <c r="Z184" s="105">
        <f ca="1" t="shared" si="68"/>
        <v>-103</v>
      </c>
      <c r="AA184" s="70"/>
      <c r="AB184" s="115" t="s">
        <v>229</v>
      </c>
      <c r="AC184" s="70" t="s">
        <v>13</v>
      </c>
      <c r="AD184" s="71" t="s">
        <v>79</v>
      </c>
      <c r="AE184" s="130" t="s">
        <v>80</v>
      </c>
      <c r="AF184" s="131"/>
      <c r="AG184" s="132"/>
      <c r="AH184" s="75"/>
      <c r="AI184" s="119">
        <v>46250</v>
      </c>
      <c r="AJ184" s="70">
        <v>3</v>
      </c>
      <c r="AK184" s="97" t="s">
        <v>838</v>
      </c>
      <c r="AL184" s="104">
        <f t="shared" si="63"/>
        <v>46342</v>
      </c>
      <c r="AM184" s="105">
        <f ca="1" t="shared" si="64"/>
        <v>29</v>
      </c>
      <c r="AN184" s="115"/>
      <c r="AO184" s="115"/>
      <c r="AP184" s="115"/>
      <c r="AQ184" s="93"/>
      <c r="AR184" s="127"/>
      <c r="AS184" s="128"/>
      <c r="AT184" s="129"/>
      <c r="AU184" s="79"/>
      <c r="AV184" s="119"/>
      <c r="AW184" s="115"/>
      <c r="AX184" s="107"/>
      <c r="AY184" s="104">
        <f t="shared" si="65"/>
        <v>0</v>
      </c>
      <c r="AZ184" s="105">
        <f ca="1" t="shared" si="66"/>
        <v>-46313</v>
      </c>
    </row>
    <row r="185" customHeight="1" spans="1:52">
      <c r="A185" s="70">
        <v>183</v>
      </c>
      <c r="B185" s="115" t="s">
        <v>229</v>
      </c>
      <c r="C185" s="70" t="s">
        <v>13</v>
      </c>
      <c r="D185" s="71" t="s">
        <v>839</v>
      </c>
      <c r="E185" s="130" t="s">
        <v>840</v>
      </c>
      <c r="F185" s="131"/>
      <c r="G185" s="132"/>
      <c r="H185" s="79" t="s">
        <v>16</v>
      </c>
      <c r="I185" s="102">
        <v>46032</v>
      </c>
      <c r="J185" s="70">
        <v>3</v>
      </c>
      <c r="K185" s="107" t="s">
        <v>841</v>
      </c>
      <c r="L185" s="104">
        <f t="shared" si="47"/>
        <v>46122</v>
      </c>
      <c r="M185" s="105">
        <f ca="1" t="shared" si="48"/>
        <v>-191</v>
      </c>
      <c r="N185" s="70"/>
      <c r="O185" s="115" t="s">
        <v>229</v>
      </c>
      <c r="P185" s="70" t="s">
        <v>13</v>
      </c>
      <c r="Q185" s="71" t="s">
        <v>839</v>
      </c>
      <c r="R185" s="130" t="s">
        <v>840</v>
      </c>
      <c r="S185" s="131"/>
      <c r="T185" s="132"/>
      <c r="U185" s="75"/>
      <c r="V185" s="119">
        <v>46133</v>
      </c>
      <c r="W185" s="70">
        <v>3</v>
      </c>
      <c r="X185" s="97" t="s">
        <v>842</v>
      </c>
      <c r="Y185" s="104">
        <f t="shared" si="67"/>
        <v>46224</v>
      </c>
      <c r="Z185" s="105">
        <f ca="1" t="shared" si="68"/>
        <v>-89</v>
      </c>
      <c r="AA185" s="70"/>
      <c r="AB185" s="115" t="s">
        <v>229</v>
      </c>
      <c r="AC185" s="70" t="s">
        <v>13</v>
      </c>
      <c r="AD185" s="71" t="s">
        <v>839</v>
      </c>
      <c r="AE185" s="130" t="s">
        <v>840</v>
      </c>
      <c r="AF185" s="131"/>
      <c r="AG185" s="132"/>
      <c r="AH185" s="75"/>
      <c r="AI185" s="119">
        <v>46242</v>
      </c>
      <c r="AJ185" s="70">
        <v>3</v>
      </c>
      <c r="AK185" s="97" t="s">
        <v>843</v>
      </c>
      <c r="AL185" s="104">
        <f t="shared" si="63"/>
        <v>46334</v>
      </c>
      <c r="AM185" s="105">
        <f ca="1" t="shared" si="64"/>
        <v>21</v>
      </c>
      <c r="AN185" s="115"/>
      <c r="AO185" s="70"/>
      <c r="AP185" s="70"/>
      <c r="AQ185" s="71"/>
      <c r="AR185" s="130"/>
      <c r="AS185" s="131"/>
      <c r="AT185" s="132"/>
      <c r="AU185" s="79"/>
      <c r="AV185" s="119"/>
      <c r="AW185" s="115"/>
      <c r="AX185" s="107"/>
      <c r="AY185" s="104">
        <f t="shared" si="65"/>
        <v>0</v>
      </c>
      <c r="AZ185" s="105">
        <f ca="1" t="shared" si="66"/>
        <v>-46313</v>
      </c>
    </row>
    <row r="186" customHeight="1" spans="1:52">
      <c r="A186" s="70">
        <v>184</v>
      </c>
      <c r="B186" s="115" t="s">
        <v>844</v>
      </c>
      <c r="C186" s="70" t="s">
        <v>13</v>
      </c>
      <c r="D186" s="71" t="s">
        <v>845</v>
      </c>
      <c r="E186" s="130" t="s">
        <v>189</v>
      </c>
      <c r="F186" s="131"/>
      <c r="G186" s="132"/>
      <c r="H186" s="75"/>
      <c r="I186" s="102">
        <v>46032</v>
      </c>
      <c r="J186" s="70">
        <v>3</v>
      </c>
      <c r="K186" s="107" t="s">
        <v>846</v>
      </c>
      <c r="L186" s="104">
        <f t="shared" si="47"/>
        <v>46122</v>
      </c>
      <c r="M186" s="105">
        <f ca="1" t="shared" si="48"/>
        <v>-191</v>
      </c>
      <c r="N186" s="70"/>
      <c r="O186" s="115" t="s">
        <v>844</v>
      </c>
      <c r="P186" s="70" t="s">
        <v>13</v>
      </c>
      <c r="Q186" s="71" t="s">
        <v>845</v>
      </c>
      <c r="R186" s="130" t="s">
        <v>189</v>
      </c>
      <c r="S186" s="131"/>
      <c r="T186" s="132"/>
      <c r="U186" s="114" t="s">
        <v>16</v>
      </c>
      <c r="V186" s="119">
        <v>46129</v>
      </c>
      <c r="W186" s="70">
        <v>3</v>
      </c>
      <c r="X186" s="97" t="s">
        <v>847</v>
      </c>
      <c r="Y186" s="104">
        <f t="shared" si="67"/>
        <v>46220</v>
      </c>
      <c r="Z186" s="105">
        <f ca="1" t="shared" si="68"/>
        <v>-93</v>
      </c>
      <c r="AA186" s="70"/>
      <c r="AB186" s="115" t="s">
        <v>844</v>
      </c>
      <c r="AC186" s="70" t="s">
        <v>13</v>
      </c>
      <c r="AD186" s="71" t="s">
        <v>845</v>
      </c>
      <c r="AE186" s="130" t="s">
        <v>189</v>
      </c>
      <c r="AF186" s="131"/>
      <c r="AG186" s="132"/>
      <c r="AH186" s="114" t="s">
        <v>16</v>
      </c>
      <c r="AI186" s="119">
        <v>46289</v>
      </c>
      <c r="AJ186" s="70">
        <v>3</v>
      </c>
      <c r="AK186" s="97" t="s">
        <v>848</v>
      </c>
      <c r="AL186" s="104">
        <f t="shared" si="63"/>
        <v>46380</v>
      </c>
      <c r="AM186" s="105">
        <f ca="1" t="shared" si="64"/>
        <v>67</v>
      </c>
      <c r="AN186" s="115"/>
      <c r="AO186" s="70"/>
      <c r="AP186" s="70"/>
      <c r="AQ186" s="71"/>
      <c r="AR186" s="130"/>
      <c r="AS186" s="131"/>
      <c r="AT186" s="132"/>
      <c r="AU186" s="79"/>
      <c r="AV186" s="119"/>
      <c r="AW186" s="115"/>
      <c r="AX186" s="107"/>
      <c r="AY186" s="104">
        <f t="shared" si="65"/>
        <v>0</v>
      </c>
      <c r="AZ186" s="105">
        <f ca="1" t="shared" si="66"/>
        <v>-46313</v>
      </c>
    </row>
    <row r="187" customHeight="1" spans="1:52">
      <c r="A187" s="70">
        <v>185</v>
      </c>
      <c r="B187" s="70" t="s">
        <v>721</v>
      </c>
      <c r="C187" s="70" t="s">
        <v>13</v>
      </c>
      <c r="D187" s="71" t="s">
        <v>849</v>
      </c>
      <c r="E187" s="130" t="s">
        <v>126</v>
      </c>
      <c r="F187" s="131"/>
      <c r="G187" s="132"/>
      <c r="H187" s="76" t="s">
        <v>16</v>
      </c>
      <c r="I187" s="102">
        <v>46032</v>
      </c>
      <c r="J187" s="70">
        <v>3</v>
      </c>
      <c r="K187" s="107" t="s">
        <v>850</v>
      </c>
      <c r="L187" s="104">
        <f t="shared" si="47"/>
        <v>46122</v>
      </c>
      <c r="M187" s="105">
        <f ca="1" t="shared" si="48"/>
        <v>-191</v>
      </c>
      <c r="N187" s="70"/>
      <c r="O187" s="70" t="s">
        <v>721</v>
      </c>
      <c r="P187" s="70" t="s">
        <v>13</v>
      </c>
      <c r="Q187" s="71" t="s">
        <v>849</v>
      </c>
      <c r="R187" s="130" t="s">
        <v>126</v>
      </c>
      <c r="S187" s="131"/>
      <c r="T187" s="132"/>
      <c r="U187" s="76" t="s">
        <v>16</v>
      </c>
      <c r="V187" s="119">
        <v>46142</v>
      </c>
      <c r="W187" s="70">
        <v>3</v>
      </c>
      <c r="X187" s="97" t="s">
        <v>851</v>
      </c>
      <c r="Y187" s="104">
        <f t="shared" si="67"/>
        <v>46233</v>
      </c>
      <c r="Z187" s="105">
        <f ca="1" t="shared" si="68"/>
        <v>-80</v>
      </c>
      <c r="AA187" s="70"/>
      <c r="AB187" s="70"/>
      <c r="AC187" s="70"/>
      <c r="AD187" s="71"/>
      <c r="AE187" s="130"/>
      <c r="AF187" s="131"/>
      <c r="AG187" s="132"/>
      <c r="AH187" s="114"/>
      <c r="AI187" s="119"/>
      <c r="AJ187" s="70"/>
      <c r="AK187" s="97"/>
      <c r="AL187" s="104">
        <f t="shared" si="63"/>
        <v>0</v>
      </c>
      <c r="AM187" s="105">
        <f ca="1" t="shared" si="64"/>
        <v>-46313</v>
      </c>
      <c r="AN187" s="115"/>
      <c r="AO187" s="70"/>
      <c r="AP187" s="70"/>
      <c r="AQ187" s="71"/>
      <c r="AR187" s="130"/>
      <c r="AS187" s="131"/>
      <c r="AT187" s="132"/>
      <c r="AU187" s="114"/>
      <c r="AV187" s="119"/>
      <c r="AW187" s="115"/>
      <c r="AX187" s="107"/>
      <c r="AY187" s="104">
        <f t="shared" si="65"/>
        <v>0</v>
      </c>
      <c r="AZ187" s="105">
        <f ca="1" t="shared" si="66"/>
        <v>-46313</v>
      </c>
    </row>
    <row r="188" customHeight="1" spans="1:52">
      <c r="A188" s="70">
        <v>186</v>
      </c>
      <c r="B188" s="70" t="s">
        <v>721</v>
      </c>
      <c r="C188" s="70" t="s">
        <v>13</v>
      </c>
      <c r="D188" s="71" t="s">
        <v>852</v>
      </c>
      <c r="E188" s="130" t="s">
        <v>853</v>
      </c>
      <c r="F188" s="131"/>
      <c r="G188" s="132"/>
      <c r="H188" s="76" t="s">
        <v>16</v>
      </c>
      <c r="I188" s="102">
        <v>46032</v>
      </c>
      <c r="J188" s="70">
        <v>3</v>
      </c>
      <c r="K188" s="107" t="s">
        <v>854</v>
      </c>
      <c r="L188" s="104">
        <f t="shared" si="47"/>
        <v>46122</v>
      </c>
      <c r="M188" s="105">
        <f ca="1" t="shared" si="48"/>
        <v>-191</v>
      </c>
      <c r="N188" s="70"/>
      <c r="O188" s="70" t="s">
        <v>721</v>
      </c>
      <c r="P188" s="70" t="s">
        <v>13</v>
      </c>
      <c r="Q188" s="71" t="s">
        <v>852</v>
      </c>
      <c r="R188" s="130" t="s">
        <v>853</v>
      </c>
      <c r="S188" s="131"/>
      <c r="T188" s="132"/>
      <c r="U188" s="76" t="s">
        <v>16</v>
      </c>
      <c r="V188" s="119">
        <v>46115</v>
      </c>
      <c r="W188" s="70">
        <v>3</v>
      </c>
      <c r="X188" s="97" t="s">
        <v>855</v>
      </c>
      <c r="Y188" s="104">
        <f t="shared" si="67"/>
        <v>46206</v>
      </c>
      <c r="Z188" s="105">
        <f ca="1" t="shared" si="68"/>
        <v>-107</v>
      </c>
      <c r="AA188" s="70"/>
      <c r="AB188" s="70" t="s">
        <v>721</v>
      </c>
      <c r="AC188" s="70" t="s">
        <v>13</v>
      </c>
      <c r="AD188" s="71" t="s">
        <v>852</v>
      </c>
      <c r="AE188" s="130" t="s">
        <v>853</v>
      </c>
      <c r="AF188" s="131"/>
      <c r="AG188" s="132"/>
      <c r="AH188" s="76" t="s">
        <v>16</v>
      </c>
      <c r="AI188" s="119">
        <v>46204</v>
      </c>
      <c r="AJ188" s="70">
        <v>3</v>
      </c>
      <c r="AK188" s="97" t="s">
        <v>856</v>
      </c>
      <c r="AL188" s="104">
        <f t="shared" si="63"/>
        <v>46296</v>
      </c>
      <c r="AM188" s="105">
        <f ca="1" t="shared" si="64"/>
        <v>-17</v>
      </c>
      <c r="AN188" s="115"/>
      <c r="AO188" s="70"/>
      <c r="AP188" s="70"/>
      <c r="AQ188" s="71"/>
      <c r="AR188" s="130"/>
      <c r="AS188" s="131"/>
      <c r="AT188" s="132"/>
      <c r="AU188" s="151"/>
      <c r="AV188" s="119"/>
      <c r="AW188" s="115"/>
      <c r="AX188" s="107"/>
      <c r="AY188" s="104">
        <f t="shared" si="65"/>
        <v>0</v>
      </c>
      <c r="AZ188" s="105">
        <f ca="1" t="shared" si="66"/>
        <v>-46313</v>
      </c>
    </row>
    <row r="189" customHeight="1" spans="1:52">
      <c r="A189" s="70">
        <v>187</v>
      </c>
      <c r="B189" s="70" t="s">
        <v>857</v>
      </c>
      <c r="C189" s="70" t="s">
        <v>38</v>
      </c>
      <c r="D189" s="71" t="s">
        <v>858</v>
      </c>
      <c r="E189" s="130" t="s">
        <v>859</v>
      </c>
      <c r="F189" s="131"/>
      <c r="G189" s="132"/>
      <c r="H189" s="75"/>
      <c r="I189" s="102">
        <v>46032</v>
      </c>
      <c r="J189" s="70">
        <v>3</v>
      </c>
      <c r="K189" s="107" t="s">
        <v>860</v>
      </c>
      <c r="L189" s="104">
        <f t="shared" si="47"/>
        <v>46122</v>
      </c>
      <c r="M189" s="105">
        <f ca="1" t="shared" si="48"/>
        <v>-191</v>
      </c>
      <c r="N189" s="70"/>
      <c r="O189" s="70" t="s">
        <v>857</v>
      </c>
      <c r="P189" s="70" t="s">
        <v>38</v>
      </c>
      <c r="Q189" s="71" t="s">
        <v>858</v>
      </c>
      <c r="R189" s="130" t="s">
        <v>859</v>
      </c>
      <c r="S189" s="131"/>
      <c r="T189" s="132"/>
      <c r="U189" s="75"/>
      <c r="V189" s="119">
        <v>46130</v>
      </c>
      <c r="W189" s="70">
        <v>3</v>
      </c>
      <c r="X189" s="97" t="s">
        <v>861</v>
      </c>
      <c r="Y189" s="104">
        <f t="shared" si="67"/>
        <v>46221</v>
      </c>
      <c r="Z189" s="105">
        <f ca="1" t="shared" si="68"/>
        <v>-92</v>
      </c>
      <c r="AA189" s="70"/>
      <c r="AB189" s="70" t="s">
        <v>857</v>
      </c>
      <c r="AC189" s="70" t="s">
        <v>38</v>
      </c>
      <c r="AD189" s="71" t="s">
        <v>858</v>
      </c>
      <c r="AE189" s="130" t="s">
        <v>859</v>
      </c>
      <c r="AF189" s="131"/>
      <c r="AG189" s="132"/>
      <c r="AH189" s="75"/>
      <c r="AI189" s="119">
        <v>46213</v>
      </c>
      <c r="AJ189" s="70">
        <v>3</v>
      </c>
      <c r="AK189" s="97" t="s">
        <v>862</v>
      </c>
      <c r="AL189" s="104">
        <f t="shared" si="63"/>
        <v>46305</v>
      </c>
      <c r="AM189" s="105">
        <f ca="1" t="shared" si="64"/>
        <v>-8</v>
      </c>
      <c r="AN189" s="115"/>
      <c r="AO189" s="70"/>
      <c r="AP189" s="70"/>
      <c r="AQ189" s="71"/>
      <c r="AR189" s="130"/>
      <c r="AS189" s="131"/>
      <c r="AT189" s="132"/>
      <c r="AU189" s="114"/>
      <c r="AV189" s="119"/>
      <c r="AW189" s="115"/>
      <c r="AX189" s="107"/>
      <c r="AY189" s="104">
        <f t="shared" si="65"/>
        <v>0</v>
      </c>
      <c r="AZ189" s="105">
        <f ca="1" t="shared" si="66"/>
        <v>-46313</v>
      </c>
    </row>
    <row r="190" s="58" customFormat="1" customHeight="1" spans="1:52">
      <c r="A190" s="70">
        <v>188</v>
      </c>
      <c r="B190" s="115" t="s">
        <v>470</v>
      </c>
      <c r="C190" s="70" t="s">
        <v>38</v>
      </c>
      <c r="D190" s="71" t="s">
        <v>863</v>
      </c>
      <c r="E190" s="130" t="s">
        <v>472</v>
      </c>
      <c r="F190" s="131"/>
      <c r="G190" s="132"/>
      <c r="H190" s="75"/>
      <c r="I190" s="102">
        <v>46032</v>
      </c>
      <c r="J190" s="70">
        <v>3</v>
      </c>
      <c r="K190" s="107" t="s">
        <v>864</v>
      </c>
      <c r="L190" s="104">
        <f t="shared" si="47"/>
        <v>46122</v>
      </c>
      <c r="M190" s="105">
        <f ca="1" t="shared" si="48"/>
        <v>-191</v>
      </c>
      <c r="N190" s="70"/>
      <c r="O190" s="115" t="s">
        <v>470</v>
      </c>
      <c r="P190" s="70" t="s">
        <v>38</v>
      </c>
      <c r="Q190" s="71" t="s">
        <v>863</v>
      </c>
      <c r="R190" s="130" t="s">
        <v>472</v>
      </c>
      <c r="S190" s="131"/>
      <c r="T190" s="132"/>
      <c r="U190" s="75"/>
      <c r="V190" s="119">
        <v>46134</v>
      </c>
      <c r="W190" s="115">
        <v>3</v>
      </c>
      <c r="X190" s="97" t="s">
        <v>865</v>
      </c>
      <c r="Y190" s="104">
        <f t="shared" si="67"/>
        <v>46225</v>
      </c>
      <c r="Z190" s="105">
        <f ca="1" t="shared" si="68"/>
        <v>-88</v>
      </c>
      <c r="AA190" s="70"/>
      <c r="AB190" s="115" t="s">
        <v>475</v>
      </c>
      <c r="AC190" s="70" t="s">
        <v>38</v>
      </c>
      <c r="AD190" s="71" t="s">
        <v>863</v>
      </c>
      <c r="AE190" s="130" t="s">
        <v>472</v>
      </c>
      <c r="AF190" s="131"/>
      <c r="AG190" s="132"/>
      <c r="AH190" s="75"/>
      <c r="AI190" s="119">
        <v>46248</v>
      </c>
      <c r="AJ190" s="70">
        <v>3</v>
      </c>
      <c r="AK190" s="97" t="s">
        <v>866</v>
      </c>
      <c r="AL190" s="104">
        <f t="shared" si="63"/>
        <v>46340</v>
      </c>
      <c r="AM190" s="105">
        <f ca="1" t="shared" si="64"/>
        <v>27</v>
      </c>
      <c r="AN190" s="115"/>
      <c r="AO190" s="70"/>
      <c r="AP190" s="70"/>
      <c r="AQ190" s="71"/>
      <c r="AR190" s="130"/>
      <c r="AS190" s="131"/>
      <c r="AT190" s="132"/>
      <c r="AU190" s="79"/>
      <c r="AV190" s="119"/>
      <c r="AW190" s="115"/>
      <c r="AX190" s="107"/>
      <c r="AY190" s="104">
        <f t="shared" si="65"/>
        <v>0</v>
      </c>
      <c r="AZ190" s="105">
        <f ca="1" t="shared" si="66"/>
        <v>-46313</v>
      </c>
    </row>
    <row r="191" s="58" customFormat="1" customHeight="1" spans="1:52">
      <c r="A191" s="70">
        <v>189</v>
      </c>
      <c r="B191" s="70" t="s">
        <v>644</v>
      </c>
      <c r="C191" s="70" t="s">
        <v>264</v>
      </c>
      <c r="D191" s="71" t="s">
        <v>265</v>
      </c>
      <c r="E191" s="130" t="s">
        <v>266</v>
      </c>
      <c r="F191" s="131"/>
      <c r="G191" s="132"/>
      <c r="H191" s="75"/>
      <c r="I191" s="102">
        <v>46032</v>
      </c>
      <c r="J191" s="165" t="s">
        <v>767</v>
      </c>
      <c r="K191" s="107"/>
      <c r="L191" s="104" t="e">
        <f t="shared" si="47"/>
        <v>#VALUE!</v>
      </c>
      <c r="M191" s="105" t="e">
        <f ca="1" t="shared" si="48"/>
        <v>#VALUE!</v>
      </c>
      <c r="N191" s="70"/>
      <c r="O191" s="70"/>
      <c r="P191" s="70"/>
      <c r="Q191" s="71"/>
      <c r="R191" s="130"/>
      <c r="S191" s="131"/>
      <c r="T191" s="132"/>
      <c r="U191" s="79"/>
      <c r="V191" s="119"/>
      <c r="W191" s="115"/>
      <c r="X191" s="97"/>
      <c r="Y191" s="104">
        <f t="shared" si="67"/>
        <v>0</v>
      </c>
      <c r="Z191" s="105">
        <f ca="1" t="shared" si="68"/>
        <v>-46313</v>
      </c>
      <c r="AA191" s="70"/>
      <c r="AB191" s="70"/>
      <c r="AC191" s="70"/>
      <c r="AD191" s="93"/>
      <c r="AE191" s="130"/>
      <c r="AF191" s="131"/>
      <c r="AG191" s="132"/>
      <c r="AH191" s="79"/>
      <c r="AI191" s="119"/>
      <c r="AJ191" s="115"/>
      <c r="AK191" s="97"/>
      <c r="AL191" s="104">
        <f t="shared" si="63"/>
        <v>0</v>
      </c>
      <c r="AM191" s="105">
        <f ca="1" t="shared" si="64"/>
        <v>-46313</v>
      </c>
      <c r="AN191" s="115"/>
      <c r="AO191" s="70"/>
      <c r="AP191" s="70"/>
      <c r="AQ191" s="93"/>
      <c r="AR191" s="130"/>
      <c r="AS191" s="131"/>
      <c r="AT191" s="132"/>
      <c r="AU191" s="79"/>
      <c r="AV191" s="119"/>
      <c r="AW191" s="115"/>
      <c r="AX191" s="107"/>
      <c r="AY191" s="104">
        <f t="shared" si="65"/>
        <v>0</v>
      </c>
      <c r="AZ191" s="105">
        <f ca="1" t="shared" si="66"/>
        <v>-46313</v>
      </c>
    </row>
    <row r="192" s="58" customFormat="1" customHeight="1" spans="1:52">
      <c r="A192" s="70">
        <v>190</v>
      </c>
      <c r="B192" s="70" t="s">
        <v>281</v>
      </c>
      <c r="C192" s="70" t="s">
        <v>264</v>
      </c>
      <c r="D192" s="71" t="s">
        <v>287</v>
      </c>
      <c r="E192" s="130" t="s">
        <v>867</v>
      </c>
      <c r="F192" s="131"/>
      <c r="G192" s="132"/>
      <c r="H192" s="75"/>
      <c r="I192" s="102">
        <v>46032</v>
      </c>
      <c r="J192" s="165" t="s">
        <v>767</v>
      </c>
      <c r="K192" s="107"/>
      <c r="L192" s="104" t="e">
        <f t="shared" si="47"/>
        <v>#VALUE!</v>
      </c>
      <c r="M192" s="105" t="e">
        <f ca="1" t="shared" si="48"/>
        <v>#VALUE!</v>
      </c>
      <c r="N192" s="70"/>
      <c r="O192" s="70"/>
      <c r="P192" s="70"/>
      <c r="Q192" s="71"/>
      <c r="R192" s="130"/>
      <c r="S192" s="131"/>
      <c r="T192" s="132"/>
      <c r="U192" s="114"/>
      <c r="V192" s="119"/>
      <c r="W192" s="115"/>
      <c r="X192" s="97"/>
      <c r="Y192" s="104">
        <f t="shared" si="67"/>
        <v>0</v>
      </c>
      <c r="Z192" s="105">
        <f ca="1" t="shared" si="68"/>
        <v>-46313</v>
      </c>
      <c r="AA192" s="70"/>
      <c r="AB192" s="115"/>
      <c r="AC192" s="115"/>
      <c r="AD192" s="93"/>
      <c r="AE192" s="127"/>
      <c r="AF192" s="128"/>
      <c r="AG192" s="129"/>
      <c r="AH192" s="114"/>
      <c r="AI192" s="119"/>
      <c r="AJ192" s="115"/>
      <c r="AK192" s="107"/>
      <c r="AL192" s="104">
        <f t="shared" si="63"/>
        <v>0</v>
      </c>
      <c r="AM192" s="105">
        <f ca="1" t="shared" si="64"/>
        <v>-46313</v>
      </c>
      <c r="AN192" s="115"/>
      <c r="AO192" s="115"/>
      <c r="AP192" s="115"/>
      <c r="AQ192" s="93"/>
      <c r="AR192" s="127"/>
      <c r="AS192" s="128"/>
      <c r="AT192" s="129"/>
      <c r="AU192" s="114"/>
      <c r="AV192" s="119"/>
      <c r="AW192" s="115"/>
      <c r="AX192" s="107"/>
      <c r="AY192" s="104">
        <f t="shared" si="65"/>
        <v>0</v>
      </c>
      <c r="AZ192" s="105">
        <f ca="1" t="shared" si="66"/>
        <v>-46313</v>
      </c>
    </row>
    <row r="193" s="58" customFormat="1" customHeight="1" spans="1:52">
      <c r="A193" s="70">
        <v>191</v>
      </c>
      <c r="B193" s="70" t="s">
        <v>868</v>
      </c>
      <c r="C193" s="70" t="s">
        <v>264</v>
      </c>
      <c r="D193" s="71" t="s">
        <v>869</v>
      </c>
      <c r="E193" s="130" t="s">
        <v>870</v>
      </c>
      <c r="F193" s="131"/>
      <c r="G193" s="132"/>
      <c r="H193" s="75"/>
      <c r="I193" s="165">
        <v>46032</v>
      </c>
      <c r="J193" s="70">
        <v>3</v>
      </c>
      <c r="K193" s="107" t="s">
        <v>871</v>
      </c>
      <c r="L193" s="104">
        <f t="shared" si="47"/>
        <v>46122</v>
      </c>
      <c r="M193" s="105">
        <f ca="1" t="shared" si="48"/>
        <v>-191</v>
      </c>
      <c r="N193" s="70"/>
      <c r="O193" s="70"/>
      <c r="P193" s="70"/>
      <c r="Q193" s="71"/>
      <c r="R193" s="130"/>
      <c r="S193" s="131"/>
      <c r="T193" s="132"/>
      <c r="U193" s="114"/>
      <c r="V193" s="119"/>
      <c r="W193" s="115"/>
      <c r="X193" s="97"/>
      <c r="Y193" s="104">
        <f t="shared" si="67"/>
        <v>0</v>
      </c>
      <c r="Z193" s="105">
        <f ca="1" t="shared" si="68"/>
        <v>-46313</v>
      </c>
      <c r="AA193" s="70"/>
      <c r="AB193" s="70"/>
      <c r="AC193" s="70"/>
      <c r="AD193" s="71"/>
      <c r="AE193" s="130"/>
      <c r="AF193" s="131"/>
      <c r="AG193" s="132"/>
      <c r="AH193" s="79"/>
      <c r="AI193" s="119"/>
      <c r="AJ193" s="115"/>
      <c r="AK193" s="107"/>
      <c r="AL193" s="104">
        <f t="shared" ref="AL188:AL211" si="69">EDATE(AI193,AJ193)</f>
        <v>0</v>
      </c>
      <c r="AM193" s="105">
        <f ca="1" t="shared" ref="AM188:AM211" si="70">AL193-TODAY()</f>
        <v>-46313</v>
      </c>
      <c r="AN193" s="115"/>
      <c r="AO193" s="115"/>
      <c r="AP193" s="115"/>
      <c r="AQ193" s="93"/>
      <c r="AR193" s="127"/>
      <c r="AS193" s="128"/>
      <c r="AT193" s="129"/>
      <c r="AU193" s="79"/>
      <c r="AV193" s="119"/>
      <c r="AW193" s="115"/>
      <c r="AX193" s="107"/>
      <c r="AY193" s="104">
        <f t="shared" si="65"/>
        <v>0</v>
      </c>
      <c r="AZ193" s="105">
        <f ca="1" t="shared" si="66"/>
        <v>-46313</v>
      </c>
    </row>
    <row r="194" s="58" customFormat="1" customHeight="1" spans="1:52">
      <c r="A194" s="70">
        <v>192</v>
      </c>
      <c r="B194" s="70" t="s">
        <v>872</v>
      </c>
      <c r="C194" s="70" t="s">
        <v>374</v>
      </c>
      <c r="D194" s="71" t="s">
        <v>873</v>
      </c>
      <c r="E194" s="130" t="s">
        <v>874</v>
      </c>
      <c r="F194" s="131"/>
      <c r="G194" s="132"/>
      <c r="H194" s="79" t="s">
        <v>16</v>
      </c>
      <c r="I194" s="165">
        <v>46032</v>
      </c>
      <c r="J194" s="70">
        <v>3</v>
      </c>
      <c r="K194" s="107" t="s">
        <v>875</v>
      </c>
      <c r="L194" s="104">
        <f t="shared" si="47"/>
        <v>46122</v>
      </c>
      <c r="M194" s="105">
        <f ca="1" t="shared" si="48"/>
        <v>-191</v>
      </c>
      <c r="N194" s="70"/>
      <c r="O194" s="70" t="s">
        <v>872</v>
      </c>
      <c r="P194" s="70" t="s">
        <v>374</v>
      </c>
      <c r="Q194" s="71" t="s">
        <v>873</v>
      </c>
      <c r="R194" s="130" t="s">
        <v>874</v>
      </c>
      <c r="S194" s="131"/>
      <c r="T194" s="132"/>
      <c r="U194" s="79" t="s">
        <v>16</v>
      </c>
      <c r="V194" s="119">
        <v>46168</v>
      </c>
      <c r="W194" s="115">
        <v>3</v>
      </c>
      <c r="X194" s="97" t="s">
        <v>876</v>
      </c>
      <c r="Y194" s="104">
        <f t="shared" si="67"/>
        <v>46260</v>
      </c>
      <c r="Z194" s="105">
        <f ca="1" t="shared" si="68"/>
        <v>-53</v>
      </c>
      <c r="AA194" s="70"/>
      <c r="AB194" s="70"/>
      <c r="AC194" s="70"/>
      <c r="AD194" s="71"/>
      <c r="AE194" s="130"/>
      <c r="AF194" s="131"/>
      <c r="AG194" s="132"/>
      <c r="AH194" s="79"/>
      <c r="AI194" s="119"/>
      <c r="AJ194" s="115"/>
      <c r="AK194" s="107"/>
      <c r="AL194" s="104">
        <f t="shared" si="69"/>
        <v>0</v>
      </c>
      <c r="AM194" s="105">
        <f ca="1" t="shared" si="70"/>
        <v>-46313</v>
      </c>
      <c r="AN194" s="115"/>
      <c r="AO194" s="115"/>
      <c r="AP194" s="115"/>
      <c r="AQ194" s="93"/>
      <c r="AR194" s="127"/>
      <c r="AS194" s="128"/>
      <c r="AT194" s="129"/>
      <c r="AU194" s="79"/>
      <c r="AV194" s="119"/>
      <c r="AW194" s="115"/>
      <c r="AX194" s="107"/>
      <c r="AY194" s="104">
        <f t="shared" si="65"/>
        <v>0</v>
      </c>
      <c r="AZ194" s="105">
        <f ca="1" t="shared" si="66"/>
        <v>-46313</v>
      </c>
    </row>
    <row r="195" s="58" customFormat="1" customHeight="1" spans="1:52">
      <c r="A195" s="70">
        <v>193</v>
      </c>
      <c r="B195" s="70" t="s">
        <v>872</v>
      </c>
      <c r="C195" s="70" t="s">
        <v>374</v>
      </c>
      <c r="D195" s="71" t="s">
        <v>877</v>
      </c>
      <c r="E195" s="130" t="s">
        <v>878</v>
      </c>
      <c r="F195" s="131"/>
      <c r="G195" s="132"/>
      <c r="H195" s="75"/>
      <c r="I195" s="165">
        <v>46032</v>
      </c>
      <c r="J195" s="70">
        <v>3</v>
      </c>
      <c r="K195" s="107" t="s">
        <v>879</v>
      </c>
      <c r="L195" s="104">
        <f t="shared" ref="L195:L258" si="71">EDATE(I195,J195)</f>
        <v>46122</v>
      </c>
      <c r="M195" s="105">
        <f ca="1" t="shared" ref="M195:M258" si="72">L195-TODAY()</f>
        <v>-191</v>
      </c>
      <c r="N195" s="70"/>
      <c r="O195" s="70" t="s">
        <v>872</v>
      </c>
      <c r="P195" s="70" t="s">
        <v>374</v>
      </c>
      <c r="Q195" s="71" t="s">
        <v>877</v>
      </c>
      <c r="R195" s="130" t="s">
        <v>878</v>
      </c>
      <c r="S195" s="131"/>
      <c r="T195" s="132"/>
      <c r="U195" s="75"/>
      <c r="V195" s="119">
        <v>46126</v>
      </c>
      <c r="W195" s="115">
        <v>3</v>
      </c>
      <c r="X195" s="97" t="s">
        <v>880</v>
      </c>
      <c r="Y195" s="104">
        <f t="shared" si="67"/>
        <v>46217</v>
      </c>
      <c r="Z195" s="105">
        <f ca="1" t="shared" si="68"/>
        <v>-96</v>
      </c>
      <c r="AA195" s="70"/>
      <c r="AB195" s="70"/>
      <c r="AC195" s="70"/>
      <c r="AD195" s="71"/>
      <c r="AE195" s="130"/>
      <c r="AF195" s="131"/>
      <c r="AG195" s="132"/>
      <c r="AH195" s="79"/>
      <c r="AI195" s="119"/>
      <c r="AJ195" s="115"/>
      <c r="AK195" s="107"/>
      <c r="AL195" s="104">
        <f t="shared" si="69"/>
        <v>0</v>
      </c>
      <c r="AM195" s="105">
        <f ca="1" t="shared" si="70"/>
        <v>-46313</v>
      </c>
      <c r="AN195" s="115"/>
      <c r="AO195" s="115"/>
      <c r="AP195" s="115"/>
      <c r="AQ195" s="93"/>
      <c r="AR195" s="127"/>
      <c r="AS195" s="128"/>
      <c r="AT195" s="129"/>
      <c r="AU195" s="79"/>
      <c r="AV195" s="119"/>
      <c r="AW195" s="115"/>
      <c r="AX195" s="107"/>
      <c r="AY195" s="104">
        <f t="shared" si="65"/>
        <v>0</v>
      </c>
      <c r="AZ195" s="105">
        <f ca="1" t="shared" si="66"/>
        <v>-46313</v>
      </c>
    </row>
    <row r="196" s="58" customFormat="1" customHeight="1" spans="1:52">
      <c r="A196" s="70">
        <v>194</v>
      </c>
      <c r="B196" s="70" t="s">
        <v>881</v>
      </c>
      <c r="C196" s="70" t="s">
        <v>374</v>
      </c>
      <c r="D196" s="71" t="s">
        <v>882</v>
      </c>
      <c r="E196" s="130" t="s">
        <v>883</v>
      </c>
      <c r="F196" s="131"/>
      <c r="G196" s="132"/>
      <c r="H196" s="79" t="s">
        <v>16</v>
      </c>
      <c r="I196" s="165">
        <v>46032</v>
      </c>
      <c r="J196" s="70">
        <v>3</v>
      </c>
      <c r="K196" s="107" t="s">
        <v>884</v>
      </c>
      <c r="L196" s="104">
        <f t="shared" si="71"/>
        <v>46122</v>
      </c>
      <c r="M196" s="105">
        <f ca="1" t="shared" si="72"/>
        <v>-191</v>
      </c>
      <c r="N196" s="70"/>
      <c r="O196" s="70" t="s">
        <v>881</v>
      </c>
      <c r="P196" s="70" t="s">
        <v>374</v>
      </c>
      <c r="Q196" s="71" t="s">
        <v>882</v>
      </c>
      <c r="R196" s="130" t="s">
        <v>883</v>
      </c>
      <c r="S196" s="131"/>
      <c r="T196" s="132"/>
      <c r="U196" s="79" t="s">
        <v>16</v>
      </c>
      <c r="V196" s="119">
        <v>46286</v>
      </c>
      <c r="W196" s="115">
        <v>3</v>
      </c>
      <c r="X196" s="97" t="s">
        <v>885</v>
      </c>
      <c r="Y196" s="104">
        <f t="shared" si="67"/>
        <v>46377</v>
      </c>
      <c r="Z196" s="105">
        <f ca="1" t="shared" si="68"/>
        <v>64</v>
      </c>
      <c r="AA196" s="70"/>
      <c r="AB196" s="115"/>
      <c r="AC196" s="115"/>
      <c r="AD196" s="93"/>
      <c r="AE196" s="127"/>
      <c r="AF196" s="128"/>
      <c r="AG196" s="129"/>
      <c r="AH196" s="79"/>
      <c r="AI196" s="119"/>
      <c r="AJ196" s="115"/>
      <c r="AK196" s="107"/>
      <c r="AL196" s="104">
        <f t="shared" si="69"/>
        <v>0</v>
      </c>
      <c r="AM196" s="105">
        <f ca="1" t="shared" si="70"/>
        <v>-46313</v>
      </c>
      <c r="AN196" s="115"/>
      <c r="AO196" s="115"/>
      <c r="AP196" s="115"/>
      <c r="AQ196" s="93"/>
      <c r="AR196" s="127"/>
      <c r="AS196" s="128"/>
      <c r="AT196" s="129"/>
      <c r="AU196" s="79"/>
      <c r="AV196" s="119"/>
      <c r="AW196" s="115"/>
      <c r="AX196" s="107"/>
      <c r="AY196" s="104">
        <f t="shared" si="65"/>
        <v>0</v>
      </c>
      <c r="AZ196" s="105">
        <f ca="1" t="shared" si="66"/>
        <v>-46313</v>
      </c>
    </row>
    <row r="197" customHeight="1" spans="1:52">
      <c r="A197" s="70">
        <v>195</v>
      </c>
      <c r="B197" s="70" t="s">
        <v>886</v>
      </c>
      <c r="C197" s="70" t="s">
        <v>374</v>
      </c>
      <c r="D197" s="71" t="s">
        <v>887</v>
      </c>
      <c r="E197" s="130" t="s">
        <v>888</v>
      </c>
      <c r="F197" s="131"/>
      <c r="G197" s="132"/>
      <c r="H197" s="79" t="s">
        <v>16</v>
      </c>
      <c r="I197" s="165">
        <v>46032</v>
      </c>
      <c r="J197" s="70">
        <v>3</v>
      </c>
      <c r="K197" s="107" t="s">
        <v>889</v>
      </c>
      <c r="L197" s="104">
        <f t="shared" si="71"/>
        <v>46122</v>
      </c>
      <c r="M197" s="105">
        <f ca="1" t="shared" si="72"/>
        <v>-191</v>
      </c>
      <c r="N197" s="70"/>
      <c r="O197" s="70" t="s">
        <v>886</v>
      </c>
      <c r="P197" s="70" t="s">
        <v>374</v>
      </c>
      <c r="Q197" s="71" t="s">
        <v>887</v>
      </c>
      <c r="R197" s="130" t="s">
        <v>888</v>
      </c>
      <c r="S197" s="131"/>
      <c r="T197" s="132"/>
      <c r="U197" s="79" t="s">
        <v>16</v>
      </c>
      <c r="V197" s="119">
        <v>46127</v>
      </c>
      <c r="W197" s="70">
        <v>3</v>
      </c>
      <c r="X197" s="107" t="s">
        <v>890</v>
      </c>
      <c r="Y197" s="104">
        <f t="shared" si="67"/>
        <v>46218</v>
      </c>
      <c r="Z197" s="105">
        <f ca="1" t="shared" si="68"/>
        <v>-95</v>
      </c>
      <c r="AA197" s="70"/>
      <c r="AB197" s="70" t="s">
        <v>886</v>
      </c>
      <c r="AC197" s="70" t="s">
        <v>374</v>
      </c>
      <c r="AD197" s="71" t="s">
        <v>887</v>
      </c>
      <c r="AE197" s="130" t="s">
        <v>888</v>
      </c>
      <c r="AF197" s="131"/>
      <c r="AG197" s="132"/>
      <c r="AH197" s="79" t="s">
        <v>16</v>
      </c>
      <c r="AI197" s="119">
        <v>46223</v>
      </c>
      <c r="AJ197" s="70">
        <v>3</v>
      </c>
      <c r="AK197" s="107" t="s">
        <v>891</v>
      </c>
      <c r="AL197" s="104">
        <f t="shared" si="69"/>
        <v>46315</v>
      </c>
      <c r="AM197" s="105">
        <f ca="1" t="shared" si="70"/>
        <v>2</v>
      </c>
      <c r="AN197" s="115"/>
      <c r="AO197" s="70" t="s">
        <v>886</v>
      </c>
      <c r="AP197" s="70" t="s">
        <v>374</v>
      </c>
      <c r="AQ197" s="71" t="s">
        <v>887</v>
      </c>
      <c r="AR197" s="130" t="s">
        <v>888</v>
      </c>
      <c r="AS197" s="131"/>
      <c r="AT197" s="132"/>
      <c r="AU197" s="79" t="s">
        <v>16</v>
      </c>
      <c r="AV197" s="119">
        <v>46310</v>
      </c>
      <c r="AW197" s="115">
        <v>3</v>
      </c>
      <c r="AX197" s="107"/>
      <c r="AY197" s="104">
        <f t="shared" si="65"/>
        <v>46402</v>
      </c>
      <c r="AZ197" s="105">
        <f ca="1" t="shared" si="66"/>
        <v>89</v>
      </c>
    </row>
    <row r="198" customHeight="1" spans="1:52">
      <c r="A198" s="70">
        <v>196</v>
      </c>
      <c r="B198" s="70" t="s">
        <v>886</v>
      </c>
      <c r="C198" s="70" t="s">
        <v>374</v>
      </c>
      <c r="D198" s="71" t="s">
        <v>892</v>
      </c>
      <c r="E198" s="130" t="s">
        <v>568</v>
      </c>
      <c r="F198" s="131"/>
      <c r="G198" s="132"/>
      <c r="H198" s="79" t="s">
        <v>16</v>
      </c>
      <c r="I198" s="165">
        <v>46032</v>
      </c>
      <c r="J198" s="70">
        <v>3</v>
      </c>
      <c r="K198" s="107" t="s">
        <v>893</v>
      </c>
      <c r="L198" s="104">
        <f t="shared" si="71"/>
        <v>46122</v>
      </c>
      <c r="M198" s="105">
        <f ca="1" t="shared" si="72"/>
        <v>-191</v>
      </c>
      <c r="N198" s="70"/>
      <c r="O198" s="70"/>
      <c r="P198" s="70"/>
      <c r="Q198" s="71"/>
      <c r="R198" s="130"/>
      <c r="S198" s="131"/>
      <c r="T198" s="132"/>
      <c r="U198" s="79"/>
      <c r="V198" s="119"/>
      <c r="W198" s="70"/>
      <c r="X198" s="107"/>
      <c r="Y198" s="104">
        <f t="shared" si="67"/>
        <v>0</v>
      </c>
      <c r="Z198" s="105">
        <f ca="1" t="shared" si="68"/>
        <v>-46313</v>
      </c>
      <c r="AA198" s="70"/>
      <c r="AB198" s="115"/>
      <c r="AC198" s="115"/>
      <c r="AD198" s="71"/>
      <c r="AE198" s="130"/>
      <c r="AF198" s="131"/>
      <c r="AG198" s="132"/>
      <c r="AH198" s="79"/>
      <c r="AI198" s="119"/>
      <c r="AJ198" s="70"/>
      <c r="AK198" s="107"/>
      <c r="AL198" s="104">
        <f t="shared" si="69"/>
        <v>0</v>
      </c>
      <c r="AM198" s="105">
        <f ca="1" t="shared" si="70"/>
        <v>-46313</v>
      </c>
      <c r="AN198" s="115"/>
      <c r="AO198" s="115"/>
      <c r="AP198" s="115"/>
      <c r="AQ198" s="93"/>
      <c r="AR198" s="127"/>
      <c r="AS198" s="128"/>
      <c r="AT198" s="129"/>
      <c r="AU198" s="79"/>
      <c r="AV198" s="119"/>
      <c r="AW198" s="115"/>
      <c r="AX198" s="107"/>
      <c r="AY198" s="104">
        <f t="shared" si="65"/>
        <v>0</v>
      </c>
      <c r="AZ198" s="105">
        <f ca="1" t="shared" si="66"/>
        <v>-46313</v>
      </c>
    </row>
    <row r="199" customHeight="1" spans="1:52">
      <c r="A199" s="70">
        <v>197</v>
      </c>
      <c r="B199" s="70" t="s">
        <v>782</v>
      </c>
      <c r="C199" s="70" t="s">
        <v>374</v>
      </c>
      <c r="D199" s="71" t="s">
        <v>894</v>
      </c>
      <c r="E199" s="130" t="s">
        <v>548</v>
      </c>
      <c r="F199" s="131"/>
      <c r="G199" s="132"/>
      <c r="H199" s="79" t="s">
        <v>16</v>
      </c>
      <c r="I199" s="165">
        <v>46032</v>
      </c>
      <c r="J199" s="70">
        <v>3</v>
      </c>
      <c r="K199" s="107" t="s">
        <v>895</v>
      </c>
      <c r="L199" s="104">
        <f t="shared" si="71"/>
        <v>46122</v>
      </c>
      <c r="M199" s="105">
        <f ca="1" t="shared" si="72"/>
        <v>-191</v>
      </c>
      <c r="N199" s="70"/>
      <c r="O199" s="70" t="s">
        <v>782</v>
      </c>
      <c r="P199" s="70" t="s">
        <v>374</v>
      </c>
      <c r="Q199" s="71" t="s">
        <v>894</v>
      </c>
      <c r="R199" s="130" t="s">
        <v>548</v>
      </c>
      <c r="S199" s="131"/>
      <c r="T199" s="132"/>
      <c r="U199" s="79" t="s">
        <v>16</v>
      </c>
      <c r="V199" s="119">
        <v>46235</v>
      </c>
      <c r="W199" s="70">
        <v>3</v>
      </c>
      <c r="X199" s="107" t="s">
        <v>896</v>
      </c>
      <c r="Y199" s="104">
        <f t="shared" si="67"/>
        <v>46327</v>
      </c>
      <c r="Z199" s="105">
        <f ca="1" t="shared" si="68"/>
        <v>14</v>
      </c>
      <c r="AA199" s="70"/>
      <c r="AB199" s="115"/>
      <c r="AC199" s="115"/>
      <c r="AD199" s="71"/>
      <c r="AE199" s="71"/>
      <c r="AF199" s="72"/>
      <c r="AG199" s="73"/>
      <c r="AH199" s="79"/>
      <c r="AI199" s="119"/>
      <c r="AJ199" s="70"/>
      <c r="AK199" s="107"/>
      <c r="AL199" s="104">
        <f t="shared" si="69"/>
        <v>0</v>
      </c>
      <c r="AM199" s="105">
        <f ca="1" t="shared" si="70"/>
        <v>-46313</v>
      </c>
      <c r="AN199" s="115"/>
      <c r="AO199" s="115"/>
      <c r="AP199" s="115"/>
      <c r="AQ199" s="93"/>
      <c r="AR199" s="93"/>
      <c r="AS199" s="94"/>
      <c r="AT199" s="95"/>
      <c r="AU199" s="79"/>
      <c r="AV199" s="119"/>
      <c r="AW199" s="115"/>
      <c r="AX199" s="107"/>
      <c r="AY199" s="104">
        <f t="shared" si="65"/>
        <v>0</v>
      </c>
      <c r="AZ199" s="105">
        <f ca="1" t="shared" si="66"/>
        <v>-46313</v>
      </c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897</v>
      </c>
      <c r="E200" s="130" t="s">
        <v>76</v>
      </c>
      <c r="F200" s="131"/>
      <c r="G200" s="132"/>
      <c r="H200" s="79" t="s">
        <v>16</v>
      </c>
      <c r="I200" s="165">
        <v>46033</v>
      </c>
      <c r="J200" s="70">
        <v>3</v>
      </c>
      <c r="K200" s="107" t="s">
        <v>898</v>
      </c>
      <c r="L200" s="104">
        <f t="shared" si="71"/>
        <v>46123</v>
      </c>
      <c r="M200" s="105">
        <f ca="1" t="shared" si="72"/>
        <v>-190</v>
      </c>
      <c r="N200" s="70"/>
      <c r="O200" s="70" t="s">
        <v>12</v>
      </c>
      <c r="P200" s="70" t="s">
        <v>13</v>
      </c>
      <c r="Q200" s="71" t="s">
        <v>897</v>
      </c>
      <c r="R200" s="130" t="s">
        <v>76</v>
      </c>
      <c r="S200" s="131"/>
      <c r="T200" s="132"/>
      <c r="U200" s="79" t="s">
        <v>16</v>
      </c>
      <c r="V200" s="119">
        <v>46122</v>
      </c>
      <c r="W200" s="70">
        <v>3</v>
      </c>
      <c r="X200" s="107" t="s">
        <v>899</v>
      </c>
      <c r="Y200" s="104">
        <f t="shared" si="67"/>
        <v>46213</v>
      </c>
      <c r="Z200" s="105">
        <f ca="1" t="shared" si="68"/>
        <v>-100</v>
      </c>
      <c r="AA200" s="70"/>
      <c r="AB200" s="70" t="s">
        <v>12</v>
      </c>
      <c r="AC200" s="70" t="s">
        <v>13</v>
      </c>
      <c r="AD200" s="71" t="s">
        <v>897</v>
      </c>
      <c r="AE200" s="130" t="s">
        <v>76</v>
      </c>
      <c r="AF200" s="131"/>
      <c r="AG200" s="132"/>
      <c r="AH200" s="79" t="s">
        <v>16</v>
      </c>
      <c r="AI200" s="119">
        <v>46225</v>
      </c>
      <c r="AJ200" s="70">
        <v>3</v>
      </c>
      <c r="AK200" s="107" t="s">
        <v>900</v>
      </c>
      <c r="AL200" s="104">
        <f t="shared" si="69"/>
        <v>46317</v>
      </c>
      <c r="AM200" s="105">
        <f ca="1" t="shared" si="70"/>
        <v>4</v>
      </c>
      <c r="AN200" s="115"/>
      <c r="AO200" s="115"/>
      <c r="AP200" s="115"/>
      <c r="AQ200" s="93"/>
      <c r="AR200" s="93"/>
      <c r="AS200" s="94"/>
      <c r="AT200" s="95"/>
      <c r="AU200" s="79"/>
      <c r="AV200" s="119"/>
      <c r="AW200" s="115"/>
      <c r="AX200" s="107"/>
      <c r="AY200" s="104">
        <f t="shared" ref="AY200:AY208" si="73">EDATE(AV200,AW200)</f>
        <v>0</v>
      </c>
      <c r="AZ200" s="105">
        <f ca="1" t="shared" ref="AZ200:AZ208" si="74">AY200-TODAY()</f>
        <v>-46313</v>
      </c>
    </row>
    <row r="201" customHeight="1" spans="1:52">
      <c r="A201" s="70">
        <v>199</v>
      </c>
      <c r="B201" s="70" t="s">
        <v>12</v>
      </c>
      <c r="C201" s="70" t="s">
        <v>38</v>
      </c>
      <c r="D201" s="71" t="s">
        <v>901</v>
      </c>
      <c r="E201" s="130" t="s">
        <v>902</v>
      </c>
      <c r="F201" s="131"/>
      <c r="G201" s="132"/>
      <c r="H201" s="79" t="s">
        <v>16</v>
      </c>
      <c r="I201" s="165">
        <v>46033</v>
      </c>
      <c r="J201" s="70">
        <v>3</v>
      </c>
      <c r="K201" s="107" t="s">
        <v>903</v>
      </c>
      <c r="L201" s="104">
        <f t="shared" si="71"/>
        <v>46123</v>
      </c>
      <c r="M201" s="105">
        <f ca="1" t="shared" si="72"/>
        <v>-190</v>
      </c>
      <c r="N201" s="70"/>
      <c r="O201" s="70" t="s">
        <v>904</v>
      </c>
      <c r="P201" s="70" t="s">
        <v>38</v>
      </c>
      <c r="Q201" s="71" t="s">
        <v>901</v>
      </c>
      <c r="R201" s="130" t="s">
        <v>902</v>
      </c>
      <c r="S201" s="131"/>
      <c r="T201" s="132"/>
      <c r="U201" s="79" t="s">
        <v>16</v>
      </c>
      <c r="V201" s="119">
        <v>46163</v>
      </c>
      <c r="W201" s="70">
        <v>3</v>
      </c>
      <c r="X201" s="107" t="s">
        <v>905</v>
      </c>
      <c r="Y201" s="104">
        <f t="shared" si="67"/>
        <v>46255</v>
      </c>
      <c r="Z201" s="105">
        <f ca="1" t="shared" si="68"/>
        <v>-58</v>
      </c>
      <c r="AA201" s="70"/>
      <c r="AB201" s="70" t="s">
        <v>12</v>
      </c>
      <c r="AC201" s="70" t="s">
        <v>38</v>
      </c>
      <c r="AD201" s="71" t="s">
        <v>901</v>
      </c>
      <c r="AE201" s="130" t="s">
        <v>902</v>
      </c>
      <c r="AF201" s="131"/>
      <c r="AG201" s="132"/>
      <c r="AH201" s="79" t="s">
        <v>16</v>
      </c>
      <c r="AI201" s="119">
        <v>46252</v>
      </c>
      <c r="AJ201" s="70">
        <v>3</v>
      </c>
      <c r="AK201" s="107" t="s">
        <v>906</v>
      </c>
      <c r="AL201" s="104">
        <f t="shared" si="69"/>
        <v>46344</v>
      </c>
      <c r="AM201" s="105">
        <f ca="1" t="shared" si="70"/>
        <v>31</v>
      </c>
      <c r="AN201" s="115"/>
      <c r="AO201" s="115"/>
      <c r="AP201" s="115"/>
      <c r="AQ201" s="93"/>
      <c r="AR201" s="93"/>
      <c r="AS201" s="94"/>
      <c r="AT201" s="95"/>
      <c r="AU201" s="79"/>
      <c r="AV201" s="119"/>
      <c r="AW201" s="115"/>
      <c r="AX201" s="107"/>
      <c r="AY201" s="104">
        <f t="shared" si="73"/>
        <v>0</v>
      </c>
      <c r="AZ201" s="105">
        <f ca="1" t="shared" si="74"/>
        <v>-46313</v>
      </c>
    </row>
    <row r="202" customHeight="1" spans="1:52">
      <c r="A202" s="70">
        <v>200</v>
      </c>
      <c r="B202" s="70" t="s">
        <v>12</v>
      </c>
      <c r="C202" s="70" t="s">
        <v>38</v>
      </c>
      <c r="D202" s="71" t="s">
        <v>907</v>
      </c>
      <c r="E202" s="130" t="s">
        <v>189</v>
      </c>
      <c r="F202" s="131"/>
      <c r="G202" s="132"/>
      <c r="H202" s="79" t="s">
        <v>16</v>
      </c>
      <c r="I202" s="165">
        <v>46033</v>
      </c>
      <c r="J202" s="70">
        <v>3</v>
      </c>
      <c r="K202" s="107" t="s">
        <v>908</v>
      </c>
      <c r="L202" s="104">
        <f t="shared" si="71"/>
        <v>46123</v>
      </c>
      <c r="M202" s="105">
        <f ca="1" t="shared" si="72"/>
        <v>-190</v>
      </c>
      <c r="N202" s="70"/>
      <c r="O202" s="70" t="s">
        <v>12</v>
      </c>
      <c r="P202" s="70" t="s">
        <v>38</v>
      </c>
      <c r="Q202" s="71" t="s">
        <v>907</v>
      </c>
      <c r="R202" s="130" t="s">
        <v>189</v>
      </c>
      <c r="S202" s="131"/>
      <c r="T202" s="132"/>
      <c r="U202" s="79" t="s">
        <v>16</v>
      </c>
      <c r="V202" s="119">
        <v>46128</v>
      </c>
      <c r="W202" s="70">
        <v>3</v>
      </c>
      <c r="X202" s="107" t="s">
        <v>909</v>
      </c>
      <c r="Y202" s="104">
        <f t="shared" si="67"/>
        <v>46219</v>
      </c>
      <c r="Z202" s="105">
        <f ca="1" t="shared" si="68"/>
        <v>-94</v>
      </c>
      <c r="AA202" s="70"/>
      <c r="AB202" s="70" t="s">
        <v>12</v>
      </c>
      <c r="AC202" s="70" t="s">
        <v>38</v>
      </c>
      <c r="AD202" s="71" t="s">
        <v>907</v>
      </c>
      <c r="AE202" s="130" t="s">
        <v>189</v>
      </c>
      <c r="AF202" s="131"/>
      <c r="AG202" s="132"/>
      <c r="AH202" s="79" t="s">
        <v>16</v>
      </c>
      <c r="AI202" s="119">
        <v>46225</v>
      </c>
      <c r="AJ202" s="70">
        <v>3</v>
      </c>
      <c r="AK202" s="107" t="s">
        <v>910</v>
      </c>
      <c r="AL202" s="104">
        <f t="shared" si="69"/>
        <v>46317</v>
      </c>
      <c r="AM202" s="105">
        <f ca="1" t="shared" si="70"/>
        <v>4</v>
      </c>
      <c r="AN202" s="115"/>
      <c r="AO202" s="70"/>
      <c r="AP202" s="70"/>
      <c r="AQ202" s="71"/>
      <c r="AR202" s="130"/>
      <c r="AS202" s="131"/>
      <c r="AT202" s="132"/>
      <c r="AU202" s="79"/>
      <c r="AV202" s="119"/>
      <c r="AW202" s="115"/>
      <c r="AX202" s="107"/>
      <c r="AY202" s="104">
        <f t="shared" si="73"/>
        <v>0</v>
      </c>
      <c r="AZ202" s="105">
        <f ca="1" t="shared" si="74"/>
        <v>-46313</v>
      </c>
    </row>
    <row r="203" customHeight="1" spans="1:52">
      <c r="A203" s="70">
        <v>201</v>
      </c>
      <c r="B203" s="70" t="s">
        <v>12</v>
      </c>
      <c r="C203" s="70" t="s">
        <v>38</v>
      </c>
      <c r="D203" s="71" t="s">
        <v>911</v>
      </c>
      <c r="E203" s="130" t="s">
        <v>912</v>
      </c>
      <c r="F203" s="131"/>
      <c r="G203" s="132"/>
      <c r="H203" s="79" t="s">
        <v>16</v>
      </c>
      <c r="I203" s="165">
        <v>46033</v>
      </c>
      <c r="J203" s="70">
        <v>3</v>
      </c>
      <c r="K203" s="107" t="s">
        <v>913</v>
      </c>
      <c r="L203" s="104">
        <f t="shared" si="71"/>
        <v>46123</v>
      </c>
      <c r="M203" s="105">
        <f ca="1" t="shared" si="72"/>
        <v>-190</v>
      </c>
      <c r="N203" s="70"/>
      <c r="O203" s="70" t="s">
        <v>12</v>
      </c>
      <c r="P203" s="70" t="s">
        <v>38</v>
      </c>
      <c r="Q203" s="71" t="s">
        <v>911</v>
      </c>
      <c r="R203" s="130" t="s">
        <v>912</v>
      </c>
      <c r="S203" s="131"/>
      <c r="T203" s="132"/>
      <c r="U203" s="79" t="s">
        <v>16</v>
      </c>
      <c r="V203" s="119">
        <v>46122</v>
      </c>
      <c r="W203" s="70">
        <v>3</v>
      </c>
      <c r="X203" s="107" t="s">
        <v>914</v>
      </c>
      <c r="Y203" s="104">
        <f t="shared" si="67"/>
        <v>46213</v>
      </c>
      <c r="Z203" s="105">
        <f ca="1" t="shared" si="68"/>
        <v>-100</v>
      </c>
      <c r="AA203" s="70"/>
      <c r="AB203" s="70" t="s">
        <v>12</v>
      </c>
      <c r="AC203" s="70" t="s">
        <v>38</v>
      </c>
      <c r="AD203" s="71" t="s">
        <v>911</v>
      </c>
      <c r="AE203" s="130" t="s">
        <v>912</v>
      </c>
      <c r="AF203" s="131"/>
      <c r="AG203" s="132"/>
      <c r="AH203" s="79" t="s">
        <v>16</v>
      </c>
      <c r="AI203" s="119">
        <v>46222</v>
      </c>
      <c r="AJ203" s="70">
        <v>3</v>
      </c>
      <c r="AK203" s="107" t="s">
        <v>915</v>
      </c>
      <c r="AL203" s="104">
        <f t="shared" si="69"/>
        <v>46314</v>
      </c>
      <c r="AM203" s="105">
        <f ca="1" t="shared" si="70"/>
        <v>1</v>
      </c>
      <c r="AN203" s="115"/>
      <c r="AO203" s="70" t="s">
        <v>12</v>
      </c>
      <c r="AP203" s="70" t="s">
        <v>38</v>
      </c>
      <c r="AQ203" s="71" t="s">
        <v>911</v>
      </c>
      <c r="AR203" s="130" t="s">
        <v>912</v>
      </c>
      <c r="AS203" s="131"/>
      <c r="AT203" s="132"/>
      <c r="AU203" s="79" t="s">
        <v>16</v>
      </c>
      <c r="AV203" s="119">
        <v>46305</v>
      </c>
      <c r="AW203" s="115">
        <v>3</v>
      </c>
      <c r="AX203" s="107"/>
      <c r="AY203" s="104">
        <f t="shared" si="73"/>
        <v>46397</v>
      </c>
      <c r="AZ203" s="105">
        <f ca="1" t="shared" si="74"/>
        <v>84</v>
      </c>
    </row>
    <row r="204" customHeight="1" spans="1:52">
      <c r="A204" s="70">
        <v>202</v>
      </c>
      <c r="B204" s="70" t="s">
        <v>844</v>
      </c>
      <c r="C204" s="70" t="s">
        <v>13</v>
      </c>
      <c r="D204" s="71" t="s">
        <v>916</v>
      </c>
      <c r="E204" s="130" t="s">
        <v>45</v>
      </c>
      <c r="F204" s="131"/>
      <c r="G204" s="132"/>
      <c r="H204" s="75"/>
      <c r="I204" s="165">
        <v>46033</v>
      </c>
      <c r="J204" s="70">
        <v>3</v>
      </c>
      <c r="K204" s="107" t="s">
        <v>917</v>
      </c>
      <c r="L204" s="104">
        <f t="shared" si="71"/>
        <v>46123</v>
      </c>
      <c r="M204" s="105">
        <f ca="1" t="shared" si="72"/>
        <v>-190</v>
      </c>
      <c r="N204" s="70"/>
      <c r="O204" s="70" t="s">
        <v>844</v>
      </c>
      <c r="P204" s="70" t="s">
        <v>13</v>
      </c>
      <c r="Q204" s="71" t="s">
        <v>916</v>
      </c>
      <c r="R204" s="130" t="s">
        <v>45</v>
      </c>
      <c r="S204" s="131"/>
      <c r="T204" s="132"/>
      <c r="U204" s="75"/>
      <c r="V204" s="119">
        <v>46129</v>
      </c>
      <c r="W204" s="70">
        <v>3</v>
      </c>
      <c r="X204" s="107" t="s">
        <v>918</v>
      </c>
      <c r="Y204" s="104">
        <f t="shared" si="67"/>
        <v>46220</v>
      </c>
      <c r="Z204" s="105">
        <f ca="1" t="shared" si="68"/>
        <v>-93</v>
      </c>
      <c r="AA204" s="70"/>
      <c r="AB204" s="70" t="s">
        <v>844</v>
      </c>
      <c r="AC204" s="70" t="s">
        <v>13</v>
      </c>
      <c r="AD204" s="71" t="s">
        <v>916</v>
      </c>
      <c r="AE204" s="130" t="s">
        <v>45</v>
      </c>
      <c r="AF204" s="131"/>
      <c r="AG204" s="132"/>
      <c r="AH204" s="75"/>
      <c r="AI204" s="119">
        <v>46289</v>
      </c>
      <c r="AJ204" s="70">
        <v>3</v>
      </c>
      <c r="AK204" s="107" t="s">
        <v>919</v>
      </c>
      <c r="AL204" s="104">
        <f t="shared" si="69"/>
        <v>46380</v>
      </c>
      <c r="AM204" s="105">
        <f ca="1" t="shared" si="70"/>
        <v>67</v>
      </c>
      <c r="AN204" s="115"/>
      <c r="AO204" s="70"/>
      <c r="AP204" s="70"/>
      <c r="AQ204" s="71"/>
      <c r="AR204" s="130"/>
      <c r="AS204" s="131"/>
      <c r="AT204" s="132"/>
      <c r="AU204" s="79"/>
      <c r="AV204" s="119"/>
      <c r="AW204" s="115"/>
      <c r="AX204" s="107"/>
      <c r="AY204" s="104">
        <f t="shared" si="73"/>
        <v>0</v>
      </c>
      <c r="AZ204" s="105">
        <f ca="1" t="shared" si="74"/>
        <v>-46313</v>
      </c>
    </row>
    <row r="205" customHeight="1" spans="1:52">
      <c r="A205" s="70">
        <v>203</v>
      </c>
      <c r="B205" s="70" t="s">
        <v>844</v>
      </c>
      <c r="C205" s="70" t="s">
        <v>13</v>
      </c>
      <c r="D205" s="71" t="s">
        <v>920</v>
      </c>
      <c r="E205" s="130" t="s">
        <v>45</v>
      </c>
      <c r="F205" s="131"/>
      <c r="G205" s="132"/>
      <c r="H205" s="75"/>
      <c r="I205" s="165">
        <v>46033</v>
      </c>
      <c r="J205" s="70">
        <v>3</v>
      </c>
      <c r="K205" s="107" t="s">
        <v>921</v>
      </c>
      <c r="L205" s="104">
        <f t="shared" si="71"/>
        <v>46123</v>
      </c>
      <c r="M205" s="105">
        <f ca="1" t="shared" si="72"/>
        <v>-190</v>
      </c>
      <c r="N205" s="70"/>
      <c r="O205" s="70"/>
      <c r="P205" s="70"/>
      <c r="Q205" s="71"/>
      <c r="R205" s="130"/>
      <c r="S205" s="131"/>
      <c r="T205" s="132"/>
      <c r="U205" s="114"/>
      <c r="V205" s="119"/>
      <c r="W205" s="70"/>
      <c r="X205" s="107"/>
      <c r="Y205" s="104">
        <f t="shared" si="67"/>
        <v>0</v>
      </c>
      <c r="Z205" s="105">
        <f ca="1" t="shared" si="68"/>
        <v>-46313</v>
      </c>
      <c r="AA205" s="70"/>
      <c r="AB205" s="70"/>
      <c r="AC205" s="70"/>
      <c r="AD205" s="71"/>
      <c r="AE205" s="130"/>
      <c r="AF205" s="131"/>
      <c r="AG205" s="132"/>
      <c r="AH205" s="114"/>
      <c r="AI205" s="119"/>
      <c r="AJ205" s="70"/>
      <c r="AK205" s="114"/>
      <c r="AL205" s="104">
        <f t="shared" si="69"/>
        <v>0</v>
      </c>
      <c r="AM205" s="105">
        <f ca="1" t="shared" si="70"/>
        <v>-46313</v>
      </c>
      <c r="AN205" s="115"/>
      <c r="AO205" s="70"/>
      <c r="AP205" s="70"/>
      <c r="AQ205" s="71"/>
      <c r="AR205" s="130"/>
      <c r="AS205" s="131"/>
      <c r="AT205" s="132"/>
      <c r="AU205" s="114"/>
      <c r="AV205" s="119"/>
      <c r="AW205" s="115"/>
      <c r="AX205" s="107"/>
      <c r="AY205" s="104">
        <f t="shared" si="73"/>
        <v>0</v>
      </c>
      <c r="AZ205" s="105">
        <f ca="1" t="shared" si="74"/>
        <v>-46313</v>
      </c>
    </row>
    <row r="206" customHeight="1" spans="1:52">
      <c r="A206" s="70">
        <v>204</v>
      </c>
      <c r="B206" s="70" t="s">
        <v>721</v>
      </c>
      <c r="C206" s="70" t="s">
        <v>38</v>
      </c>
      <c r="D206" s="71" t="s">
        <v>922</v>
      </c>
      <c r="E206" s="130" t="s">
        <v>526</v>
      </c>
      <c r="F206" s="131"/>
      <c r="G206" s="132"/>
      <c r="H206" s="76" t="s">
        <v>16</v>
      </c>
      <c r="I206" s="165">
        <v>46033</v>
      </c>
      <c r="J206" s="70">
        <v>3</v>
      </c>
      <c r="K206" s="107" t="s">
        <v>923</v>
      </c>
      <c r="L206" s="104">
        <f t="shared" si="71"/>
        <v>46123</v>
      </c>
      <c r="M206" s="105">
        <f ca="1" t="shared" si="72"/>
        <v>-190</v>
      </c>
      <c r="N206" s="70"/>
      <c r="O206" s="70" t="s">
        <v>721</v>
      </c>
      <c r="P206" s="70" t="s">
        <v>38</v>
      </c>
      <c r="Q206" s="71" t="s">
        <v>922</v>
      </c>
      <c r="R206" s="130" t="s">
        <v>526</v>
      </c>
      <c r="S206" s="131"/>
      <c r="T206" s="132"/>
      <c r="U206" s="76" t="s">
        <v>16</v>
      </c>
      <c r="V206" s="119">
        <v>46171</v>
      </c>
      <c r="W206" s="70">
        <v>3</v>
      </c>
      <c r="X206" s="97" t="s">
        <v>924</v>
      </c>
      <c r="Y206" s="104">
        <f t="shared" si="67"/>
        <v>46263</v>
      </c>
      <c r="Z206" s="105">
        <f ca="1" t="shared" si="68"/>
        <v>-50</v>
      </c>
      <c r="AA206" s="70"/>
      <c r="AB206" s="70" t="s">
        <v>721</v>
      </c>
      <c r="AC206" s="70" t="s">
        <v>38</v>
      </c>
      <c r="AD206" s="71" t="s">
        <v>922</v>
      </c>
      <c r="AE206" s="130" t="s">
        <v>526</v>
      </c>
      <c r="AF206" s="131"/>
      <c r="AG206" s="132"/>
      <c r="AH206" s="76" t="s">
        <v>16</v>
      </c>
      <c r="AI206" s="119">
        <v>46253</v>
      </c>
      <c r="AJ206" s="70">
        <v>3</v>
      </c>
      <c r="AK206" s="114" t="s">
        <v>925</v>
      </c>
      <c r="AL206" s="104">
        <f t="shared" si="69"/>
        <v>46345</v>
      </c>
      <c r="AM206" s="105">
        <f ca="1" t="shared" si="70"/>
        <v>32</v>
      </c>
      <c r="AN206" s="115"/>
      <c r="AO206" s="70"/>
      <c r="AP206" s="70"/>
      <c r="AQ206" s="71"/>
      <c r="AR206" s="130"/>
      <c r="AS206" s="131"/>
      <c r="AT206" s="132"/>
      <c r="AU206" s="114"/>
      <c r="AV206" s="119"/>
      <c r="AW206" s="115"/>
      <c r="AX206" s="107"/>
      <c r="AY206" s="104">
        <f t="shared" si="73"/>
        <v>0</v>
      </c>
      <c r="AZ206" s="105">
        <f ca="1" t="shared" si="74"/>
        <v>-46313</v>
      </c>
    </row>
    <row r="207" customHeight="1" spans="1:52">
      <c r="A207" s="70">
        <v>205</v>
      </c>
      <c r="B207" s="70" t="s">
        <v>721</v>
      </c>
      <c r="C207" s="70" t="s">
        <v>38</v>
      </c>
      <c r="D207" s="71" t="s">
        <v>926</v>
      </c>
      <c r="E207" s="130" t="s">
        <v>69</v>
      </c>
      <c r="F207" s="131"/>
      <c r="G207" s="132"/>
      <c r="H207" s="76" t="s">
        <v>16</v>
      </c>
      <c r="I207" s="165">
        <v>46033</v>
      </c>
      <c r="J207" s="70">
        <v>3</v>
      </c>
      <c r="K207" s="107" t="s">
        <v>927</v>
      </c>
      <c r="L207" s="104">
        <f t="shared" si="71"/>
        <v>46123</v>
      </c>
      <c r="M207" s="105">
        <f ca="1" t="shared" si="72"/>
        <v>-190</v>
      </c>
      <c r="N207" s="70"/>
      <c r="O207" s="70"/>
      <c r="P207" s="70"/>
      <c r="Q207" s="71"/>
      <c r="R207" s="130"/>
      <c r="S207" s="131"/>
      <c r="T207" s="132"/>
      <c r="U207" s="76"/>
      <c r="V207" s="119"/>
      <c r="W207" s="70"/>
      <c r="X207" s="97"/>
      <c r="Y207" s="104">
        <f t="shared" si="67"/>
        <v>0</v>
      </c>
      <c r="Z207" s="105">
        <f ca="1" t="shared" si="68"/>
        <v>-46313</v>
      </c>
      <c r="AA207" s="70"/>
      <c r="AB207" s="70"/>
      <c r="AC207" s="70"/>
      <c r="AD207" s="71"/>
      <c r="AE207" s="130"/>
      <c r="AF207" s="131"/>
      <c r="AG207" s="132"/>
      <c r="AH207" s="76"/>
      <c r="AI207" s="119"/>
      <c r="AJ207" s="70"/>
      <c r="AK207" s="114"/>
      <c r="AL207" s="104">
        <f t="shared" si="69"/>
        <v>0</v>
      </c>
      <c r="AM207" s="105">
        <f ca="1" t="shared" si="70"/>
        <v>-46313</v>
      </c>
      <c r="AN207" s="115"/>
      <c r="AO207" s="70"/>
      <c r="AP207" s="70"/>
      <c r="AQ207" s="71"/>
      <c r="AR207" s="130"/>
      <c r="AS207" s="131"/>
      <c r="AT207" s="132"/>
      <c r="AU207" s="76"/>
      <c r="AV207" s="119"/>
      <c r="AW207" s="115"/>
      <c r="AX207" s="107"/>
      <c r="AY207" s="104">
        <f t="shared" si="73"/>
        <v>0</v>
      </c>
      <c r="AZ207" s="105">
        <f ca="1" t="shared" si="74"/>
        <v>-46313</v>
      </c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928</v>
      </c>
      <c r="E208" s="130" t="s">
        <v>23</v>
      </c>
      <c r="F208" s="131"/>
      <c r="G208" s="132"/>
      <c r="H208" s="76" t="s">
        <v>16</v>
      </c>
      <c r="I208" s="165">
        <v>46034</v>
      </c>
      <c r="J208" s="70">
        <v>3</v>
      </c>
      <c r="K208" s="107" t="s">
        <v>929</v>
      </c>
      <c r="L208" s="104">
        <f t="shared" si="71"/>
        <v>46124</v>
      </c>
      <c r="M208" s="105">
        <f ca="1" t="shared" si="72"/>
        <v>-189</v>
      </c>
      <c r="N208" s="70"/>
      <c r="O208" s="70" t="s">
        <v>12</v>
      </c>
      <c r="P208" s="70" t="s">
        <v>13</v>
      </c>
      <c r="Q208" s="71" t="s">
        <v>928</v>
      </c>
      <c r="R208" s="130" t="s">
        <v>23</v>
      </c>
      <c r="S208" s="131"/>
      <c r="T208" s="132"/>
      <c r="U208" s="76" t="s">
        <v>16</v>
      </c>
      <c r="V208" s="119">
        <v>46122</v>
      </c>
      <c r="W208" s="70">
        <v>3</v>
      </c>
      <c r="X208" s="97" t="s">
        <v>930</v>
      </c>
      <c r="Y208" s="104">
        <f t="shared" si="67"/>
        <v>46213</v>
      </c>
      <c r="Z208" s="105">
        <f ca="1" t="shared" si="68"/>
        <v>-100</v>
      </c>
      <c r="AA208" s="70"/>
      <c r="AB208" s="70" t="s">
        <v>12</v>
      </c>
      <c r="AC208" s="70" t="s">
        <v>13</v>
      </c>
      <c r="AD208" s="71" t="s">
        <v>928</v>
      </c>
      <c r="AE208" s="130" t="s">
        <v>23</v>
      </c>
      <c r="AF208" s="131"/>
      <c r="AG208" s="132"/>
      <c r="AH208" s="76" t="s">
        <v>16</v>
      </c>
      <c r="AI208" s="119">
        <v>46232</v>
      </c>
      <c r="AJ208" s="70">
        <v>3</v>
      </c>
      <c r="AK208" s="114" t="s">
        <v>931</v>
      </c>
      <c r="AL208" s="104">
        <f t="shared" si="69"/>
        <v>46324</v>
      </c>
      <c r="AM208" s="105">
        <f ca="1" t="shared" si="70"/>
        <v>11</v>
      </c>
      <c r="AN208" s="115"/>
      <c r="AO208" s="70"/>
      <c r="AP208" s="70"/>
      <c r="AQ208" s="71"/>
      <c r="AR208" s="130"/>
      <c r="AS208" s="131"/>
      <c r="AT208" s="132"/>
      <c r="AU208" s="114"/>
      <c r="AV208" s="119"/>
      <c r="AW208" s="115"/>
      <c r="AX208" s="107"/>
      <c r="AY208" s="104">
        <f t="shared" si="73"/>
        <v>0</v>
      </c>
      <c r="AZ208" s="105">
        <f ca="1" t="shared" si="74"/>
        <v>-46313</v>
      </c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932</v>
      </c>
      <c r="E209" s="130" t="s">
        <v>933</v>
      </c>
      <c r="F209" s="131"/>
      <c r="G209" s="132"/>
      <c r="H209" s="76" t="s">
        <v>16</v>
      </c>
      <c r="I209" s="165">
        <v>46034</v>
      </c>
      <c r="J209" s="70">
        <v>3</v>
      </c>
      <c r="K209" s="107" t="s">
        <v>934</v>
      </c>
      <c r="L209" s="104">
        <f t="shared" si="71"/>
        <v>46124</v>
      </c>
      <c r="M209" s="105">
        <f ca="1" t="shared" si="72"/>
        <v>-189</v>
      </c>
      <c r="N209" s="70"/>
      <c r="O209" s="70" t="s">
        <v>12</v>
      </c>
      <c r="P209" s="70" t="s">
        <v>13</v>
      </c>
      <c r="Q209" s="71" t="s">
        <v>932</v>
      </c>
      <c r="R209" s="130" t="s">
        <v>933</v>
      </c>
      <c r="S209" s="131"/>
      <c r="T209" s="132"/>
      <c r="U209" s="76" t="s">
        <v>16</v>
      </c>
      <c r="V209" s="119">
        <v>46157</v>
      </c>
      <c r="W209" s="70">
        <v>3</v>
      </c>
      <c r="X209" s="103" t="s">
        <v>935</v>
      </c>
      <c r="Y209" s="104">
        <f t="shared" si="67"/>
        <v>46249</v>
      </c>
      <c r="Z209" s="105">
        <f ca="1" t="shared" si="68"/>
        <v>-64</v>
      </c>
      <c r="AA209" s="70"/>
      <c r="AB209" s="70" t="s">
        <v>12</v>
      </c>
      <c r="AC209" s="70" t="s">
        <v>13</v>
      </c>
      <c r="AD209" s="71" t="s">
        <v>932</v>
      </c>
      <c r="AE209" s="130" t="s">
        <v>933</v>
      </c>
      <c r="AF209" s="131"/>
      <c r="AG209" s="132"/>
      <c r="AH209" s="76" t="s">
        <v>16</v>
      </c>
      <c r="AI209" s="119">
        <v>46238</v>
      </c>
      <c r="AJ209" s="70">
        <v>3</v>
      </c>
      <c r="AK209" s="103" t="s">
        <v>936</v>
      </c>
      <c r="AL209" s="104">
        <f t="shared" si="69"/>
        <v>46330</v>
      </c>
      <c r="AM209" s="105">
        <f ca="1" t="shared" si="70"/>
        <v>17</v>
      </c>
      <c r="AN209" s="115"/>
      <c r="AO209" s="70"/>
      <c r="AP209" s="70"/>
      <c r="AQ209" s="71"/>
      <c r="AR209" s="130"/>
      <c r="AS209" s="131"/>
      <c r="AT209" s="132"/>
      <c r="AU209" s="151"/>
      <c r="AV209" s="119"/>
      <c r="AW209" s="115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38</v>
      </c>
      <c r="D210" s="71" t="s">
        <v>937</v>
      </c>
      <c r="E210" s="130" t="s">
        <v>189</v>
      </c>
      <c r="F210" s="131"/>
      <c r="G210" s="132"/>
      <c r="H210" s="76" t="s">
        <v>16</v>
      </c>
      <c r="I210" s="165">
        <v>46034</v>
      </c>
      <c r="J210" s="70">
        <v>3</v>
      </c>
      <c r="K210" s="107" t="s">
        <v>938</v>
      </c>
      <c r="L210" s="104">
        <f t="shared" si="71"/>
        <v>46124</v>
      </c>
      <c r="M210" s="105">
        <f ca="1" t="shared" si="72"/>
        <v>-189</v>
      </c>
      <c r="N210" s="70"/>
      <c r="O210" s="70" t="s">
        <v>12</v>
      </c>
      <c r="P210" s="70" t="s">
        <v>38</v>
      </c>
      <c r="Q210" s="71" t="s">
        <v>937</v>
      </c>
      <c r="R210" s="130" t="s">
        <v>189</v>
      </c>
      <c r="S210" s="131"/>
      <c r="T210" s="132"/>
      <c r="U210" s="76" t="s">
        <v>16</v>
      </c>
      <c r="V210" s="119">
        <v>46189</v>
      </c>
      <c r="W210" s="70">
        <v>3</v>
      </c>
      <c r="X210" s="103" t="s">
        <v>939</v>
      </c>
      <c r="Y210" s="104">
        <f t="shared" si="67"/>
        <v>46281</v>
      </c>
      <c r="Z210" s="105">
        <f ca="1" t="shared" si="68"/>
        <v>-32</v>
      </c>
      <c r="AA210" s="70"/>
      <c r="AB210" s="70" t="s">
        <v>12</v>
      </c>
      <c r="AC210" s="70" t="s">
        <v>38</v>
      </c>
      <c r="AD210" s="71" t="s">
        <v>937</v>
      </c>
      <c r="AE210" s="130" t="s">
        <v>189</v>
      </c>
      <c r="AF210" s="131"/>
      <c r="AG210" s="132"/>
      <c r="AH210" s="76" t="s">
        <v>16</v>
      </c>
      <c r="AI210" s="119">
        <v>46276</v>
      </c>
      <c r="AJ210" s="70">
        <v>3</v>
      </c>
      <c r="AK210" s="103" t="s">
        <v>940</v>
      </c>
      <c r="AL210" s="104">
        <f t="shared" si="69"/>
        <v>46367</v>
      </c>
      <c r="AM210" s="105">
        <f ca="1" t="shared" si="70"/>
        <v>54</v>
      </c>
      <c r="AN210" s="115"/>
      <c r="AO210" s="115"/>
      <c r="AP210" s="115"/>
      <c r="AQ210" s="93"/>
      <c r="AR210" s="127"/>
      <c r="AS210" s="128"/>
      <c r="AT210" s="129"/>
      <c r="AU210" s="114"/>
      <c r="AV210" s="119"/>
      <c r="AW210" s="115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941</v>
      </c>
      <c r="E211" s="130" t="s">
        <v>853</v>
      </c>
      <c r="F211" s="131"/>
      <c r="G211" s="132"/>
      <c r="H211" s="76" t="s">
        <v>16</v>
      </c>
      <c r="I211" s="165">
        <v>46034</v>
      </c>
      <c r="J211" s="70">
        <v>3</v>
      </c>
      <c r="K211" s="107" t="s">
        <v>942</v>
      </c>
      <c r="L211" s="104">
        <f t="shared" si="71"/>
        <v>46124</v>
      </c>
      <c r="M211" s="105">
        <f ca="1" t="shared" si="72"/>
        <v>-189</v>
      </c>
      <c r="N211" s="70"/>
      <c r="O211" s="70" t="s">
        <v>12</v>
      </c>
      <c r="P211" s="70" t="s">
        <v>13</v>
      </c>
      <c r="Q211" s="71" t="s">
        <v>941</v>
      </c>
      <c r="R211" s="130" t="s">
        <v>853</v>
      </c>
      <c r="S211" s="131"/>
      <c r="T211" s="132"/>
      <c r="U211" s="76" t="s">
        <v>16</v>
      </c>
      <c r="V211" s="119">
        <v>46147</v>
      </c>
      <c r="W211" s="70">
        <v>3</v>
      </c>
      <c r="X211" s="103" t="s">
        <v>943</v>
      </c>
      <c r="Y211" s="104">
        <f t="shared" si="67"/>
        <v>46239</v>
      </c>
      <c r="Z211" s="105">
        <f ca="1" t="shared" si="68"/>
        <v>-74</v>
      </c>
      <c r="AA211" s="70"/>
      <c r="AB211" s="70" t="s">
        <v>12</v>
      </c>
      <c r="AC211" s="70" t="s">
        <v>13</v>
      </c>
      <c r="AD211" s="71" t="s">
        <v>941</v>
      </c>
      <c r="AE211" s="130" t="s">
        <v>853</v>
      </c>
      <c r="AF211" s="131"/>
      <c r="AG211" s="132"/>
      <c r="AH211" s="76" t="s">
        <v>16</v>
      </c>
      <c r="AI211" s="119">
        <v>46260</v>
      </c>
      <c r="AJ211" s="70">
        <v>3</v>
      </c>
      <c r="AK211" s="103" t="s">
        <v>944</v>
      </c>
      <c r="AL211" s="104">
        <f t="shared" si="69"/>
        <v>46352</v>
      </c>
      <c r="AM211" s="105">
        <f ca="1" t="shared" si="70"/>
        <v>39</v>
      </c>
      <c r="AN211" s="115"/>
      <c r="AO211" s="70"/>
      <c r="AP211" s="70"/>
      <c r="AQ211" s="71"/>
      <c r="AR211" s="130"/>
      <c r="AS211" s="131"/>
      <c r="AT211" s="132"/>
      <c r="AU211" s="114"/>
      <c r="AV211" s="119"/>
      <c r="AW211" s="115"/>
      <c r="AX211" s="106"/>
      <c r="AY211" s="104"/>
      <c r="AZ211" s="105"/>
    </row>
    <row r="212" customHeight="1" spans="1:52">
      <c r="A212" s="70">
        <v>210</v>
      </c>
      <c r="B212" s="70" t="s">
        <v>229</v>
      </c>
      <c r="C212" s="70" t="s">
        <v>38</v>
      </c>
      <c r="D212" s="71" t="s">
        <v>945</v>
      </c>
      <c r="E212" s="130" t="s">
        <v>189</v>
      </c>
      <c r="F212" s="131"/>
      <c r="G212" s="132"/>
      <c r="H212" s="151"/>
      <c r="I212" s="165">
        <v>46034</v>
      </c>
      <c r="J212" s="70">
        <v>3</v>
      </c>
      <c r="K212" s="107" t="s">
        <v>946</v>
      </c>
      <c r="L212" s="104">
        <f t="shared" si="71"/>
        <v>46124</v>
      </c>
      <c r="M212" s="105">
        <f ca="1" t="shared" si="72"/>
        <v>-189</v>
      </c>
      <c r="N212" s="70"/>
      <c r="O212" s="70" t="s">
        <v>229</v>
      </c>
      <c r="P212" s="70" t="s">
        <v>38</v>
      </c>
      <c r="Q212" s="71" t="s">
        <v>945</v>
      </c>
      <c r="R212" s="130" t="s">
        <v>189</v>
      </c>
      <c r="S212" s="131"/>
      <c r="T212" s="132"/>
      <c r="U212" s="151" t="s">
        <v>434</v>
      </c>
      <c r="V212" s="119">
        <v>46121</v>
      </c>
      <c r="W212" s="70">
        <v>3</v>
      </c>
      <c r="X212" s="103" t="s">
        <v>947</v>
      </c>
      <c r="Y212" s="104">
        <f t="shared" si="67"/>
        <v>46212</v>
      </c>
      <c r="Z212" s="105">
        <f ca="1" t="shared" si="68"/>
        <v>-101</v>
      </c>
      <c r="AA212" s="70"/>
      <c r="AB212" s="70" t="s">
        <v>229</v>
      </c>
      <c r="AC212" s="70" t="s">
        <v>38</v>
      </c>
      <c r="AD212" s="71" t="s">
        <v>945</v>
      </c>
      <c r="AE212" s="130" t="s">
        <v>189</v>
      </c>
      <c r="AF212" s="131"/>
      <c r="AG212" s="132"/>
      <c r="AH212" s="151" t="s">
        <v>434</v>
      </c>
      <c r="AI212" s="119">
        <v>46200</v>
      </c>
      <c r="AJ212" s="70">
        <v>3</v>
      </c>
      <c r="AK212" s="103" t="s">
        <v>948</v>
      </c>
      <c r="AL212" s="104">
        <f t="shared" ref="AL202:AL235" si="75">EDATE(AI212,AJ212)</f>
        <v>46292</v>
      </c>
      <c r="AM212" s="105">
        <f ca="1" t="shared" ref="AM202:AM235" si="76">AL212-TODAY()</f>
        <v>-21</v>
      </c>
      <c r="AN212" s="115"/>
      <c r="AO212" s="70" t="s">
        <v>229</v>
      </c>
      <c r="AP212" s="70" t="s">
        <v>38</v>
      </c>
      <c r="AQ212" s="71" t="s">
        <v>945</v>
      </c>
      <c r="AR212" s="130" t="s">
        <v>189</v>
      </c>
      <c r="AS212" s="131"/>
      <c r="AT212" s="132"/>
      <c r="AU212" s="151" t="s">
        <v>434</v>
      </c>
      <c r="AV212" s="119">
        <v>46303</v>
      </c>
      <c r="AW212" s="115">
        <v>3</v>
      </c>
      <c r="AX212" s="106" t="s">
        <v>949</v>
      </c>
      <c r="AY212" s="104">
        <f t="shared" ref="AY212:AY219" si="77">EDATE(AV212,AW212)</f>
        <v>46395</v>
      </c>
      <c r="AZ212" s="105">
        <f ca="1" t="shared" ref="AZ212:AZ219" si="78">AY212-TODAY()</f>
        <v>82</v>
      </c>
    </row>
    <row r="213" customHeight="1" spans="1:52">
      <c r="A213" s="70">
        <v>211</v>
      </c>
      <c r="B213" s="70" t="s">
        <v>270</v>
      </c>
      <c r="C213" s="70" t="s">
        <v>264</v>
      </c>
      <c r="D213" s="71" t="s">
        <v>950</v>
      </c>
      <c r="E213" s="130" t="s">
        <v>951</v>
      </c>
      <c r="F213" s="131"/>
      <c r="G213" s="132"/>
      <c r="H213" s="151"/>
      <c r="I213" s="165">
        <v>46034</v>
      </c>
      <c r="J213" s="70">
        <v>3</v>
      </c>
      <c r="K213" s="107" t="s">
        <v>952</v>
      </c>
      <c r="L213" s="104">
        <f t="shared" si="71"/>
        <v>46124</v>
      </c>
      <c r="M213" s="105">
        <f ca="1" t="shared" si="72"/>
        <v>-189</v>
      </c>
      <c r="N213" s="70"/>
      <c r="O213" s="70"/>
      <c r="P213" s="70"/>
      <c r="Q213" s="71"/>
      <c r="R213" s="130"/>
      <c r="S213" s="131"/>
      <c r="T213" s="132"/>
      <c r="U213" s="114"/>
      <c r="V213" s="119"/>
      <c r="W213" s="70"/>
      <c r="X213" s="103"/>
      <c r="Y213" s="104">
        <f t="shared" ref="Y213:Y236" si="79">EDATE(V213,W213)</f>
        <v>0</v>
      </c>
      <c r="Z213" s="105">
        <f ca="1" t="shared" ref="Z213:Z236" si="80">Y213-TODAY()</f>
        <v>-46313</v>
      </c>
      <c r="AA213" s="70"/>
      <c r="AB213" s="70"/>
      <c r="AC213" s="70"/>
      <c r="AD213" s="71"/>
      <c r="AE213" s="130"/>
      <c r="AF213" s="131"/>
      <c r="AG213" s="132"/>
      <c r="AH213" s="114"/>
      <c r="AI213" s="119"/>
      <c r="AJ213" s="70"/>
      <c r="AK213" s="103"/>
      <c r="AL213" s="104">
        <f t="shared" si="75"/>
        <v>0</v>
      </c>
      <c r="AM213" s="105">
        <f ca="1" t="shared" si="76"/>
        <v>-46313</v>
      </c>
      <c r="AN213" s="115"/>
      <c r="AO213" s="70"/>
      <c r="AP213" s="70"/>
      <c r="AQ213" s="71"/>
      <c r="AR213" s="71"/>
      <c r="AS213" s="72"/>
      <c r="AT213" s="73"/>
      <c r="AU213" s="151"/>
      <c r="AV213" s="119"/>
      <c r="AW213" s="115"/>
      <c r="AX213" s="106"/>
      <c r="AY213" s="104">
        <f t="shared" si="77"/>
        <v>0</v>
      </c>
      <c r="AZ213" s="105">
        <f ca="1" t="shared" si="78"/>
        <v>-46313</v>
      </c>
    </row>
    <row r="214" customHeight="1" spans="1:52">
      <c r="A214" s="70">
        <v>212</v>
      </c>
      <c r="B214" s="70" t="s">
        <v>270</v>
      </c>
      <c r="C214" s="70" t="s">
        <v>264</v>
      </c>
      <c r="D214" s="71" t="s">
        <v>367</v>
      </c>
      <c r="E214" s="130" t="s">
        <v>368</v>
      </c>
      <c r="F214" s="131"/>
      <c r="G214" s="132"/>
      <c r="H214" s="151"/>
      <c r="I214" s="165">
        <v>46034</v>
      </c>
      <c r="J214" s="70">
        <v>3</v>
      </c>
      <c r="K214" s="107" t="s">
        <v>953</v>
      </c>
      <c r="L214" s="104">
        <f t="shared" si="71"/>
        <v>46124</v>
      </c>
      <c r="M214" s="105">
        <f ca="1" t="shared" si="72"/>
        <v>-189</v>
      </c>
      <c r="N214" s="70"/>
      <c r="O214" s="70" t="s">
        <v>270</v>
      </c>
      <c r="P214" s="70" t="s">
        <v>264</v>
      </c>
      <c r="Q214" s="71" t="s">
        <v>367</v>
      </c>
      <c r="R214" s="130" t="s">
        <v>368</v>
      </c>
      <c r="S214" s="131"/>
      <c r="T214" s="132"/>
      <c r="U214" s="151"/>
      <c r="V214" s="119">
        <v>46129</v>
      </c>
      <c r="W214" s="70">
        <v>3</v>
      </c>
      <c r="X214" s="103" t="s">
        <v>954</v>
      </c>
      <c r="Y214" s="104">
        <f t="shared" si="79"/>
        <v>46220</v>
      </c>
      <c r="Z214" s="105">
        <f ca="1" t="shared" si="80"/>
        <v>-93</v>
      </c>
      <c r="AA214" s="70"/>
      <c r="AB214" s="70"/>
      <c r="AC214" s="70"/>
      <c r="AD214" s="71"/>
      <c r="AE214" s="71"/>
      <c r="AF214" s="72"/>
      <c r="AG214" s="73"/>
      <c r="AH214" s="79"/>
      <c r="AI214" s="119"/>
      <c r="AJ214" s="70"/>
      <c r="AK214" s="103"/>
      <c r="AL214" s="104">
        <f t="shared" si="75"/>
        <v>0</v>
      </c>
      <c r="AM214" s="105">
        <f ca="1" t="shared" si="76"/>
        <v>-46313</v>
      </c>
      <c r="AN214" s="115"/>
      <c r="AO214" s="115"/>
      <c r="AP214" s="115"/>
      <c r="AQ214" s="93"/>
      <c r="AR214" s="93"/>
      <c r="AS214" s="94"/>
      <c r="AT214" s="95"/>
      <c r="AU214" s="79"/>
      <c r="AV214" s="119"/>
      <c r="AW214" s="115"/>
      <c r="AX214" s="106"/>
      <c r="AY214" s="104">
        <f t="shared" si="77"/>
        <v>0</v>
      </c>
      <c r="AZ214" s="105">
        <f ca="1" t="shared" si="78"/>
        <v>-46313</v>
      </c>
    </row>
    <row r="215" customHeight="1" spans="1:52">
      <c r="A215" s="70">
        <v>213</v>
      </c>
      <c r="B215" s="70" t="s">
        <v>263</v>
      </c>
      <c r="C215" s="70" t="s">
        <v>264</v>
      </c>
      <c r="D215" s="70" t="s">
        <v>955</v>
      </c>
      <c r="E215" s="130" t="s">
        <v>764</v>
      </c>
      <c r="F215" s="131"/>
      <c r="G215" s="132"/>
      <c r="H215" s="151"/>
      <c r="I215" s="165">
        <v>46034</v>
      </c>
      <c r="J215" s="70">
        <v>3</v>
      </c>
      <c r="K215" s="107" t="s">
        <v>956</v>
      </c>
      <c r="L215" s="104">
        <f t="shared" si="71"/>
        <v>46124</v>
      </c>
      <c r="M215" s="105">
        <f ca="1" t="shared" si="72"/>
        <v>-189</v>
      </c>
      <c r="N215" s="70"/>
      <c r="O215" s="70" t="s">
        <v>263</v>
      </c>
      <c r="P215" s="70" t="s">
        <v>264</v>
      </c>
      <c r="Q215" s="70" t="s">
        <v>955</v>
      </c>
      <c r="R215" s="130" t="s">
        <v>764</v>
      </c>
      <c r="S215" s="131"/>
      <c r="T215" s="132"/>
      <c r="U215" s="151"/>
      <c r="V215" s="102">
        <v>46203</v>
      </c>
      <c r="W215" s="70">
        <v>3</v>
      </c>
      <c r="X215" s="103" t="s">
        <v>957</v>
      </c>
      <c r="Y215" s="104">
        <f t="shared" si="79"/>
        <v>46295</v>
      </c>
      <c r="Z215" s="105">
        <f ca="1" t="shared" si="80"/>
        <v>-18</v>
      </c>
      <c r="AA215" s="70"/>
      <c r="AB215" s="70" t="s">
        <v>263</v>
      </c>
      <c r="AC215" s="70" t="s">
        <v>264</v>
      </c>
      <c r="AD215" s="70" t="s">
        <v>955</v>
      </c>
      <c r="AE215" s="130" t="s">
        <v>764</v>
      </c>
      <c r="AF215" s="131"/>
      <c r="AG215" s="132"/>
      <c r="AH215" s="151"/>
      <c r="AI215" s="102">
        <v>46311</v>
      </c>
      <c r="AJ215" s="70">
        <v>3</v>
      </c>
      <c r="AK215" s="103"/>
      <c r="AL215" s="104">
        <f t="shared" si="75"/>
        <v>46403</v>
      </c>
      <c r="AM215" s="105">
        <f ca="1" t="shared" si="76"/>
        <v>90</v>
      </c>
      <c r="AN215" s="115"/>
      <c r="AO215" s="70"/>
      <c r="AP215" s="70"/>
      <c r="AQ215" s="70"/>
      <c r="AR215" s="130"/>
      <c r="AS215" s="131"/>
      <c r="AT215" s="132"/>
      <c r="AU215" s="74"/>
      <c r="AV215" s="117"/>
      <c r="AW215" s="115"/>
      <c r="AX215" s="106"/>
      <c r="AY215" s="104">
        <f t="shared" si="77"/>
        <v>0</v>
      </c>
      <c r="AZ215" s="105">
        <f ca="1" t="shared" si="78"/>
        <v>-46313</v>
      </c>
    </row>
    <row r="216" customHeight="1" spans="1:52">
      <c r="A216" s="70">
        <v>214</v>
      </c>
      <c r="B216" s="70" t="s">
        <v>263</v>
      </c>
      <c r="C216" s="70" t="s">
        <v>264</v>
      </c>
      <c r="D216" s="71" t="s">
        <v>265</v>
      </c>
      <c r="E216" s="130" t="s">
        <v>266</v>
      </c>
      <c r="F216" s="131"/>
      <c r="G216" s="132"/>
      <c r="H216" s="151"/>
      <c r="I216" s="165">
        <v>46034</v>
      </c>
      <c r="J216" s="165" t="s">
        <v>767</v>
      </c>
      <c r="K216" s="107"/>
      <c r="L216" s="104" t="e">
        <f t="shared" si="71"/>
        <v>#VALUE!</v>
      </c>
      <c r="M216" s="105" t="e">
        <f ca="1" t="shared" si="72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79"/>
        <v>0</v>
      </c>
      <c r="Z216" s="105">
        <f ca="1" t="shared" si="80"/>
        <v>-46313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75"/>
        <v>0</v>
      </c>
      <c r="AM216" s="105">
        <f ca="1" t="shared" si="76"/>
        <v>-46313</v>
      </c>
      <c r="AN216" s="115"/>
      <c r="AO216" s="115"/>
      <c r="AP216" s="115"/>
      <c r="AQ216" s="93"/>
      <c r="AR216" s="93"/>
      <c r="AS216" s="94"/>
      <c r="AT216" s="95"/>
      <c r="AU216" s="114"/>
      <c r="AV216" s="117"/>
      <c r="AW216" s="115"/>
      <c r="AX216" s="106"/>
      <c r="AY216" s="104">
        <f t="shared" si="77"/>
        <v>0</v>
      </c>
      <c r="AZ216" s="105">
        <f ca="1" t="shared" si="78"/>
        <v>-46313</v>
      </c>
    </row>
    <row r="217" customHeight="1" spans="1:52">
      <c r="A217" s="70">
        <v>215</v>
      </c>
      <c r="B217" s="70" t="s">
        <v>270</v>
      </c>
      <c r="C217" s="70" t="s">
        <v>264</v>
      </c>
      <c r="D217" s="71" t="s">
        <v>958</v>
      </c>
      <c r="E217" s="71" t="s">
        <v>368</v>
      </c>
      <c r="F217" s="72"/>
      <c r="G217" s="73"/>
      <c r="H217" s="151"/>
      <c r="I217" s="165">
        <v>46034</v>
      </c>
      <c r="J217" s="70">
        <v>3</v>
      </c>
      <c r="K217" s="107" t="s">
        <v>959</v>
      </c>
      <c r="L217" s="104">
        <f t="shared" si="71"/>
        <v>46124</v>
      </c>
      <c r="M217" s="105">
        <f ca="1" t="shared" si="72"/>
        <v>-189</v>
      </c>
      <c r="N217" s="70"/>
      <c r="O217" s="70" t="s">
        <v>270</v>
      </c>
      <c r="P217" s="70" t="s">
        <v>264</v>
      </c>
      <c r="Q217" s="71" t="s">
        <v>958</v>
      </c>
      <c r="R217" s="71" t="s">
        <v>368</v>
      </c>
      <c r="S217" s="72"/>
      <c r="T217" s="73"/>
      <c r="U217" s="151"/>
      <c r="V217" s="102">
        <v>46122</v>
      </c>
      <c r="W217" s="70">
        <v>3</v>
      </c>
      <c r="X217" s="103" t="s">
        <v>960</v>
      </c>
      <c r="Y217" s="104">
        <f t="shared" si="79"/>
        <v>46213</v>
      </c>
      <c r="Z217" s="105">
        <f ca="1" t="shared" si="80"/>
        <v>-100</v>
      </c>
      <c r="AA217" s="70"/>
      <c r="AB217" s="70" t="s">
        <v>270</v>
      </c>
      <c r="AC217" s="70" t="s">
        <v>264</v>
      </c>
      <c r="AD217" s="71" t="s">
        <v>958</v>
      </c>
      <c r="AE217" s="71" t="s">
        <v>368</v>
      </c>
      <c r="AF217" s="72"/>
      <c r="AG217" s="73"/>
      <c r="AH217" s="151"/>
      <c r="AI217" s="179">
        <v>46219</v>
      </c>
      <c r="AJ217" s="166">
        <v>3</v>
      </c>
      <c r="AK217" s="103" t="s">
        <v>961</v>
      </c>
      <c r="AL217" s="104">
        <f t="shared" si="75"/>
        <v>46311</v>
      </c>
      <c r="AM217" s="105">
        <f ca="1" t="shared" si="76"/>
        <v>-2</v>
      </c>
      <c r="AN217" s="115"/>
      <c r="AO217" s="70"/>
      <c r="AP217" s="70"/>
      <c r="AQ217" s="71"/>
      <c r="AR217" s="71"/>
      <c r="AS217" s="72"/>
      <c r="AT217" s="73"/>
      <c r="AU217" s="114"/>
      <c r="AV217" s="117"/>
      <c r="AW217" s="115"/>
      <c r="AX217" s="106"/>
      <c r="AY217" s="104">
        <f t="shared" si="77"/>
        <v>0</v>
      </c>
      <c r="AZ217" s="105">
        <f ca="1" t="shared" si="78"/>
        <v>-46313</v>
      </c>
    </row>
    <row r="218" customHeight="1" spans="1:52">
      <c r="A218" s="70">
        <v>216</v>
      </c>
      <c r="B218" s="70" t="s">
        <v>962</v>
      </c>
      <c r="C218" s="70" t="s">
        <v>13</v>
      </c>
      <c r="D218" s="71" t="s">
        <v>963</v>
      </c>
      <c r="E218" s="71" t="s">
        <v>15</v>
      </c>
      <c r="F218" s="72"/>
      <c r="G218" s="73"/>
      <c r="H218" s="75" t="s">
        <v>434</v>
      </c>
      <c r="I218" s="165">
        <v>46034</v>
      </c>
      <c r="J218" s="70">
        <v>3</v>
      </c>
      <c r="K218" s="107" t="s">
        <v>964</v>
      </c>
      <c r="L218" s="104">
        <f t="shared" si="71"/>
        <v>46124</v>
      </c>
      <c r="M218" s="105">
        <f ca="1" t="shared" si="72"/>
        <v>-189</v>
      </c>
      <c r="N218" s="70"/>
      <c r="O218" s="70" t="s">
        <v>962</v>
      </c>
      <c r="P218" s="70" t="s">
        <v>13</v>
      </c>
      <c r="Q218" s="71" t="s">
        <v>963</v>
      </c>
      <c r="R218" s="71" t="s">
        <v>15</v>
      </c>
      <c r="S218" s="72"/>
      <c r="T218" s="73"/>
      <c r="U218" s="75" t="s">
        <v>434</v>
      </c>
      <c r="V218" s="102">
        <v>46123</v>
      </c>
      <c r="W218" s="70">
        <v>3</v>
      </c>
      <c r="X218" s="103" t="s">
        <v>965</v>
      </c>
      <c r="Y218" s="104">
        <f t="shared" si="79"/>
        <v>46214</v>
      </c>
      <c r="Z218" s="105">
        <f ca="1" t="shared" si="80"/>
        <v>-99</v>
      </c>
      <c r="AA218" s="70"/>
      <c r="AB218" s="70" t="s">
        <v>962</v>
      </c>
      <c r="AC218" s="70" t="s">
        <v>13</v>
      </c>
      <c r="AD218" s="71" t="s">
        <v>963</v>
      </c>
      <c r="AE218" s="71" t="s">
        <v>15</v>
      </c>
      <c r="AF218" s="72"/>
      <c r="AG218" s="73"/>
      <c r="AH218" s="180" t="s">
        <v>434</v>
      </c>
      <c r="AI218" s="181">
        <v>46210</v>
      </c>
      <c r="AJ218" s="105">
        <v>3</v>
      </c>
      <c r="AK218" s="132" t="s">
        <v>966</v>
      </c>
      <c r="AL218" s="104">
        <f t="shared" si="75"/>
        <v>46302</v>
      </c>
      <c r="AM218" s="105">
        <f ca="1" t="shared" si="76"/>
        <v>-11</v>
      </c>
      <c r="AN218" s="115"/>
      <c r="AO218" s="70"/>
      <c r="AP218" s="70"/>
      <c r="AQ218" s="71"/>
      <c r="AR218" s="71"/>
      <c r="AS218" s="72"/>
      <c r="AT218" s="73"/>
      <c r="AU218" s="114"/>
      <c r="AV218" s="117"/>
      <c r="AW218" s="115"/>
      <c r="AX218" s="106"/>
      <c r="AY218" s="104">
        <f t="shared" si="77"/>
        <v>0</v>
      </c>
      <c r="AZ218" s="105">
        <f ca="1" t="shared" si="78"/>
        <v>-46313</v>
      </c>
    </row>
    <row r="219" customHeight="1" spans="1:52">
      <c r="A219" s="70">
        <v>217</v>
      </c>
      <c r="B219" s="70" t="s">
        <v>962</v>
      </c>
      <c r="C219" s="70" t="s">
        <v>13</v>
      </c>
      <c r="D219" s="71" t="s">
        <v>967</v>
      </c>
      <c r="E219" s="71" t="s">
        <v>968</v>
      </c>
      <c r="F219" s="72"/>
      <c r="G219" s="73"/>
      <c r="H219" s="75" t="s">
        <v>434</v>
      </c>
      <c r="I219" s="165">
        <v>46034</v>
      </c>
      <c r="J219" s="70">
        <v>3</v>
      </c>
      <c r="K219" s="107" t="s">
        <v>969</v>
      </c>
      <c r="L219" s="104">
        <f t="shared" si="71"/>
        <v>46124</v>
      </c>
      <c r="M219" s="105">
        <f ca="1" t="shared" si="72"/>
        <v>-189</v>
      </c>
      <c r="N219" s="70"/>
      <c r="O219" s="70" t="s">
        <v>962</v>
      </c>
      <c r="P219" s="70" t="s">
        <v>13</v>
      </c>
      <c r="Q219" s="71" t="s">
        <v>967</v>
      </c>
      <c r="R219" s="71" t="s">
        <v>968</v>
      </c>
      <c r="S219" s="72"/>
      <c r="T219" s="73"/>
      <c r="U219" s="75" t="s">
        <v>434</v>
      </c>
      <c r="V219" s="102">
        <v>46131</v>
      </c>
      <c r="W219" s="70">
        <v>3</v>
      </c>
      <c r="X219" s="103" t="s">
        <v>970</v>
      </c>
      <c r="Y219" s="104">
        <f t="shared" si="79"/>
        <v>46222</v>
      </c>
      <c r="Z219" s="105">
        <f ca="1" t="shared" si="80"/>
        <v>-91</v>
      </c>
      <c r="AA219" s="70"/>
      <c r="AB219" s="70" t="s">
        <v>962</v>
      </c>
      <c r="AC219" s="70" t="s">
        <v>13</v>
      </c>
      <c r="AD219" s="71" t="s">
        <v>967</v>
      </c>
      <c r="AE219" s="71" t="s">
        <v>968</v>
      </c>
      <c r="AF219" s="72"/>
      <c r="AG219" s="73"/>
      <c r="AH219" s="75" t="s">
        <v>434</v>
      </c>
      <c r="AI219" s="181">
        <v>46219</v>
      </c>
      <c r="AJ219" s="105">
        <v>3</v>
      </c>
      <c r="AK219" s="132" t="s">
        <v>971</v>
      </c>
      <c r="AL219" s="104">
        <f t="shared" si="75"/>
        <v>46311</v>
      </c>
      <c r="AM219" s="105">
        <f ca="1" t="shared" si="76"/>
        <v>-2</v>
      </c>
      <c r="AN219" s="115"/>
      <c r="AO219" s="115"/>
      <c r="AP219" s="115"/>
      <c r="AQ219" s="93"/>
      <c r="AR219" s="93"/>
      <c r="AS219" s="94"/>
      <c r="AT219" s="95"/>
      <c r="AU219" s="114"/>
      <c r="AV219" s="117"/>
      <c r="AW219" s="115"/>
      <c r="AX219" s="106"/>
      <c r="AY219" s="104">
        <f t="shared" si="77"/>
        <v>0</v>
      </c>
      <c r="AZ219" s="105">
        <f ca="1" t="shared" si="78"/>
        <v>-46313</v>
      </c>
    </row>
    <row r="220" customHeight="1" spans="1:52">
      <c r="A220" s="70">
        <v>218</v>
      </c>
      <c r="B220" s="70" t="s">
        <v>782</v>
      </c>
      <c r="C220" s="70" t="s">
        <v>374</v>
      </c>
      <c r="D220" s="71" t="s">
        <v>972</v>
      </c>
      <c r="E220" s="71" t="s">
        <v>548</v>
      </c>
      <c r="F220" s="72"/>
      <c r="G220" s="73"/>
      <c r="H220" s="74" t="s">
        <v>16</v>
      </c>
      <c r="I220" s="165">
        <v>46034</v>
      </c>
      <c r="J220" s="70">
        <v>3</v>
      </c>
      <c r="K220" s="107" t="s">
        <v>973</v>
      </c>
      <c r="L220" s="104">
        <f t="shared" si="71"/>
        <v>46124</v>
      </c>
      <c r="M220" s="105">
        <f ca="1" t="shared" si="72"/>
        <v>-189</v>
      </c>
      <c r="N220" s="70"/>
      <c r="O220" s="70" t="s">
        <v>782</v>
      </c>
      <c r="P220" s="70" t="s">
        <v>374</v>
      </c>
      <c r="Q220" s="71" t="s">
        <v>972</v>
      </c>
      <c r="R220" s="71" t="s">
        <v>548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974</v>
      </c>
      <c r="Y220" s="104">
        <f t="shared" si="79"/>
        <v>46210</v>
      </c>
      <c r="Z220" s="105">
        <f ca="1" t="shared" si="80"/>
        <v>-103</v>
      </c>
      <c r="AA220" s="70"/>
      <c r="AB220" s="70" t="s">
        <v>782</v>
      </c>
      <c r="AC220" s="70" t="s">
        <v>374</v>
      </c>
      <c r="AD220" s="71" t="s">
        <v>972</v>
      </c>
      <c r="AE220" s="71" t="s">
        <v>548</v>
      </c>
      <c r="AF220" s="72"/>
      <c r="AG220" s="73"/>
      <c r="AH220" s="74" t="s">
        <v>16</v>
      </c>
      <c r="AI220" s="181">
        <v>46243</v>
      </c>
      <c r="AJ220" s="105">
        <v>3</v>
      </c>
      <c r="AK220" s="132" t="s">
        <v>975</v>
      </c>
      <c r="AL220" s="104">
        <f t="shared" si="75"/>
        <v>46335</v>
      </c>
      <c r="AM220" s="105">
        <f ca="1" t="shared" si="76"/>
        <v>22</v>
      </c>
      <c r="AN220" s="115"/>
      <c r="AO220" s="115"/>
      <c r="AP220" s="115"/>
      <c r="AQ220" s="93"/>
      <c r="AR220" s="93"/>
      <c r="AS220" s="94"/>
      <c r="AT220" s="95"/>
      <c r="AU220" s="79"/>
      <c r="AV220" s="117"/>
      <c r="AW220" s="115"/>
      <c r="AX220" s="106"/>
      <c r="AY220" s="104">
        <f t="shared" ref="AY217:AY226" si="81">EDATE(AV220,AW220)</f>
        <v>0</v>
      </c>
      <c r="AZ220" s="105">
        <f ca="1" t="shared" ref="AZ217:AZ226" si="82">AY220-TODAY()</f>
        <v>-46313</v>
      </c>
    </row>
    <row r="221" customHeight="1" spans="1:52">
      <c r="A221" s="70">
        <v>219</v>
      </c>
      <c r="B221" s="70" t="s">
        <v>782</v>
      </c>
      <c r="C221" s="70" t="s">
        <v>374</v>
      </c>
      <c r="D221" s="71" t="s">
        <v>976</v>
      </c>
      <c r="E221" s="71" t="s">
        <v>548</v>
      </c>
      <c r="F221" s="72"/>
      <c r="G221" s="73"/>
      <c r="H221" s="74" t="s">
        <v>16</v>
      </c>
      <c r="I221" s="165">
        <v>46034</v>
      </c>
      <c r="J221" s="70">
        <v>3</v>
      </c>
      <c r="K221" s="107" t="s">
        <v>977</v>
      </c>
      <c r="L221" s="104">
        <f t="shared" si="71"/>
        <v>46124</v>
      </c>
      <c r="M221" s="105">
        <f ca="1" t="shared" si="72"/>
        <v>-189</v>
      </c>
      <c r="N221" s="70"/>
      <c r="O221" s="70" t="s">
        <v>782</v>
      </c>
      <c r="P221" s="70" t="s">
        <v>374</v>
      </c>
      <c r="Q221" s="71" t="s">
        <v>976</v>
      </c>
      <c r="R221" s="71" t="s">
        <v>548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978</v>
      </c>
      <c r="Y221" s="104">
        <f t="shared" si="79"/>
        <v>46210</v>
      </c>
      <c r="Z221" s="105">
        <f ca="1" t="shared" si="80"/>
        <v>-103</v>
      </c>
      <c r="AA221" s="70"/>
      <c r="AB221" s="70" t="s">
        <v>782</v>
      </c>
      <c r="AC221" s="70" t="s">
        <v>374</v>
      </c>
      <c r="AD221" s="71" t="s">
        <v>976</v>
      </c>
      <c r="AE221" s="71" t="s">
        <v>548</v>
      </c>
      <c r="AF221" s="72"/>
      <c r="AG221" s="73"/>
      <c r="AH221" s="182" t="s">
        <v>16</v>
      </c>
      <c r="AI221" s="181">
        <v>46228</v>
      </c>
      <c r="AJ221" s="105">
        <v>3</v>
      </c>
      <c r="AK221" s="132" t="s">
        <v>979</v>
      </c>
      <c r="AL221" s="104">
        <f t="shared" si="75"/>
        <v>46320</v>
      </c>
      <c r="AM221" s="105">
        <f ca="1" t="shared" si="76"/>
        <v>7</v>
      </c>
      <c r="AN221" s="115"/>
      <c r="AO221" s="115"/>
      <c r="AP221" s="115"/>
      <c r="AQ221" s="93"/>
      <c r="AR221" s="93"/>
      <c r="AS221" s="94"/>
      <c r="AT221" s="95"/>
      <c r="AU221" s="79"/>
      <c r="AV221" s="117"/>
      <c r="AW221" s="115"/>
      <c r="AX221" s="106"/>
      <c r="AY221" s="104">
        <f t="shared" si="81"/>
        <v>0</v>
      </c>
      <c r="AZ221" s="105">
        <f ca="1" t="shared" si="82"/>
        <v>-46313</v>
      </c>
    </row>
    <row r="222" customHeight="1" spans="1:52">
      <c r="A222" s="70">
        <v>220</v>
      </c>
      <c r="B222" s="70" t="s">
        <v>373</v>
      </c>
      <c r="C222" s="70" t="s">
        <v>374</v>
      </c>
      <c r="D222" s="71" t="s">
        <v>980</v>
      </c>
      <c r="E222" s="71" t="s">
        <v>376</v>
      </c>
      <c r="F222" s="72"/>
      <c r="G222" s="73"/>
      <c r="H222" s="75"/>
      <c r="I222" s="165">
        <v>46034</v>
      </c>
      <c r="J222" s="70">
        <v>3</v>
      </c>
      <c r="K222" s="107" t="s">
        <v>981</v>
      </c>
      <c r="L222" s="104">
        <f t="shared" si="71"/>
        <v>46124</v>
      </c>
      <c r="M222" s="105">
        <f ca="1" t="shared" si="72"/>
        <v>-189</v>
      </c>
      <c r="N222" s="70"/>
      <c r="O222" s="70" t="s">
        <v>373</v>
      </c>
      <c r="P222" s="70" t="s">
        <v>374</v>
      </c>
      <c r="Q222" s="71" t="s">
        <v>980</v>
      </c>
      <c r="R222" s="71" t="s">
        <v>376</v>
      </c>
      <c r="S222" s="72"/>
      <c r="T222" s="73"/>
      <c r="U222" s="75"/>
      <c r="V222" s="102">
        <v>46284</v>
      </c>
      <c r="W222" s="70">
        <v>3</v>
      </c>
      <c r="X222" s="103" t="s">
        <v>982</v>
      </c>
      <c r="Y222" s="104">
        <f t="shared" si="79"/>
        <v>46375</v>
      </c>
      <c r="Z222" s="105">
        <f ca="1" t="shared" si="80"/>
        <v>62</v>
      </c>
      <c r="AA222" s="70"/>
      <c r="AB222" s="70"/>
      <c r="AC222" s="70"/>
      <c r="AD222" s="71"/>
      <c r="AE222" s="71"/>
      <c r="AF222" s="72"/>
      <c r="AG222" s="73"/>
      <c r="AH222" s="74"/>
      <c r="AI222" s="183"/>
      <c r="AJ222" s="184"/>
      <c r="AK222" s="103"/>
      <c r="AL222" s="104">
        <f t="shared" si="75"/>
        <v>0</v>
      </c>
      <c r="AM222" s="105">
        <f ca="1" t="shared" si="76"/>
        <v>-46313</v>
      </c>
      <c r="AN222" s="115"/>
      <c r="AO222" s="115"/>
      <c r="AP222" s="115"/>
      <c r="AQ222" s="93"/>
      <c r="AR222" s="93"/>
      <c r="AS222" s="94"/>
      <c r="AT222" s="95"/>
      <c r="AU222" s="79"/>
      <c r="AV222" s="117"/>
      <c r="AW222" s="115"/>
      <c r="AX222" s="106"/>
      <c r="AY222" s="104">
        <f t="shared" si="81"/>
        <v>0</v>
      </c>
      <c r="AZ222" s="105">
        <f ca="1" t="shared" si="82"/>
        <v>-46313</v>
      </c>
    </row>
    <row r="223" customHeight="1" spans="1:52">
      <c r="A223" s="70">
        <v>221</v>
      </c>
      <c r="B223" s="70" t="s">
        <v>373</v>
      </c>
      <c r="C223" s="70" t="s">
        <v>374</v>
      </c>
      <c r="D223" s="71" t="s">
        <v>983</v>
      </c>
      <c r="E223" s="71" t="s">
        <v>568</v>
      </c>
      <c r="F223" s="72"/>
      <c r="G223" s="73"/>
      <c r="H223" s="74" t="s">
        <v>16</v>
      </c>
      <c r="I223" s="165">
        <v>46034</v>
      </c>
      <c r="J223" s="70">
        <v>3</v>
      </c>
      <c r="K223" s="107" t="s">
        <v>984</v>
      </c>
      <c r="L223" s="104">
        <f t="shared" si="71"/>
        <v>46124</v>
      </c>
      <c r="M223" s="105">
        <f ca="1" t="shared" si="72"/>
        <v>-189</v>
      </c>
      <c r="N223" s="70"/>
      <c r="O223" s="70" t="s">
        <v>373</v>
      </c>
      <c r="P223" s="70" t="s">
        <v>374</v>
      </c>
      <c r="Q223" s="71" t="s">
        <v>983</v>
      </c>
      <c r="R223" s="71" t="s">
        <v>568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985</v>
      </c>
      <c r="Y223" s="104">
        <f t="shared" si="79"/>
        <v>46218</v>
      </c>
      <c r="Z223" s="105">
        <f ca="1" t="shared" si="80"/>
        <v>-95</v>
      </c>
      <c r="AA223" s="70"/>
      <c r="AB223" s="70" t="s">
        <v>373</v>
      </c>
      <c r="AC223" s="70" t="s">
        <v>374</v>
      </c>
      <c r="AD223" s="71" t="s">
        <v>983</v>
      </c>
      <c r="AE223" s="71" t="s">
        <v>568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986</v>
      </c>
      <c r="AL223" s="104">
        <f t="shared" si="75"/>
        <v>46305</v>
      </c>
      <c r="AM223" s="105">
        <f ca="1" t="shared" si="76"/>
        <v>-8</v>
      </c>
      <c r="AN223" s="115"/>
      <c r="AO223" s="70" t="s">
        <v>373</v>
      </c>
      <c r="AP223" s="70" t="s">
        <v>374</v>
      </c>
      <c r="AQ223" s="71" t="s">
        <v>983</v>
      </c>
      <c r="AR223" s="71" t="s">
        <v>568</v>
      </c>
      <c r="AS223" s="72"/>
      <c r="AT223" s="73"/>
      <c r="AU223" s="74" t="s">
        <v>16</v>
      </c>
      <c r="AV223" s="117">
        <v>46303</v>
      </c>
      <c r="AW223" s="115">
        <v>3</v>
      </c>
      <c r="AX223" s="106" t="s">
        <v>987</v>
      </c>
      <c r="AY223" s="104">
        <f t="shared" si="81"/>
        <v>46395</v>
      </c>
      <c r="AZ223" s="105">
        <f ca="1" t="shared" si="82"/>
        <v>82</v>
      </c>
    </row>
    <row r="224" customHeight="1" spans="1:52">
      <c r="A224" s="70">
        <v>222</v>
      </c>
      <c r="B224" s="70" t="s">
        <v>229</v>
      </c>
      <c r="C224" s="70" t="s">
        <v>13</v>
      </c>
      <c r="D224" s="71" t="s">
        <v>988</v>
      </c>
      <c r="E224" s="71" t="s">
        <v>989</v>
      </c>
      <c r="F224" s="72"/>
      <c r="G224" s="73"/>
      <c r="H224" s="114" t="s">
        <v>16</v>
      </c>
      <c r="I224" s="165">
        <v>46035</v>
      </c>
      <c r="J224" s="70">
        <v>3</v>
      </c>
      <c r="K224" s="106" t="s">
        <v>990</v>
      </c>
      <c r="L224" s="104">
        <f t="shared" si="71"/>
        <v>46125</v>
      </c>
      <c r="M224" s="105">
        <f ca="1" t="shared" si="72"/>
        <v>-188</v>
      </c>
      <c r="N224" s="70"/>
      <c r="O224" s="70" t="s">
        <v>229</v>
      </c>
      <c r="P224" s="70" t="s">
        <v>13</v>
      </c>
      <c r="Q224" s="71" t="s">
        <v>988</v>
      </c>
      <c r="R224" s="71" t="s">
        <v>989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79"/>
        <v>46217</v>
      </c>
      <c r="Z224" s="105">
        <f ca="1" t="shared" si="80"/>
        <v>-96</v>
      </c>
      <c r="AA224" s="70"/>
      <c r="AB224" s="70" t="s">
        <v>229</v>
      </c>
      <c r="AC224" s="70" t="s">
        <v>13</v>
      </c>
      <c r="AD224" s="71" t="s">
        <v>988</v>
      </c>
      <c r="AE224" s="71" t="s">
        <v>989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991</v>
      </c>
      <c r="AL224" s="104">
        <f t="shared" si="75"/>
        <v>46304</v>
      </c>
      <c r="AM224" s="105">
        <f ca="1" t="shared" si="76"/>
        <v>-9</v>
      </c>
      <c r="AN224" s="115"/>
      <c r="AO224" s="70" t="s">
        <v>229</v>
      </c>
      <c r="AP224" s="70" t="s">
        <v>13</v>
      </c>
      <c r="AQ224" s="71" t="s">
        <v>988</v>
      </c>
      <c r="AR224" s="71" t="s">
        <v>989</v>
      </c>
      <c r="AS224" s="72"/>
      <c r="AT224" s="73"/>
      <c r="AU224" s="79" t="s">
        <v>16</v>
      </c>
      <c r="AV224" s="117">
        <v>46299</v>
      </c>
      <c r="AW224" s="115">
        <v>3</v>
      </c>
      <c r="AX224" s="106" t="s">
        <v>992</v>
      </c>
      <c r="AY224" s="104">
        <f t="shared" si="81"/>
        <v>46391</v>
      </c>
      <c r="AZ224" s="105">
        <f ca="1" t="shared" si="82"/>
        <v>78</v>
      </c>
    </row>
    <row r="225" customHeight="1" spans="1:52">
      <c r="A225" s="70">
        <v>223</v>
      </c>
      <c r="B225" s="70" t="s">
        <v>229</v>
      </c>
      <c r="C225" s="70" t="s">
        <v>13</v>
      </c>
      <c r="D225" s="71" t="s">
        <v>993</v>
      </c>
      <c r="E225" s="71" t="s">
        <v>989</v>
      </c>
      <c r="F225" s="72"/>
      <c r="G225" s="73"/>
      <c r="H225" s="114" t="s">
        <v>16</v>
      </c>
      <c r="I225" s="165">
        <v>46035</v>
      </c>
      <c r="J225" s="70">
        <v>3</v>
      </c>
      <c r="K225" s="106" t="s">
        <v>994</v>
      </c>
      <c r="L225" s="104">
        <f t="shared" si="71"/>
        <v>46125</v>
      </c>
      <c r="M225" s="105">
        <f ca="1" t="shared" si="72"/>
        <v>-188</v>
      </c>
      <c r="N225" s="70"/>
      <c r="O225" s="70" t="s">
        <v>229</v>
      </c>
      <c r="P225" s="70" t="s">
        <v>13</v>
      </c>
      <c r="Q225" s="71" t="s">
        <v>993</v>
      </c>
      <c r="R225" s="71" t="s">
        <v>989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995</v>
      </c>
      <c r="Y225" s="104">
        <f t="shared" si="79"/>
        <v>46226</v>
      </c>
      <c r="Z225" s="105">
        <f ca="1" t="shared" si="80"/>
        <v>-87</v>
      </c>
      <c r="AA225" s="70"/>
      <c r="AB225" s="70" t="s">
        <v>229</v>
      </c>
      <c r="AC225" s="70" t="s">
        <v>13</v>
      </c>
      <c r="AD225" s="71" t="s">
        <v>993</v>
      </c>
      <c r="AE225" s="71" t="s">
        <v>989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996</v>
      </c>
      <c r="AL225" s="104">
        <f t="shared" si="75"/>
        <v>46319</v>
      </c>
      <c r="AM225" s="105">
        <f ca="1" t="shared" si="76"/>
        <v>6</v>
      </c>
      <c r="AN225" s="115"/>
      <c r="AO225" s="70"/>
      <c r="AP225" s="70"/>
      <c r="AQ225" s="71"/>
      <c r="AR225" s="71"/>
      <c r="AS225" s="72"/>
      <c r="AT225" s="73"/>
      <c r="AU225" s="79"/>
      <c r="AV225" s="117"/>
      <c r="AW225" s="115"/>
      <c r="AX225" s="106"/>
      <c r="AY225" s="104">
        <f t="shared" si="81"/>
        <v>0</v>
      </c>
      <c r="AZ225" s="105">
        <f ca="1" t="shared" si="82"/>
        <v>-46313</v>
      </c>
    </row>
    <row r="226" customHeight="1" spans="1:52">
      <c r="A226" s="70">
        <v>224</v>
      </c>
      <c r="B226" s="70" t="s">
        <v>229</v>
      </c>
      <c r="C226" s="70" t="s">
        <v>13</v>
      </c>
      <c r="D226" s="71" t="s">
        <v>997</v>
      </c>
      <c r="E226" s="71" t="s">
        <v>989</v>
      </c>
      <c r="F226" s="72"/>
      <c r="G226" s="73"/>
      <c r="H226" s="114" t="s">
        <v>16</v>
      </c>
      <c r="I226" s="165">
        <v>46035</v>
      </c>
      <c r="J226" s="70">
        <v>3</v>
      </c>
      <c r="K226" s="106" t="s">
        <v>998</v>
      </c>
      <c r="L226" s="104">
        <f t="shared" si="71"/>
        <v>46125</v>
      </c>
      <c r="M226" s="105">
        <f ca="1" t="shared" si="72"/>
        <v>-188</v>
      </c>
      <c r="N226" s="70"/>
      <c r="O226" s="70" t="s">
        <v>229</v>
      </c>
      <c r="P226" s="70" t="s">
        <v>13</v>
      </c>
      <c r="Q226" s="71" t="s">
        <v>997</v>
      </c>
      <c r="R226" s="71" t="s">
        <v>989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999</v>
      </c>
      <c r="Y226" s="104">
        <f t="shared" si="79"/>
        <v>46212</v>
      </c>
      <c r="Z226" s="105">
        <f ca="1" t="shared" si="80"/>
        <v>-101</v>
      </c>
      <c r="AA226" s="70"/>
      <c r="AB226" s="70" t="s">
        <v>229</v>
      </c>
      <c r="AC226" s="70" t="s">
        <v>13</v>
      </c>
      <c r="AD226" s="71" t="s">
        <v>997</v>
      </c>
      <c r="AE226" s="71" t="s">
        <v>989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1000</v>
      </c>
      <c r="AL226" s="104">
        <f t="shared" si="75"/>
        <v>46294</v>
      </c>
      <c r="AM226" s="105">
        <f ca="1" t="shared" si="76"/>
        <v>-19</v>
      </c>
      <c r="AN226" s="115"/>
      <c r="AO226" s="70" t="s">
        <v>229</v>
      </c>
      <c r="AP226" s="70" t="s">
        <v>13</v>
      </c>
      <c r="AQ226" s="71" t="s">
        <v>997</v>
      </c>
      <c r="AR226" s="71" t="s">
        <v>989</v>
      </c>
      <c r="AS226" s="72"/>
      <c r="AT226" s="73"/>
      <c r="AU226" s="114" t="s">
        <v>16</v>
      </c>
      <c r="AV226" s="117">
        <v>46295</v>
      </c>
      <c r="AW226" s="115">
        <v>3</v>
      </c>
      <c r="AX226" s="106" t="s">
        <v>1001</v>
      </c>
      <c r="AY226" s="104">
        <f t="shared" si="81"/>
        <v>46386</v>
      </c>
      <c r="AZ226" s="105">
        <f ca="1" t="shared" si="82"/>
        <v>73</v>
      </c>
    </row>
    <row r="227" customHeight="1" spans="1:52">
      <c r="A227" s="70">
        <v>225</v>
      </c>
      <c r="B227" s="70" t="s">
        <v>92</v>
      </c>
      <c r="C227" s="70" t="s">
        <v>13</v>
      </c>
      <c r="D227" s="71" t="s">
        <v>1002</v>
      </c>
      <c r="E227" s="71" t="s">
        <v>1003</v>
      </c>
      <c r="F227" s="72"/>
      <c r="G227" s="73"/>
      <c r="H227" s="114" t="s">
        <v>16</v>
      </c>
      <c r="I227" s="165">
        <v>46035</v>
      </c>
      <c r="J227" s="70">
        <v>3</v>
      </c>
      <c r="K227" s="106" t="s">
        <v>1004</v>
      </c>
      <c r="L227" s="104">
        <f t="shared" si="71"/>
        <v>46125</v>
      </c>
      <c r="M227" s="105">
        <f ca="1" t="shared" si="72"/>
        <v>-188</v>
      </c>
      <c r="N227" s="70"/>
      <c r="O227" s="70" t="s">
        <v>92</v>
      </c>
      <c r="P227" s="70" t="s">
        <v>13</v>
      </c>
      <c r="Q227" s="71" t="s">
        <v>1002</v>
      </c>
      <c r="R227" s="71" t="s">
        <v>1003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1005</v>
      </c>
      <c r="Y227" s="104">
        <f t="shared" si="79"/>
        <v>46240</v>
      </c>
      <c r="Z227" s="105">
        <f ca="1" t="shared" si="80"/>
        <v>-73</v>
      </c>
      <c r="AA227" s="70"/>
      <c r="AB227" s="70" t="s">
        <v>92</v>
      </c>
      <c r="AC227" s="70" t="s">
        <v>13</v>
      </c>
      <c r="AD227" s="71" t="s">
        <v>1002</v>
      </c>
      <c r="AE227" s="71" t="s">
        <v>1003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1006</v>
      </c>
      <c r="AL227" s="104">
        <f t="shared" si="75"/>
        <v>46319</v>
      </c>
      <c r="AM227" s="105">
        <f ca="1" t="shared" si="76"/>
        <v>6</v>
      </c>
      <c r="AN227" s="115"/>
      <c r="AO227" s="115"/>
      <c r="AP227" s="115"/>
      <c r="AQ227" s="93"/>
      <c r="AR227" s="93"/>
      <c r="AS227" s="94"/>
      <c r="AT227" s="95"/>
      <c r="AU227" s="79"/>
      <c r="AV227" s="117"/>
      <c r="AW227" s="115"/>
      <c r="AX227" s="106"/>
      <c r="AY227" s="104">
        <f t="shared" ref="AY226:AY250" si="83">EDATE(AV227,AW227)</f>
        <v>0</v>
      </c>
      <c r="AZ227" s="105">
        <f ca="1" t="shared" ref="AZ226:AZ250" si="84">AY227-TODAY()</f>
        <v>-46313</v>
      </c>
    </row>
    <row r="228" customHeight="1" spans="1:52">
      <c r="A228" s="70">
        <v>226</v>
      </c>
      <c r="B228" s="70" t="s">
        <v>721</v>
      </c>
      <c r="C228" s="70" t="s">
        <v>38</v>
      </c>
      <c r="D228" s="71" t="s">
        <v>1007</v>
      </c>
      <c r="E228" s="71" t="s">
        <v>40</v>
      </c>
      <c r="F228" s="72"/>
      <c r="G228" s="73"/>
      <c r="H228" s="114" t="s">
        <v>16</v>
      </c>
      <c r="I228" s="165">
        <v>46035</v>
      </c>
      <c r="J228" s="70">
        <v>3</v>
      </c>
      <c r="K228" s="106" t="s">
        <v>1008</v>
      </c>
      <c r="L228" s="104">
        <f t="shared" si="71"/>
        <v>46125</v>
      </c>
      <c r="M228" s="105">
        <f ca="1" t="shared" si="72"/>
        <v>-188</v>
      </c>
      <c r="N228" s="70"/>
      <c r="O228" s="70" t="s">
        <v>721</v>
      </c>
      <c r="P228" s="70" t="s">
        <v>38</v>
      </c>
      <c r="Q228" s="71" t="s">
        <v>1007</v>
      </c>
      <c r="R228" s="71" t="s">
        <v>40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1009</v>
      </c>
      <c r="Y228" s="104">
        <f t="shared" si="79"/>
        <v>46228</v>
      </c>
      <c r="Z228" s="105">
        <f ca="1" t="shared" si="80"/>
        <v>-85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75"/>
        <v>0</v>
      </c>
      <c r="AM228" s="105">
        <f ca="1" t="shared" si="76"/>
        <v>-46313</v>
      </c>
      <c r="AN228" s="115"/>
      <c r="AO228" s="115"/>
      <c r="AP228" s="115"/>
      <c r="AQ228" s="93"/>
      <c r="AR228" s="93"/>
      <c r="AS228" s="94"/>
      <c r="AT228" s="95"/>
      <c r="AU228" s="79"/>
      <c r="AV228" s="117"/>
      <c r="AW228" s="115"/>
      <c r="AX228" s="106"/>
      <c r="AY228" s="104">
        <f t="shared" si="83"/>
        <v>0</v>
      </c>
      <c r="AZ228" s="105">
        <f ca="1" t="shared" si="84"/>
        <v>-46313</v>
      </c>
    </row>
    <row r="229" customHeight="1" spans="1:52">
      <c r="A229" s="70">
        <v>227</v>
      </c>
      <c r="B229" s="70" t="s">
        <v>721</v>
      </c>
      <c r="C229" s="70" t="s">
        <v>374</v>
      </c>
      <c r="D229" s="71" t="s">
        <v>1010</v>
      </c>
      <c r="E229" s="71" t="s">
        <v>548</v>
      </c>
      <c r="F229" s="72"/>
      <c r="G229" s="73"/>
      <c r="H229" s="114" t="s">
        <v>16</v>
      </c>
      <c r="I229" s="165">
        <v>46035</v>
      </c>
      <c r="J229" s="70">
        <v>3</v>
      </c>
      <c r="K229" s="106" t="s">
        <v>1011</v>
      </c>
      <c r="L229" s="104">
        <f t="shared" si="71"/>
        <v>46125</v>
      </c>
      <c r="M229" s="105">
        <f ca="1" t="shared" si="72"/>
        <v>-188</v>
      </c>
      <c r="N229" s="70"/>
      <c r="O229" s="70" t="s">
        <v>721</v>
      </c>
      <c r="P229" s="70" t="s">
        <v>374</v>
      </c>
      <c r="Q229" s="71" t="s">
        <v>1010</v>
      </c>
      <c r="R229" s="71" t="s">
        <v>548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1012</v>
      </c>
      <c r="Y229" s="104">
        <f t="shared" si="79"/>
        <v>46226</v>
      </c>
      <c r="Z229" s="105">
        <f ca="1" t="shared" si="80"/>
        <v>-87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75"/>
        <v>0</v>
      </c>
      <c r="AM229" s="105">
        <f ca="1" t="shared" si="76"/>
        <v>-46313</v>
      </c>
      <c r="AN229" s="115"/>
      <c r="AO229" s="115"/>
      <c r="AP229" s="115"/>
      <c r="AQ229" s="93"/>
      <c r="AR229" s="93"/>
      <c r="AS229" s="94"/>
      <c r="AT229" s="95"/>
      <c r="AU229" s="79"/>
      <c r="AV229" s="117"/>
      <c r="AW229" s="115"/>
      <c r="AX229" s="106"/>
      <c r="AY229" s="104">
        <f t="shared" si="83"/>
        <v>0</v>
      </c>
      <c r="AZ229" s="105">
        <f ca="1" t="shared" si="84"/>
        <v>-46313</v>
      </c>
    </row>
    <row r="230" customHeight="1" spans="1:52">
      <c r="A230" s="70">
        <v>228</v>
      </c>
      <c r="B230" s="70" t="s">
        <v>721</v>
      </c>
      <c r="C230" s="70" t="s">
        <v>38</v>
      </c>
      <c r="D230" s="71" t="s">
        <v>1013</v>
      </c>
      <c r="E230" s="71" t="s">
        <v>145</v>
      </c>
      <c r="F230" s="72"/>
      <c r="G230" s="73"/>
      <c r="H230" s="114" t="s">
        <v>16</v>
      </c>
      <c r="I230" s="165">
        <v>46035</v>
      </c>
      <c r="J230" s="70">
        <v>3</v>
      </c>
      <c r="K230" s="106" t="s">
        <v>1014</v>
      </c>
      <c r="L230" s="104">
        <f t="shared" si="71"/>
        <v>46125</v>
      </c>
      <c r="M230" s="105">
        <f ca="1" t="shared" si="72"/>
        <v>-188</v>
      </c>
      <c r="N230" s="70"/>
      <c r="O230" s="70" t="s">
        <v>721</v>
      </c>
      <c r="P230" s="70" t="s">
        <v>38</v>
      </c>
      <c r="Q230" s="71" t="s">
        <v>1013</v>
      </c>
      <c r="R230" s="71" t="s">
        <v>145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1015</v>
      </c>
      <c r="Y230" s="104">
        <f t="shared" si="79"/>
        <v>46226</v>
      </c>
      <c r="Z230" s="105">
        <f ca="1" t="shared" si="80"/>
        <v>-87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75"/>
        <v>0</v>
      </c>
      <c r="AM230" s="105">
        <f ca="1" t="shared" si="76"/>
        <v>-46313</v>
      </c>
      <c r="AN230" s="115"/>
      <c r="AO230" s="115"/>
      <c r="AP230" s="115"/>
      <c r="AQ230" s="93"/>
      <c r="AR230" s="93"/>
      <c r="AS230" s="94"/>
      <c r="AT230" s="95"/>
      <c r="AU230" s="79"/>
      <c r="AV230" s="117"/>
      <c r="AW230" s="115"/>
      <c r="AX230" s="106"/>
      <c r="AY230" s="104">
        <f t="shared" si="83"/>
        <v>0</v>
      </c>
      <c r="AZ230" s="105">
        <f ca="1" t="shared" si="84"/>
        <v>-46313</v>
      </c>
    </row>
    <row r="231" customHeight="1" spans="1:52">
      <c r="A231" s="70">
        <v>229</v>
      </c>
      <c r="B231" s="70" t="s">
        <v>721</v>
      </c>
      <c r="C231" s="70" t="s">
        <v>13</v>
      </c>
      <c r="D231" s="71" t="s">
        <v>1016</v>
      </c>
      <c r="E231" s="71" t="s">
        <v>126</v>
      </c>
      <c r="F231" s="72"/>
      <c r="G231" s="73"/>
      <c r="H231" s="114" t="s">
        <v>16</v>
      </c>
      <c r="I231" s="165">
        <v>46035</v>
      </c>
      <c r="J231" s="70">
        <v>3</v>
      </c>
      <c r="K231" s="106" t="s">
        <v>1017</v>
      </c>
      <c r="L231" s="104">
        <f t="shared" si="71"/>
        <v>46125</v>
      </c>
      <c r="M231" s="105">
        <f ca="1" t="shared" si="72"/>
        <v>-188</v>
      </c>
      <c r="N231" s="70"/>
      <c r="O231" s="70" t="s">
        <v>721</v>
      </c>
      <c r="P231" s="70" t="s">
        <v>13</v>
      </c>
      <c r="Q231" s="71" t="s">
        <v>1016</v>
      </c>
      <c r="R231" s="71" t="s">
        <v>126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1018</v>
      </c>
      <c r="Y231" s="104">
        <f t="shared" si="79"/>
        <v>46228</v>
      </c>
      <c r="Z231" s="105">
        <f ca="1" t="shared" si="80"/>
        <v>-85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75"/>
        <v>0</v>
      </c>
      <c r="AM231" s="105">
        <f ca="1" t="shared" si="76"/>
        <v>-46313</v>
      </c>
      <c r="AN231" s="115"/>
      <c r="AO231" s="115"/>
      <c r="AP231" s="115"/>
      <c r="AQ231" s="93"/>
      <c r="AR231" s="93"/>
      <c r="AS231" s="94"/>
      <c r="AT231" s="95"/>
      <c r="AU231" s="79"/>
      <c r="AV231" s="117"/>
      <c r="AW231" s="115"/>
      <c r="AX231" s="106"/>
      <c r="AY231" s="104">
        <f t="shared" si="83"/>
        <v>0</v>
      </c>
      <c r="AZ231" s="105">
        <f ca="1" t="shared" si="84"/>
        <v>-46313</v>
      </c>
    </row>
    <row r="232" customHeight="1" spans="1:52">
      <c r="A232" s="70">
        <v>230</v>
      </c>
      <c r="B232" s="70" t="s">
        <v>721</v>
      </c>
      <c r="C232" s="70" t="s">
        <v>38</v>
      </c>
      <c r="D232" s="71" t="s">
        <v>1019</v>
      </c>
      <c r="E232" s="71" t="s">
        <v>1020</v>
      </c>
      <c r="F232" s="72"/>
      <c r="G232" s="73"/>
      <c r="H232" s="114" t="s">
        <v>16</v>
      </c>
      <c r="I232" s="165">
        <v>46035</v>
      </c>
      <c r="J232" s="70">
        <v>3</v>
      </c>
      <c r="K232" s="106" t="s">
        <v>1021</v>
      </c>
      <c r="L232" s="104">
        <f t="shared" si="71"/>
        <v>46125</v>
      </c>
      <c r="M232" s="105">
        <f ca="1" t="shared" si="72"/>
        <v>-188</v>
      </c>
      <c r="N232" s="70"/>
      <c r="O232" s="70" t="s">
        <v>721</v>
      </c>
      <c r="P232" s="70" t="s">
        <v>38</v>
      </c>
      <c r="Q232" s="71" t="s">
        <v>1019</v>
      </c>
      <c r="R232" s="71" t="s">
        <v>1020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1022</v>
      </c>
      <c r="Y232" s="104">
        <f t="shared" si="79"/>
        <v>46226</v>
      </c>
      <c r="Z232" s="105">
        <f ca="1" t="shared" si="80"/>
        <v>-87</v>
      </c>
      <c r="AA232" s="70"/>
      <c r="AB232" s="70" t="s">
        <v>721</v>
      </c>
      <c r="AC232" s="70" t="s">
        <v>38</v>
      </c>
      <c r="AD232" s="71" t="s">
        <v>1019</v>
      </c>
      <c r="AE232" s="71" t="s">
        <v>1020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1023</v>
      </c>
      <c r="AL232" s="104">
        <f t="shared" si="75"/>
        <v>46313</v>
      </c>
      <c r="AM232" s="105">
        <f ca="1" t="shared" si="76"/>
        <v>0</v>
      </c>
      <c r="AN232" s="115"/>
      <c r="AO232" s="115"/>
      <c r="AP232" s="115"/>
      <c r="AQ232" s="93"/>
      <c r="AR232" s="185"/>
      <c r="AS232" s="94"/>
      <c r="AT232" s="186"/>
      <c r="AU232" s="79"/>
      <c r="AV232" s="117"/>
      <c r="AW232" s="115"/>
      <c r="AX232" s="106"/>
      <c r="AY232" s="104">
        <f t="shared" si="83"/>
        <v>0</v>
      </c>
      <c r="AZ232" s="105">
        <f ca="1" t="shared" si="84"/>
        <v>-46313</v>
      </c>
    </row>
    <row r="233" customHeight="1" spans="1:52">
      <c r="A233" s="70">
        <v>231</v>
      </c>
      <c r="B233" s="70" t="s">
        <v>721</v>
      </c>
      <c r="C233" s="70" t="s">
        <v>13</v>
      </c>
      <c r="D233" s="71" t="s">
        <v>1024</v>
      </c>
      <c r="E233" s="71" t="s">
        <v>516</v>
      </c>
      <c r="F233" s="72"/>
      <c r="G233" s="73"/>
      <c r="H233" s="114" t="s">
        <v>16</v>
      </c>
      <c r="I233" s="165">
        <v>46035</v>
      </c>
      <c r="J233" s="70">
        <v>3</v>
      </c>
      <c r="K233" s="106" t="s">
        <v>1025</v>
      </c>
      <c r="L233" s="104">
        <f t="shared" si="71"/>
        <v>46125</v>
      </c>
      <c r="M233" s="105">
        <f ca="1" t="shared" si="72"/>
        <v>-188</v>
      </c>
      <c r="N233" s="70"/>
      <c r="O233" s="70" t="s">
        <v>721</v>
      </c>
      <c r="P233" s="70" t="s">
        <v>13</v>
      </c>
      <c r="Q233" s="71" t="s">
        <v>1024</v>
      </c>
      <c r="R233" s="71" t="s">
        <v>516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1026</v>
      </c>
      <c r="Y233" s="104">
        <f t="shared" si="79"/>
        <v>46226</v>
      </c>
      <c r="Z233" s="105">
        <f ca="1" t="shared" si="80"/>
        <v>-87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75"/>
        <v>0</v>
      </c>
      <c r="AM233" s="105">
        <f ca="1" t="shared" si="76"/>
        <v>-46313</v>
      </c>
      <c r="AN233" s="115"/>
      <c r="AO233" s="115"/>
      <c r="AP233" s="115"/>
      <c r="AQ233" s="93"/>
      <c r="AR233" s="93"/>
      <c r="AS233" s="94"/>
      <c r="AT233" s="95"/>
      <c r="AU233" s="114"/>
      <c r="AV233" s="117"/>
      <c r="AW233" s="115"/>
      <c r="AX233" s="106"/>
      <c r="AY233" s="104">
        <f t="shared" si="83"/>
        <v>0</v>
      </c>
      <c r="AZ233" s="105">
        <f ca="1" t="shared" si="84"/>
        <v>-46313</v>
      </c>
    </row>
    <row r="234" customHeight="1" spans="1:52">
      <c r="A234" s="70">
        <v>232</v>
      </c>
      <c r="B234" s="70" t="s">
        <v>644</v>
      </c>
      <c r="C234" s="70" t="s">
        <v>264</v>
      </c>
      <c r="D234" s="71" t="s">
        <v>265</v>
      </c>
      <c r="E234" s="71" t="s">
        <v>266</v>
      </c>
      <c r="F234" s="72"/>
      <c r="G234" s="73"/>
      <c r="H234" s="151"/>
      <c r="I234" s="165">
        <v>46035</v>
      </c>
      <c r="J234" s="165" t="s">
        <v>767</v>
      </c>
      <c r="K234" s="106"/>
      <c r="L234" s="104" t="e">
        <f t="shared" si="71"/>
        <v>#VALUE!</v>
      </c>
      <c r="M234" s="105" t="e">
        <f ca="1" t="shared" si="72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79"/>
        <v>0</v>
      </c>
      <c r="Z234" s="105">
        <f ca="1" t="shared" si="80"/>
        <v>-46313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75"/>
        <v>0</v>
      </c>
      <c r="AM234" s="105">
        <f ca="1" t="shared" si="76"/>
        <v>-46313</v>
      </c>
      <c r="AN234" s="115"/>
      <c r="AO234" s="70"/>
      <c r="AP234" s="70"/>
      <c r="AQ234" s="71"/>
      <c r="AR234" s="71"/>
      <c r="AS234" s="72"/>
      <c r="AT234" s="73"/>
      <c r="AU234" s="114"/>
      <c r="AV234" s="117"/>
      <c r="AW234" s="115"/>
      <c r="AX234" s="106"/>
      <c r="AY234" s="104">
        <f t="shared" si="83"/>
        <v>0</v>
      </c>
      <c r="AZ234" s="105">
        <f ca="1" t="shared" si="84"/>
        <v>-46313</v>
      </c>
    </row>
    <row r="235" customHeight="1" spans="1:52">
      <c r="A235" s="70">
        <v>233</v>
      </c>
      <c r="B235" s="70" t="s">
        <v>1027</v>
      </c>
      <c r="C235" s="70" t="s">
        <v>374</v>
      </c>
      <c r="D235" s="71" t="s">
        <v>1028</v>
      </c>
      <c r="E235" s="71" t="s">
        <v>1029</v>
      </c>
      <c r="F235" s="72"/>
      <c r="G235" s="73"/>
      <c r="H235" s="114" t="s">
        <v>16</v>
      </c>
      <c r="I235" s="165">
        <v>46035</v>
      </c>
      <c r="J235" s="70">
        <v>3</v>
      </c>
      <c r="K235" s="106" t="s">
        <v>1030</v>
      </c>
      <c r="L235" s="104">
        <f t="shared" si="71"/>
        <v>46125</v>
      </c>
      <c r="M235" s="105">
        <f ca="1" t="shared" si="72"/>
        <v>-188</v>
      </c>
      <c r="N235" s="70"/>
      <c r="O235" s="70" t="s">
        <v>1027</v>
      </c>
      <c r="P235" s="70" t="s">
        <v>374</v>
      </c>
      <c r="Q235" s="71" t="s">
        <v>1028</v>
      </c>
      <c r="R235" s="71" t="s">
        <v>1029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1031</v>
      </c>
      <c r="Y235" s="104">
        <f t="shared" si="79"/>
        <v>46207</v>
      </c>
      <c r="Z235" s="105">
        <f ca="1" t="shared" si="80"/>
        <v>-106</v>
      </c>
      <c r="AA235" s="105"/>
      <c r="AB235" s="70" t="s">
        <v>1027</v>
      </c>
      <c r="AC235" s="70" t="s">
        <v>374</v>
      </c>
      <c r="AD235" s="71" t="s">
        <v>1028</v>
      </c>
      <c r="AE235" s="71" t="s">
        <v>1029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1032</v>
      </c>
      <c r="AL235" s="104">
        <f t="shared" si="75"/>
        <v>46311</v>
      </c>
      <c r="AM235" s="105">
        <f ca="1" t="shared" si="76"/>
        <v>-2</v>
      </c>
      <c r="AN235" s="115"/>
      <c r="AO235" s="70" t="s">
        <v>1027</v>
      </c>
      <c r="AP235" s="70" t="s">
        <v>374</v>
      </c>
      <c r="AQ235" s="71" t="s">
        <v>1028</v>
      </c>
      <c r="AR235" s="71" t="s">
        <v>1029</v>
      </c>
      <c r="AS235" s="72"/>
      <c r="AT235" s="73"/>
      <c r="AU235" s="114" t="s">
        <v>16</v>
      </c>
      <c r="AV235" s="117">
        <v>46305</v>
      </c>
      <c r="AW235" s="115">
        <v>3</v>
      </c>
      <c r="AX235" s="106"/>
      <c r="AY235" s="104">
        <f t="shared" si="83"/>
        <v>46397</v>
      </c>
      <c r="AZ235" s="105">
        <f ca="1" t="shared" si="84"/>
        <v>84</v>
      </c>
    </row>
    <row r="236" customHeight="1" spans="1:52">
      <c r="A236" s="70">
        <v>234</v>
      </c>
      <c r="B236" s="70" t="s">
        <v>1027</v>
      </c>
      <c r="C236" s="70" t="s">
        <v>374</v>
      </c>
      <c r="D236" s="71" t="s">
        <v>1033</v>
      </c>
      <c r="E236" s="71" t="s">
        <v>1029</v>
      </c>
      <c r="F236" s="72"/>
      <c r="G236" s="73"/>
      <c r="H236" s="114" t="s">
        <v>16</v>
      </c>
      <c r="I236" s="165">
        <v>46035</v>
      </c>
      <c r="J236" s="70">
        <v>3</v>
      </c>
      <c r="K236" s="106" t="s">
        <v>1034</v>
      </c>
      <c r="L236" s="104">
        <f t="shared" si="71"/>
        <v>46125</v>
      </c>
      <c r="M236" s="105">
        <f ca="1" t="shared" si="72"/>
        <v>-188</v>
      </c>
      <c r="N236" s="70"/>
      <c r="O236" s="70" t="s">
        <v>1027</v>
      </c>
      <c r="P236" s="70" t="s">
        <v>374</v>
      </c>
      <c r="Q236" s="71" t="s">
        <v>1033</v>
      </c>
      <c r="R236" s="71" t="s">
        <v>1029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1035</v>
      </c>
      <c r="Y236" s="104">
        <f t="shared" si="79"/>
        <v>46207</v>
      </c>
      <c r="Z236" s="105">
        <f ca="1" t="shared" si="80"/>
        <v>-106</v>
      </c>
      <c r="AA236" s="105"/>
      <c r="AB236" s="70" t="s">
        <v>1027</v>
      </c>
      <c r="AC236" s="70" t="s">
        <v>374</v>
      </c>
      <c r="AD236" s="71" t="s">
        <v>1033</v>
      </c>
      <c r="AE236" s="71" t="s">
        <v>1029</v>
      </c>
      <c r="AF236" s="72"/>
      <c r="AG236" s="73"/>
      <c r="AH236" s="114" t="s">
        <v>16</v>
      </c>
      <c r="AI236" s="102">
        <v>46311</v>
      </c>
      <c r="AJ236" s="70">
        <v>3</v>
      </c>
      <c r="AK236" s="103"/>
      <c r="AL236" s="104">
        <f t="shared" ref="AL236:AL262" si="85">EDATE(AI236,AJ236)</f>
        <v>46403</v>
      </c>
      <c r="AM236" s="105">
        <f ca="1" t="shared" ref="AM236:AM262" si="86">AL236-TODAY()</f>
        <v>90</v>
      </c>
      <c r="AN236" s="115"/>
      <c r="AO236" s="115"/>
      <c r="AP236" s="115"/>
      <c r="AQ236" s="93"/>
      <c r="AR236" s="93"/>
      <c r="AS236" s="94"/>
      <c r="AT236" s="95"/>
      <c r="AU236" s="114"/>
      <c r="AV236" s="117"/>
      <c r="AW236" s="115"/>
      <c r="AX236" s="106"/>
      <c r="AY236" s="104">
        <f t="shared" si="83"/>
        <v>0</v>
      </c>
      <c r="AZ236" s="105">
        <f ca="1" t="shared" si="84"/>
        <v>-46313</v>
      </c>
    </row>
    <row r="237" customHeight="1" spans="1:52">
      <c r="A237" s="70">
        <v>235</v>
      </c>
      <c r="B237" s="70" t="s">
        <v>1036</v>
      </c>
      <c r="C237" s="70" t="s">
        <v>374</v>
      </c>
      <c r="D237" s="71" t="s">
        <v>1037</v>
      </c>
      <c r="E237" s="71" t="s">
        <v>1038</v>
      </c>
      <c r="F237" s="72"/>
      <c r="G237" s="73"/>
      <c r="H237" s="151"/>
      <c r="I237" s="165">
        <v>46035</v>
      </c>
      <c r="J237" s="70">
        <v>3</v>
      </c>
      <c r="K237" s="106" t="s">
        <v>1039</v>
      </c>
      <c r="L237" s="104">
        <f t="shared" si="71"/>
        <v>46125</v>
      </c>
      <c r="M237" s="105">
        <f ca="1" t="shared" si="72"/>
        <v>-188</v>
      </c>
      <c r="N237" s="70"/>
      <c r="O237" s="70" t="s">
        <v>1036</v>
      </c>
      <c r="P237" s="70" t="s">
        <v>374</v>
      </c>
      <c r="Q237" s="71" t="s">
        <v>1037</v>
      </c>
      <c r="R237" s="71" t="s">
        <v>1038</v>
      </c>
      <c r="S237" s="72"/>
      <c r="T237" s="73"/>
      <c r="U237" s="151"/>
      <c r="V237" s="102">
        <v>46224</v>
      </c>
      <c r="W237" s="70">
        <v>3</v>
      </c>
      <c r="X237" s="103" t="s">
        <v>1040</v>
      </c>
      <c r="Y237" s="104">
        <f t="shared" ref="Y237:Y260" si="87">EDATE(V237,W237)</f>
        <v>46316</v>
      </c>
      <c r="Z237" s="105">
        <f ca="1" t="shared" ref="Z237:Z260" si="88">Y237-TODAY()</f>
        <v>3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85"/>
        <v>0</v>
      </c>
      <c r="AM237" s="105">
        <f ca="1" t="shared" si="86"/>
        <v>-46313</v>
      </c>
      <c r="AN237" s="115"/>
      <c r="AO237" s="70"/>
      <c r="AP237" s="70"/>
      <c r="AQ237" s="71"/>
      <c r="AR237" s="71"/>
      <c r="AS237" s="72"/>
      <c r="AT237" s="73"/>
      <c r="AU237" s="114"/>
      <c r="AV237" s="117"/>
      <c r="AW237" s="115"/>
      <c r="AX237" s="106"/>
      <c r="AY237" s="104">
        <f t="shared" si="83"/>
        <v>0</v>
      </c>
      <c r="AZ237" s="105">
        <f ca="1" t="shared" si="84"/>
        <v>-46313</v>
      </c>
    </row>
    <row r="238" customHeight="1" spans="1:52">
      <c r="A238" s="70">
        <v>236</v>
      </c>
      <c r="B238" s="70" t="s">
        <v>685</v>
      </c>
      <c r="C238" s="70" t="s">
        <v>13</v>
      </c>
      <c r="D238" s="71" t="s">
        <v>1041</v>
      </c>
      <c r="E238" s="71" t="s">
        <v>126</v>
      </c>
      <c r="F238" s="72"/>
      <c r="G238" s="73"/>
      <c r="H238" s="151"/>
      <c r="I238" s="165">
        <v>46036</v>
      </c>
      <c r="J238" s="70">
        <v>3</v>
      </c>
      <c r="K238" s="106" t="s">
        <v>1042</v>
      </c>
      <c r="L238" s="104">
        <f t="shared" si="71"/>
        <v>46126</v>
      </c>
      <c r="M238" s="105">
        <f ca="1" t="shared" si="72"/>
        <v>-187</v>
      </c>
      <c r="N238" s="70"/>
      <c r="O238" s="70" t="s">
        <v>685</v>
      </c>
      <c r="P238" s="70" t="s">
        <v>13</v>
      </c>
      <c r="Q238" s="71" t="s">
        <v>1041</v>
      </c>
      <c r="R238" s="71" t="s">
        <v>126</v>
      </c>
      <c r="S238" s="72"/>
      <c r="T238" s="73"/>
      <c r="U238" s="151"/>
      <c r="V238" s="102">
        <v>46135</v>
      </c>
      <c r="W238" s="70">
        <v>3</v>
      </c>
      <c r="X238" s="103" t="s">
        <v>1043</v>
      </c>
      <c r="Y238" s="104">
        <f t="shared" si="87"/>
        <v>46226</v>
      </c>
      <c r="Z238" s="105">
        <f ca="1" t="shared" si="88"/>
        <v>-87</v>
      </c>
      <c r="AA238" s="105"/>
      <c r="AB238" s="70" t="s">
        <v>685</v>
      </c>
      <c r="AC238" s="70" t="s">
        <v>13</v>
      </c>
      <c r="AD238" s="71" t="s">
        <v>1041</v>
      </c>
      <c r="AE238" s="71" t="s">
        <v>126</v>
      </c>
      <c r="AF238" s="72"/>
      <c r="AG238" s="73"/>
      <c r="AH238" s="151"/>
      <c r="AI238" s="102">
        <v>46242</v>
      </c>
      <c r="AJ238" s="70">
        <v>3</v>
      </c>
      <c r="AK238" s="103" t="s">
        <v>1044</v>
      </c>
      <c r="AL238" s="104">
        <f t="shared" si="85"/>
        <v>46334</v>
      </c>
      <c r="AM238" s="105">
        <f ca="1" t="shared" si="86"/>
        <v>21</v>
      </c>
      <c r="AN238" s="115"/>
      <c r="AO238" s="70"/>
      <c r="AP238" s="70"/>
      <c r="AQ238" s="71"/>
      <c r="AR238" s="71"/>
      <c r="AS238" s="72"/>
      <c r="AT238" s="73"/>
      <c r="AU238" s="151"/>
      <c r="AV238" s="117"/>
      <c r="AW238" s="115"/>
      <c r="AX238" s="106"/>
      <c r="AY238" s="104">
        <f t="shared" si="83"/>
        <v>0</v>
      </c>
      <c r="AZ238" s="105">
        <f ca="1" t="shared" si="84"/>
        <v>-46313</v>
      </c>
    </row>
    <row r="239" customHeight="1" spans="1:52">
      <c r="A239" s="70">
        <v>237</v>
      </c>
      <c r="B239" s="70" t="s">
        <v>685</v>
      </c>
      <c r="C239" s="70" t="s">
        <v>38</v>
      </c>
      <c r="D239" s="71" t="s">
        <v>1045</v>
      </c>
      <c r="E239" s="71" t="s">
        <v>189</v>
      </c>
      <c r="F239" s="72"/>
      <c r="G239" s="73"/>
      <c r="H239" s="114" t="s">
        <v>16</v>
      </c>
      <c r="I239" s="165">
        <v>46036</v>
      </c>
      <c r="J239" s="70">
        <v>3</v>
      </c>
      <c r="K239" s="106" t="s">
        <v>1046</v>
      </c>
      <c r="L239" s="104">
        <f t="shared" si="71"/>
        <v>46126</v>
      </c>
      <c r="M239" s="105">
        <f ca="1" t="shared" si="72"/>
        <v>-187</v>
      </c>
      <c r="N239" s="70"/>
      <c r="O239" s="70" t="s">
        <v>685</v>
      </c>
      <c r="P239" s="70" t="s">
        <v>38</v>
      </c>
      <c r="Q239" s="71" t="s">
        <v>1045</v>
      </c>
      <c r="R239" s="71" t="s">
        <v>189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1047</v>
      </c>
      <c r="Y239" s="104">
        <f t="shared" si="87"/>
        <v>46214</v>
      </c>
      <c r="Z239" s="105">
        <f ca="1" t="shared" si="88"/>
        <v>-99</v>
      </c>
      <c r="AA239" s="105"/>
      <c r="AB239" s="70" t="s">
        <v>685</v>
      </c>
      <c r="AC239" s="70" t="s">
        <v>38</v>
      </c>
      <c r="AD239" s="71" t="s">
        <v>1045</v>
      </c>
      <c r="AE239" s="71" t="s">
        <v>189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1048</v>
      </c>
      <c r="AL239" s="104">
        <f t="shared" si="85"/>
        <v>46315</v>
      </c>
      <c r="AM239" s="105">
        <f ca="1" t="shared" si="86"/>
        <v>2</v>
      </c>
      <c r="AN239" s="115"/>
      <c r="AO239" s="115"/>
      <c r="AP239" s="115"/>
      <c r="AQ239" s="93"/>
      <c r="AR239" s="93"/>
      <c r="AS239" s="94"/>
      <c r="AT239" s="95"/>
      <c r="AU239" s="79"/>
      <c r="AV239" s="117"/>
      <c r="AW239" s="115"/>
      <c r="AX239" s="106"/>
      <c r="AY239" s="104">
        <f t="shared" si="83"/>
        <v>0</v>
      </c>
      <c r="AZ239" s="105">
        <f ca="1" t="shared" si="84"/>
        <v>-46313</v>
      </c>
    </row>
    <row r="240" customHeight="1" spans="1:52">
      <c r="A240" s="70">
        <v>238</v>
      </c>
      <c r="B240" s="70" t="s">
        <v>685</v>
      </c>
      <c r="C240" s="70" t="s">
        <v>38</v>
      </c>
      <c r="D240" s="71" t="s">
        <v>1049</v>
      </c>
      <c r="E240" s="71" t="s">
        <v>145</v>
      </c>
      <c r="F240" s="72"/>
      <c r="G240" s="73"/>
      <c r="H240" s="114" t="s">
        <v>16</v>
      </c>
      <c r="I240" s="165">
        <v>46036</v>
      </c>
      <c r="J240" s="70">
        <v>3</v>
      </c>
      <c r="K240" s="106" t="s">
        <v>1050</v>
      </c>
      <c r="L240" s="104">
        <f t="shared" si="71"/>
        <v>46126</v>
      </c>
      <c r="M240" s="105">
        <f ca="1" t="shared" si="72"/>
        <v>-187</v>
      </c>
      <c r="N240" s="70"/>
      <c r="O240" s="70" t="s">
        <v>685</v>
      </c>
      <c r="P240" s="70" t="s">
        <v>38</v>
      </c>
      <c r="Q240" s="71" t="s">
        <v>1049</v>
      </c>
      <c r="R240" s="71" t="s">
        <v>145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1051</v>
      </c>
      <c r="Y240" s="104">
        <f t="shared" si="87"/>
        <v>46214</v>
      </c>
      <c r="Z240" s="105">
        <f ca="1" t="shared" si="88"/>
        <v>-99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85"/>
        <v>0</v>
      </c>
      <c r="AM240" s="105">
        <f ca="1" t="shared" si="86"/>
        <v>-46313</v>
      </c>
      <c r="AN240" s="115"/>
      <c r="AO240" s="115"/>
      <c r="AP240" s="115"/>
      <c r="AQ240" s="93"/>
      <c r="AR240" s="93"/>
      <c r="AS240" s="94"/>
      <c r="AT240" s="95"/>
      <c r="AU240" s="114"/>
      <c r="AV240" s="117"/>
      <c r="AW240" s="115"/>
      <c r="AX240" s="106"/>
      <c r="AY240" s="104">
        <f t="shared" si="83"/>
        <v>0</v>
      </c>
      <c r="AZ240" s="105">
        <f ca="1" t="shared" si="84"/>
        <v>-46313</v>
      </c>
    </row>
    <row r="241" customHeight="1" spans="1:52">
      <c r="A241" s="70">
        <v>239</v>
      </c>
      <c r="B241" s="70" t="s">
        <v>685</v>
      </c>
      <c r="C241" s="70" t="s">
        <v>13</v>
      </c>
      <c r="D241" s="71" t="s">
        <v>1052</v>
      </c>
      <c r="E241" s="71" t="s">
        <v>1053</v>
      </c>
      <c r="F241" s="72"/>
      <c r="G241" s="73"/>
      <c r="H241" s="114" t="s">
        <v>16</v>
      </c>
      <c r="I241" s="165">
        <v>46036</v>
      </c>
      <c r="J241" s="70">
        <v>3</v>
      </c>
      <c r="K241" s="106" t="s">
        <v>1054</v>
      </c>
      <c r="L241" s="104">
        <f t="shared" si="71"/>
        <v>46126</v>
      </c>
      <c r="M241" s="105">
        <f ca="1" t="shared" si="72"/>
        <v>-187</v>
      </c>
      <c r="N241" s="70"/>
      <c r="O241" s="70" t="s">
        <v>685</v>
      </c>
      <c r="P241" s="70" t="s">
        <v>13</v>
      </c>
      <c r="Q241" s="71" t="s">
        <v>1052</v>
      </c>
      <c r="R241" s="71" t="s">
        <v>1053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1055</v>
      </c>
      <c r="Y241" s="104">
        <f t="shared" si="87"/>
        <v>46279</v>
      </c>
      <c r="Z241" s="105">
        <f ca="1" t="shared" si="88"/>
        <v>-34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85"/>
        <v>0</v>
      </c>
      <c r="AM241" s="105">
        <f ca="1" t="shared" si="86"/>
        <v>-46313</v>
      </c>
      <c r="AN241" s="115"/>
      <c r="AO241" s="70"/>
      <c r="AP241" s="70"/>
      <c r="AQ241" s="71"/>
      <c r="AR241" s="71"/>
      <c r="AS241" s="72"/>
      <c r="AT241" s="73"/>
      <c r="AU241" s="114"/>
      <c r="AV241" s="117"/>
      <c r="AW241" s="115"/>
      <c r="AX241" s="106"/>
      <c r="AY241" s="104">
        <f t="shared" si="83"/>
        <v>0</v>
      </c>
      <c r="AZ241" s="105">
        <f ca="1" t="shared" si="84"/>
        <v>-46313</v>
      </c>
    </row>
    <row r="242" customHeight="1" spans="1:52">
      <c r="A242" s="70">
        <v>240</v>
      </c>
      <c r="B242" s="70" t="s">
        <v>685</v>
      </c>
      <c r="C242" s="70" t="s">
        <v>13</v>
      </c>
      <c r="D242" s="71" t="s">
        <v>1056</v>
      </c>
      <c r="E242" s="71" t="s">
        <v>1057</v>
      </c>
      <c r="F242" s="72"/>
      <c r="G242" s="73"/>
      <c r="H242" s="114" t="s">
        <v>16</v>
      </c>
      <c r="I242" s="165">
        <v>46036</v>
      </c>
      <c r="J242" s="70">
        <v>3</v>
      </c>
      <c r="K242" s="106" t="s">
        <v>1058</v>
      </c>
      <c r="L242" s="104">
        <f t="shared" si="71"/>
        <v>46126</v>
      </c>
      <c r="M242" s="105">
        <f ca="1" t="shared" si="72"/>
        <v>-187</v>
      </c>
      <c r="N242" s="70"/>
      <c r="O242" s="70" t="s">
        <v>685</v>
      </c>
      <c r="P242" s="70" t="s">
        <v>13</v>
      </c>
      <c r="Q242" s="71" t="s">
        <v>1056</v>
      </c>
      <c r="R242" s="71" t="s">
        <v>1057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1059</v>
      </c>
      <c r="Y242" s="104">
        <f t="shared" si="87"/>
        <v>46279</v>
      </c>
      <c r="Z242" s="105">
        <f ca="1" t="shared" si="88"/>
        <v>-34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85"/>
        <v>0</v>
      </c>
      <c r="AM242" s="105">
        <f ca="1" t="shared" si="86"/>
        <v>-46313</v>
      </c>
      <c r="AN242" s="115"/>
      <c r="AO242" s="70"/>
      <c r="AP242" s="70"/>
      <c r="AQ242" s="71"/>
      <c r="AR242" s="71"/>
      <c r="AS242" s="72"/>
      <c r="AT242" s="73"/>
      <c r="AU242" s="114"/>
      <c r="AV242" s="117"/>
      <c r="AW242" s="115"/>
      <c r="AX242" s="106"/>
      <c r="AY242" s="104">
        <f t="shared" si="83"/>
        <v>0</v>
      </c>
      <c r="AZ242" s="105">
        <f ca="1" t="shared" si="84"/>
        <v>-46313</v>
      </c>
    </row>
    <row r="243" customHeight="1" spans="1:52">
      <c r="A243" s="70">
        <v>241</v>
      </c>
      <c r="B243" s="70" t="s">
        <v>685</v>
      </c>
      <c r="C243" s="70" t="s">
        <v>13</v>
      </c>
      <c r="D243" s="70" t="s">
        <v>1060</v>
      </c>
      <c r="E243" s="71" t="s">
        <v>604</v>
      </c>
      <c r="F243" s="72"/>
      <c r="G243" s="73"/>
      <c r="H243" s="114" t="s">
        <v>16</v>
      </c>
      <c r="I243" s="165">
        <v>46036</v>
      </c>
      <c r="J243" s="70">
        <v>3</v>
      </c>
      <c r="K243" s="106" t="s">
        <v>1061</v>
      </c>
      <c r="L243" s="104">
        <f t="shared" si="71"/>
        <v>46126</v>
      </c>
      <c r="M243" s="105">
        <f ca="1" t="shared" si="72"/>
        <v>-187</v>
      </c>
      <c r="N243" s="70"/>
      <c r="O243" s="70" t="s">
        <v>685</v>
      </c>
      <c r="P243" s="70" t="s">
        <v>13</v>
      </c>
      <c r="Q243" s="70" t="s">
        <v>1060</v>
      </c>
      <c r="R243" s="71" t="s">
        <v>604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1062</v>
      </c>
      <c r="Y243" s="104">
        <f t="shared" si="87"/>
        <v>46279</v>
      </c>
      <c r="Z243" s="105">
        <f ca="1" t="shared" si="88"/>
        <v>-34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85"/>
        <v>0</v>
      </c>
      <c r="AM243" s="105">
        <f ca="1" t="shared" si="86"/>
        <v>-46313</v>
      </c>
      <c r="AN243" s="115"/>
      <c r="AO243" s="70"/>
      <c r="AP243" s="70"/>
      <c r="AQ243" s="70"/>
      <c r="AR243" s="71"/>
      <c r="AS243" s="72"/>
      <c r="AT243" s="73"/>
      <c r="AU243" s="114"/>
      <c r="AV243" s="117"/>
      <c r="AW243" s="115"/>
      <c r="AX243" s="106"/>
      <c r="AY243" s="104">
        <f t="shared" si="83"/>
        <v>0</v>
      </c>
      <c r="AZ243" s="105">
        <f ca="1" t="shared" si="84"/>
        <v>-46313</v>
      </c>
    </row>
    <row r="244" customHeight="1" spans="1:52">
      <c r="A244" s="70">
        <v>242</v>
      </c>
      <c r="B244" s="70" t="s">
        <v>685</v>
      </c>
      <c r="C244" s="70" t="s">
        <v>38</v>
      </c>
      <c r="D244" s="71" t="s">
        <v>1063</v>
      </c>
      <c r="E244" s="71" t="s">
        <v>40</v>
      </c>
      <c r="F244" s="72"/>
      <c r="G244" s="73"/>
      <c r="H244" s="151"/>
      <c r="I244" s="165">
        <v>46036</v>
      </c>
      <c r="J244" s="70">
        <v>3</v>
      </c>
      <c r="K244" s="106" t="s">
        <v>1064</v>
      </c>
      <c r="L244" s="104">
        <f t="shared" si="71"/>
        <v>46126</v>
      </c>
      <c r="M244" s="105">
        <f ca="1" t="shared" si="72"/>
        <v>-187</v>
      </c>
      <c r="N244" s="70"/>
      <c r="O244" s="70" t="s">
        <v>685</v>
      </c>
      <c r="P244" s="70" t="s">
        <v>38</v>
      </c>
      <c r="Q244" s="71" t="s">
        <v>1063</v>
      </c>
      <c r="R244" s="71" t="s">
        <v>40</v>
      </c>
      <c r="S244" s="72"/>
      <c r="T244" s="73"/>
      <c r="U244" s="151"/>
      <c r="V244" s="102">
        <v>46135</v>
      </c>
      <c r="W244" s="70">
        <v>3</v>
      </c>
      <c r="X244" s="103" t="s">
        <v>1065</v>
      </c>
      <c r="Y244" s="104">
        <f t="shared" si="87"/>
        <v>46226</v>
      </c>
      <c r="Z244" s="105">
        <f ca="1" t="shared" si="88"/>
        <v>-87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85"/>
        <v>0</v>
      </c>
      <c r="AM244" s="105">
        <f ca="1" t="shared" si="86"/>
        <v>-46313</v>
      </c>
      <c r="AN244" s="115"/>
      <c r="AO244" s="115"/>
      <c r="AP244" s="115"/>
      <c r="AQ244" s="93"/>
      <c r="AR244" s="93"/>
      <c r="AS244" s="94"/>
      <c r="AT244" s="95"/>
      <c r="AU244" s="79"/>
      <c r="AV244" s="117"/>
      <c r="AW244" s="115"/>
      <c r="AX244" s="106"/>
      <c r="AY244" s="104">
        <f t="shared" si="83"/>
        <v>0</v>
      </c>
      <c r="AZ244" s="105">
        <f ca="1" t="shared" si="84"/>
        <v>-46313</v>
      </c>
    </row>
    <row r="245" customHeight="1" spans="1:52">
      <c r="A245" s="70">
        <v>243</v>
      </c>
      <c r="B245" s="70" t="s">
        <v>685</v>
      </c>
      <c r="C245" s="70" t="s">
        <v>38</v>
      </c>
      <c r="D245" s="71" t="s">
        <v>1066</v>
      </c>
      <c r="E245" s="71" t="s">
        <v>593</v>
      </c>
      <c r="F245" s="72"/>
      <c r="G245" s="73"/>
      <c r="H245" s="114" t="s">
        <v>16</v>
      </c>
      <c r="I245" s="165">
        <v>46036</v>
      </c>
      <c r="J245" s="70">
        <v>3</v>
      </c>
      <c r="K245" s="106" t="s">
        <v>1067</v>
      </c>
      <c r="L245" s="104">
        <f t="shared" si="71"/>
        <v>46126</v>
      </c>
      <c r="M245" s="105">
        <f ca="1" t="shared" si="72"/>
        <v>-187</v>
      </c>
      <c r="N245" s="70"/>
      <c r="O245" s="70" t="s">
        <v>685</v>
      </c>
      <c r="P245" s="70" t="s">
        <v>38</v>
      </c>
      <c r="Q245" s="71" t="s">
        <v>1066</v>
      </c>
      <c r="R245" s="71" t="s">
        <v>593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1068</v>
      </c>
      <c r="Y245" s="104">
        <f t="shared" si="87"/>
        <v>46249</v>
      </c>
      <c r="Z245" s="105">
        <f ca="1" t="shared" si="88"/>
        <v>-64</v>
      </c>
      <c r="AA245" s="105"/>
      <c r="AB245" s="70" t="s">
        <v>685</v>
      </c>
      <c r="AC245" s="70" t="s">
        <v>38</v>
      </c>
      <c r="AD245" s="71" t="s">
        <v>1066</v>
      </c>
      <c r="AE245" s="71" t="s">
        <v>593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1069</v>
      </c>
      <c r="AL245" s="104">
        <f t="shared" si="85"/>
        <v>46326</v>
      </c>
      <c r="AM245" s="105">
        <f ca="1" t="shared" si="86"/>
        <v>13</v>
      </c>
      <c r="AN245" s="115"/>
      <c r="AO245" s="115"/>
      <c r="AP245" s="115"/>
      <c r="AQ245" s="93"/>
      <c r="AR245" s="93"/>
      <c r="AS245" s="94"/>
      <c r="AT245" s="95"/>
      <c r="AU245" s="79"/>
      <c r="AV245" s="117"/>
      <c r="AW245" s="115"/>
      <c r="AX245" s="106"/>
      <c r="AY245" s="104">
        <f t="shared" si="83"/>
        <v>0</v>
      </c>
      <c r="AZ245" s="105">
        <f ca="1" t="shared" si="84"/>
        <v>-46313</v>
      </c>
    </row>
    <row r="246" customHeight="1" spans="1:52">
      <c r="A246" s="70">
        <v>244</v>
      </c>
      <c r="B246" s="70" t="s">
        <v>685</v>
      </c>
      <c r="C246" s="70" t="s">
        <v>38</v>
      </c>
      <c r="D246" s="71" t="s">
        <v>1070</v>
      </c>
      <c r="E246" s="71" t="s">
        <v>1071</v>
      </c>
      <c r="F246" s="72"/>
      <c r="G246" s="73"/>
      <c r="H246" s="114" t="s">
        <v>16</v>
      </c>
      <c r="I246" s="165">
        <v>46036</v>
      </c>
      <c r="J246" s="70">
        <v>3</v>
      </c>
      <c r="K246" s="106" t="s">
        <v>1072</v>
      </c>
      <c r="L246" s="104">
        <f t="shared" si="71"/>
        <v>46126</v>
      </c>
      <c r="M246" s="105">
        <f ca="1" t="shared" si="72"/>
        <v>-187</v>
      </c>
      <c r="N246" s="70"/>
      <c r="O246" s="70" t="s">
        <v>685</v>
      </c>
      <c r="P246" s="70" t="s">
        <v>38</v>
      </c>
      <c r="Q246" s="71" t="s">
        <v>1070</v>
      </c>
      <c r="R246" s="71" t="s">
        <v>1071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1073</v>
      </c>
      <c r="Y246" s="104">
        <f t="shared" si="87"/>
        <v>46252</v>
      </c>
      <c r="Z246" s="105">
        <f ca="1" t="shared" si="88"/>
        <v>-61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85"/>
        <v>0</v>
      </c>
      <c r="AM246" s="105">
        <f ca="1" t="shared" si="86"/>
        <v>-46313</v>
      </c>
      <c r="AN246" s="115"/>
      <c r="AO246" s="70"/>
      <c r="AP246" s="70"/>
      <c r="AQ246" s="71"/>
      <c r="AR246" s="71"/>
      <c r="AS246" s="72"/>
      <c r="AT246" s="73"/>
      <c r="AU246" s="79"/>
      <c r="AV246" s="117"/>
      <c r="AW246" s="115"/>
      <c r="AX246" s="106"/>
      <c r="AY246" s="104">
        <f t="shared" si="83"/>
        <v>0</v>
      </c>
      <c r="AZ246" s="105">
        <f ca="1" t="shared" si="84"/>
        <v>-46313</v>
      </c>
    </row>
    <row r="247" customHeight="1" spans="1:52">
      <c r="A247" s="70">
        <v>245</v>
      </c>
      <c r="B247" s="70" t="s">
        <v>685</v>
      </c>
      <c r="C247" s="70" t="s">
        <v>13</v>
      </c>
      <c r="D247" s="71" t="s">
        <v>1074</v>
      </c>
      <c r="E247" s="71" t="s">
        <v>1075</v>
      </c>
      <c r="F247" s="72"/>
      <c r="G247" s="73"/>
      <c r="H247" s="114" t="s">
        <v>16</v>
      </c>
      <c r="I247" s="165">
        <v>46036</v>
      </c>
      <c r="J247" s="70">
        <v>3</v>
      </c>
      <c r="K247" s="106" t="s">
        <v>1076</v>
      </c>
      <c r="L247" s="104">
        <f t="shared" si="71"/>
        <v>46126</v>
      </c>
      <c r="M247" s="105">
        <f ca="1" t="shared" si="72"/>
        <v>-187</v>
      </c>
      <c r="N247" s="70"/>
      <c r="O247" s="70" t="s">
        <v>685</v>
      </c>
      <c r="P247" s="70" t="s">
        <v>13</v>
      </c>
      <c r="Q247" s="71" t="s">
        <v>1074</v>
      </c>
      <c r="R247" s="71" t="s">
        <v>1075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1077</v>
      </c>
      <c r="Y247" s="104">
        <f t="shared" si="87"/>
        <v>46315</v>
      </c>
      <c r="Z247" s="105">
        <f ca="1" t="shared" si="88"/>
        <v>2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85"/>
        <v>0</v>
      </c>
      <c r="AM247" s="105">
        <f ca="1" t="shared" si="86"/>
        <v>-46313</v>
      </c>
      <c r="AN247" s="115"/>
      <c r="AO247" s="70"/>
      <c r="AP247" s="70"/>
      <c r="AQ247" s="71"/>
      <c r="AR247" s="71"/>
      <c r="AS247" s="72"/>
      <c r="AT247" s="73"/>
      <c r="AU247" s="79"/>
      <c r="AV247" s="117"/>
      <c r="AW247" s="115"/>
      <c r="AX247" s="106"/>
      <c r="AY247" s="104">
        <f t="shared" si="83"/>
        <v>0</v>
      </c>
      <c r="AZ247" s="105">
        <f ca="1" t="shared" si="84"/>
        <v>-46313</v>
      </c>
    </row>
    <row r="248" customHeight="1" spans="1:52">
      <c r="A248" s="70">
        <v>246</v>
      </c>
      <c r="B248" s="70" t="s">
        <v>685</v>
      </c>
      <c r="C248" s="70" t="s">
        <v>13</v>
      </c>
      <c r="D248" s="71" t="s">
        <v>1078</v>
      </c>
      <c r="E248" s="71" t="s">
        <v>80</v>
      </c>
      <c r="F248" s="72"/>
      <c r="G248" s="73"/>
      <c r="H248" s="114" t="s">
        <v>16</v>
      </c>
      <c r="I248" s="165">
        <v>46036</v>
      </c>
      <c r="J248" s="70">
        <v>3</v>
      </c>
      <c r="K248" s="106" t="s">
        <v>1079</v>
      </c>
      <c r="L248" s="104">
        <f t="shared" si="71"/>
        <v>46126</v>
      </c>
      <c r="M248" s="105">
        <f ca="1" t="shared" si="72"/>
        <v>-187</v>
      </c>
      <c r="N248" s="70"/>
      <c r="O248" s="70" t="s">
        <v>685</v>
      </c>
      <c r="P248" s="70" t="s">
        <v>13</v>
      </c>
      <c r="Q248" s="71" t="s">
        <v>1078</v>
      </c>
      <c r="R248" s="71" t="s">
        <v>80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1080</v>
      </c>
      <c r="Y248" s="104">
        <f t="shared" si="87"/>
        <v>46279</v>
      </c>
      <c r="Z248" s="105">
        <f ca="1" t="shared" si="88"/>
        <v>-34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85"/>
        <v>0</v>
      </c>
      <c r="AM248" s="105">
        <f ca="1" t="shared" si="86"/>
        <v>-46313</v>
      </c>
      <c r="AN248" s="115"/>
      <c r="AO248" s="115"/>
      <c r="AP248" s="115"/>
      <c r="AQ248" s="93"/>
      <c r="AR248" s="93"/>
      <c r="AS248" s="94"/>
      <c r="AT248" s="95"/>
      <c r="AU248" s="79"/>
      <c r="AV248" s="117"/>
      <c r="AW248" s="115"/>
      <c r="AX248" s="106"/>
      <c r="AY248" s="104">
        <f t="shared" si="83"/>
        <v>0</v>
      </c>
      <c r="AZ248" s="105">
        <f ca="1" t="shared" si="84"/>
        <v>-46313</v>
      </c>
    </row>
    <row r="249" customHeight="1" spans="1:52">
      <c r="A249" s="70">
        <v>247</v>
      </c>
      <c r="B249" s="70" t="s">
        <v>685</v>
      </c>
      <c r="C249" s="70" t="s">
        <v>38</v>
      </c>
      <c r="D249" s="71" t="s">
        <v>1081</v>
      </c>
      <c r="E249" s="71" t="s">
        <v>589</v>
      </c>
      <c r="F249" s="72"/>
      <c r="G249" s="73"/>
      <c r="H249" s="151"/>
      <c r="I249" s="165">
        <v>46036</v>
      </c>
      <c r="J249" s="70">
        <v>3</v>
      </c>
      <c r="K249" s="106" t="s">
        <v>1082</v>
      </c>
      <c r="L249" s="104">
        <f t="shared" si="71"/>
        <v>46126</v>
      </c>
      <c r="M249" s="105">
        <f ca="1" t="shared" si="72"/>
        <v>-187</v>
      </c>
      <c r="N249" s="70"/>
      <c r="O249" s="70" t="s">
        <v>685</v>
      </c>
      <c r="P249" s="70" t="s">
        <v>38</v>
      </c>
      <c r="Q249" s="71" t="s">
        <v>1081</v>
      </c>
      <c r="U249" s="114" t="s">
        <v>16</v>
      </c>
      <c r="V249" s="102">
        <v>46160</v>
      </c>
      <c r="W249" s="70">
        <v>3</v>
      </c>
      <c r="X249" s="103" t="s">
        <v>1083</v>
      </c>
      <c r="Y249" s="104">
        <f t="shared" si="87"/>
        <v>46252</v>
      </c>
      <c r="Z249" s="105">
        <f ca="1" t="shared" si="88"/>
        <v>-61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85"/>
        <v>0</v>
      </c>
      <c r="AM249" s="105">
        <f ca="1" t="shared" si="86"/>
        <v>-46313</v>
      </c>
      <c r="AN249" s="115"/>
      <c r="AO249" s="70"/>
      <c r="AP249" s="70"/>
      <c r="AQ249" s="71"/>
      <c r="AR249" s="71"/>
      <c r="AS249" s="72"/>
      <c r="AT249" s="73"/>
      <c r="AU249" s="114"/>
      <c r="AV249" s="117"/>
      <c r="AW249" s="115"/>
      <c r="AX249" s="106"/>
      <c r="AY249" s="104">
        <f t="shared" si="83"/>
        <v>0</v>
      </c>
      <c r="AZ249" s="105">
        <f ca="1" t="shared" si="84"/>
        <v>-46313</v>
      </c>
    </row>
    <row r="250" customHeight="1" spans="1:52">
      <c r="A250" s="70">
        <v>248</v>
      </c>
      <c r="B250" s="70" t="s">
        <v>685</v>
      </c>
      <c r="C250" s="70" t="s">
        <v>38</v>
      </c>
      <c r="D250" s="71" t="s">
        <v>1084</v>
      </c>
      <c r="E250" s="71" t="s">
        <v>145</v>
      </c>
      <c r="F250" s="72"/>
      <c r="G250" s="73"/>
      <c r="H250" s="114" t="s">
        <v>16</v>
      </c>
      <c r="I250" s="165">
        <v>46036</v>
      </c>
      <c r="J250" s="70">
        <v>3</v>
      </c>
      <c r="K250" s="106" t="s">
        <v>1085</v>
      </c>
      <c r="L250" s="104">
        <f t="shared" si="71"/>
        <v>46126</v>
      </c>
      <c r="M250" s="105">
        <f ca="1" t="shared" si="72"/>
        <v>-187</v>
      </c>
      <c r="N250" s="70"/>
      <c r="O250" s="70" t="s">
        <v>685</v>
      </c>
      <c r="P250" s="70" t="s">
        <v>38</v>
      </c>
      <c r="Q250" s="71" t="s">
        <v>1084</v>
      </c>
      <c r="R250" s="71" t="s">
        <v>145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1086</v>
      </c>
      <c r="Y250" s="104">
        <f t="shared" si="87"/>
        <v>46252</v>
      </c>
      <c r="Z250" s="105">
        <f ca="1" t="shared" si="88"/>
        <v>-61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85"/>
        <v>0</v>
      </c>
      <c r="AM250" s="105">
        <f ca="1" t="shared" si="86"/>
        <v>-46313</v>
      </c>
      <c r="AN250" s="115"/>
      <c r="AO250" s="115"/>
      <c r="AP250" s="115"/>
      <c r="AQ250" s="93"/>
      <c r="AR250" s="93"/>
      <c r="AS250" s="94"/>
      <c r="AT250" s="95"/>
      <c r="AU250" s="79"/>
      <c r="AV250" s="117"/>
      <c r="AW250" s="115"/>
      <c r="AX250" s="106"/>
      <c r="AY250" s="104">
        <f t="shared" si="83"/>
        <v>0</v>
      </c>
      <c r="AZ250" s="105">
        <f ca="1" t="shared" si="84"/>
        <v>-46313</v>
      </c>
    </row>
    <row r="251" customHeight="1" spans="1:52">
      <c r="A251" s="70">
        <v>249</v>
      </c>
      <c r="B251" s="70" t="s">
        <v>229</v>
      </c>
      <c r="C251" s="70" t="s">
        <v>38</v>
      </c>
      <c r="D251" s="71" t="s">
        <v>1087</v>
      </c>
      <c r="E251" s="71" t="s">
        <v>1088</v>
      </c>
      <c r="F251" s="72"/>
      <c r="G251" s="73"/>
      <c r="H251" s="74" t="s">
        <v>16</v>
      </c>
      <c r="I251" s="165">
        <v>46036</v>
      </c>
      <c r="J251" s="70">
        <v>3</v>
      </c>
      <c r="K251" s="106" t="s">
        <v>1089</v>
      </c>
      <c r="L251" s="104">
        <f t="shared" si="71"/>
        <v>46126</v>
      </c>
      <c r="M251" s="105">
        <f ca="1" t="shared" si="72"/>
        <v>-187</v>
      </c>
      <c r="N251" s="70"/>
      <c r="O251" s="70" t="s">
        <v>229</v>
      </c>
      <c r="P251" s="70" t="s">
        <v>38</v>
      </c>
      <c r="Q251" s="71" t="s">
        <v>1087</v>
      </c>
      <c r="R251" s="71" t="s">
        <v>1088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1090</v>
      </c>
      <c r="Y251" s="104">
        <f t="shared" si="87"/>
        <v>46219</v>
      </c>
      <c r="Z251" s="105">
        <f ca="1" t="shared" si="88"/>
        <v>-94</v>
      </c>
      <c r="AA251" s="105"/>
      <c r="AB251" s="70" t="s">
        <v>229</v>
      </c>
      <c r="AC251" s="70" t="s">
        <v>38</v>
      </c>
      <c r="AD251" s="71" t="s">
        <v>1087</v>
      </c>
      <c r="AE251" s="71" t="s">
        <v>1088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1091</v>
      </c>
      <c r="AL251" s="104">
        <f t="shared" si="85"/>
        <v>46334</v>
      </c>
      <c r="AM251" s="105">
        <f ca="1" t="shared" si="86"/>
        <v>21</v>
      </c>
      <c r="AN251" s="115"/>
      <c r="AO251" s="70"/>
      <c r="AP251" s="70"/>
      <c r="AQ251" s="71"/>
      <c r="AR251" s="71"/>
      <c r="AS251" s="72"/>
      <c r="AT251" s="73"/>
      <c r="AU251" s="114"/>
      <c r="AV251" s="117"/>
      <c r="AW251" s="115"/>
      <c r="AX251" s="106"/>
      <c r="AY251" s="104">
        <f t="shared" ref="AY248:AY252" si="89">EDATE(AV251,AW251)</f>
        <v>0</v>
      </c>
      <c r="AZ251" s="105">
        <f ca="1" t="shared" ref="AZ248:AZ252" si="90">AY251-TODAY()</f>
        <v>-46313</v>
      </c>
    </row>
    <row r="252" customHeight="1" spans="1:52">
      <c r="A252" s="70">
        <v>250</v>
      </c>
      <c r="B252" s="70" t="s">
        <v>229</v>
      </c>
      <c r="C252" s="70" t="s">
        <v>38</v>
      </c>
      <c r="D252" s="71" t="s">
        <v>1092</v>
      </c>
      <c r="E252" s="71" t="s">
        <v>1093</v>
      </c>
      <c r="F252" s="72"/>
      <c r="G252" s="73"/>
      <c r="H252" s="74" t="s">
        <v>16</v>
      </c>
      <c r="I252" s="165">
        <v>46036</v>
      </c>
      <c r="J252" s="70">
        <v>3</v>
      </c>
      <c r="K252" s="106" t="s">
        <v>1094</v>
      </c>
      <c r="L252" s="104">
        <f t="shared" si="71"/>
        <v>46126</v>
      </c>
      <c r="M252" s="105">
        <f ca="1" t="shared" si="72"/>
        <v>-187</v>
      </c>
      <c r="N252" s="70"/>
      <c r="O252" s="70" t="s">
        <v>229</v>
      </c>
      <c r="P252" s="70" t="s">
        <v>38</v>
      </c>
      <c r="Q252" s="71" t="s">
        <v>1092</v>
      </c>
      <c r="R252" s="71" t="s">
        <v>1093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1095</v>
      </c>
      <c r="Y252" s="104">
        <f t="shared" si="87"/>
        <v>46219</v>
      </c>
      <c r="Z252" s="105">
        <f ca="1" t="shared" si="88"/>
        <v>-94</v>
      </c>
      <c r="AA252" s="105"/>
      <c r="AB252" s="70" t="s">
        <v>229</v>
      </c>
      <c r="AC252" s="70" t="s">
        <v>38</v>
      </c>
      <c r="AD252" s="71" t="s">
        <v>1092</v>
      </c>
      <c r="AE252" s="71" t="s">
        <v>1093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1096</v>
      </c>
      <c r="AL252" s="104">
        <f t="shared" si="85"/>
        <v>46334</v>
      </c>
      <c r="AM252" s="105">
        <f ca="1" t="shared" si="86"/>
        <v>21</v>
      </c>
      <c r="AN252" s="115"/>
      <c r="AO252" s="115"/>
      <c r="AP252" s="115"/>
      <c r="AQ252" s="93"/>
      <c r="AR252" s="187"/>
      <c r="AS252" s="94"/>
      <c r="AT252" s="95"/>
      <c r="AU252" s="79"/>
      <c r="AV252" s="117"/>
      <c r="AW252" s="115"/>
      <c r="AX252" s="106"/>
      <c r="AY252" s="104">
        <f t="shared" si="89"/>
        <v>0</v>
      </c>
      <c r="AZ252" s="105">
        <f ca="1" t="shared" si="90"/>
        <v>-46313</v>
      </c>
    </row>
    <row r="253" customHeight="1" spans="1:52">
      <c r="A253" s="70">
        <v>251</v>
      </c>
      <c r="B253" s="70" t="s">
        <v>229</v>
      </c>
      <c r="C253" s="70" t="s">
        <v>13</v>
      </c>
      <c r="D253" s="71" t="s">
        <v>1097</v>
      </c>
      <c r="E253" s="71" t="s">
        <v>933</v>
      </c>
      <c r="F253" s="72"/>
      <c r="G253" s="73"/>
      <c r="H253" s="74" t="s">
        <v>16</v>
      </c>
      <c r="I253" s="165">
        <v>46036</v>
      </c>
      <c r="J253" s="70">
        <v>3</v>
      </c>
      <c r="K253" s="106" t="s">
        <v>1098</v>
      </c>
      <c r="L253" s="104">
        <f t="shared" si="71"/>
        <v>46126</v>
      </c>
      <c r="M253" s="105">
        <f ca="1" t="shared" si="72"/>
        <v>-187</v>
      </c>
      <c r="N253" s="70"/>
      <c r="O253" s="70" t="s">
        <v>229</v>
      </c>
      <c r="P253" s="70" t="s">
        <v>13</v>
      </c>
      <c r="Q253" s="71" t="s">
        <v>1097</v>
      </c>
      <c r="R253" s="71" t="s">
        <v>933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1099</v>
      </c>
      <c r="Y253" s="104">
        <f t="shared" si="87"/>
        <v>46219</v>
      </c>
      <c r="Z253" s="105">
        <f ca="1" t="shared" si="88"/>
        <v>-94</v>
      </c>
      <c r="AA253" s="105"/>
      <c r="AB253" s="70" t="s">
        <v>229</v>
      </c>
      <c r="AC253" s="70" t="s">
        <v>13</v>
      </c>
      <c r="AD253" s="71" t="s">
        <v>1097</v>
      </c>
      <c r="AE253" s="71" t="s">
        <v>933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1100</v>
      </c>
      <c r="AL253" s="104">
        <f t="shared" si="85"/>
        <v>46331</v>
      </c>
      <c r="AM253" s="105">
        <f ca="1" t="shared" si="86"/>
        <v>18</v>
      </c>
      <c r="AN253" s="115"/>
      <c r="AO253" s="115"/>
      <c r="AP253" s="115"/>
      <c r="AQ253" s="93"/>
      <c r="AR253" s="93"/>
      <c r="AS253" s="94"/>
      <c r="AT253" s="95"/>
      <c r="AU253" s="79"/>
      <c r="AV253" s="117"/>
      <c r="AW253" s="115"/>
      <c r="AX253" s="106"/>
      <c r="AY253" s="104">
        <f t="shared" ref="AY253:AY277" si="91">EDATE(AV253,AW253)</f>
        <v>0</v>
      </c>
      <c r="AZ253" s="105">
        <f ca="1" t="shared" ref="AZ253:AZ277" si="92">AY253-TODAY()</f>
        <v>-46313</v>
      </c>
    </row>
    <row r="254" customHeight="1" spans="1:52">
      <c r="A254" s="70">
        <v>252</v>
      </c>
      <c r="B254" s="70" t="s">
        <v>229</v>
      </c>
      <c r="C254" s="70" t="s">
        <v>13</v>
      </c>
      <c r="D254" s="71" t="s">
        <v>1101</v>
      </c>
      <c r="E254" s="71" t="s">
        <v>34</v>
      </c>
      <c r="F254" s="72"/>
      <c r="G254" s="73"/>
      <c r="H254" s="75"/>
      <c r="I254" s="165">
        <v>46036</v>
      </c>
      <c r="J254" s="70">
        <v>3</v>
      </c>
      <c r="K254" s="106" t="s">
        <v>1102</v>
      </c>
      <c r="L254" s="104">
        <f t="shared" si="71"/>
        <v>46126</v>
      </c>
      <c r="M254" s="105">
        <f ca="1" t="shared" si="72"/>
        <v>-187</v>
      </c>
      <c r="N254" s="70"/>
      <c r="O254" s="70" t="s">
        <v>229</v>
      </c>
      <c r="P254" s="70" t="s">
        <v>13</v>
      </c>
      <c r="Q254" s="71" t="s">
        <v>1101</v>
      </c>
      <c r="R254" s="71" t="s">
        <v>34</v>
      </c>
      <c r="S254" s="72"/>
      <c r="T254" s="73"/>
      <c r="U254" s="75"/>
      <c r="V254" s="102">
        <v>46128</v>
      </c>
      <c r="W254" s="70">
        <v>3</v>
      </c>
      <c r="X254" s="103" t="s">
        <v>1103</v>
      </c>
      <c r="Y254" s="104">
        <f t="shared" si="87"/>
        <v>46219</v>
      </c>
      <c r="Z254" s="105">
        <f ca="1" t="shared" si="88"/>
        <v>-94</v>
      </c>
      <c r="AA254" s="105"/>
      <c r="AB254" s="70" t="s">
        <v>229</v>
      </c>
      <c r="AC254" s="70" t="s">
        <v>13</v>
      </c>
      <c r="AD254" s="71" t="s">
        <v>1101</v>
      </c>
      <c r="AE254" s="71" t="s">
        <v>34</v>
      </c>
      <c r="AF254" s="72"/>
      <c r="AG254" s="73"/>
      <c r="AH254" s="75"/>
      <c r="AI254" s="102">
        <v>46246</v>
      </c>
      <c r="AJ254" s="70">
        <v>3</v>
      </c>
      <c r="AK254" s="103" t="s">
        <v>1104</v>
      </c>
      <c r="AL254" s="104">
        <f t="shared" si="85"/>
        <v>46338</v>
      </c>
      <c r="AM254" s="105">
        <f ca="1" t="shared" si="86"/>
        <v>25</v>
      </c>
      <c r="AN254" s="115"/>
      <c r="AO254" s="115"/>
      <c r="AP254" s="115"/>
      <c r="AQ254" s="93"/>
      <c r="AR254" s="93"/>
      <c r="AS254" s="94"/>
      <c r="AT254" s="95"/>
      <c r="AU254" s="79"/>
      <c r="AV254" s="117"/>
      <c r="AW254" s="115"/>
      <c r="AX254" s="106"/>
      <c r="AY254" s="104">
        <f t="shared" si="91"/>
        <v>0</v>
      </c>
      <c r="AZ254" s="105">
        <f ca="1" t="shared" si="92"/>
        <v>-46313</v>
      </c>
    </row>
    <row r="255" customHeight="1" spans="1:52">
      <c r="A255" s="70">
        <v>253</v>
      </c>
      <c r="B255" s="70" t="s">
        <v>229</v>
      </c>
      <c r="C255" s="70" t="s">
        <v>13</v>
      </c>
      <c r="D255" s="71" t="s">
        <v>1105</v>
      </c>
      <c r="E255" s="71" t="s">
        <v>126</v>
      </c>
      <c r="F255" s="72"/>
      <c r="G255" s="73"/>
      <c r="H255" s="75"/>
      <c r="I255" s="165">
        <v>46036</v>
      </c>
      <c r="J255" s="70">
        <v>3</v>
      </c>
      <c r="K255" s="106" t="s">
        <v>1106</v>
      </c>
      <c r="L255" s="104">
        <f t="shared" si="71"/>
        <v>46126</v>
      </c>
      <c r="M255" s="105">
        <f ca="1" t="shared" si="72"/>
        <v>-187</v>
      </c>
      <c r="N255" s="70"/>
      <c r="O255" s="70" t="s">
        <v>229</v>
      </c>
      <c r="P255" s="70" t="s">
        <v>13</v>
      </c>
      <c r="Q255" s="71" t="s">
        <v>1105</v>
      </c>
      <c r="R255" s="71" t="s">
        <v>126</v>
      </c>
      <c r="S255" s="72"/>
      <c r="T255" s="73"/>
      <c r="U255" s="75"/>
      <c r="V255" s="102">
        <v>46152</v>
      </c>
      <c r="W255" s="70">
        <v>3</v>
      </c>
      <c r="X255" s="103" t="s">
        <v>1107</v>
      </c>
      <c r="Y255" s="104">
        <f t="shared" si="87"/>
        <v>46244</v>
      </c>
      <c r="Z255" s="105">
        <f ca="1" t="shared" si="88"/>
        <v>-69</v>
      </c>
      <c r="AA255" s="70"/>
      <c r="AB255" s="70" t="s">
        <v>229</v>
      </c>
      <c r="AC255" s="70" t="s">
        <v>13</v>
      </c>
      <c r="AD255" s="71" t="s">
        <v>1105</v>
      </c>
      <c r="AE255" s="71" t="s">
        <v>126</v>
      </c>
      <c r="AF255" s="72"/>
      <c r="AG255" s="73"/>
      <c r="AH255" s="75"/>
      <c r="AI255" s="102">
        <v>46240</v>
      </c>
      <c r="AJ255" s="70">
        <v>3</v>
      </c>
      <c r="AK255" s="103" t="s">
        <v>1108</v>
      </c>
      <c r="AL255" s="104">
        <f t="shared" si="85"/>
        <v>46332</v>
      </c>
      <c r="AM255" s="105">
        <f ca="1" t="shared" si="86"/>
        <v>19</v>
      </c>
      <c r="AN255" s="115"/>
      <c r="AO255" s="115"/>
      <c r="AP255" s="115"/>
      <c r="AQ255" s="93"/>
      <c r="AR255" s="93"/>
      <c r="AS255" s="94"/>
      <c r="AT255" s="95"/>
      <c r="AU255" s="79"/>
      <c r="AV255" s="117"/>
      <c r="AW255" s="115"/>
      <c r="AX255" s="106"/>
      <c r="AY255" s="104">
        <f t="shared" si="91"/>
        <v>0</v>
      </c>
      <c r="AZ255" s="105">
        <f ca="1" t="shared" si="92"/>
        <v>-46313</v>
      </c>
    </row>
    <row r="256" customHeight="1" spans="1:52">
      <c r="A256" s="70">
        <v>254</v>
      </c>
      <c r="B256" s="70" t="s">
        <v>229</v>
      </c>
      <c r="C256" s="70" t="s">
        <v>13</v>
      </c>
      <c r="D256" s="71" t="s">
        <v>1109</v>
      </c>
      <c r="E256" s="71" t="s">
        <v>820</v>
      </c>
      <c r="F256" s="72"/>
      <c r="G256" s="73"/>
      <c r="H256" s="114" t="s">
        <v>16</v>
      </c>
      <c r="I256" s="165">
        <v>46036</v>
      </c>
      <c r="J256" s="70">
        <v>3</v>
      </c>
      <c r="K256" s="106" t="s">
        <v>1110</v>
      </c>
      <c r="L256" s="104">
        <f t="shared" si="71"/>
        <v>46126</v>
      </c>
      <c r="M256" s="105">
        <f ca="1" t="shared" si="72"/>
        <v>-187</v>
      </c>
      <c r="N256" s="70"/>
      <c r="O256" s="70" t="s">
        <v>229</v>
      </c>
      <c r="P256" s="70" t="s">
        <v>13</v>
      </c>
      <c r="Q256" s="71" t="s">
        <v>1109</v>
      </c>
      <c r="R256" s="71" t="s">
        <v>820</v>
      </c>
      <c r="S256" s="72"/>
      <c r="T256" s="73"/>
      <c r="U256" s="151"/>
      <c r="V256" s="165">
        <v>46122</v>
      </c>
      <c r="W256" s="70">
        <v>3</v>
      </c>
      <c r="X256" s="103" t="s">
        <v>1111</v>
      </c>
      <c r="Y256" s="104">
        <f t="shared" si="87"/>
        <v>46213</v>
      </c>
      <c r="Z256" s="105">
        <f ca="1" t="shared" si="88"/>
        <v>-100</v>
      </c>
      <c r="AA256" s="70"/>
      <c r="AB256" s="70" t="s">
        <v>229</v>
      </c>
      <c r="AC256" s="70" t="s">
        <v>13</v>
      </c>
      <c r="AD256" s="71" t="s">
        <v>1109</v>
      </c>
      <c r="AE256" s="71" t="s">
        <v>820</v>
      </c>
      <c r="AF256" s="72"/>
      <c r="AG256" s="73"/>
      <c r="AH256" s="151"/>
      <c r="AI256" s="102">
        <v>46207</v>
      </c>
      <c r="AJ256" s="70">
        <v>3</v>
      </c>
      <c r="AK256" s="103" t="s">
        <v>1112</v>
      </c>
      <c r="AL256" s="104">
        <f t="shared" si="85"/>
        <v>46299</v>
      </c>
      <c r="AM256" s="105">
        <f ca="1" t="shared" si="86"/>
        <v>-14</v>
      </c>
      <c r="AN256" s="115"/>
      <c r="AO256" s="70" t="s">
        <v>229</v>
      </c>
      <c r="AP256" s="70" t="s">
        <v>13</v>
      </c>
      <c r="AQ256" s="71" t="s">
        <v>1109</v>
      </c>
      <c r="AR256" s="71" t="s">
        <v>820</v>
      </c>
      <c r="AS256" s="72"/>
      <c r="AT256" s="73"/>
      <c r="AU256" s="151"/>
      <c r="AV256" s="117">
        <v>46303</v>
      </c>
      <c r="AW256" s="115">
        <v>3</v>
      </c>
      <c r="AX256" s="106" t="s">
        <v>1113</v>
      </c>
      <c r="AY256" s="104">
        <f t="shared" si="91"/>
        <v>46395</v>
      </c>
      <c r="AZ256" s="105">
        <f ca="1" t="shared" si="92"/>
        <v>82</v>
      </c>
    </row>
    <row r="257" customHeight="1" spans="1:52">
      <c r="A257" s="70">
        <v>255</v>
      </c>
      <c r="B257" s="70" t="s">
        <v>229</v>
      </c>
      <c r="C257" s="70" t="s">
        <v>13</v>
      </c>
      <c r="D257" s="71" t="s">
        <v>1114</v>
      </c>
      <c r="E257" s="71" t="s">
        <v>34</v>
      </c>
      <c r="F257" s="72"/>
      <c r="G257" s="73"/>
      <c r="H257" s="151"/>
      <c r="I257" s="165">
        <v>46036</v>
      </c>
      <c r="J257" s="70">
        <v>3</v>
      </c>
      <c r="K257" s="106" t="s">
        <v>1115</v>
      </c>
      <c r="L257" s="104">
        <f t="shared" si="71"/>
        <v>46126</v>
      </c>
      <c r="M257" s="105">
        <f ca="1" t="shared" si="72"/>
        <v>-187</v>
      </c>
      <c r="N257" s="70"/>
      <c r="O257" s="70" t="s">
        <v>229</v>
      </c>
      <c r="P257" s="70" t="s">
        <v>13</v>
      </c>
      <c r="Q257" s="71" t="s">
        <v>1114</v>
      </c>
      <c r="R257" s="71" t="s">
        <v>34</v>
      </c>
      <c r="S257" s="72"/>
      <c r="T257" s="73"/>
      <c r="U257" s="151"/>
      <c r="V257" s="165">
        <v>46183</v>
      </c>
      <c r="W257" s="70">
        <v>3</v>
      </c>
      <c r="X257" s="103" t="s">
        <v>1116</v>
      </c>
      <c r="Y257" s="104">
        <f t="shared" si="87"/>
        <v>46275</v>
      </c>
      <c r="Z257" s="105">
        <f ca="1" t="shared" si="88"/>
        <v>-38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85"/>
        <v>0</v>
      </c>
      <c r="AM257" s="105">
        <f ca="1" t="shared" si="86"/>
        <v>-46313</v>
      </c>
      <c r="AN257" s="115"/>
      <c r="AO257" s="70"/>
      <c r="AP257" s="70"/>
      <c r="AQ257" s="71"/>
      <c r="AR257" s="71"/>
      <c r="AS257" s="72"/>
      <c r="AT257" s="73"/>
      <c r="AU257" s="75"/>
      <c r="AV257" s="117"/>
      <c r="AW257" s="115"/>
      <c r="AX257" s="106"/>
      <c r="AY257" s="104">
        <f t="shared" si="91"/>
        <v>0</v>
      </c>
      <c r="AZ257" s="105">
        <f ca="1" t="shared" si="92"/>
        <v>-46313</v>
      </c>
    </row>
    <row r="258" customHeight="1" spans="1:52">
      <c r="A258" s="70">
        <v>256</v>
      </c>
      <c r="B258" s="70" t="s">
        <v>134</v>
      </c>
      <c r="C258" s="70" t="s">
        <v>38</v>
      </c>
      <c r="D258" s="71" t="s">
        <v>1117</v>
      </c>
      <c r="E258" s="71" t="s">
        <v>28</v>
      </c>
      <c r="F258" s="72"/>
      <c r="G258" s="73"/>
      <c r="H258" s="79" t="s">
        <v>16</v>
      </c>
      <c r="I258" s="165">
        <v>46036</v>
      </c>
      <c r="J258" s="70">
        <v>3</v>
      </c>
      <c r="K258" s="106" t="s">
        <v>1118</v>
      </c>
      <c r="L258" s="104">
        <f t="shared" si="71"/>
        <v>46126</v>
      </c>
      <c r="M258" s="105">
        <f ca="1" t="shared" si="72"/>
        <v>-187</v>
      </c>
      <c r="N258" s="70"/>
      <c r="O258" s="70" t="s">
        <v>134</v>
      </c>
      <c r="P258" s="70" t="s">
        <v>38</v>
      </c>
      <c r="Q258" s="71" t="s">
        <v>1117</v>
      </c>
      <c r="R258" s="71" t="s">
        <v>28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1119</v>
      </c>
      <c r="Y258" s="104">
        <f t="shared" ref="Y258:Y291" si="93">EDATE(V258,W258)</f>
        <v>46221</v>
      </c>
      <c r="Z258" s="105">
        <f ca="1" t="shared" ref="Z258:Z291" si="94">Y258-TODAY()</f>
        <v>-92</v>
      </c>
      <c r="AA258" s="70"/>
      <c r="AB258" s="70" t="s">
        <v>134</v>
      </c>
      <c r="AC258" s="70" t="s">
        <v>38</v>
      </c>
      <c r="AD258" s="71" t="s">
        <v>1117</v>
      </c>
      <c r="AE258" s="71" t="s">
        <v>28</v>
      </c>
      <c r="AF258" s="72"/>
      <c r="AG258" s="73"/>
      <c r="AH258" s="75"/>
      <c r="AI258" s="102">
        <v>46212</v>
      </c>
      <c r="AJ258" s="70">
        <v>3</v>
      </c>
      <c r="AK258" s="103" t="s">
        <v>1120</v>
      </c>
      <c r="AL258" s="104">
        <f t="shared" si="85"/>
        <v>46304</v>
      </c>
      <c r="AM258" s="105">
        <f ca="1" t="shared" si="86"/>
        <v>-9</v>
      </c>
      <c r="AN258" s="115"/>
      <c r="AO258" s="70" t="s">
        <v>134</v>
      </c>
      <c r="AP258" s="70" t="s">
        <v>38</v>
      </c>
      <c r="AQ258" s="71" t="s">
        <v>1117</v>
      </c>
      <c r="AR258" s="71" t="s">
        <v>28</v>
      </c>
      <c r="AS258" s="72"/>
      <c r="AT258" s="73"/>
      <c r="AU258" s="75"/>
      <c r="AV258" s="117">
        <v>46306</v>
      </c>
      <c r="AW258" s="115">
        <v>3</v>
      </c>
      <c r="AX258" s="106"/>
      <c r="AY258" s="104">
        <f t="shared" si="91"/>
        <v>46398</v>
      </c>
      <c r="AZ258" s="105">
        <f ca="1" t="shared" si="92"/>
        <v>85</v>
      </c>
    </row>
    <row r="259" customHeight="1" spans="1:52">
      <c r="A259" s="70">
        <v>257</v>
      </c>
      <c r="B259" s="70" t="s">
        <v>134</v>
      </c>
      <c r="C259" s="70" t="s">
        <v>13</v>
      </c>
      <c r="D259" s="71" t="s">
        <v>1121</v>
      </c>
      <c r="E259" s="71" t="s">
        <v>34</v>
      </c>
      <c r="F259" s="72"/>
      <c r="G259" s="73"/>
      <c r="H259" s="79" t="s">
        <v>16</v>
      </c>
      <c r="I259" s="165">
        <v>46036</v>
      </c>
      <c r="J259" s="70">
        <v>3</v>
      </c>
      <c r="K259" s="106" t="s">
        <v>1122</v>
      </c>
      <c r="L259" s="104">
        <f t="shared" ref="L259:L322" si="95">EDATE(I259,J259)</f>
        <v>46126</v>
      </c>
      <c r="M259" s="105">
        <f ca="1" t="shared" ref="M259:M322" si="96">L259-TODAY()</f>
        <v>-187</v>
      </c>
      <c r="N259" s="70"/>
      <c r="O259" s="70" t="s">
        <v>134</v>
      </c>
      <c r="P259" s="70" t="s">
        <v>13</v>
      </c>
      <c r="Q259" s="71" t="s">
        <v>1121</v>
      </c>
      <c r="R259" s="71" t="s">
        <v>34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1123</v>
      </c>
      <c r="Y259" s="104">
        <f t="shared" si="93"/>
        <v>46222</v>
      </c>
      <c r="Z259" s="105">
        <f ca="1" t="shared" si="94"/>
        <v>-91</v>
      </c>
      <c r="AA259" s="70"/>
      <c r="AB259" s="70" t="s">
        <v>134</v>
      </c>
      <c r="AC259" s="70" t="s">
        <v>13</v>
      </c>
      <c r="AD259" s="71" t="s">
        <v>1121</v>
      </c>
      <c r="AE259" s="71" t="s">
        <v>34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1124</v>
      </c>
      <c r="AL259" s="104">
        <f t="shared" si="85"/>
        <v>46313</v>
      </c>
      <c r="AM259" s="105">
        <f ca="1" t="shared" si="86"/>
        <v>0</v>
      </c>
      <c r="AN259" s="115"/>
      <c r="AO259" s="115"/>
      <c r="AP259" s="115"/>
      <c r="AQ259" s="93"/>
      <c r="AR259" s="93"/>
      <c r="AS259" s="94"/>
      <c r="AT259" s="95"/>
      <c r="AU259" s="79"/>
      <c r="AV259" s="117"/>
      <c r="AW259" s="115"/>
      <c r="AX259" s="106"/>
      <c r="AY259" s="104">
        <f t="shared" si="91"/>
        <v>0</v>
      </c>
      <c r="AZ259" s="105">
        <f ca="1" t="shared" si="92"/>
        <v>-46313</v>
      </c>
    </row>
    <row r="260" customHeight="1" spans="1:52">
      <c r="A260" s="70">
        <v>258</v>
      </c>
      <c r="B260" s="70" t="s">
        <v>134</v>
      </c>
      <c r="C260" s="70" t="s">
        <v>13</v>
      </c>
      <c r="D260" s="71" t="s">
        <v>1125</v>
      </c>
      <c r="E260" s="71" t="s">
        <v>1126</v>
      </c>
      <c r="F260" s="72"/>
      <c r="G260" s="73"/>
      <c r="H260" s="75" t="s">
        <v>434</v>
      </c>
      <c r="I260" s="165">
        <v>46036</v>
      </c>
      <c r="J260" s="70">
        <v>3</v>
      </c>
      <c r="K260" s="106" t="s">
        <v>1127</v>
      </c>
      <c r="L260" s="104">
        <f t="shared" si="95"/>
        <v>46126</v>
      </c>
      <c r="M260" s="105">
        <f ca="1" t="shared" si="96"/>
        <v>-187</v>
      </c>
      <c r="N260" s="70"/>
      <c r="O260" s="70" t="s">
        <v>134</v>
      </c>
      <c r="P260" s="70" t="s">
        <v>13</v>
      </c>
      <c r="Q260" s="71" t="s">
        <v>1125</v>
      </c>
      <c r="R260" s="71" t="s">
        <v>1126</v>
      </c>
      <c r="S260" s="72"/>
      <c r="T260" s="73"/>
      <c r="U260" s="75" t="s">
        <v>434</v>
      </c>
      <c r="V260" s="102">
        <v>46130</v>
      </c>
      <c r="W260" s="70">
        <v>3</v>
      </c>
      <c r="X260" s="103" t="s">
        <v>1128</v>
      </c>
      <c r="Y260" s="104">
        <f t="shared" si="93"/>
        <v>46221</v>
      </c>
      <c r="Z260" s="105">
        <f ca="1" t="shared" si="94"/>
        <v>-92</v>
      </c>
      <c r="AA260" s="70"/>
      <c r="AB260" s="70" t="s">
        <v>134</v>
      </c>
      <c r="AC260" s="70" t="s">
        <v>13</v>
      </c>
      <c r="AD260" s="71" t="s">
        <v>1125</v>
      </c>
      <c r="AE260" s="71" t="s">
        <v>1126</v>
      </c>
      <c r="AF260" s="72"/>
      <c r="AG260" s="73"/>
      <c r="AH260" s="75" t="s">
        <v>434</v>
      </c>
      <c r="AI260" s="102">
        <v>46211</v>
      </c>
      <c r="AJ260" s="70">
        <v>3</v>
      </c>
      <c r="AK260" s="103" t="s">
        <v>1129</v>
      </c>
      <c r="AL260" s="104">
        <f t="shared" si="85"/>
        <v>46303</v>
      </c>
      <c r="AM260" s="105">
        <f ca="1" t="shared" si="86"/>
        <v>-10</v>
      </c>
      <c r="AN260" s="115"/>
      <c r="AO260" s="70" t="s">
        <v>134</v>
      </c>
      <c r="AP260" s="70" t="s">
        <v>13</v>
      </c>
      <c r="AQ260" s="71" t="s">
        <v>1125</v>
      </c>
      <c r="AR260" s="71" t="s">
        <v>1126</v>
      </c>
      <c r="AS260" s="72"/>
      <c r="AT260" s="73"/>
      <c r="AU260" s="75" t="s">
        <v>434</v>
      </c>
      <c r="AV260" s="117">
        <v>46299</v>
      </c>
      <c r="AW260" s="115">
        <v>3</v>
      </c>
      <c r="AX260" s="106" t="s">
        <v>1130</v>
      </c>
      <c r="AY260" s="104">
        <f t="shared" si="91"/>
        <v>46391</v>
      </c>
      <c r="AZ260" s="105">
        <f ca="1" t="shared" si="92"/>
        <v>78</v>
      </c>
    </row>
    <row r="261" customHeight="1" spans="1:52">
      <c r="A261" s="70">
        <v>259</v>
      </c>
      <c r="B261" s="70" t="s">
        <v>134</v>
      </c>
      <c r="C261" s="70" t="s">
        <v>13</v>
      </c>
      <c r="D261" s="71" t="s">
        <v>1131</v>
      </c>
      <c r="E261" s="71" t="s">
        <v>1132</v>
      </c>
      <c r="F261" s="72"/>
      <c r="G261" s="73"/>
      <c r="H261" s="79" t="s">
        <v>16</v>
      </c>
      <c r="I261" s="165">
        <v>46036</v>
      </c>
      <c r="J261" s="70">
        <v>3</v>
      </c>
      <c r="K261" s="106" t="s">
        <v>1133</v>
      </c>
      <c r="L261" s="104">
        <f t="shared" si="95"/>
        <v>46126</v>
      </c>
      <c r="M261" s="105">
        <f ca="1" t="shared" si="96"/>
        <v>-187</v>
      </c>
      <c r="N261" s="70"/>
      <c r="O261" s="70" t="s">
        <v>134</v>
      </c>
      <c r="P261" s="70" t="s">
        <v>13</v>
      </c>
      <c r="Q261" s="71" t="s">
        <v>1131</v>
      </c>
      <c r="R261" s="71" t="s">
        <v>1132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1134</v>
      </c>
      <c r="Y261" s="104">
        <f t="shared" si="93"/>
        <v>46216</v>
      </c>
      <c r="Z261" s="105">
        <f ca="1" t="shared" si="94"/>
        <v>-97</v>
      </c>
      <c r="AA261" s="70"/>
      <c r="AB261" s="70" t="s">
        <v>134</v>
      </c>
      <c r="AC261" s="70" t="s">
        <v>13</v>
      </c>
      <c r="AD261" s="71" t="s">
        <v>1131</v>
      </c>
      <c r="AE261" s="71" t="s">
        <v>1132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1135</v>
      </c>
      <c r="AL261" s="104">
        <f t="shared" si="85"/>
        <v>46299</v>
      </c>
      <c r="AM261" s="105">
        <f ca="1" t="shared" si="86"/>
        <v>-14</v>
      </c>
      <c r="AN261" s="115"/>
      <c r="AO261" s="70" t="s">
        <v>134</v>
      </c>
      <c r="AP261" s="70" t="s">
        <v>13</v>
      </c>
      <c r="AQ261" s="71" t="s">
        <v>1131</v>
      </c>
      <c r="AR261" s="71" t="s">
        <v>1132</v>
      </c>
      <c r="AS261" s="72"/>
      <c r="AT261" s="73"/>
      <c r="AU261" s="79" t="s">
        <v>16</v>
      </c>
      <c r="AV261" s="117">
        <v>46303</v>
      </c>
      <c r="AW261" s="115">
        <v>3</v>
      </c>
      <c r="AX261" s="106" t="s">
        <v>1136</v>
      </c>
      <c r="AY261" s="104">
        <f t="shared" si="91"/>
        <v>46395</v>
      </c>
      <c r="AZ261" s="105">
        <f ca="1" t="shared" si="92"/>
        <v>82</v>
      </c>
    </row>
    <row r="262" customHeight="1" spans="1:52">
      <c r="A262" s="70">
        <v>260</v>
      </c>
      <c r="B262" s="70" t="s">
        <v>134</v>
      </c>
      <c r="C262" s="70" t="s">
        <v>38</v>
      </c>
      <c r="D262" s="71" t="s">
        <v>1137</v>
      </c>
      <c r="E262" s="71" t="s">
        <v>820</v>
      </c>
      <c r="F262" s="72"/>
      <c r="G262" s="73"/>
      <c r="H262" s="79" t="s">
        <v>16</v>
      </c>
      <c r="I262" s="165">
        <v>46036</v>
      </c>
      <c r="J262" s="70">
        <v>3</v>
      </c>
      <c r="K262" s="106" t="s">
        <v>1138</v>
      </c>
      <c r="L262" s="104">
        <f t="shared" si="95"/>
        <v>46126</v>
      </c>
      <c r="M262" s="105">
        <f ca="1" t="shared" si="96"/>
        <v>-187</v>
      </c>
      <c r="N262" s="70"/>
      <c r="O262" s="70" t="s">
        <v>134</v>
      </c>
      <c r="P262" s="70" t="s">
        <v>38</v>
      </c>
      <c r="Q262" s="71" t="s">
        <v>1137</v>
      </c>
      <c r="R262" s="71" t="s">
        <v>820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1139</v>
      </c>
      <c r="Y262" s="104">
        <f t="shared" si="93"/>
        <v>46215</v>
      </c>
      <c r="Z262" s="105">
        <f ca="1" t="shared" si="94"/>
        <v>-98</v>
      </c>
      <c r="AA262" s="70"/>
      <c r="AB262" s="70" t="s">
        <v>134</v>
      </c>
      <c r="AC262" s="70" t="s">
        <v>38</v>
      </c>
      <c r="AD262" s="71" t="s">
        <v>1137</v>
      </c>
      <c r="AE262" s="71" t="s">
        <v>820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1140</v>
      </c>
      <c r="AL262" s="104">
        <f t="shared" si="85"/>
        <v>46296</v>
      </c>
      <c r="AM262" s="105">
        <f ca="1" t="shared" si="86"/>
        <v>-17</v>
      </c>
      <c r="AN262" s="115"/>
      <c r="AO262" s="70" t="s">
        <v>134</v>
      </c>
      <c r="AP262" s="70" t="s">
        <v>38</v>
      </c>
      <c r="AQ262" s="71" t="s">
        <v>1137</v>
      </c>
      <c r="AR262" s="71" t="s">
        <v>820</v>
      </c>
      <c r="AS262" s="72"/>
      <c r="AT262" s="73"/>
      <c r="AU262" s="79" t="s">
        <v>16</v>
      </c>
      <c r="AV262" s="117">
        <v>46303</v>
      </c>
      <c r="AW262" s="115">
        <v>3</v>
      </c>
      <c r="AX262" s="106" t="s">
        <v>1141</v>
      </c>
      <c r="AY262" s="104">
        <f t="shared" si="91"/>
        <v>46395</v>
      </c>
      <c r="AZ262" s="105">
        <f ca="1" t="shared" si="92"/>
        <v>82</v>
      </c>
    </row>
    <row r="263" customHeight="1" spans="1:52">
      <c r="A263" s="70">
        <v>261</v>
      </c>
      <c r="B263" s="70" t="s">
        <v>134</v>
      </c>
      <c r="C263" s="70" t="s">
        <v>13</v>
      </c>
      <c r="D263" s="71" t="s">
        <v>1142</v>
      </c>
      <c r="E263" s="71" t="s">
        <v>604</v>
      </c>
      <c r="F263" s="72"/>
      <c r="G263" s="73"/>
      <c r="H263" s="75"/>
      <c r="I263" s="165">
        <v>46036</v>
      </c>
      <c r="J263" s="70">
        <v>3</v>
      </c>
      <c r="K263" s="106" t="s">
        <v>1143</v>
      </c>
      <c r="L263" s="104">
        <f t="shared" si="95"/>
        <v>46126</v>
      </c>
      <c r="M263" s="105">
        <f ca="1" t="shared" si="96"/>
        <v>-187</v>
      </c>
      <c r="N263" s="70"/>
      <c r="O263" s="70" t="s">
        <v>134</v>
      </c>
      <c r="P263" s="70" t="s">
        <v>13</v>
      </c>
      <c r="Q263" s="71" t="s">
        <v>1142</v>
      </c>
      <c r="R263" s="71" t="s">
        <v>604</v>
      </c>
      <c r="S263" s="72"/>
      <c r="T263" s="73"/>
      <c r="U263" s="75" t="s">
        <v>434</v>
      </c>
      <c r="V263" s="102">
        <v>46124</v>
      </c>
      <c r="W263" s="70">
        <v>3</v>
      </c>
      <c r="X263" s="103" t="s">
        <v>1144</v>
      </c>
      <c r="Y263" s="104">
        <f t="shared" si="93"/>
        <v>46215</v>
      </c>
      <c r="Z263" s="105">
        <f ca="1" t="shared" si="94"/>
        <v>-98</v>
      </c>
      <c r="AA263" s="70"/>
      <c r="AB263" s="70" t="s">
        <v>134</v>
      </c>
      <c r="AC263" s="70" t="s">
        <v>13</v>
      </c>
      <c r="AD263" s="71" t="s">
        <v>1142</v>
      </c>
      <c r="AE263" s="71" t="s">
        <v>604</v>
      </c>
      <c r="AF263" s="72"/>
      <c r="AG263" s="73"/>
      <c r="AH263" s="75" t="s">
        <v>434</v>
      </c>
      <c r="AI263" s="102">
        <v>46214</v>
      </c>
      <c r="AJ263" s="70">
        <v>3</v>
      </c>
      <c r="AK263" s="103" t="s">
        <v>1145</v>
      </c>
      <c r="AL263" s="104">
        <f t="shared" ref="AL262:AL269" si="97">EDATE(AI263,AJ263)</f>
        <v>46306</v>
      </c>
      <c r="AM263" s="105">
        <f ca="1" t="shared" ref="AM262:AM269" si="98">AL263-TODAY()</f>
        <v>-7</v>
      </c>
      <c r="AN263" s="115"/>
      <c r="AO263" s="70" t="s">
        <v>134</v>
      </c>
      <c r="AP263" s="70" t="s">
        <v>13</v>
      </c>
      <c r="AQ263" s="71" t="s">
        <v>1142</v>
      </c>
      <c r="AR263" s="71" t="s">
        <v>604</v>
      </c>
      <c r="AS263" s="72"/>
      <c r="AT263" s="73"/>
      <c r="AU263" s="75" t="s">
        <v>434</v>
      </c>
      <c r="AV263" s="117">
        <v>46299</v>
      </c>
      <c r="AW263" s="115">
        <v>3</v>
      </c>
      <c r="AX263" s="106" t="s">
        <v>1146</v>
      </c>
      <c r="AY263" s="104">
        <f t="shared" si="91"/>
        <v>46391</v>
      </c>
      <c r="AZ263" s="105">
        <f ca="1" t="shared" si="92"/>
        <v>78</v>
      </c>
    </row>
    <row r="264" customHeight="1" spans="1:52">
      <c r="A264" s="70">
        <v>262</v>
      </c>
      <c r="B264" s="70" t="s">
        <v>1147</v>
      </c>
      <c r="C264" s="70" t="s">
        <v>13</v>
      </c>
      <c r="D264" s="71" t="s">
        <v>1148</v>
      </c>
      <c r="E264" s="71" t="s">
        <v>1149</v>
      </c>
      <c r="F264" s="72"/>
      <c r="G264" s="73"/>
      <c r="H264" s="79" t="s">
        <v>16</v>
      </c>
      <c r="I264" s="165">
        <v>46036</v>
      </c>
      <c r="J264" s="70">
        <v>3</v>
      </c>
      <c r="K264" s="106" t="s">
        <v>1150</v>
      </c>
      <c r="L264" s="104">
        <f t="shared" si="95"/>
        <v>46126</v>
      </c>
      <c r="M264" s="105">
        <f ca="1" t="shared" si="96"/>
        <v>-187</v>
      </c>
      <c r="N264" s="70"/>
      <c r="O264" s="70" t="s">
        <v>1147</v>
      </c>
      <c r="P264" s="70" t="s">
        <v>13</v>
      </c>
      <c r="Q264" s="71" t="s">
        <v>1148</v>
      </c>
      <c r="R264" s="71" t="s">
        <v>1149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1151</v>
      </c>
      <c r="Y264" s="104">
        <f t="shared" si="93"/>
        <v>46225</v>
      </c>
      <c r="Z264" s="105">
        <f ca="1" t="shared" si="94"/>
        <v>-88</v>
      </c>
      <c r="AA264" s="70"/>
      <c r="AB264" s="70" t="s">
        <v>1147</v>
      </c>
      <c r="AC264" s="70" t="s">
        <v>13</v>
      </c>
      <c r="AD264" s="71" t="s">
        <v>1148</v>
      </c>
      <c r="AE264" s="71" t="s">
        <v>1149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1152</v>
      </c>
      <c r="AL264" s="104">
        <f t="shared" si="97"/>
        <v>46319</v>
      </c>
      <c r="AM264" s="105">
        <f ca="1" t="shared" si="98"/>
        <v>6</v>
      </c>
      <c r="AN264" s="115"/>
      <c r="AO264" s="115"/>
      <c r="AP264" s="115"/>
      <c r="AQ264" s="93"/>
      <c r="AR264" s="93"/>
      <c r="AS264" s="94"/>
      <c r="AT264" s="95"/>
      <c r="AU264" s="79"/>
      <c r="AV264" s="117"/>
      <c r="AW264" s="115"/>
      <c r="AX264" s="106"/>
      <c r="AY264" s="104">
        <f t="shared" si="91"/>
        <v>0</v>
      </c>
      <c r="AZ264" s="105">
        <f ca="1" t="shared" si="92"/>
        <v>-46313</v>
      </c>
    </row>
    <row r="265" customHeight="1" spans="1:52">
      <c r="A265" s="70">
        <v>263</v>
      </c>
      <c r="B265" s="70" t="s">
        <v>1147</v>
      </c>
      <c r="C265" s="70" t="s">
        <v>13</v>
      </c>
      <c r="D265" s="71" t="s">
        <v>1153</v>
      </c>
      <c r="E265" s="71" t="s">
        <v>1154</v>
      </c>
      <c r="F265" s="72"/>
      <c r="G265" s="73"/>
      <c r="H265" s="79" t="s">
        <v>16</v>
      </c>
      <c r="I265" s="165">
        <v>46036</v>
      </c>
      <c r="J265" s="70">
        <v>3</v>
      </c>
      <c r="K265" s="106" t="s">
        <v>1155</v>
      </c>
      <c r="L265" s="104">
        <f t="shared" si="95"/>
        <v>46126</v>
      </c>
      <c r="M265" s="105">
        <f ca="1" t="shared" si="96"/>
        <v>-187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93"/>
        <v>0</v>
      </c>
      <c r="Z265" s="105">
        <f ca="1" t="shared" si="94"/>
        <v>-46313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97"/>
        <v>0</v>
      </c>
      <c r="AM265" s="105">
        <f ca="1" t="shared" si="98"/>
        <v>-46313</v>
      </c>
      <c r="AN265" s="115"/>
      <c r="AO265" s="70"/>
      <c r="AP265" s="70"/>
      <c r="AQ265" s="71"/>
      <c r="AR265" s="71"/>
      <c r="AS265" s="72"/>
      <c r="AT265" s="73"/>
      <c r="AU265" s="79"/>
      <c r="AV265" s="117"/>
      <c r="AW265" s="115"/>
      <c r="AX265" s="106"/>
      <c r="AY265" s="104">
        <f t="shared" si="91"/>
        <v>0</v>
      </c>
      <c r="AZ265" s="105">
        <f ca="1" t="shared" si="92"/>
        <v>-46313</v>
      </c>
    </row>
    <row r="266" customHeight="1" spans="1:52">
      <c r="A266" s="70">
        <v>264</v>
      </c>
      <c r="B266" s="70" t="s">
        <v>1156</v>
      </c>
      <c r="C266" s="70" t="s">
        <v>374</v>
      </c>
      <c r="D266" s="71" t="s">
        <v>1157</v>
      </c>
      <c r="E266" s="71" t="s">
        <v>1158</v>
      </c>
      <c r="F266" s="72"/>
      <c r="G266" s="73"/>
      <c r="H266" s="79" t="s">
        <v>16</v>
      </c>
      <c r="I266" s="165">
        <v>46036</v>
      </c>
      <c r="J266" s="70">
        <v>3</v>
      </c>
      <c r="K266" s="106" t="s">
        <v>1159</v>
      </c>
      <c r="L266" s="104">
        <f t="shared" si="95"/>
        <v>46126</v>
      </c>
      <c r="M266" s="105">
        <f ca="1" t="shared" si="96"/>
        <v>-187</v>
      </c>
      <c r="N266" s="70"/>
      <c r="O266" s="70" t="s">
        <v>1156</v>
      </c>
      <c r="P266" s="70" t="s">
        <v>374</v>
      </c>
      <c r="Q266" s="71" t="s">
        <v>1157</v>
      </c>
      <c r="R266" s="71" t="s">
        <v>1158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1160</v>
      </c>
      <c r="Y266" s="104">
        <f t="shared" si="93"/>
        <v>46225</v>
      </c>
      <c r="Z266" s="105">
        <f ca="1" t="shared" si="94"/>
        <v>-88</v>
      </c>
      <c r="AA266" s="70"/>
      <c r="AB266" s="70" t="s">
        <v>1156</v>
      </c>
      <c r="AC266" s="70" t="s">
        <v>374</v>
      </c>
      <c r="AD266" s="71" t="s">
        <v>1157</v>
      </c>
      <c r="AE266" s="71" t="s">
        <v>1158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1161</v>
      </c>
      <c r="AL266" s="104">
        <f t="shared" si="97"/>
        <v>46310</v>
      </c>
      <c r="AM266" s="105">
        <f ca="1" t="shared" si="98"/>
        <v>-3</v>
      </c>
      <c r="AN266" s="115"/>
      <c r="AO266" s="115"/>
      <c r="AP266" s="115"/>
      <c r="AQ266" s="93"/>
      <c r="AR266" s="93"/>
      <c r="AS266" s="94"/>
      <c r="AT266" s="95"/>
      <c r="AU266" s="79"/>
      <c r="AV266" s="117"/>
      <c r="AW266" s="115"/>
      <c r="AX266" s="106"/>
      <c r="AY266" s="104">
        <f t="shared" si="91"/>
        <v>0</v>
      </c>
      <c r="AZ266" s="105">
        <f ca="1" t="shared" si="92"/>
        <v>-46313</v>
      </c>
    </row>
    <row r="267" customHeight="1" spans="1:52">
      <c r="A267" s="70">
        <v>265</v>
      </c>
      <c r="B267" s="70" t="s">
        <v>229</v>
      </c>
      <c r="C267" s="70" t="s">
        <v>13</v>
      </c>
      <c r="D267" s="71" t="s">
        <v>1162</v>
      </c>
      <c r="E267" s="71" t="s">
        <v>76</v>
      </c>
      <c r="F267" s="72"/>
      <c r="G267" s="73"/>
      <c r="H267" s="75"/>
      <c r="I267" s="165">
        <v>46036</v>
      </c>
      <c r="J267" s="70">
        <v>3</v>
      </c>
      <c r="K267" s="106" t="s">
        <v>1163</v>
      </c>
      <c r="L267" s="104">
        <f t="shared" si="95"/>
        <v>46126</v>
      </c>
      <c r="M267" s="105">
        <f ca="1" t="shared" si="96"/>
        <v>-187</v>
      </c>
      <c r="N267" s="70"/>
      <c r="O267" s="70" t="s">
        <v>229</v>
      </c>
      <c r="P267" s="70" t="s">
        <v>13</v>
      </c>
      <c r="Q267" s="71" t="s">
        <v>1162</v>
      </c>
      <c r="R267" s="71" t="s">
        <v>76</v>
      </c>
      <c r="S267" s="72"/>
      <c r="T267" s="73"/>
      <c r="U267" s="75"/>
      <c r="V267" s="102">
        <v>46122</v>
      </c>
      <c r="W267" s="70">
        <v>3</v>
      </c>
      <c r="X267" s="103" t="s">
        <v>1164</v>
      </c>
      <c r="Y267" s="104">
        <f t="shared" si="93"/>
        <v>46213</v>
      </c>
      <c r="Z267" s="105">
        <f ca="1" t="shared" si="94"/>
        <v>-100</v>
      </c>
      <c r="AA267" s="70"/>
      <c r="AB267" s="70" t="s">
        <v>229</v>
      </c>
      <c r="AC267" s="70" t="s">
        <v>13</v>
      </c>
      <c r="AD267" s="71" t="s">
        <v>1162</v>
      </c>
      <c r="AE267" s="71" t="s">
        <v>76</v>
      </c>
      <c r="AF267" s="72"/>
      <c r="AG267" s="73"/>
      <c r="AH267" s="75"/>
      <c r="AI267" s="102">
        <v>46223</v>
      </c>
      <c r="AJ267" s="70">
        <v>3</v>
      </c>
      <c r="AK267" s="103" t="s">
        <v>1165</v>
      </c>
      <c r="AL267" s="104">
        <f t="shared" si="97"/>
        <v>46315</v>
      </c>
      <c r="AM267" s="105">
        <f ca="1" t="shared" si="98"/>
        <v>2</v>
      </c>
      <c r="AN267" s="115"/>
      <c r="AO267" s="115"/>
      <c r="AP267" s="115"/>
      <c r="AQ267" s="93"/>
      <c r="AR267" s="93"/>
      <c r="AS267" s="94"/>
      <c r="AT267" s="95"/>
      <c r="AU267" s="79"/>
      <c r="AV267" s="117"/>
      <c r="AW267" s="115"/>
      <c r="AX267" s="106"/>
      <c r="AY267" s="104">
        <f t="shared" si="91"/>
        <v>0</v>
      </c>
      <c r="AZ267" s="105">
        <f ca="1" t="shared" si="92"/>
        <v>-46313</v>
      </c>
    </row>
    <row r="268" customHeight="1" spans="1:52">
      <c r="A268" s="70">
        <v>266</v>
      </c>
      <c r="B268" s="70" t="s">
        <v>229</v>
      </c>
      <c r="C268" s="70" t="s">
        <v>13</v>
      </c>
      <c r="D268" s="71" t="s">
        <v>1166</v>
      </c>
      <c r="E268" s="71" t="s">
        <v>45</v>
      </c>
      <c r="F268" s="72"/>
      <c r="G268" s="73"/>
      <c r="H268" s="75"/>
      <c r="I268" s="165">
        <v>46037</v>
      </c>
      <c r="J268" s="70">
        <v>3</v>
      </c>
      <c r="K268" s="106" t="s">
        <v>1167</v>
      </c>
      <c r="L268" s="104">
        <f t="shared" si="95"/>
        <v>46127</v>
      </c>
      <c r="M268" s="105">
        <f ca="1" t="shared" si="96"/>
        <v>-186</v>
      </c>
      <c r="N268" s="70"/>
      <c r="O268" s="70" t="s">
        <v>229</v>
      </c>
      <c r="P268" s="70" t="s">
        <v>13</v>
      </c>
      <c r="Q268" s="71" t="s">
        <v>1166</v>
      </c>
      <c r="R268" s="71" t="s">
        <v>45</v>
      </c>
      <c r="S268" s="72"/>
      <c r="T268" s="73"/>
      <c r="U268" s="75"/>
      <c r="V268" s="102">
        <v>46122</v>
      </c>
      <c r="W268" s="70">
        <v>3</v>
      </c>
      <c r="X268" s="103" t="s">
        <v>1168</v>
      </c>
      <c r="Y268" s="104">
        <f t="shared" si="93"/>
        <v>46213</v>
      </c>
      <c r="Z268" s="105">
        <f ca="1" t="shared" si="94"/>
        <v>-100</v>
      </c>
      <c r="AA268" s="70"/>
      <c r="AB268" s="70" t="s">
        <v>229</v>
      </c>
      <c r="AC268" s="70" t="s">
        <v>13</v>
      </c>
      <c r="AD268" s="71" t="s">
        <v>1166</v>
      </c>
      <c r="AE268" s="71" t="s">
        <v>45</v>
      </c>
      <c r="AF268" s="72"/>
      <c r="AG268" s="73"/>
      <c r="AH268" s="75"/>
      <c r="AI268" s="102">
        <v>46208</v>
      </c>
      <c r="AJ268" s="70">
        <v>3</v>
      </c>
      <c r="AK268" s="103" t="s">
        <v>1169</v>
      </c>
      <c r="AL268" s="104">
        <f t="shared" si="97"/>
        <v>46300</v>
      </c>
      <c r="AM268" s="105">
        <f ca="1" t="shared" si="98"/>
        <v>-13</v>
      </c>
      <c r="AN268" s="115"/>
      <c r="AO268" s="70" t="s">
        <v>229</v>
      </c>
      <c r="AP268" s="70" t="s">
        <v>13</v>
      </c>
      <c r="AQ268" s="71" t="s">
        <v>1166</v>
      </c>
      <c r="AR268" s="71" t="s">
        <v>45</v>
      </c>
      <c r="AS268" s="72"/>
      <c r="AT268" s="73"/>
      <c r="AU268" s="75"/>
      <c r="AV268" s="117">
        <v>46294</v>
      </c>
      <c r="AW268" s="115">
        <v>3</v>
      </c>
      <c r="AX268" s="106" t="s">
        <v>1170</v>
      </c>
      <c r="AY268" s="104">
        <f t="shared" si="91"/>
        <v>46385</v>
      </c>
      <c r="AZ268" s="105">
        <f ca="1" t="shared" si="92"/>
        <v>72</v>
      </c>
    </row>
    <row r="269" customHeight="1" spans="1:52">
      <c r="A269" s="70">
        <v>267</v>
      </c>
      <c r="B269" s="70" t="s">
        <v>229</v>
      </c>
      <c r="C269" s="70" t="s">
        <v>13</v>
      </c>
      <c r="D269" s="71" t="s">
        <v>1171</v>
      </c>
      <c r="E269" s="71" t="s">
        <v>136</v>
      </c>
      <c r="F269" s="72"/>
      <c r="G269" s="73"/>
      <c r="H269" s="75"/>
      <c r="I269" s="165">
        <v>46037</v>
      </c>
      <c r="J269" s="70">
        <v>3</v>
      </c>
      <c r="K269" s="106" t="s">
        <v>1172</v>
      </c>
      <c r="L269" s="104">
        <f t="shared" si="95"/>
        <v>46127</v>
      </c>
      <c r="M269" s="105">
        <f ca="1" t="shared" si="96"/>
        <v>-186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93"/>
        <v>0</v>
      </c>
      <c r="Z269" s="105">
        <f ca="1" t="shared" si="94"/>
        <v>-46313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97"/>
        <v>0</v>
      </c>
      <c r="AM269" s="105">
        <f ca="1" t="shared" si="98"/>
        <v>-46313</v>
      </c>
      <c r="AN269" s="115"/>
      <c r="AO269" s="115"/>
      <c r="AP269" s="115"/>
      <c r="AQ269" s="93"/>
      <c r="AR269" s="93"/>
      <c r="AS269" s="94"/>
      <c r="AT269" s="95"/>
      <c r="AU269" s="79"/>
      <c r="AV269" s="117"/>
      <c r="AW269" s="115"/>
      <c r="AX269" s="106"/>
      <c r="AY269" s="104">
        <f t="shared" si="91"/>
        <v>0</v>
      </c>
      <c r="AZ269" s="105">
        <f ca="1" t="shared" si="92"/>
        <v>-46313</v>
      </c>
    </row>
    <row r="270" customHeight="1" spans="1:52">
      <c r="A270" s="70">
        <v>268</v>
      </c>
      <c r="B270" s="70" t="s">
        <v>229</v>
      </c>
      <c r="C270" s="70" t="s">
        <v>13</v>
      </c>
      <c r="D270" s="71" t="s">
        <v>1173</v>
      </c>
      <c r="E270" s="71" t="s">
        <v>34</v>
      </c>
      <c r="F270" s="72"/>
      <c r="G270" s="73"/>
      <c r="H270" s="75"/>
      <c r="I270" s="165">
        <v>46037</v>
      </c>
      <c r="J270" s="70">
        <v>3</v>
      </c>
      <c r="K270" s="106" t="s">
        <v>1174</v>
      </c>
      <c r="L270" s="104">
        <f t="shared" si="95"/>
        <v>46127</v>
      </c>
      <c r="M270" s="105">
        <f ca="1" t="shared" si="96"/>
        <v>-186</v>
      </c>
      <c r="N270" s="70"/>
      <c r="O270" s="70" t="s">
        <v>229</v>
      </c>
      <c r="P270" s="70" t="s">
        <v>13</v>
      </c>
      <c r="Q270" s="71" t="s">
        <v>1173</v>
      </c>
      <c r="R270" s="71" t="s">
        <v>34</v>
      </c>
      <c r="S270" s="72"/>
      <c r="T270" s="73"/>
      <c r="U270" s="75"/>
      <c r="V270" s="102">
        <v>46200</v>
      </c>
      <c r="W270" s="70">
        <v>3</v>
      </c>
      <c r="X270" s="103" t="s">
        <v>1175</v>
      </c>
      <c r="Y270" s="104">
        <f t="shared" si="93"/>
        <v>46292</v>
      </c>
      <c r="Z270" s="105">
        <f ca="1" t="shared" si="94"/>
        <v>-21</v>
      </c>
      <c r="AA270" s="70"/>
      <c r="AB270" s="70" t="s">
        <v>229</v>
      </c>
      <c r="AC270" s="70" t="s">
        <v>13</v>
      </c>
      <c r="AD270" s="71" t="s">
        <v>1173</v>
      </c>
      <c r="AE270" s="71" t="s">
        <v>34</v>
      </c>
      <c r="AF270" s="72"/>
      <c r="AG270" s="73"/>
      <c r="AH270" s="75"/>
      <c r="AI270" s="102">
        <v>46299</v>
      </c>
      <c r="AJ270" s="70">
        <v>3</v>
      </c>
      <c r="AK270" s="103" t="s">
        <v>1176</v>
      </c>
      <c r="AL270" s="104">
        <f t="shared" ref="AL267:AL294" si="99">EDATE(AI270,AJ270)</f>
        <v>46391</v>
      </c>
      <c r="AM270" s="105">
        <f ca="1" t="shared" ref="AM267:AM294" si="100">AL270-TODAY()</f>
        <v>78</v>
      </c>
      <c r="AN270" s="115"/>
      <c r="AO270" s="115"/>
      <c r="AP270" s="115"/>
      <c r="AQ270" s="93"/>
      <c r="AR270" s="93"/>
      <c r="AS270" s="94"/>
      <c r="AT270" s="95"/>
      <c r="AU270" s="79"/>
      <c r="AV270" s="117"/>
      <c r="AW270" s="115"/>
      <c r="AX270" s="106"/>
      <c r="AY270" s="104">
        <f t="shared" si="91"/>
        <v>0</v>
      </c>
      <c r="AZ270" s="105">
        <f ca="1" t="shared" si="92"/>
        <v>-46313</v>
      </c>
    </row>
    <row r="271" customHeight="1" spans="1:52">
      <c r="A271" s="70">
        <v>269</v>
      </c>
      <c r="B271" s="70" t="s">
        <v>229</v>
      </c>
      <c r="C271" s="70" t="s">
        <v>13</v>
      </c>
      <c r="D271" s="71" t="s">
        <v>1177</v>
      </c>
      <c r="E271" s="71" t="s">
        <v>76</v>
      </c>
      <c r="F271" s="72"/>
      <c r="G271" s="73"/>
      <c r="H271" s="75"/>
      <c r="I271" s="165">
        <v>46037</v>
      </c>
      <c r="J271" s="70">
        <v>3</v>
      </c>
      <c r="K271" s="106" t="s">
        <v>1178</v>
      </c>
      <c r="L271" s="104">
        <f t="shared" si="95"/>
        <v>46127</v>
      </c>
      <c r="M271" s="105">
        <f ca="1" t="shared" si="96"/>
        <v>-186</v>
      </c>
      <c r="N271" s="70"/>
      <c r="O271" s="70" t="s">
        <v>229</v>
      </c>
      <c r="P271" s="70" t="s">
        <v>13</v>
      </c>
      <c r="Q271" s="71" t="s">
        <v>1177</v>
      </c>
      <c r="R271" s="71" t="s">
        <v>76</v>
      </c>
      <c r="S271" s="72"/>
      <c r="T271" s="73"/>
      <c r="U271" s="75"/>
      <c r="V271" s="102">
        <v>46121</v>
      </c>
      <c r="W271" s="70">
        <v>3</v>
      </c>
      <c r="X271" s="103" t="s">
        <v>1179</v>
      </c>
      <c r="Y271" s="104">
        <f t="shared" si="93"/>
        <v>46212</v>
      </c>
      <c r="Z271" s="105">
        <f ca="1" t="shared" si="94"/>
        <v>-101</v>
      </c>
      <c r="AA271" s="70"/>
      <c r="AB271" s="70" t="s">
        <v>229</v>
      </c>
      <c r="AC271" s="70" t="s">
        <v>13</v>
      </c>
      <c r="AD271" s="71" t="s">
        <v>1177</v>
      </c>
      <c r="AE271" s="71" t="s">
        <v>76</v>
      </c>
      <c r="AF271" s="72"/>
      <c r="AG271" s="73"/>
      <c r="AH271" s="75"/>
      <c r="AI271" s="102">
        <v>46211</v>
      </c>
      <c r="AJ271" s="70">
        <v>3</v>
      </c>
      <c r="AK271" s="103" t="s">
        <v>1180</v>
      </c>
      <c r="AL271" s="104">
        <f t="shared" si="99"/>
        <v>46303</v>
      </c>
      <c r="AM271" s="105">
        <f ca="1" t="shared" si="100"/>
        <v>-10</v>
      </c>
      <c r="AN271" s="115"/>
      <c r="AO271" s="70" t="s">
        <v>229</v>
      </c>
      <c r="AP271" s="70" t="s">
        <v>13</v>
      </c>
      <c r="AQ271" s="71" t="s">
        <v>1177</v>
      </c>
      <c r="AR271" s="71" t="s">
        <v>76</v>
      </c>
      <c r="AS271" s="72"/>
      <c r="AT271" s="73"/>
      <c r="AU271" s="75"/>
      <c r="AV271" s="117">
        <v>46295</v>
      </c>
      <c r="AW271" s="115">
        <v>3</v>
      </c>
      <c r="AX271" s="106" t="s">
        <v>1181</v>
      </c>
      <c r="AY271" s="104">
        <f t="shared" si="91"/>
        <v>46386</v>
      </c>
      <c r="AZ271" s="105">
        <f ca="1" t="shared" si="92"/>
        <v>73</v>
      </c>
    </row>
    <row r="272" customHeight="1" spans="1:52">
      <c r="A272" s="70">
        <v>270</v>
      </c>
      <c r="B272" s="70" t="s">
        <v>229</v>
      </c>
      <c r="C272" s="70" t="s">
        <v>13</v>
      </c>
      <c r="D272" s="71" t="s">
        <v>1182</v>
      </c>
      <c r="E272" s="71" t="s">
        <v>126</v>
      </c>
      <c r="F272" s="72"/>
      <c r="G272" s="73"/>
      <c r="H272" s="75"/>
      <c r="I272" s="165">
        <v>46037</v>
      </c>
      <c r="J272" s="70">
        <v>3</v>
      </c>
      <c r="K272" s="106" t="s">
        <v>1183</v>
      </c>
      <c r="L272" s="104">
        <f t="shared" si="95"/>
        <v>46127</v>
      </c>
      <c r="M272" s="105">
        <f ca="1" t="shared" si="96"/>
        <v>-186</v>
      </c>
      <c r="N272" s="70"/>
      <c r="O272" s="70" t="s">
        <v>229</v>
      </c>
      <c r="P272" s="70" t="s">
        <v>13</v>
      </c>
      <c r="Q272" s="71" t="s">
        <v>1182</v>
      </c>
      <c r="R272" s="71" t="s">
        <v>126</v>
      </c>
      <c r="S272" s="72"/>
      <c r="T272" s="73"/>
      <c r="U272" s="75"/>
      <c r="V272" s="102">
        <v>46121</v>
      </c>
      <c r="W272" s="70">
        <v>3</v>
      </c>
      <c r="X272" s="103" t="s">
        <v>1184</v>
      </c>
      <c r="Y272" s="104">
        <f t="shared" si="93"/>
        <v>46212</v>
      </c>
      <c r="Z272" s="105">
        <f ca="1" t="shared" si="94"/>
        <v>-101</v>
      </c>
      <c r="AA272" s="70"/>
      <c r="AB272" s="70" t="s">
        <v>229</v>
      </c>
      <c r="AC272" s="70" t="s">
        <v>13</v>
      </c>
      <c r="AD272" s="71" t="s">
        <v>1182</v>
      </c>
      <c r="AE272" s="71" t="s">
        <v>126</v>
      </c>
      <c r="AF272" s="72"/>
      <c r="AG272" s="73"/>
      <c r="AH272" s="75"/>
      <c r="AI272" s="102">
        <v>46227</v>
      </c>
      <c r="AJ272" s="70">
        <v>3</v>
      </c>
      <c r="AK272" s="103" t="s">
        <v>1185</v>
      </c>
      <c r="AL272" s="104">
        <f t="shared" si="99"/>
        <v>46319</v>
      </c>
      <c r="AM272" s="105">
        <f ca="1" t="shared" si="100"/>
        <v>6</v>
      </c>
      <c r="AN272" s="115"/>
      <c r="AO272" s="115"/>
      <c r="AP272" s="115"/>
      <c r="AQ272" s="93"/>
      <c r="AR272" s="93"/>
      <c r="AS272" s="94"/>
      <c r="AT272" s="95"/>
      <c r="AU272" s="79"/>
      <c r="AV272" s="117"/>
      <c r="AW272" s="115"/>
      <c r="AX272" s="106"/>
      <c r="AY272" s="104">
        <f t="shared" si="91"/>
        <v>0</v>
      </c>
      <c r="AZ272" s="105">
        <f ca="1" t="shared" si="92"/>
        <v>-46313</v>
      </c>
    </row>
    <row r="273" customHeight="1" spans="1:52">
      <c r="A273" s="70">
        <v>271</v>
      </c>
      <c r="B273" s="70" t="s">
        <v>229</v>
      </c>
      <c r="C273" s="70" t="s">
        <v>13</v>
      </c>
      <c r="D273" s="71" t="s">
        <v>1186</v>
      </c>
      <c r="E273" s="71" t="s">
        <v>76</v>
      </c>
      <c r="F273" s="72"/>
      <c r="G273" s="73"/>
      <c r="H273" s="75"/>
      <c r="I273" s="165">
        <v>46037</v>
      </c>
      <c r="J273" s="70">
        <v>3</v>
      </c>
      <c r="K273" s="106" t="s">
        <v>1187</v>
      </c>
      <c r="L273" s="104">
        <f t="shared" si="95"/>
        <v>46127</v>
      </c>
      <c r="M273" s="105">
        <f ca="1" t="shared" si="96"/>
        <v>-186</v>
      </c>
      <c r="N273" s="70"/>
      <c r="O273" s="70" t="s">
        <v>229</v>
      </c>
      <c r="P273" s="70" t="s">
        <v>13</v>
      </c>
      <c r="Q273" s="71" t="s">
        <v>1186</v>
      </c>
      <c r="R273" s="71" t="s">
        <v>76</v>
      </c>
      <c r="S273" s="72"/>
      <c r="T273" s="73"/>
      <c r="U273" s="75"/>
      <c r="V273" s="102">
        <v>46154</v>
      </c>
      <c r="W273" s="70">
        <v>3</v>
      </c>
      <c r="X273" s="103" t="s">
        <v>1188</v>
      </c>
      <c r="Y273" s="104">
        <f t="shared" si="93"/>
        <v>46246</v>
      </c>
      <c r="Z273" s="105">
        <f ca="1" t="shared" si="94"/>
        <v>-67</v>
      </c>
      <c r="AA273" s="70"/>
      <c r="AB273" s="70" t="s">
        <v>229</v>
      </c>
      <c r="AC273" s="70" t="s">
        <v>13</v>
      </c>
      <c r="AD273" s="71" t="s">
        <v>1186</v>
      </c>
      <c r="AE273" s="71" t="s">
        <v>76</v>
      </c>
      <c r="AF273" s="72"/>
      <c r="AG273" s="73"/>
      <c r="AH273" s="75"/>
      <c r="AI273" s="102">
        <v>46241</v>
      </c>
      <c r="AJ273" s="70">
        <v>3</v>
      </c>
      <c r="AK273" s="103" t="s">
        <v>1189</v>
      </c>
      <c r="AL273" s="104">
        <f t="shared" si="99"/>
        <v>46333</v>
      </c>
      <c r="AM273" s="105">
        <f ca="1" t="shared" si="100"/>
        <v>20</v>
      </c>
      <c r="AN273" s="115"/>
      <c r="AO273" s="70"/>
      <c r="AP273" s="70"/>
      <c r="AQ273" s="71"/>
      <c r="AR273" s="71"/>
      <c r="AS273" s="72"/>
      <c r="AT273" s="73"/>
      <c r="AU273" s="114"/>
      <c r="AV273" s="117"/>
      <c r="AW273" s="115"/>
      <c r="AX273" s="106"/>
      <c r="AY273" s="104">
        <f t="shared" si="91"/>
        <v>0</v>
      </c>
      <c r="AZ273" s="105">
        <f ca="1" t="shared" si="92"/>
        <v>-46313</v>
      </c>
    </row>
    <row r="274" customHeight="1" spans="1:52">
      <c r="A274" s="70">
        <v>272</v>
      </c>
      <c r="B274" s="70" t="s">
        <v>229</v>
      </c>
      <c r="C274" s="70" t="s">
        <v>13</v>
      </c>
      <c r="D274" s="71" t="s">
        <v>1190</v>
      </c>
      <c r="E274" s="71" t="s">
        <v>820</v>
      </c>
      <c r="F274" s="72"/>
      <c r="G274" s="73"/>
      <c r="H274" s="79" t="s">
        <v>16</v>
      </c>
      <c r="I274" s="165">
        <v>46037</v>
      </c>
      <c r="J274" s="70">
        <v>3</v>
      </c>
      <c r="K274" s="106" t="s">
        <v>1191</v>
      </c>
      <c r="L274" s="104">
        <f t="shared" si="95"/>
        <v>46127</v>
      </c>
      <c r="M274" s="105">
        <f ca="1" t="shared" si="96"/>
        <v>-186</v>
      </c>
      <c r="N274" s="70"/>
      <c r="O274" s="70" t="s">
        <v>229</v>
      </c>
      <c r="P274" s="70" t="s">
        <v>13</v>
      </c>
      <c r="Q274" s="71" t="s">
        <v>1190</v>
      </c>
      <c r="R274" s="71" t="s">
        <v>820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1192</v>
      </c>
      <c r="Y274" s="104">
        <f t="shared" si="93"/>
        <v>46211</v>
      </c>
      <c r="Z274" s="105">
        <f ca="1" t="shared" si="94"/>
        <v>-102</v>
      </c>
      <c r="AA274" s="70"/>
      <c r="AB274" s="70" t="s">
        <v>229</v>
      </c>
      <c r="AC274" s="70" t="s">
        <v>13</v>
      </c>
      <c r="AD274" s="71" t="s">
        <v>1190</v>
      </c>
      <c r="AE274" s="71" t="s">
        <v>820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1193</v>
      </c>
      <c r="AL274" s="104">
        <f t="shared" si="99"/>
        <v>46296</v>
      </c>
      <c r="AM274" s="105">
        <f ca="1" t="shared" si="100"/>
        <v>-17</v>
      </c>
      <c r="AN274" s="115"/>
      <c r="AO274" s="70" t="s">
        <v>229</v>
      </c>
      <c r="AP274" s="70" t="s">
        <v>13</v>
      </c>
      <c r="AQ274" s="71" t="s">
        <v>1190</v>
      </c>
      <c r="AR274" s="71" t="s">
        <v>820</v>
      </c>
      <c r="AS274" s="72"/>
      <c r="AT274" s="73"/>
      <c r="AU274" s="79" t="s">
        <v>16</v>
      </c>
      <c r="AV274" s="117">
        <v>46299</v>
      </c>
      <c r="AW274" s="115">
        <v>3</v>
      </c>
      <c r="AX274" s="106" t="s">
        <v>1194</v>
      </c>
      <c r="AY274" s="104">
        <f t="shared" si="91"/>
        <v>46391</v>
      </c>
      <c r="AZ274" s="105">
        <f ca="1" t="shared" si="92"/>
        <v>78</v>
      </c>
    </row>
    <row r="275" customHeight="1" spans="1:52">
      <c r="A275" s="70">
        <v>273</v>
      </c>
      <c r="B275" s="70" t="s">
        <v>134</v>
      </c>
      <c r="C275" s="70" t="s">
        <v>38</v>
      </c>
      <c r="D275" s="71" t="s">
        <v>1195</v>
      </c>
      <c r="E275" s="71" t="s">
        <v>40</v>
      </c>
      <c r="F275" s="72"/>
      <c r="G275" s="73"/>
      <c r="H275" s="75"/>
      <c r="I275" s="165">
        <v>46037</v>
      </c>
      <c r="J275" s="70">
        <v>3</v>
      </c>
      <c r="K275" s="106" t="s">
        <v>1196</v>
      </c>
      <c r="L275" s="104">
        <f t="shared" si="95"/>
        <v>46127</v>
      </c>
      <c r="M275" s="105">
        <f ca="1" t="shared" si="96"/>
        <v>-186</v>
      </c>
      <c r="N275" s="70"/>
      <c r="O275" s="70" t="s">
        <v>134</v>
      </c>
      <c r="P275" s="70" t="s">
        <v>38</v>
      </c>
      <c r="Q275" s="71" t="s">
        <v>1195</v>
      </c>
      <c r="R275" s="71" t="s">
        <v>40</v>
      </c>
      <c r="S275" s="72"/>
      <c r="T275" s="73"/>
      <c r="U275" s="75"/>
      <c r="V275" s="102">
        <v>46124</v>
      </c>
      <c r="W275" s="70">
        <v>3</v>
      </c>
      <c r="X275" s="103" t="s">
        <v>1197</v>
      </c>
      <c r="Y275" s="104">
        <f t="shared" si="93"/>
        <v>46215</v>
      </c>
      <c r="Z275" s="105">
        <f ca="1" t="shared" si="94"/>
        <v>-98</v>
      </c>
      <c r="AA275" s="70"/>
      <c r="AB275" s="70" t="s">
        <v>134</v>
      </c>
      <c r="AC275" s="70" t="s">
        <v>38</v>
      </c>
      <c r="AD275" s="71" t="s">
        <v>1195</v>
      </c>
      <c r="AE275" s="71" t="s">
        <v>40</v>
      </c>
      <c r="AF275" s="72"/>
      <c r="AG275" s="73"/>
      <c r="AH275" s="75"/>
      <c r="AI275" s="102">
        <v>46208</v>
      </c>
      <c r="AJ275" s="70">
        <v>3</v>
      </c>
      <c r="AK275" s="103" t="s">
        <v>1198</v>
      </c>
      <c r="AL275" s="104">
        <f t="shared" si="99"/>
        <v>46300</v>
      </c>
      <c r="AM275" s="105">
        <f ca="1" t="shared" si="100"/>
        <v>-13</v>
      </c>
      <c r="AN275" s="115"/>
      <c r="AO275" s="70" t="s">
        <v>134</v>
      </c>
      <c r="AP275" s="70" t="s">
        <v>38</v>
      </c>
      <c r="AQ275" s="71" t="s">
        <v>1195</v>
      </c>
      <c r="AR275" s="71" t="s">
        <v>40</v>
      </c>
      <c r="AS275" s="72"/>
      <c r="AT275" s="73"/>
      <c r="AU275" s="75"/>
      <c r="AV275" s="117">
        <v>46292</v>
      </c>
      <c r="AW275" s="115">
        <v>3</v>
      </c>
      <c r="AX275" s="106" t="s">
        <v>1199</v>
      </c>
      <c r="AY275" s="104">
        <f t="shared" si="91"/>
        <v>46383</v>
      </c>
      <c r="AZ275" s="105">
        <f ca="1" t="shared" si="92"/>
        <v>70</v>
      </c>
    </row>
    <row r="276" customHeight="1" spans="1:52">
      <c r="A276" s="70">
        <v>274</v>
      </c>
      <c r="B276" s="70" t="s">
        <v>134</v>
      </c>
      <c r="C276" s="70" t="s">
        <v>13</v>
      </c>
      <c r="D276" s="71" t="s">
        <v>1200</v>
      </c>
      <c r="E276" s="71" t="s">
        <v>126</v>
      </c>
      <c r="F276" s="72"/>
      <c r="G276" s="73"/>
      <c r="H276" s="75"/>
      <c r="I276" s="165">
        <v>46037</v>
      </c>
      <c r="J276" s="70">
        <v>3</v>
      </c>
      <c r="K276" s="106" t="s">
        <v>1201</v>
      </c>
      <c r="L276" s="104">
        <f t="shared" si="95"/>
        <v>46127</v>
      </c>
      <c r="M276" s="105">
        <f ca="1" t="shared" si="96"/>
        <v>-186</v>
      </c>
      <c r="N276" s="70"/>
      <c r="O276" s="70" t="s">
        <v>134</v>
      </c>
      <c r="P276" s="70" t="s">
        <v>13</v>
      </c>
      <c r="Q276" s="71" t="s">
        <v>1200</v>
      </c>
      <c r="R276" s="71" t="s">
        <v>126</v>
      </c>
      <c r="S276" s="72"/>
      <c r="T276" s="73"/>
      <c r="U276" s="75"/>
      <c r="V276" s="102">
        <v>46129</v>
      </c>
      <c r="W276" s="70">
        <v>3</v>
      </c>
      <c r="X276" s="103" t="s">
        <v>1202</v>
      </c>
      <c r="Y276" s="104">
        <f t="shared" si="93"/>
        <v>46220</v>
      </c>
      <c r="Z276" s="105">
        <f ca="1" t="shared" si="94"/>
        <v>-93</v>
      </c>
      <c r="AA276" s="70"/>
      <c r="AB276" s="70" t="s">
        <v>134</v>
      </c>
      <c r="AC276" s="70" t="s">
        <v>13</v>
      </c>
      <c r="AD276" s="71" t="s">
        <v>1200</v>
      </c>
      <c r="AE276" s="71" t="s">
        <v>126</v>
      </c>
      <c r="AF276" s="72"/>
      <c r="AG276" s="73"/>
      <c r="AH276" s="75"/>
      <c r="AI276" s="102">
        <v>46215</v>
      </c>
      <c r="AJ276" s="70">
        <v>3</v>
      </c>
      <c r="AK276" s="103" t="s">
        <v>1203</v>
      </c>
      <c r="AL276" s="104">
        <f t="shared" si="99"/>
        <v>46307</v>
      </c>
      <c r="AM276" s="105">
        <f ca="1" t="shared" si="100"/>
        <v>-6</v>
      </c>
      <c r="AN276" s="115"/>
      <c r="AO276" s="70" t="s">
        <v>134</v>
      </c>
      <c r="AP276" s="70" t="s">
        <v>13</v>
      </c>
      <c r="AQ276" s="71" t="s">
        <v>1200</v>
      </c>
      <c r="AR276" s="71" t="s">
        <v>126</v>
      </c>
      <c r="AS276" s="72"/>
      <c r="AT276" s="73"/>
      <c r="AU276" s="75"/>
      <c r="AV276" s="117">
        <v>46302</v>
      </c>
      <c r="AW276" s="115">
        <v>3</v>
      </c>
      <c r="AX276" s="106" t="s">
        <v>1204</v>
      </c>
      <c r="AY276" s="104">
        <f t="shared" si="91"/>
        <v>46394</v>
      </c>
      <c r="AZ276" s="105">
        <f ca="1" t="shared" si="92"/>
        <v>81</v>
      </c>
    </row>
    <row r="277" customHeight="1" spans="1:52">
      <c r="A277" s="70">
        <v>275</v>
      </c>
      <c r="B277" s="70" t="s">
        <v>1205</v>
      </c>
      <c r="C277" s="70" t="s">
        <v>13</v>
      </c>
      <c r="D277" s="71" t="s">
        <v>1206</v>
      </c>
      <c r="E277" s="71" t="s">
        <v>76</v>
      </c>
      <c r="F277" s="72"/>
      <c r="G277" s="73"/>
      <c r="H277" s="75"/>
      <c r="I277" s="165">
        <v>46037</v>
      </c>
      <c r="J277" s="70">
        <v>3</v>
      </c>
      <c r="K277" s="106" t="s">
        <v>1207</v>
      </c>
      <c r="L277" s="104">
        <f t="shared" si="95"/>
        <v>46127</v>
      </c>
      <c r="M277" s="105">
        <f ca="1" t="shared" si="96"/>
        <v>-186</v>
      </c>
      <c r="N277" s="70"/>
      <c r="O277" s="70" t="s">
        <v>1205</v>
      </c>
      <c r="P277" s="70" t="s">
        <v>13</v>
      </c>
      <c r="Q277" s="71" t="s">
        <v>1206</v>
      </c>
      <c r="R277" s="71" t="s">
        <v>76</v>
      </c>
      <c r="S277" s="72"/>
      <c r="T277" s="73"/>
      <c r="U277" s="75"/>
      <c r="V277" s="102">
        <v>46236</v>
      </c>
      <c r="W277" s="70">
        <v>3</v>
      </c>
      <c r="X277" s="103" t="s">
        <v>1208</v>
      </c>
      <c r="Y277" s="104">
        <f t="shared" si="93"/>
        <v>46328</v>
      </c>
      <c r="Z277" s="105">
        <f ca="1" t="shared" si="94"/>
        <v>15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99"/>
        <v>0</v>
      </c>
      <c r="AM277" s="105">
        <f ca="1" t="shared" si="100"/>
        <v>-46313</v>
      </c>
      <c r="AN277" s="115"/>
      <c r="AO277" s="115"/>
      <c r="AP277" s="115"/>
      <c r="AQ277" s="93"/>
      <c r="AR277" s="93"/>
      <c r="AS277" s="94"/>
      <c r="AT277" s="95"/>
      <c r="AU277" s="79"/>
      <c r="AV277" s="117"/>
      <c r="AW277" s="115"/>
      <c r="AX277" s="106"/>
      <c r="AY277" s="104">
        <f t="shared" si="91"/>
        <v>0</v>
      </c>
      <c r="AZ277" s="105">
        <f ca="1" t="shared" si="92"/>
        <v>-46313</v>
      </c>
    </row>
    <row r="278" customHeight="1" spans="1:52">
      <c r="A278" s="70">
        <v>276</v>
      </c>
      <c r="B278" s="70" t="s">
        <v>1205</v>
      </c>
      <c r="C278" s="70" t="s">
        <v>13</v>
      </c>
      <c r="D278" s="71" t="s">
        <v>1209</v>
      </c>
      <c r="E278" s="71" t="s">
        <v>76</v>
      </c>
      <c r="F278" s="72"/>
      <c r="G278" s="73"/>
      <c r="H278" s="75"/>
      <c r="I278" s="165">
        <v>46037</v>
      </c>
      <c r="J278" s="70">
        <v>3</v>
      </c>
      <c r="K278" s="106" t="s">
        <v>1210</v>
      </c>
      <c r="L278" s="104">
        <f t="shared" si="95"/>
        <v>46127</v>
      </c>
      <c r="M278" s="105">
        <f ca="1" t="shared" si="96"/>
        <v>-186</v>
      </c>
      <c r="N278" s="70"/>
      <c r="O278" s="70" t="s">
        <v>1205</v>
      </c>
      <c r="P278" s="70" t="s">
        <v>13</v>
      </c>
      <c r="Q278" s="71" t="s">
        <v>1209</v>
      </c>
      <c r="R278" s="71" t="s">
        <v>76</v>
      </c>
      <c r="S278" s="72"/>
      <c r="T278" s="73"/>
      <c r="U278" s="75"/>
      <c r="V278" s="102">
        <v>46218</v>
      </c>
      <c r="W278" s="70">
        <v>3</v>
      </c>
      <c r="X278" s="103" t="s">
        <v>1211</v>
      </c>
      <c r="Y278" s="104">
        <f t="shared" si="93"/>
        <v>46310</v>
      </c>
      <c r="Z278" s="105">
        <f ca="1" t="shared" si="94"/>
        <v>-3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99"/>
        <v>0</v>
      </c>
      <c r="AM278" s="105">
        <f ca="1" t="shared" si="100"/>
        <v>-46313</v>
      </c>
      <c r="AN278" s="115"/>
      <c r="AO278" s="115"/>
      <c r="AP278" s="115"/>
      <c r="AQ278" s="93"/>
      <c r="AR278" s="93"/>
      <c r="AS278" s="94"/>
      <c r="AT278" s="95"/>
      <c r="AU278" s="79"/>
      <c r="AV278" s="117"/>
      <c r="AW278" s="115"/>
      <c r="AX278" s="106"/>
      <c r="AY278" s="104">
        <f t="shared" ref="AY275:AY290" si="101">EDATE(AV278,AW278)</f>
        <v>0</v>
      </c>
      <c r="AZ278" s="105">
        <f ca="1" t="shared" ref="AZ275:AZ290" si="102">AY278-TODAY()</f>
        <v>-46313</v>
      </c>
    </row>
    <row r="279" customHeight="1" spans="1:52">
      <c r="A279" s="70">
        <v>277</v>
      </c>
      <c r="B279" s="70" t="s">
        <v>1205</v>
      </c>
      <c r="C279" s="70" t="s">
        <v>13</v>
      </c>
      <c r="D279" s="71" t="s">
        <v>1212</v>
      </c>
      <c r="E279" s="71" t="s">
        <v>76</v>
      </c>
      <c r="F279" s="72"/>
      <c r="G279" s="73"/>
      <c r="H279" s="75"/>
      <c r="I279" s="165">
        <v>46037</v>
      </c>
      <c r="J279" s="70">
        <v>3</v>
      </c>
      <c r="K279" s="106" t="s">
        <v>1213</v>
      </c>
      <c r="L279" s="104">
        <f t="shared" si="95"/>
        <v>46127</v>
      </c>
      <c r="M279" s="105">
        <f ca="1" t="shared" si="96"/>
        <v>-186</v>
      </c>
      <c r="N279" s="70"/>
      <c r="O279" s="70" t="s">
        <v>1205</v>
      </c>
      <c r="P279" s="70" t="s">
        <v>13</v>
      </c>
      <c r="Q279" s="71" t="s">
        <v>1212</v>
      </c>
      <c r="R279" s="71" t="s">
        <v>76</v>
      </c>
      <c r="S279" s="72"/>
      <c r="T279" s="73"/>
      <c r="U279" s="75"/>
      <c r="V279" s="102">
        <v>46218</v>
      </c>
      <c r="W279" s="70">
        <v>3</v>
      </c>
      <c r="X279" s="103" t="s">
        <v>1214</v>
      </c>
      <c r="Y279" s="104">
        <f t="shared" si="93"/>
        <v>46310</v>
      </c>
      <c r="Z279" s="105">
        <f ca="1" t="shared" si="94"/>
        <v>-3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99"/>
        <v>0</v>
      </c>
      <c r="AM279" s="105">
        <f ca="1" t="shared" si="100"/>
        <v>-46313</v>
      </c>
      <c r="AN279" s="115"/>
      <c r="AO279" s="115"/>
      <c r="AP279" s="115"/>
      <c r="AQ279" s="93"/>
      <c r="AR279" s="93"/>
      <c r="AS279" s="94"/>
      <c r="AT279" s="95"/>
      <c r="AU279" s="79"/>
      <c r="AV279" s="117"/>
      <c r="AW279" s="115"/>
      <c r="AX279" s="106"/>
      <c r="AY279" s="104">
        <f t="shared" si="101"/>
        <v>0</v>
      </c>
      <c r="AZ279" s="105">
        <f ca="1" t="shared" si="102"/>
        <v>-46313</v>
      </c>
    </row>
    <row r="280" customHeight="1" spans="1:52">
      <c r="A280" s="70">
        <v>278</v>
      </c>
      <c r="B280" s="70" t="s">
        <v>1215</v>
      </c>
      <c r="C280" s="70" t="s">
        <v>38</v>
      </c>
      <c r="D280" s="71" t="s">
        <v>1216</v>
      </c>
      <c r="E280" s="71" t="s">
        <v>1217</v>
      </c>
      <c r="F280" s="72"/>
      <c r="G280" s="73"/>
      <c r="H280" s="75"/>
      <c r="I280" s="165">
        <v>46037</v>
      </c>
      <c r="J280" s="70">
        <v>3</v>
      </c>
      <c r="K280" s="106" t="s">
        <v>1218</v>
      </c>
      <c r="L280" s="104">
        <f t="shared" si="95"/>
        <v>46127</v>
      </c>
      <c r="M280" s="105">
        <f ca="1" t="shared" si="96"/>
        <v>-186</v>
      </c>
      <c r="N280" s="70"/>
      <c r="O280" s="70" t="s">
        <v>1215</v>
      </c>
      <c r="P280" s="70" t="s">
        <v>38</v>
      </c>
      <c r="Q280" s="71" t="s">
        <v>1216</v>
      </c>
      <c r="R280" s="71" t="s">
        <v>1217</v>
      </c>
      <c r="S280" s="72"/>
      <c r="T280" s="73"/>
      <c r="U280" s="75"/>
      <c r="V280" s="102">
        <v>46120</v>
      </c>
      <c r="W280" s="70">
        <v>3</v>
      </c>
      <c r="X280" s="103" t="s">
        <v>1219</v>
      </c>
      <c r="Y280" s="104">
        <f t="shared" si="93"/>
        <v>46211</v>
      </c>
      <c r="Z280" s="105">
        <f ca="1" t="shared" si="94"/>
        <v>-102</v>
      </c>
      <c r="AA280" s="70"/>
      <c r="AB280" s="70"/>
      <c r="AC280" s="70"/>
      <c r="AD280" s="71"/>
      <c r="AE280" s="189"/>
      <c r="AF280" s="72"/>
      <c r="AG280" s="73"/>
      <c r="AH280" s="79"/>
      <c r="AI280" s="102"/>
      <c r="AJ280" s="70"/>
      <c r="AK280" s="103"/>
      <c r="AL280" s="104">
        <f t="shared" si="99"/>
        <v>0</v>
      </c>
      <c r="AM280" s="105">
        <f ca="1" t="shared" si="100"/>
        <v>-46313</v>
      </c>
      <c r="AN280" s="115"/>
      <c r="AO280" s="115"/>
      <c r="AP280" s="115"/>
      <c r="AQ280" s="93"/>
      <c r="AR280" s="72"/>
      <c r="AS280" s="94"/>
      <c r="AT280" s="95"/>
      <c r="AU280" s="79"/>
      <c r="AV280" s="117"/>
      <c r="AW280" s="115"/>
      <c r="AX280" s="106"/>
      <c r="AY280" s="104">
        <f t="shared" si="101"/>
        <v>0</v>
      </c>
      <c r="AZ280" s="105">
        <f ca="1" t="shared" si="102"/>
        <v>-46313</v>
      </c>
    </row>
    <row r="281" customHeight="1" spans="1:52">
      <c r="A281" s="70">
        <v>279</v>
      </c>
      <c r="B281" s="70" t="s">
        <v>1220</v>
      </c>
      <c r="C281" s="70" t="s">
        <v>38</v>
      </c>
      <c r="D281" s="71" t="s">
        <v>1221</v>
      </c>
      <c r="E281" s="71" t="s">
        <v>1222</v>
      </c>
      <c r="F281" s="72"/>
      <c r="G281" s="73"/>
      <c r="H281" s="75"/>
      <c r="I281" s="165">
        <v>46037</v>
      </c>
      <c r="J281" s="70">
        <v>3</v>
      </c>
      <c r="K281" s="106" t="s">
        <v>1223</v>
      </c>
      <c r="L281" s="104">
        <f t="shared" si="95"/>
        <v>46127</v>
      </c>
      <c r="M281" s="105">
        <f ca="1" t="shared" si="96"/>
        <v>-186</v>
      </c>
      <c r="N281" s="70"/>
      <c r="O281" s="70" t="s">
        <v>1220</v>
      </c>
      <c r="P281" s="70" t="s">
        <v>38</v>
      </c>
      <c r="Q281" s="71" t="s">
        <v>1221</v>
      </c>
      <c r="R281" s="71" t="s">
        <v>1222</v>
      </c>
      <c r="S281" s="72"/>
      <c r="T281" s="73"/>
      <c r="U281" s="75"/>
      <c r="V281" s="102">
        <v>46120</v>
      </c>
      <c r="W281" s="70">
        <v>3</v>
      </c>
      <c r="X281" s="103" t="s">
        <v>1224</v>
      </c>
      <c r="Y281" s="104">
        <f t="shared" si="93"/>
        <v>46211</v>
      </c>
      <c r="Z281" s="105">
        <f ca="1" t="shared" si="94"/>
        <v>-102</v>
      </c>
      <c r="AA281" s="70"/>
      <c r="AB281" s="70" t="s">
        <v>1220</v>
      </c>
      <c r="AC281" s="70" t="s">
        <v>38</v>
      </c>
      <c r="AD281" s="71" t="s">
        <v>1221</v>
      </c>
      <c r="AE281" s="71" t="s">
        <v>1222</v>
      </c>
      <c r="AF281" s="72"/>
      <c r="AG281" s="73"/>
      <c r="AH281" s="75"/>
      <c r="AI281" s="102">
        <v>46207</v>
      </c>
      <c r="AJ281" s="70">
        <v>3</v>
      </c>
      <c r="AK281" s="103" t="s">
        <v>1225</v>
      </c>
      <c r="AL281" s="104">
        <f t="shared" si="99"/>
        <v>46299</v>
      </c>
      <c r="AM281" s="105">
        <f ca="1" t="shared" si="100"/>
        <v>-14</v>
      </c>
      <c r="AN281" s="115"/>
      <c r="AO281" s="115"/>
      <c r="AP281" s="115"/>
      <c r="AQ281" s="93"/>
      <c r="AR281" s="93"/>
      <c r="AS281" s="94"/>
      <c r="AT281" s="95"/>
      <c r="AU281" s="79"/>
      <c r="AV281" s="117"/>
      <c r="AW281" s="115"/>
      <c r="AX281" s="106"/>
      <c r="AY281" s="104">
        <f t="shared" si="101"/>
        <v>0</v>
      </c>
      <c r="AZ281" s="105">
        <f ca="1" t="shared" si="102"/>
        <v>-46313</v>
      </c>
    </row>
    <row r="282" customHeight="1" spans="1:52">
      <c r="A282" s="70">
        <v>280</v>
      </c>
      <c r="B282" s="70" t="s">
        <v>281</v>
      </c>
      <c r="C282" s="70" t="s">
        <v>264</v>
      </c>
      <c r="D282" s="71" t="s">
        <v>1226</v>
      </c>
      <c r="E282" s="71" t="s">
        <v>1227</v>
      </c>
      <c r="F282" s="72"/>
      <c r="G282" s="73"/>
      <c r="H282" s="75"/>
      <c r="I282" s="165">
        <v>46037</v>
      </c>
      <c r="J282" s="70">
        <v>3</v>
      </c>
      <c r="K282" s="106" t="s">
        <v>1228</v>
      </c>
      <c r="L282" s="104">
        <f t="shared" si="95"/>
        <v>46127</v>
      </c>
      <c r="M282" s="105">
        <f ca="1" t="shared" si="96"/>
        <v>-186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93"/>
        <v>0</v>
      </c>
      <c r="Z282" s="105">
        <f ca="1" t="shared" si="94"/>
        <v>-46313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99"/>
        <v>0</v>
      </c>
      <c r="AM282" s="105">
        <f ca="1" t="shared" si="100"/>
        <v>-46313</v>
      </c>
      <c r="AN282" s="115"/>
      <c r="AO282" s="115"/>
      <c r="AP282" s="115"/>
      <c r="AQ282" s="93"/>
      <c r="AR282" s="93"/>
      <c r="AS282" s="94"/>
      <c r="AT282" s="95"/>
      <c r="AU282" s="79"/>
      <c r="AV282" s="117"/>
      <c r="AW282" s="115"/>
      <c r="AX282" s="106"/>
      <c r="AY282" s="104">
        <f t="shared" si="101"/>
        <v>0</v>
      </c>
      <c r="AZ282" s="105">
        <f ca="1" t="shared" si="102"/>
        <v>-46313</v>
      </c>
    </row>
    <row r="283" customHeight="1" spans="1:52">
      <c r="A283" s="70">
        <v>281</v>
      </c>
      <c r="B283" s="70" t="s">
        <v>281</v>
      </c>
      <c r="C283" s="70" t="s">
        <v>264</v>
      </c>
      <c r="D283" s="71" t="s">
        <v>1229</v>
      </c>
      <c r="E283" s="71" t="s">
        <v>364</v>
      </c>
      <c r="F283" s="72"/>
      <c r="G283" s="73"/>
      <c r="H283" s="75"/>
      <c r="I283" s="165">
        <v>46037</v>
      </c>
      <c r="J283" s="70">
        <v>3</v>
      </c>
      <c r="K283" s="106" t="s">
        <v>1230</v>
      </c>
      <c r="L283" s="104">
        <f t="shared" si="95"/>
        <v>46127</v>
      </c>
      <c r="M283" s="105">
        <f ca="1" t="shared" si="96"/>
        <v>-186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93"/>
        <v>0</v>
      </c>
      <c r="Z283" s="105">
        <f ca="1" t="shared" si="94"/>
        <v>-46313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99"/>
        <v>0</v>
      </c>
      <c r="AM283" s="105">
        <f ca="1" t="shared" si="100"/>
        <v>-46313</v>
      </c>
      <c r="AN283" s="115"/>
      <c r="AO283" s="115"/>
      <c r="AP283" s="115"/>
      <c r="AQ283" s="93"/>
      <c r="AR283" s="93"/>
      <c r="AS283" s="94"/>
      <c r="AT283" s="95"/>
      <c r="AU283" s="79"/>
      <c r="AV283" s="117"/>
      <c r="AW283" s="115"/>
      <c r="AX283" s="106"/>
      <c r="AY283" s="104">
        <f t="shared" si="101"/>
        <v>0</v>
      </c>
      <c r="AZ283" s="105">
        <f ca="1" t="shared" si="102"/>
        <v>-46313</v>
      </c>
    </row>
    <row r="284" customHeight="1" spans="1:52">
      <c r="A284" s="70">
        <v>282</v>
      </c>
      <c r="B284" s="70" t="s">
        <v>281</v>
      </c>
      <c r="C284" s="70" t="s">
        <v>264</v>
      </c>
      <c r="D284" s="71" t="s">
        <v>1231</v>
      </c>
      <c r="E284" s="71" t="s">
        <v>1232</v>
      </c>
      <c r="F284" s="72"/>
      <c r="G284" s="73"/>
      <c r="H284" s="75"/>
      <c r="I284" s="165">
        <v>46037</v>
      </c>
      <c r="J284" s="70">
        <v>3</v>
      </c>
      <c r="K284" s="106" t="s">
        <v>1233</v>
      </c>
      <c r="L284" s="104">
        <f t="shared" si="95"/>
        <v>46127</v>
      </c>
      <c r="M284" s="105">
        <f ca="1" t="shared" si="96"/>
        <v>-186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93"/>
        <v>0</v>
      </c>
      <c r="Z284" s="105">
        <f ca="1" t="shared" si="94"/>
        <v>-46313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99"/>
        <v>0</v>
      </c>
      <c r="AM284" s="105">
        <f ca="1" t="shared" si="100"/>
        <v>-46313</v>
      </c>
      <c r="AN284" s="115"/>
      <c r="AO284" s="115"/>
      <c r="AP284" s="115"/>
      <c r="AQ284" s="93"/>
      <c r="AR284" s="93"/>
      <c r="AS284" s="94"/>
      <c r="AT284" s="95"/>
      <c r="AU284" s="79"/>
      <c r="AV284" s="117"/>
      <c r="AW284" s="115"/>
      <c r="AX284" s="106"/>
      <c r="AY284" s="104">
        <f t="shared" si="101"/>
        <v>0</v>
      </c>
      <c r="AZ284" s="105">
        <f ca="1" t="shared" si="102"/>
        <v>-46313</v>
      </c>
    </row>
    <row r="285" customHeight="1" spans="1:52">
      <c r="A285" s="70">
        <v>283</v>
      </c>
      <c r="B285" s="70" t="s">
        <v>1234</v>
      </c>
      <c r="C285" s="70" t="s">
        <v>264</v>
      </c>
      <c r="D285" s="71" t="s">
        <v>1235</v>
      </c>
      <c r="E285" s="71" t="s">
        <v>264</v>
      </c>
      <c r="F285" s="72"/>
      <c r="G285" s="73"/>
      <c r="H285" s="75"/>
      <c r="I285" s="165">
        <v>46037</v>
      </c>
      <c r="J285" s="70">
        <v>3</v>
      </c>
      <c r="K285" s="106" t="s">
        <v>1236</v>
      </c>
      <c r="L285" s="104">
        <f t="shared" si="95"/>
        <v>46127</v>
      </c>
      <c r="M285" s="105">
        <f ca="1" t="shared" si="96"/>
        <v>-186</v>
      </c>
      <c r="N285" s="70"/>
      <c r="O285" s="70" t="s">
        <v>1234</v>
      </c>
      <c r="P285" s="70" t="s">
        <v>264</v>
      </c>
      <c r="Q285" s="71" t="s">
        <v>1235</v>
      </c>
      <c r="R285" s="71" t="s">
        <v>264</v>
      </c>
      <c r="S285" s="72"/>
      <c r="T285" s="73"/>
      <c r="U285" s="75"/>
      <c r="V285" s="102">
        <v>46128</v>
      </c>
      <c r="W285" s="70">
        <v>3</v>
      </c>
      <c r="X285" s="103" t="s">
        <v>1237</v>
      </c>
      <c r="Y285" s="104">
        <f t="shared" si="93"/>
        <v>46219</v>
      </c>
      <c r="Z285" s="105">
        <f ca="1" t="shared" si="94"/>
        <v>-94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99"/>
        <v>0</v>
      </c>
      <c r="AM285" s="105">
        <f ca="1" t="shared" si="100"/>
        <v>-46313</v>
      </c>
      <c r="AN285" s="115"/>
      <c r="AO285" s="115"/>
      <c r="AP285" s="115"/>
      <c r="AQ285" s="93"/>
      <c r="AR285" s="93"/>
      <c r="AS285" s="94"/>
      <c r="AT285" s="95"/>
      <c r="AU285" s="79"/>
      <c r="AV285" s="117"/>
      <c r="AW285" s="115"/>
      <c r="AX285" s="106"/>
      <c r="AY285" s="104">
        <f t="shared" si="101"/>
        <v>0</v>
      </c>
      <c r="AZ285" s="105">
        <f ca="1" t="shared" si="102"/>
        <v>-46313</v>
      </c>
    </row>
    <row r="286" customHeight="1" spans="1:52">
      <c r="A286" s="70">
        <v>284</v>
      </c>
      <c r="B286" s="70" t="s">
        <v>1238</v>
      </c>
      <c r="C286" s="70" t="s">
        <v>264</v>
      </c>
      <c r="D286" s="71" t="s">
        <v>1239</v>
      </c>
      <c r="E286" s="71" t="s">
        <v>364</v>
      </c>
      <c r="F286" s="72"/>
      <c r="G286" s="73"/>
      <c r="H286" s="75"/>
      <c r="I286" s="165">
        <v>46037</v>
      </c>
      <c r="J286" s="70">
        <v>3</v>
      </c>
      <c r="K286" s="106" t="s">
        <v>1240</v>
      </c>
      <c r="L286" s="104">
        <f t="shared" si="95"/>
        <v>46127</v>
      </c>
      <c r="M286" s="105">
        <f ca="1" t="shared" si="96"/>
        <v>-186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93"/>
        <v>0</v>
      </c>
      <c r="Z286" s="105">
        <f ca="1" t="shared" si="94"/>
        <v>-46313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99"/>
        <v>0</v>
      </c>
      <c r="AM286" s="105">
        <f ca="1" t="shared" si="100"/>
        <v>-46313</v>
      </c>
      <c r="AN286" s="115"/>
      <c r="AO286" s="70"/>
      <c r="AP286" s="70"/>
      <c r="AQ286" s="71"/>
      <c r="AR286" s="71"/>
      <c r="AS286" s="72"/>
      <c r="AT286" s="95"/>
      <c r="AU286" s="151"/>
      <c r="AV286" s="117"/>
      <c r="AW286" s="115"/>
      <c r="AX286" s="106"/>
      <c r="AY286" s="104">
        <f t="shared" si="101"/>
        <v>0</v>
      </c>
      <c r="AZ286" s="105">
        <f ca="1" t="shared" si="102"/>
        <v>-46313</v>
      </c>
    </row>
    <row r="287" customHeight="1" spans="1:52">
      <c r="A287" s="70">
        <v>285</v>
      </c>
      <c r="B287" s="70" t="s">
        <v>270</v>
      </c>
      <c r="C287" s="70" t="s">
        <v>264</v>
      </c>
      <c r="D287" s="71" t="s">
        <v>276</v>
      </c>
      <c r="E287" s="71" t="s">
        <v>277</v>
      </c>
      <c r="F287" s="72"/>
      <c r="G287" s="73"/>
      <c r="H287" s="75"/>
      <c r="I287" s="165">
        <v>46037</v>
      </c>
      <c r="J287" s="165" t="s">
        <v>767</v>
      </c>
      <c r="K287" s="106"/>
      <c r="L287" s="104" t="e">
        <f t="shared" si="95"/>
        <v>#VALUE!</v>
      </c>
      <c r="M287" s="105" t="e">
        <f ca="1" t="shared" si="96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93"/>
        <v>0</v>
      </c>
      <c r="Z287" s="105">
        <f ca="1" t="shared" si="94"/>
        <v>-46313</v>
      </c>
      <c r="AA287" s="70"/>
      <c r="AB287" s="70"/>
      <c r="AC287" s="70"/>
      <c r="AD287" s="71"/>
      <c r="AE287" s="71"/>
      <c r="AF287" s="72"/>
      <c r="AG287" s="73"/>
      <c r="AH287" s="114"/>
      <c r="AI287" s="119"/>
      <c r="AJ287" s="70"/>
      <c r="AK287" s="103"/>
      <c r="AL287" s="104">
        <f t="shared" si="99"/>
        <v>0</v>
      </c>
      <c r="AM287" s="105">
        <f ca="1" t="shared" si="100"/>
        <v>-46313</v>
      </c>
      <c r="AN287" s="115"/>
      <c r="AO287" s="70"/>
      <c r="AP287" s="70"/>
      <c r="AQ287" s="71"/>
      <c r="AR287" s="71"/>
      <c r="AS287" s="72"/>
      <c r="AT287" s="73"/>
      <c r="AU287" s="119"/>
      <c r="AV287" s="119"/>
      <c r="AW287" s="115"/>
      <c r="AX287" s="106"/>
      <c r="AY287" s="104">
        <f t="shared" si="101"/>
        <v>0</v>
      </c>
      <c r="AZ287" s="105">
        <f ca="1" t="shared" si="102"/>
        <v>-46313</v>
      </c>
    </row>
    <row r="288" customHeight="1" spans="1:52">
      <c r="A288" s="70">
        <v>286</v>
      </c>
      <c r="B288" s="70" t="s">
        <v>535</v>
      </c>
      <c r="C288" s="70" t="s">
        <v>13</v>
      </c>
      <c r="D288" s="71" t="s">
        <v>1241</v>
      </c>
      <c r="E288" s="71" t="s">
        <v>1242</v>
      </c>
      <c r="F288" s="72"/>
      <c r="G288" s="73"/>
      <c r="H288" s="79" t="s">
        <v>16</v>
      </c>
      <c r="I288" s="165">
        <v>46037</v>
      </c>
      <c r="J288" s="70">
        <v>3</v>
      </c>
      <c r="K288" s="106" t="s">
        <v>1243</v>
      </c>
      <c r="L288" s="104">
        <f t="shared" si="95"/>
        <v>46127</v>
      </c>
      <c r="M288" s="105">
        <f ca="1" t="shared" si="96"/>
        <v>-186</v>
      </c>
      <c r="N288" s="70"/>
      <c r="O288" s="70" t="s">
        <v>535</v>
      </c>
      <c r="P288" s="70" t="s">
        <v>13</v>
      </c>
      <c r="Q288" s="71" t="s">
        <v>1241</v>
      </c>
      <c r="R288" s="71" t="s">
        <v>1242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1244</v>
      </c>
      <c r="Y288" s="104">
        <f t="shared" si="93"/>
        <v>46227</v>
      </c>
      <c r="Z288" s="105">
        <f ca="1" t="shared" si="94"/>
        <v>-86</v>
      </c>
      <c r="AA288" s="70"/>
      <c r="AB288" s="70" t="s">
        <v>535</v>
      </c>
      <c r="AC288" s="70" t="s">
        <v>13</v>
      </c>
      <c r="AD288" s="71" t="s">
        <v>1241</v>
      </c>
      <c r="AE288" s="71" t="s">
        <v>1242</v>
      </c>
      <c r="AF288" s="72"/>
      <c r="AG288" s="73"/>
      <c r="AH288" s="75" t="s">
        <v>434</v>
      </c>
      <c r="AI288" s="102">
        <v>46239</v>
      </c>
      <c r="AJ288" s="70">
        <v>3</v>
      </c>
      <c r="AK288" s="103" t="s">
        <v>1245</v>
      </c>
      <c r="AL288" s="104">
        <f t="shared" si="99"/>
        <v>46331</v>
      </c>
      <c r="AM288" s="105">
        <f ca="1" t="shared" si="100"/>
        <v>18</v>
      </c>
      <c r="AN288" s="115"/>
      <c r="AO288" s="115"/>
      <c r="AP288" s="115"/>
      <c r="AQ288" s="93"/>
      <c r="AR288" s="93"/>
      <c r="AS288" s="94"/>
      <c r="AT288" s="95"/>
      <c r="AU288" s="114"/>
      <c r="AV288" s="117"/>
      <c r="AW288" s="115"/>
      <c r="AX288" s="106"/>
      <c r="AY288" s="104">
        <f t="shared" si="101"/>
        <v>0</v>
      </c>
      <c r="AZ288" s="105">
        <f ca="1" t="shared" si="102"/>
        <v>-46313</v>
      </c>
    </row>
    <row r="289" customHeight="1" spans="1:52">
      <c r="A289" s="70">
        <v>287</v>
      </c>
      <c r="B289" s="70" t="s">
        <v>1027</v>
      </c>
      <c r="C289" s="70" t="s">
        <v>374</v>
      </c>
      <c r="D289" s="71" t="s">
        <v>1246</v>
      </c>
      <c r="E289" s="71" t="s">
        <v>659</v>
      </c>
      <c r="F289" s="72"/>
      <c r="G289" s="73"/>
      <c r="H289" s="79" t="s">
        <v>16</v>
      </c>
      <c r="I289" s="165">
        <v>46037</v>
      </c>
      <c r="J289" s="70">
        <v>3</v>
      </c>
      <c r="K289" s="106" t="s">
        <v>1247</v>
      </c>
      <c r="L289" s="104">
        <f t="shared" si="95"/>
        <v>46127</v>
      </c>
      <c r="M289" s="105">
        <f ca="1" t="shared" si="96"/>
        <v>-186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93"/>
        <v>0</v>
      </c>
      <c r="Z289" s="105">
        <f ca="1" t="shared" si="94"/>
        <v>-46313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99"/>
        <v>0</v>
      </c>
      <c r="AM289" s="105">
        <f ca="1" t="shared" si="100"/>
        <v>-46313</v>
      </c>
      <c r="AN289" s="115"/>
      <c r="AO289" s="70"/>
      <c r="AP289" s="70"/>
      <c r="AQ289" s="71"/>
      <c r="AR289" s="71"/>
      <c r="AS289" s="72"/>
      <c r="AT289" s="73"/>
      <c r="AU289" s="114"/>
      <c r="AV289" s="117"/>
      <c r="AW289" s="115"/>
      <c r="AX289" s="106"/>
      <c r="AY289" s="104">
        <f t="shared" si="101"/>
        <v>0</v>
      </c>
      <c r="AZ289" s="105">
        <f ca="1" t="shared" si="102"/>
        <v>-46313</v>
      </c>
    </row>
    <row r="290" customHeight="1" spans="1:52">
      <c r="A290" s="70">
        <v>288</v>
      </c>
      <c r="B290" s="70" t="s">
        <v>782</v>
      </c>
      <c r="C290" s="70" t="s">
        <v>374</v>
      </c>
      <c r="D290" s="71" t="s">
        <v>1248</v>
      </c>
      <c r="E290" s="71" t="s">
        <v>1249</v>
      </c>
      <c r="F290" s="72"/>
      <c r="G290" s="73"/>
      <c r="H290" s="79" t="s">
        <v>16</v>
      </c>
      <c r="I290" s="165">
        <v>46037</v>
      </c>
      <c r="J290" s="70">
        <v>3</v>
      </c>
      <c r="K290" s="106" t="s">
        <v>1250</v>
      </c>
      <c r="L290" s="104">
        <f t="shared" si="95"/>
        <v>46127</v>
      </c>
      <c r="M290" s="105">
        <f ca="1" t="shared" si="96"/>
        <v>-186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93"/>
        <v>0</v>
      </c>
      <c r="Z290" s="105">
        <f ca="1" t="shared" si="94"/>
        <v>-46313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99"/>
        <v>0</v>
      </c>
      <c r="AM290" s="105">
        <f ca="1" t="shared" si="100"/>
        <v>-46313</v>
      </c>
      <c r="AN290" s="115"/>
      <c r="AO290" s="70"/>
      <c r="AP290" s="70"/>
      <c r="AQ290" s="71"/>
      <c r="AR290" s="71"/>
      <c r="AS290" s="72"/>
      <c r="AT290" s="73"/>
      <c r="AU290" s="114"/>
      <c r="AV290" s="117"/>
      <c r="AW290" s="115"/>
      <c r="AX290" s="106"/>
      <c r="AY290" s="104">
        <f t="shared" si="101"/>
        <v>0</v>
      </c>
      <c r="AZ290" s="105">
        <f ca="1" t="shared" si="102"/>
        <v>-46313</v>
      </c>
    </row>
    <row r="291" customHeight="1" spans="1:52">
      <c r="A291" s="70">
        <v>289</v>
      </c>
      <c r="B291" s="70" t="s">
        <v>782</v>
      </c>
      <c r="C291" s="70" t="s">
        <v>374</v>
      </c>
      <c r="D291" s="71" t="s">
        <v>1251</v>
      </c>
      <c r="E291" s="71" t="s">
        <v>548</v>
      </c>
      <c r="F291" s="72"/>
      <c r="G291" s="73"/>
      <c r="H291" s="79" t="s">
        <v>16</v>
      </c>
      <c r="I291" s="165">
        <v>46037</v>
      </c>
      <c r="J291" s="70">
        <v>3</v>
      </c>
      <c r="K291" s="106" t="s">
        <v>1252</v>
      </c>
      <c r="L291" s="104">
        <f t="shared" si="95"/>
        <v>46127</v>
      </c>
      <c r="M291" s="105">
        <f ca="1" t="shared" si="96"/>
        <v>-186</v>
      </c>
      <c r="N291" s="70"/>
      <c r="O291" s="70" t="s">
        <v>782</v>
      </c>
      <c r="P291" s="70" t="s">
        <v>374</v>
      </c>
      <c r="Q291" s="71" t="s">
        <v>1251</v>
      </c>
      <c r="R291" s="71" t="s">
        <v>548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1253</v>
      </c>
      <c r="Y291" s="104">
        <f t="shared" si="93"/>
        <v>46214</v>
      </c>
      <c r="Z291" s="105">
        <f ca="1" t="shared" si="94"/>
        <v>-99</v>
      </c>
      <c r="AA291" s="70"/>
      <c r="AB291" s="70" t="s">
        <v>782</v>
      </c>
      <c r="AC291" s="70" t="s">
        <v>374</v>
      </c>
      <c r="AD291" s="71" t="s">
        <v>1251</v>
      </c>
      <c r="AE291" s="71" t="s">
        <v>548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1254</v>
      </c>
      <c r="AL291" s="104">
        <f t="shared" si="99"/>
        <v>46292</v>
      </c>
      <c r="AM291" s="105">
        <f ca="1" t="shared" si="100"/>
        <v>-21</v>
      </c>
      <c r="AN291" s="115"/>
      <c r="AO291" s="70" t="s">
        <v>782</v>
      </c>
      <c r="AP291" s="70" t="s">
        <v>374</v>
      </c>
      <c r="AQ291" s="71" t="s">
        <v>1251</v>
      </c>
      <c r="AR291" s="71" t="s">
        <v>548</v>
      </c>
      <c r="AS291" s="72"/>
      <c r="AT291" s="73"/>
      <c r="AU291" s="79" t="s">
        <v>16</v>
      </c>
      <c r="AV291" s="117">
        <v>46284</v>
      </c>
      <c r="AW291" s="115">
        <v>3</v>
      </c>
      <c r="AX291" s="106" t="s">
        <v>1255</v>
      </c>
      <c r="AY291" s="104">
        <f t="shared" ref="AY291:AY293" si="103">EDATE(AV291,AW291)</f>
        <v>46375</v>
      </c>
      <c r="AZ291" s="105">
        <f ca="1" t="shared" ref="AZ291:AZ293" si="104">AY291-TODAY()</f>
        <v>62</v>
      </c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1256</v>
      </c>
      <c r="E292" s="71" t="s">
        <v>34</v>
      </c>
      <c r="F292" s="72"/>
      <c r="G292" s="73"/>
      <c r="H292" s="114" t="s">
        <v>16</v>
      </c>
      <c r="I292" s="165">
        <v>46038</v>
      </c>
      <c r="J292" s="70">
        <v>3</v>
      </c>
      <c r="K292" s="106" t="s">
        <v>1257</v>
      </c>
      <c r="L292" s="104">
        <f t="shared" si="95"/>
        <v>46128</v>
      </c>
      <c r="M292" s="105">
        <f ca="1" t="shared" si="96"/>
        <v>-185</v>
      </c>
      <c r="N292" s="70"/>
      <c r="O292" s="70" t="s">
        <v>12</v>
      </c>
      <c r="P292" s="70" t="s">
        <v>13</v>
      </c>
      <c r="Q292" s="71" t="s">
        <v>1256</v>
      </c>
      <c r="R292" s="71" t="s">
        <v>34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1258</v>
      </c>
      <c r="Y292" s="104">
        <f t="shared" ref="Y292:Y301" si="105">EDATE(V292,W292)</f>
        <v>46266</v>
      </c>
      <c r="Z292" s="105">
        <f ca="1" t="shared" ref="Z292:Z301" si="106">Y292-TODAY()</f>
        <v>-47</v>
      </c>
      <c r="AA292" s="70"/>
      <c r="AB292" s="70" t="s">
        <v>12</v>
      </c>
      <c r="AC292" s="70" t="s">
        <v>13</v>
      </c>
      <c r="AD292" s="71" t="s">
        <v>1256</v>
      </c>
      <c r="AE292" s="71" t="s">
        <v>34</v>
      </c>
      <c r="AF292" s="72"/>
      <c r="AG292" s="73"/>
      <c r="AH292" s="79" t="s">
        <v>16</v>
      </c>
      <c r="AI292" s="102">
        <v>46267</v>
      </c>
      <c r="AJ292" s="70">
        <v>3</v>
      </c>
      <c r="AK292" s="103" t="s">
        <v>1259</v>
      </c>
      <c r="AL292" s="104">
        <f t="shared" si="99"/>
        <v>46358</v>
      </c>
      <c r="AM292" s="105">
        <f ca="1" t="shared" si="100"/>
        <v>45</v>
      </c>
      <c r="AN292" s="115"/>
      <c r="AO292" s="115"/>
      <c r="AP292" s="115"/>
      <c r="AQ292" s="93"/>
      <c r="AR292" s="93"/>
      <c r="AS292" s="94"/>
      <c r="AT292" s="95"/>
      <c r="AU292" s="79"/>
      <c r="AV292" s="117"/>
      <c r="AW292" s="115"/>
      <c r="AX292" s="106"/>
      <c r="AY292" s="104">
        <f t="shared" si="103"/>
        <v>0</v>
      </c>
      <c r="AZ292" s="105">
        <f ca="1" t="shared" si="104"/>
        <v>-46313</v>
      </c>
    </row>
    <row r="293" customHeight="1" spans="1:52">
      <c r="A293" s="70">
        <v>291</v>
      </c>
      <c r="B293" s="70" t="s">
        <v>1260</v>
      </c>
      <c r="C293" s="70" t="s">
        <v>38</v>
      </c>
      <c r="D293" s="71" t="s">
        <v>1261</v>
      </c>
      <c r="E293" s="71" t="s">
        <v>51</v>
      </c>
      <c r="F293" s="72"/>
      <c r="G293" s="73"/>
      <c r="H293" s="114" t="s">
        <v>16</v>
      </c>
      <c r="I293" s="165">
        <v>46038</v>
      </c>
      <c r="J293" s="70">
        <v>3</v>
      </c>
      <c r="K293" s="106" t="s">
        <v>1262</v>
      </c>
      <c r="L293" s="104">
        <f t="shared" si="95"/>
        <v>46128</v>
      </c>
      <c r="M293" s="105">
        <f ca="1" t="shared" si="96"/>
        <v>-185</v>
      </c>
      <c r="N293" s="70"/>
      <c r="O293" s="70" t="s">
        <v>610</v>
      </c>
      <c r="P293" s="70" t="s">
        <v>38</v>
      </c>
      <c r="Q293" s="71" t="s">
        <v>1261</v>
      </c>
      <c r="R293" s="71" t="s">
        <v>51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1263</v>
      </c>
      <c r="Y293" s="104">
        <f t="shared" si="105"/>
        <v>46269</v>
      </c>
      <c r="Z293" s="105">
        <f ca="1" t="shared" si="106"/>
        <v>-44</v>
      </c>
      <c r="AA293" s="70"/>
      <c r="AB293" s="70" t="s">
        <v>12</v>
      </c>
      <c r="AC293" s="70" t="s">
        <v>38</v>
      </c>
      <c r="AD293" s="71" t="s">
        <v>1261</v>
      </c>
      <c r="AE293" s="71" t="s">
        <v>51</v>
      </c>
      <c r="AF293" s="72"/>
      <c r="AG293" s="73"/>
      <c r="AH293" s="114" t="s">
        <v>16</v>
      </c>
      <c r="AI293" s="102">
        <v>46267</v>
      </c>
      <c r="AJ293" s="70">
        <v>3</v>
      </c>
      <c r="AK293" s="103" t="s">
        <v>1264</v>
      </c>
      <c r="AL293" s="104">
        <f t="shared" si="99"/>
        <v>46358</v>
      </c>
      <c r="AM293" s="105">
        <f ca="1" t="shared" si="100"/>
        <v>45</v>
      </c>
      <c r="AN293" s="115"/>
      <c r="AO293" s="115"/>
      <c r="AP293" s="115"/>
      <c r="AQ293" s="93"/>
      <c r="AR293" s="93"/>
      <c r="AS293" s="94"/>
      <c r="AT293" s="95"/>
      <c r="AU293" s="114"/>
      <c r="AV293" s="117"/>
      <c r="AW293" s="115"/>
      <c r="AX293" s="106"/>
      <c r="AY293" s="104">
        <f t="shared" si="103"/>
        <v>0</v>
      </c>
      <c r="AZ293" s="105">
        <f ca="1" t="shared" si="104"/>
        <v>-46313</v>
      </c>
    </row>
    <row r="294" customHeight="1" spans="1:52">
      <c r="A294" s="70">
        <v>292</v>
      </c>
      <c r="B294" s="70" t="s">
        <v>309</v>
      </c>
      <c r="C294" s="70" t="s">
        <v>13</v>
      </c>
      <c r="D294" s="71" t="s">
        <v>1265</v>
      </c>
      <c r="E294" s="71" t="s">
        <v>1266</v>
      </c>
      <c r="F294" s="72"/>
      <c r="G294" s="73"/>
      <c r="H294" s="151"/>
      <c r="I294" s="165">
        <v>46038</v>
      </c>
      <c r="J294" s="70">
        <v>3</v>
      </c>
      <c r="K294" s="106" t="s">
        <v>1267</v>
      </c>
      <c r="L294" s="104">
        <f t="shared" si="95"/>
        <v>46128</v>
      </c>
      <c r="M294" s="105">
        <f ca="1" t="shared" si="96"/>
        <v>-185</v>
      </c>
      <c r="N294" s="70"/>
      <c r="O294" s="70" t="s">
        <v>309</v>
      </c>
      <c r="P294" s="70" t="s">
        <v>13</v>
      </c>
      <c r="Q294" s="71" t="s">
        <v>1265</v>
      </c>
      <c r="R294" s="71" t="s">
        <v>1266</v>
      </c>
      <c r="S294" s="72"/>
      <c r="T294" s="73"/>
      <c r="U294" s="151"/>
      <c r="V294" s="102">
        <v>46187</v>
      </c>
      <c r="W294" s="70">
        <v>3</v>
      </c>
      <c r="X294" s="103" t="s">
        <v>1268</v>
      </c>
      <c r="Y294" s="104">
        <f t="shared" si="105"/>
        <v>46279</v>
      </c>
      <c r="Z294" s="105">
        <f ca="1" t="shared" si="106"/>
        <v>-34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99"/>
        <v>0</v>
      </c>
      <c r="AM294" s="105">
        <f ca="1" t="shared" si="100"/>
        <v>-46313</v>
      </c>
      <c r="AN294" s="115"/>
      <c r="AO294" s="115"/>
      <c r="AP294" s="115"/>
      <c r="AQ294" s="93"/>
      <c r="AR294" s="93"/>
      <c r="AS294" s="94"/>
      <c r="AT294" s="95"/>
      <c r="AU294" s="79"/>
      <c r="AV294" s="117"/>
      <c r="AW294" s="115"/>
      <c r="AX294" s="106"/>
      <c r="AY294" s="104"/>
      <c r="AZ294" s="105"/>
    </row>
    <row r="295" customHeight="1" spans="1:52">
      <c r="A295" s="70">
        <v>293</v>
      </c>
      <c r="B295" s="70" t="s">
        <v>1205</v>
      </c>
      <c r="C295" s="70" t="s">
        <v>38</v>
      </c>
      <c r="D295" s="71" t="s">
        <v>1269</v>
      </c>
      <c r="E295" s="71" t="s">
        <v>189</v>
      </c>
      <c r="F295" s="72"/>
      <c r="G295" s="73"/>
      <c r="H295" s="114" t="s">
        <v>16</v>
      </c>
      <c r="I295" s="165">
        <v>46038</v>
      </c>
      <c r="J295" s="70">
        <v>3</v>
      </c>
      <c r="K295" s="106" t="s">
        <v>1270</v>
      </c>
      <c r="L295" s="104">
        <f t="shared" si="95"/>
        <v>46128</v>
      </c>
      <c r="M295" s="105">
        <f ca="1" t="shared" si="96"/>
        <v>-185</v>
      </c>
      <c r="N295" s="70"/>
      <c r="O295" s="70" t="s">
        <v>1205</v>
      </c>
      <c r="P295" s="70" t="s">
        <v>38</v>
      </c>
      <c r="Q295" s="71" t="s">
        <v>1269</v>
      </c>
      <c r="R295" s="71" t="s">
        <v>189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1271</v>
      </c>
      <c r="Y295" s="104">
        <f t="shared" si="105"/>
        <v>46310</v>
      </c>
      <c r="Z295" s="105">
        <f ca="1" t="shared" si="106"/>
        <v>-3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5"/>
      <c r="AO295" s="115"/>
      <c r="AP295" s="115"/>
      <c r="AQ295" s="93"/>
      <c r="AR295" s="93"/>
      <c r="AS295" s="94"/>
      <c r="AT295" s="95"/>
      <c r="AU295" s="79"/>
      <c r="AV295" s="117"/>
      <c r="AW295" s="115"/>
      <c r="AX295" s="106"/>
      <c r="AY295" s="104"/>
      <c r="AZ295" s="105"/>
    </row>
    <row r="296" customHeight="1" spans="1:52">
      <c r="A296" s="70">
        <v>294</v>
      </c>
      <c r="B296" s="70" t="s">
        <v>1205</v>
      </c>
      <c r="C296" s="70" t="s">
        <v>38</v>
      </c>
      <c r="D296" s="71" t="s">
        <v>1272</v>
      </c>
      <c r="E296" s="71" t="s">
        <v>189</v>
      </c>
      <c r="F296" s="72"/>
      <c r="G296" s="73"/>
      <c r="H296" s="114" t="s">
        <v>16</v>
      </c>
      <c r="I296" s="165">
        <v>46038</v>
      </c>
      <c r="J296" s="70">
        <v>3</v>
      </c>
      <c r="K296" s="106" t="s">
        <v>1273</v>
      </c>
      <c r="L296" s="104">
        <f t="shared" si="95"/>
        <v>46128</v>
      </c>
      <c r="M296" s="105">
        <f ca="1" t="shared" si="96"/>
        <v>-185</v>
      </c>
      <c r="N296" s="70"/>
      <c r="O296" s="70" t="s">
        <v>1205</v>
      </c>
      <c r="P296" s="70" t="s">
        <v>38</v>
      </c>
      <c r="Q296" s="71" t="s">
        <v>1272</v>
      </c>
      <c r="R296" s="71" t="s">
        <v>189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1274</v>
      </c>
      <c r="Y296" s="104">
        <f t="shared" si="105"/>
        <v>46328</v>
      </c>
      <c r="Z296" s="105">
        <f ca="1" t="shared" si="106"/>
        <v>15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5"/>
      <c r="AO296" s="70"/>
      <c r="AP296" s="70"/>
      <c r="AQ296" s="71"/>
      <c r="AR296" s="71"/>
      <c r="AS296" s="72"/>
      <c r="AT296" s="73"/>
      <c r="AU296" s="79"/>
      <c r="AV296" s="117"/>
      <c r="AW296" s="115"/>
      <c r="AX296" s="106"/>
      <c r="AY296" s="104">
        <f t="shared" ref="AY296:AY302" si="107">EDATE(AV296,AW296)</f>
        <v>0</v>
      </c>
      <c r="AZ296" s="105">
        <f ca="1" t="shared" ref="AZ296:AZ302" si="108">AY296-TODAY()</f>
        <v>-46313</v>
      </c>
    </row>
    <row r="297" customHeight="1" spans="1:52">
      <c r="A297" s="70">
        <v>295</v>
      </c>
      <c r="B297" s="70" t="s">
        <v>1275</v>
      </c>
      <c r="C297" s="70" t="s">
        <v>13</v>
      </c>
      <c r="D297" s="71" t="s">
        <v>1276</v>
      </c>
      <c r="E297" s="71" t="s">
        <v>80</v>
      </c>
      <c r="F297" s="72"/>
      <c r="G297" s="73"/>
      <c r="H297" s="114" t="s">
        <v>16</v>
      </c>
      <c r="I297" s="165">
        <v>46038</v>
      </c>
      <c r="J297" s="70">
        <v>3</v>
      </c>
      <c r="K297" s="106" t="s">
        <v>1277</v>
      </c>
      <c r="L297" s="104">
        <f t="shared" si="95"/>
        <v>46128</v>
      </c>
      <c r="M297" s="105">
        <f ca="1" t="shared" si="96"/>
        <v>-185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105"/>
        <v>0</v>
      </c>
      <c r="Z297" s="105">
        <f ca="1" t="shared" si="106"/>
        <v>-46313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109">EDATE(AI297,AJ297)</f>
        <v>0</v>
      </c>
      <c r="AM297" s="105">
        <f ca="1" t="shared" ref="AM297:AM307" si="110">AL297-TODAY()</f>
        <v>-46313</v>
      </c>
      <c r="AN297" s="115"/>
      <c r="AO297" s="115"/>
      <c r="AP297" s="115"/>
      <c r="AQ297" s="93"/>
      <c r="AR297" s="93"/>
      <c r="AS297" s="94"/>
      <c r="AT297" s="95"/>
      <c r="AU297" s="79"/>
      <c r="AV297" s="117"/>
      <c r="AW297" s="115"/>
      <c r="AX297" s="106"/>
      <c r="AY297" s="104">
        <f t="shared" si="107"/>
        <v>0</v>
      </c>
      <c r="AZ297" s="105">
        <f ca="1" t="shared" si="108"/>
        <v>-46313</v>
      </c>
    </row>
    <row r="298" customHeight="1" spans="1:52">
      <c r="A298" s="70">
        <v>296</v>
      </c>
      <c r="B298" s="70" t="s">
        <v>1275</v>
      </c>
      <c r="C298" s="70" t="s">
        <v>13</v>
      </c>
      <c r="D298" s="71" t="s">
        <v>1278</v>
      </c>
      <c r="E298" s="71" t="s">
        <v>1279</v>
      </c>
      <c r="F298" s="72"/>
      <c r="G298" s="73"/>
      <c r="H298" s="114" t="s">
        <v>16</v>
      </c>
      <c r="I298" s="165">
        <v>46038</v>
      </c>
      <c r="J298" s="70">
        <v>3</v>
      </c>
      <c r="K298" s="106" t="s">
        <v>1280</v>
      </c>
      <c r="L298" s="104">
        <f t="shared" si="95"/>
        <v>46128</v>
      </c>
      <c r="M298" s="105">
        <f ca="1" t="shared" si="96"/>
        <v>-185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105"/>
        <v>0</v>
      </c>
      <c r="Z298" s="105">
        <f ca="1" t="shared" si="106"/>
        <v>-46313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109"/>
        <v>0</v>
      </c>
      <c r="AM298" s="105">
        <f ca="1" t="shared" si="110"/>
        <v>-46313</v>
      </c>
      <c r="AN298" s="115"/>
      <c r="AO298" s="115"/>
      <c r="AP298" s="115"/>
      <c r="AQ298" s="93"/>
      <c r="AR298" s="93"/>
      <c r="AS298" s="94"/>
      <c r="AT298" s="95"/>
      <c r="AU298" s="114"/>
      <c r="AV298" s="117"/>
      <c r="AW298" s="115"/>
      <c r="AX298" s="106"/>
      <c r="AY298" s="104">
        <f t="shared" si="107"/>
        <v>0</v>
      </c>
      <c r="AZ298" s="105">
        <f ca="1" t="shared" si="108"/>
        <v>-46313</v>
      </c>
    </row>
    <row r="299" customHeight="1" spans="1:52">
      <c r="A299" s="70">
        <v>297</v>
      </c>
      <c r="B299" s="70" t="s">
        <v>55</v>
      </c>
      <c r="C299" s="70" t="s">
        <v>13</v>
      </c>
      <c r="D299" s="71" t="s">
        <v>1281</v>
      </c>
      <c r="E299" s="71" t="s">
        <v>45</v>
      </c>
      <c r="F299" s="72"/>
      <c r="G299" s="73"/>
      <c r="H299" s="114" t="s">
        <v>16</v>
      </c>
      <c r="I299" s="165">
        <v>46038</v>
      </c>
      <c r="J299" s="70">
        <v>3</v>
      </c>
      <c r="K299" s="106" t="s">
        <v>1282</v>
      </c>
      <c r="L299" s="104">
        <f t="shared" si="95"/>
        <v>46128</v>
      </c>
      <c r="M299" s="105">
        <f ca="1" t="shared" si="96"/>
        <v>-185</v>
      </c>
      <c r="N299" s="70"/>
      <c r="O299" s="70" t="s">
        <v>61</v>
      </c>
      <c r="P299" s="70" t="s">
        <v>13</v>
      </c>
      <c r="Q299" s="71" t="s">
        <v>1281</v>
      </c>
      <c r="R299" s="71" t="s">
        <v>45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1283</v>
      </c>
      <c r="Y299" s="104">
        <f t="shared" si="105"/>
        <v>46251</v>
      </c>
      <c r="Z299" s="105">
        <f ca="1" t="shared" si="106"/>
        <v>-62</v>
      </c>
      <c r="AA299" s="70"/>
      <c r="AB299" s="70" t="s">
        <v>65</v>
      </c>
      <c r="AC299" s="70" t="s">
        <v>13</v>
      </c>
      <c r="AD299" s="71" t="s">
        <v>1281</v>
      </c>
      <c r="AE299" s="71" t="s">
        <v>45</v>
      </c>
      <c r="AF299" s="72"/>
      <c r="AG299" s="73"/>
      <c r="AH299" s="114" t="s">
        <v>16</v>
      </c>
      <c r="AI299" s="102">
        <v>46249</v>
      </c>
      <c r="AJ299" s="70">
        <v>3</v>
      </c>
      <c r="AK299" s="103" t="s">
        <v>1284</v>
      </c>
      <c r="AL299" s="104">
        <f t="shared" si="109"/>
        <v>46341</v>
      </c>
      <c r="AM299" s="105">
        <f ca="1" t="shared" si="110"/>
        <v>28</v>
      </c>
      <c r="AN299" s="115"/>
      <c r="AO299" s="70"/>
      <c r="AP299" s="70"/>
      <c r="AQ299" s="71"/>
      <c r="AR299" s="71"/>
      <c r="AS299" s="72"/>
      <c r="AT299" s="73"/>
      <c r="AU299" s="74"/>
      <c r="AV299" s="117"/>
      <c r="AW299" s="115"/>
      <c r="AX299" s="106"/>
      <c r="AY299" s="104">
        <f t="shared" si="107"/>
        <v>0</v>
      </c>
      <c r="AZ299" s="105">
        <f ca="1" t="shared" si="108"/>
        <v>-46313</v>
      </c>
    </row>
    <row r="300" customHeight="1" spans="1:52">
      <c r="A300" s="70">
        <v>298</v>
      </c>
      <c r="B300" s="70" t="s">
        <v>61</v>
      </c>
      <c r="C300" s="70" t="s">
        <v>13</v>
      </c>
      <c r="D300" s="71" t="s">
        <v>1285</v>
      </c>
      <c r="E300" s="71" t="s">
        <v>45</v>
      </c>
      <c r="F300" s="72"/>
      <c r="G300" s="73"/>
      <c r="H300" s="114" t="s">
        <v>16</v>
      </c>
      <c r="I300" s="165">
        <v>46038</v>
      </c>
      <c r="J300" s="70">
        <v>3</v>
      </c>
      <c r="K300" s="106" t="s">
        <v>1286</v>
      </c>
      <c r="L300" s="104">
        <f t="shared" si="95"/>
        <v>46128</v>
      </c>
      <c r="M300" s="105">
        <f ca="1" t="shared" si="96"/>
        <v>-185</v>
      </c>
      <c r="N300" s="70"/>
      <c r="O300" s="70" t="s">
        <v>61</v>
      </c>
      <c r="P300" s="70" t="s">
        <v>13</v>
      </c>
      <c r="Q300" s="71" t="s">
        <v>1285</v>
      </c>
      <c r="R300" s="71" t="s">
        <v>45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1287</v>
      </c>
      <c r="Y300" s="104">
        <f t="shared" si="105"/>
        <v>46212</v>
      </c>
      <c r="Z300" s="105">
        <f ca="1" t="shared" si="106"/>
        <v>-101</v>
      </c>
      <c r="AA300" s="70"/>
      <c r="AB300" s="70" t="s">
        <v>61</v>
      </c>
      <c r="AC300" s="70" t="s">
        <v>13</v>
      </c>
      <c r="AD300" s="71" t="s">
        <v>1285</v>
      </c>
      <c r="AE300" s="71" t="s">
        <v>45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1288</v>
      </c>
      <c r="AL300" s="104">
        <f t="shared" si="109"/>
        <v>46295</v>
      </c>
      <c r="AM300" s="105">
        <f ca="1" t="shared" si="110"/>
        <v>-18</v>
      </c>
      <c r="AN300" s="115"/>
      <c r="AO300" s="70" t="s">
        <v>61</v>
      </c>
      <c r="AP300" s="70" t="s">
        <v>13</v>
      </c>
      <c r="AQ300" s="71" t="s">
        <v>1285</v>
      </c>
      <c r="AR300" s="71" t="s">
        <v>45</v>
      </c>
      <c r="AS300" s="72"/>
      <c r="AT300" s="73"/>
      <c r="AU300" s="79" t="s">
        <v>16</v>
      </c>
      <c r="AV300" s="117">
        <v>46287</v>
      </c>
      <c r="AW300" s="115">
        <v>3</v>
      </c>
      <c r="AX300" s="106" t="s">
        <v>1289</v>
      </c>
      <c r="AY300" s="104">
        <f t="shared" si="107"/>
        <v>46378</v>
      </c>
      <c r="AZ300" s="105">
        <f ca="1" t="shared" si="108"/>
        <v>65</v>
      </c>
    </row>
    <row r="301" customHeight="1" spans="1:52">
      <c r="A301" s="70">
        <v>299</v>
      </c>
      <c r="B301" s="70" t="s">
        <v>55</v>
      </c>
      <c r="C301" s="70" t="s">
        <v>13</v>
      </c>
      <c r="D301" s="71" t="s">
        <v>1290</v>
      </c>
      <c r="E301" s="71" t="s">
        <v>1291</v>
      </c>
      <c r="F301" s="72"/>
      <c r="G301" s="73"/>
      <c r="H301" s="114" t="s">
        <v>16</v>
      </c>
      <c r="I301" s="165">
        <v>46038</v>
      </c>
      <c r="J301" s="70">
        <v>3</v>
      </c>
      <c r="K301" s="106" t="s">
        <v>1292</v>
      </c>
      <c r="L301" s="104">
        <f t="shared" si="95"/>
        <v>46128</v>
      </c>
      <c r="M301" s="105">
        <f ca="1" t="shared" si="96"/>
        <v>-185</v>
      </c>
      <c r="N301" s="70"/>
      <c r="O301" s="70" t="s">
        <v>694</v>
      </c>
      <c r="P301" s="70" t="s">
        <v>13</v>
      </c>
      <c r="Q301" s="71" t="s">
        <v>1290</v>
      </c>
      <c r="R301" s="71" t="s">
        <v>1291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1293</v>
      </c>
      <c r="Y301" s="104">
        <f t="shared" si="105"/>
        <v>46259</v>
      </c>
      <c r="Z301" s="105">
        <f ca="1" t="shared" si="106"/>
        <v>-54</v>
      </c>
      <c r="AA301" s="70"/>
      <c r="AB301" s="70" t="s">
        <v>357</v>
      </c>
      <c r="AC301" s="70" t="s">
        <v>13</v>
      </c>
      <c r="AD301" s="71" t="s">
        <v>1290</v>
      </c>
      <c r="AE301" s="71" t="s">
        <v>1291</v>
      </c>
      <c r="AF301" s="72"/>
      <c r="AG301" s="73"/>
      <c r="AH301" s="79" t="s">
        <v>16</v>
      </c>
      <c r="AI301" s="102">
        <v>46253</v>
      </c>
      <c r="AJ301" s="70">
        <v>3</v>
      </c>
      <c r="AK301" s="103" t="s">
        <v>1294</v>
      </c>
      <c r="AL301" s="104">
        <f t="shared" si="109"/>
        <v>46345</v>
      </c>
      <c r="AM301" s="105">
        <f ca="1" t="shared" si="110"/>
        <v>32</v>
      </c>
      <c r="AN301" s="115"/>
      <c r="AO301" s="115"/>
      <c r="AP301" s="115"/>
      <c r="AQ301" s="93"/>
      <c r="AR301" s="93"/>
      <c r="AS301" s="94"/>
      <c r="AT301" s="95"/>
      <c r="AU301" s="79"/>
      <c r="AV301" s="117"/>
      <c r="AW301" s="115"/>
      <c r="AX301" s="106"/>
      <c r="AY301" s="104">
        <f t="shared" si="107"/>
        <v>0</v>
      </c>
      <c r="AZ301" s="105">
        <f ca="1" t="shared" si="108"/>
        <v>-46313</v>
      </c>
    </row>
    <row r="302" customHeight="1" spans="1:52">
      <c r="A302" s="70">
        <v>300</v>
      </c>
      <c r="B302" s="70" t="s">
        <v>55</v>
      </c>
      <c r="C302" s="70" t="s">
        <v>13</v>
      </c>
      <c r="D302" s="71" t="s">
        <v>1295</v>
      </c>
      <c r="E302" s="71" t="s">
        <v>45</v>
      </c>
      <c r="F302" s="72"/>
      <c r="G302" s="73"/>
      <c r="H302" s="114" t="s">
        <v>16</v>
      </c>
      <c r="I302" s="165">
        <v>46038</v>
      </c>
      <c r="J302" s="70">
        <v>3</v>
      </c>
      <c r="K302" s="106" t="s">
        <v>1296</v>
      </c>
      <c r="L302" s="104">
        <f t="shared" si="95"/>
        <v>46128</v>
      </c>
      <c r="M302" s="105">
        <f ca="1" t="shared" si="96"/>
        <v>-185</v>
      </c>
      <c r="N302" s="70"/>
      <c r="O302" s="70" t="s">
        <v>55</v>
      </c>
      <c r="P302" s="70" t="s">
        <v>13</v>
      </c>
      <c r="Q302" s="71" t="s">
        <v>1295</v>
      </c>
      <c r="R302" s="71" t="s">
        <v>45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1297</v>
      </c>
      <c r="Y302" s="104">
        <f t="shared" ref="Y302:Y324" si="111">EDATE(V302,W302)</f>
        <v>46252</v>
      </c>
      <c r="Z302" s="105">
        <f ca="1" t="shared" ref="Z302:Z324" si="112">Y302-TODAY()</f>
        <v>-61</v>
      </c>
      <c r="AA302" s="70"/>
      <c r="AB302" s="70" t="s">
        <v>55</v>
      </c>
      <c r="AC302" s="70" t="s">
        <v>13</v>
      </c>
      <c r="AD302" s="71" t="s">
        <v>1295</v>
      </c>
      <c r="AE302" s="71" t="s">
        <v>45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1298</v>
      </c>
      <c r="AL302" s="104">
        <f t="shared" si="109"/>
        <v>46337</v>
      </c>
      <c r="AM302" s="105">
        <f ca="1" t="shared" si="110"/>
        <v>24</v>
      </c>
      <c r="AN302" s="115"/>
      <c r="AO302" s="115"/>
      <c r="AP302" s="115"/>
      <c r="AQ302" s="93"/>
      <c r="AR302" s="93"/>
      <c r="AS302" s="94"/>
      <c r="AT302" s="95"/>
      <c r="AU302" s="79"/>
      <c r="AV302" s="117"/>
      <c r="AW302" s="115"/>
      <c r="AX302" s="106"/>
      <c r="AY302" s="104">
        <f t="shared" si="107"/>
        <v>0</v>
      </c>
      <c r="AZ302" s="105">
        <f ca="1" t="shared" si="108"/>
        <v>-46313</v>
      </c>
    </row>
    <row r="303" customHeight="1" spans="1:52">
      <c r="A303" s="70">
        <v>301</v>
      </c>
      <c r="B303" s="70" t="s">
        <v>782</v>
      </c>
      <c r="C303" s="70" t="s">
        <v>374</v>
      </c>
      <c r="D303" s="71" t="s">
        <v>1299</v>
      </c>
      <c r="E303" s="71" t="s">
        <v>548</v>
      </c>
      <c r="F303" s="72"/>
      <c r="G303" s="73"/>
      <c r="H303" s="114" t="s">
        <v>16</v>
      </c>
      <c r="I303" s="165">
        <v>46038</v>
      </c>
      <c r="J303" s="70">
        <v>3</v>
      </c>
      <c r="K303" s="106" t="s">
        <v>1300</v>
      </c>
      <c r="L303" s="104">
        <f t="shared" si="95"/>
        <v>46128</v>
      </c>
      <c r="M303" s="105">
        <f ca="1" t="shared" si="96"/>
        <v>-185</v>
      </c>
      <c r="N303" s="70"/>
      <c r="O303" s="70" t="s">
        <v>782</v>
      </c>
      <c r="P303" s="70" t="s">
        <v>374</v>
      </c>
      <c r="Q303" s="71" t="s">
        <v>1299</v>
      </c>
      <c r="R303" s="71" t="s">
        <v>548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1301</v>
      </c>
      <c r="Y303" s="104">
        <f t="shared" si="111"/>
        <v>46214</v>
      </c>
      <c r="Z303" s="105">
        <f ca="1" t="shared" si="112"/>
        <v>-99</v>
      </c>
      <c r="AA303" s="70"/>
      <c r="AB303" s="70" t="s">
        <v>782</v>
      </c>
      <c r="AC303" s="70" t="s">
        <v>374</v>
      </c>
      <c r="AD303" s="71" t="s">
        <v>1299</v>
      </c>
      <c r="AE303" s="71" t="s">
        <v>548</v>
      </c>
      <c r="AF303" s="72"/>
      <c r="AG303" s="73"/>
      <c r="AH303" s="190" t="s">
        <v>16</v>
      </c>
      <c r="AI303" s="102">
        <v>46206</v>
      </c>
      <c r="AJ303" s="70">
        <v>3</v>
      </c>
      <c r="AK303" s="103" t="s">
        <v>1302</v>
      </c>
      <c r="AL303" s="104">
        <f t="shared" si="109"/>
        <v>46298</v>
      </c>
      <c r="AM303" s="105">
        <f ca="1" t="shared" si="110"/>
        <v>-15</v>
      </c>
      <c r="AN303" s="115"/>
      <c r="AO303" s="115"/>
      <c r="AP303" s="115"/>
      <c r="AQ303" s="93"/>
      <c r="AR303" s="93"/>
      <c r="AS303" s="94"/>
      <c r="AT303" s="95"/>
      <c r="AU303" s="114"/>
      <c r="AV303" s="117"/>
      <c r="AW303" s="115"/>
      <c r="AX303" s="106"/>
      <c r="AY303" s="104">
        <f t="shared" ref="AY302:AY307" si="113">EDATE(AV303,AW303)</f>
        <v>0</v>
      </c>
      <c r="AZ303" s="105">
        <f ca="1" t="shared" ref="AZ302:AZ307" si="114">AY303-TODAY()</f>
        <v>-46313</v>
      </c>
    </row>
    <row r="304" customHeight="1" spans="1:52">
      <c r="A304" s="70">
        <v>302</v>
      </c>
      <c r="B304" s="70" t="s">
        <v>782</v>
      </c>
      <c r="C304" s="70" t="s">
        <v>374</v>
      </c>
      <c r="D304" s="71" t="s">
        <v>1303</v>
      </c>
      <c r="E304" s="71" t="s">
        <v>548</v>
      </c>
      <c r="F304" s="72"/>
      <c r="G304" s="73"/>
      <c r="H304" s="114" t="s">
        <v>16</v>
      </c>
      <c r="I304" s="165">
        <v>46038</v>
      </c>
      <c r="J304" s="70">
        <v>3</v>
      </c>
      <c r="K304" s="106" t="s">
        <v>1304</v>
      </c>
      <c r="L304" s="104">
        <f t="shared" si="95"/>
        <v>46128</v>
      </c>
      <c r="M304" s="105">
        <f ca="1" t="shared" si="96"/>
        <v>-185</v>
      </c>
      <c r="N304" s="70"/>
      <c r="O304" s="70" t="s">
        <v>782</v>
      </c>
      <c r="P304" s="70" t="s">
        <v>374</v>
      </c>
      <c r="Q304" s="71" t="s">
        <v>1303</v>
      </c>
      <c r="R304" s="71" t="s">
        <v>548</v>
      </c>
      <c r="S304" s="72"/>
      <c r="T304" s="73"/>
      <c r="U304" s="114" t="s">
        <v>16</v>
      </c>
      <c r="V304" s="188">
        <v>46124</v>
      </c>
      <c r="W304" s="70">
        <v>3</v>
      </c>
      <c r="X304" s="103" t="s">
        <v>1305</v>
      </c>
      <c r="Y304" s="104">
        <f t="shared" si="111"/>
        <v>46215</v>
      </c>
      <c r="Z304" s="105">
        <f ca="1" t="shared" si="112"/>
        <v>-98</v>
      </c>
      <c r="AA304" s="70"/>
      <c r="AB304" s="70" t="s">
        <v>782</v>
      </c>
      <c r="AC304" s="70" t="s">
        <v>374</v>
      </c>
      <c r="AD304" s="71" t="s">
        <v>1303</v>
      </c>
      <c r="AE304" s="71" t="s">
        <v>548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1306</v>
      </c>
      <c r="AL304" s="104">
        <f t="shared" si="109"/>
        <v>46303</v>
      </c>
      <c r="AM304" s="105">
        <f ca="1" t="shared" si="110"/>
        <v>-10</v>
      </c>
      <c r="AN304" s="115"/>
      <c r="AO304" s="115"/>
      <c r="AP304" s="115"/>
      <c r="AQ304" s="93"/>
      <c r="AR304" s="93"/>
      <c r="AS304" s="94"/>
      <c r="AT304" s="95"/>
      <c r="AU304" s="114"/>
      <c r="AV304" s="117"/>
      <c r="AW304" s="115"/>
      <c r="AX304" s="106"/>
      <c r="AY304" s="104">
        <f t="shared" si="113"/>
        <v>0</v>
      </c>
      <c r="AZ304" s="105">
        <f ca="1" t="shared" si="114"/>
        <v>-46313</v>
      </c>
    </row>
    <row r="305" customHeight="1" spans="1:52">
      <c r="A305" s="70">
        <v>303</v>
      </c>
      <c r="B305" s="70" t="s">
        <v>782</v>
      </c>
      <c r="C305" s="70" t="s">
        <v>374</v>
      </c>
      <c r="D305" s="71" t="s">
        <v>1307</v>
      </c>
      <c r="E305" s="71" t="s">
        <v>548</v>
      </c>
      <c r="F305" s="72"/>
      <c r="G305" s="73"/>
      <c r="H305" s="114" t="s">
        <v>16</v>
      </c>
      <c r="I305" s="165">
        <v>46038</v>
      </c>
      <c r="J305" s="70">
        <v>3</v>
      </c>
      <c r="K305" s="106" t="s">
        <v>1308</v>
      </c>
      <c r="L305" s="104">
        <f t="shared" si="95"/>
        <v>46128</v>
      </c>
      <c r="M305" s="105">
        <f ca="1" t="shared" si="96"/>
        <v>-185</v>
      </c>
      <c r="N305" s="70"/>
      <c r="O305" s="70" t="s">
        <v>782</v>
      </c>
      <c r="P305" s="70" t="s">
        <v>374</v>
      </c>
      <c r="Q305" s="71" t="s">
        <v>1307</v>
      </c>
      <c r="R305" s="71" t="s">
        <v>548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1309</v>
      </c>
      <c r="Y305" s="104">
        <f t="shared" si="111"/>
        <v>46222</v>
      </c>
      <c r="Z305" s="105">
        <f ca="1" t="shared" si="112"/>
        <v>-91</v>
      </c>
      <c r="AA305" s="70"/>
      <c r="AB305" s="70" t="s">
        <v>782</v>
      </c>
      <c r="AC305" s="70" t="s">
        <v>374</v>
      </c>
      <c r="AD305" s="71" t="s">
        <v>1307</v>
      </c>
      <c r="AE305" s="71" t="s">
        <v>548</v>
      </c>
      <c r="AF305" s="72"/>
      <c r="AG305" s="73"/>
      <c r="AH305" s="114" t="s">
        <v>16</v>
      </c>
      <c r="AI305" s="102">
        <v>46256</v>
      </c>
      <c r="AJ305" s="70">
        <v>3</v>
      </c>
      <c r="AK305" s="103" t="s">
        <v>1310</v>
      </c>
      <c r="AL305" s="104">
        <f t="shared" si="109"/>
        <v>46348</v>
      </c>
      <c r="AM305" s="105">
        <f ca="1" t="shared" si="110"/>
        <v>35</v>
      </c>
      <c r="AN305" s="115"/>
      <c r="AO305" s="115"/>
      <c r="AP305" s="115"/>
      <c r="AQ305" s="93"/>
      <c r="AR305" s="93"/>
      <c r="AS305" s="94"/>
      <c r="AT305" s="95"/>
      <c r="AU305" s="79"/>
      <c r="AV305" s="117"/>
      <c r="AW305" s="115"/>
      <c r="AX305" s="106"/>
      <c r="AY305" s="104">
        <f t="shared" si="113"/>
        <v>0</v>
      </c>
      <c r="AZ305" s="105">
        <f ca="1" t="shared" si="114"/>
        <v>-46313</v>
      </c>
    </row>
    <row r="306" customHeight="1" spans="1:52">
      <c r="A306" s="70">
        <v>304</v>
      </c>
      <c r="B306" s="70" t="s">
        <v>1036</v>
      </c>
      <c r="C306" s="70" t="s">
        <v>374</v>
      </c>
      <c r="D306" s="71" t="s">
        <v>1311</v>
      </c>
      <c r="E306" s="71" t="s">
        <v>1312</v>
      </c>
      <c r="F306" s="72"/>
      <c r="G306" s="73"/>
      <c r="H306" s="114" t="s">
        <v>16</v>
      </c>
      <c r="I306" s="165">
        <v>46038</v>
      </c>
      <c r="J306" s="70">
        <v>3</v>
      </c>
      <c r="K306" s="106" t="s">
        <v>1313</v>
      </c>
      <c r="L306" s="104">
        <f t="shared" si="95"/>
        <v>46128</v>
      </c>
      <c r="M306" s="105">
        <f ca="1" t="shared" si="96"/>
        <v>-185</v>
      </c>
      <c r="N306" s="70"/>
      <c r="O306" s="70" t="s">
        <v>1036</v>
      </c>
      <c r="P306" s="70" t="s">
        <v>374</v>
      </c>
      <c r="Q306" s="71" t="s">
        <v>1311</v>
      </c>
      <c r="R306" s="71" t="s">
        <v>1312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1314</v>
      </c>
      <c r="Y306" s="104">
        <f t="shared" si="111"/>
        <v>46214</v>
      </c>
      <c r="Z306" s="105">
        <f ca="1" t="shared" si="112"/>
        <v>-99</v>
      </c>
      <c r="AA306" s="70"/>
      <c r="AB306" s="70" t="s">
        <v>1036</v>
      </c>
      <c r="AC306" s="70" t="s">
        <v>374</v>
      </c>
      <c r="AD306" s="71" t="s">
        <v>1311</v>
      </c>
      <c r="AE306" s="71" t="s">
        <v>1312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1315</v>
      </c>
      <c r="AL306" s="104">
        <f t="shared" si="109"/>
        <v>46299</v>
      </c>
      <c r="AM306" s="105">
        <f ca="1" t="shared" si="110"/>
        <v>-14</v>
      </c>
      <c r="AN306" s="115"/>
      <c r="AO306" s="70" t="s">
        <v>1036</v>
      </c>
      <c r="AP306" s="70" t="s">
        <v>374</v>
      </c>
      <c r="AQ306" s="71" t="s">
        <v>1311</v>
      </c>
      <c r="AR306" s="71" t="s">
        <v>1312</v>
      </c>
      <c r="AS306" s="72"/>
      <c r="AT306" s="73"/>
      <c r="AU306" s="114" t="s">
        <v>16</v>
      </c>
      <c r="AV306" s="117">
        <v>46291</v>
      </c>
      <c r="AW306" s="115">
        <v>3</v>
      </c>
      <c r="AX306" s="106" t="s">
        <v>1316</v>
      </c>
      <c r="AY306" s="104">
        <f t="shared" si="113"/>
        <v>46382</v>
      </c>
      <c r="AZ306" s="105">
        <f ca="1" t="shared" si="114"/>
        <v>69</v>
      </c>
    </row>
    <row r="307" customHeight="1" spans="1:52">
      <c r="A307" s="70">
        <v>305</v>
      </c>
      <c r="B307" s="70" t="s">
        <v>12</v>
      </c>
      <c r="C307" s="70" t="s">
        <v>38</v>
      </c>
      <c r="D307" s="71" t="s">
        <v>1317</v>
      </c>
      <c r="E307" s="71" t="s">
        <v>28</v>
      </c>
      <c r="F307" s="72"/>
      <c r="G307" s="73"/>
      <c r="H307" s="114" t="s">
        <v>16</v>
      </c>
      <c r="I307" s="165">
        <v>46039</v>
      </c>
      <c r="J307" s="70">
        <v>3</v>
      </c>
      <c r="K307" s="106" t="s">
        <v>1318</v>
      </c>
      <c r="L307" s="104">
        <f t="shared" si="95"/>
        <v>46129</v>
      </c>
      <c r="M307" s="105">
        <f ca="1" t="shared" si="96"/>
        <v>-184</v>
      </c>
      <c r="N307" s="70"/>
      <c r="O307" s="70" t="s">
        <v>12</v>
      </c>
      <c r="P307" s="70" t="s">
        <v>38</v>
      </c>
      <c r="Q307" s="71" t="s">
        <v>1317</v>
      </c>
      <c r="R307" s="71" t="s">
        <v>28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1319</v>
      </c>
      <c r="Y307" s="104">
        <f t="shared" si="111"/>
        <v>46224</v>
      </c>
      <c r="Z307" s="105">
        <f ca="1" t="shared" si="112"/>
        <v>-89</v>
      </c>
      <c r="AA307" s="70"/>
      <c r="AB307" s="70" t="s">
        <v>610</v>
      </c>
      <c r="AC307" s="70" t="s">
        <v>38</v>
      </c>
      <c r="AD307" s="71" t="s">
        <v>1317</v>
      </c>
      <c r="AE307" s="71" t="s">
        <v>28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1320</v>
      </c>
      <c r="AL307" s="104">
        <f t="shared" si="109"/>
        <v>46311</v>
      </c>
      <c r="AM307" s="105">
        <f ca="1" t="shared" si="110"/>
        <v>-2</v>
      </c>
      <c r="AN307" s="115"/>
      <c r="AO307" s="70" t="s">
        <v>610</v>
      </c>
      <c r="AP307" s="70" t="s">
        <v>38</v>
      </c>
      <c r="AQ307" s="71" t="s">
        <v>1317</v>
      </c>
      <c r="AR307" s="71" t="s">
        <v>28</v>
      </c>
      <c r="AS307" s="72"/>
      <c r="AT307" s="73"/>
      <c r="AU307" s="114" t="s">
        <v>16</v>
      </c>
      <c r="AV307" s="117">
        <v>46304</v>
      </c>
      <c r="AW307" s="115">
        <v>3</v>
      </c>
      <c r="AX307" s="106" t="s">
        <v>1321</v>
      </c>
      <c r="AY307" s="104">
        <f t="shared" si="113"/>
        <v>46396</v>
      </c>
      <c r="AZ307" s="105">
        <f ca="1" t="shared" si="114"/>
        <v>83</v>
      </c>
    </row>
    <row r="308" customHeight="1" spans="1:52">
      <c r="A308" s="70">
        <v>306</v>
      </c>
      <c r="B308" s="70" t="s">
        <v>12</v>
      </c>
      <c r="C308" s="70" t="s">
        <v>38</v>
      </c>
      <c r="D308" s="71" t="s">
        <v>1322</v>
      </c>
      <c r="E308" s="71" t="s">
        <v>189</v>
      </c>
      <c r="F308" s="72"/>
      <c r="G308" s="73"/>
      <c r="H308" s="114" t="s">
        <v>16</v>
      </c>
      <c r="I308" s="165">
        <v>46039</v>
      </c>
      <c r="J308" s="70">
        <v>3</v>
      </c>
      <c r="K308" s="106" t="s">
        <v>1323</v>
      </c>
      <c r="L308" s="104">
        <f t="shared" si="95"/>
        <v>46129</v>
      </c>
      <c r="M308" s="105">
        <f ca="1" t="shared" si="96"/>
        <v>-184</v>
      </c>
      <c r="N308" s="70"/>
      <c r="O308" s="70" t="s">
        <v>12</v>
      </c>
      <c r="P308" s="70" t="s">
        <v>38</v>
      </c>
      <c r="Q308" s="71" t="s">
        <v>1322</v>
      </c>
      <c r="R308" s="71" t="s">
        <v>189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1324</v>
      </c>
      <c r="Y308" s="104">
        <f t="shared" si="111"/>
        <v>46212</v>
      </c>
      <c r="Z308" s="105">
        <f ca="1" t="shared" si="112"/>
        <v>-101</v>
      </c>
      <c r="AA308" s="70"/>
      <c r="AB308" s="70" t="s">
        <v>12</v>
      </c>
      <c r="AC308" s="70" t="s">
        <v>38</v>
      </c>
      <c r="AD308" s="71" t="s">
        <v>1322</v>
      </c>
      <c r="AE308" s="71" t="s">
        <v>189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1325</v>
      </c>
      <c r="AL308" s="104">
        <f t="shared" ref="AL300:AL354" si="115">EDATE(AI308,AJ308)</f>
        <v>46298</v>
      </c>
      <c r="AM308" s="105">
        <f ca="1" t="shared" ref="AM300:AM354" si="116">AL308-TODAY()</f>
        <v>-15</v>
      </c>
      <c r="AN308" s="115"/>
      <c r="AO308" s="115"/>
      <c r="AP308" s="115"/>
      <c r="AQ308" s="93"/>
      <c r="AR308" s="93"/>
      <c r="AS308" s="94"/>
      <c r="AT308" s="95"/>
      <c r="AU308" s="79"/>
      <c r="AV308" s="117"/>
      <c r="AW308" s="115"/>
      <c r="AX308" s="106"/>
      <c r="AY308" s="104">
        <f t="shared" ref="AY308:AY311" si="117">EDATE(AV308,AW308)</f>
        <v>0</v>
      </c>
      <c r="AZ308" s="105">
        <f ca="1" t="shared" ref="AZ308:AZ311" si="118">AY308-TODAY()</f>
        <v>-46313</v>
      </c>
    </row>
    <row r="309" customHeight="1" spans="1:52">
      <c r="A309" s="70">
        <v>307</v>
      </c>
      <c r="B309" s="70" t="s">
        <v>685</v>
      </c>
      <c r="C309" s="70" t="s">
        <v>13</v>
      </c>
      <c r="D309" s="71" t="s">
        <v>1326</v>
      </c>
      <c r="E309" s="71" t="s">
        <v>1327</v>
      </c>
      <c r="F309" s="72"/>
      <c r="G309" s="73"/>
      <c r="H309" s="151"/>
      <c r="I309" s="165">
        <v>46039</v>
      </c>
      <c r="J309" s="70">
        <v>3</v>
      </c>
      <c r="K309" s="106" t="s">
        <v>1328</v>
      </c>
      <c r="L309" s="104">
        <f t="shared" si="95"/>
        <v>46129</v>
      </c>
      <c r="M309" s="105">
        <f ca="1" t="shared" si="96"/>
        <v>-184</v>
      </c>
      <c r="N309" s="70"/>
      <c r="O309" s="70" t="s">
        <v>685</v>
      </c>
      <c r="P309" s="70" t="s">
        <v>13</v>
      </c>
      <c r="Q309" s="71" t="s">
        <v>1326</v>
      </c>
      <c r="R309" s="71" t="s">
        <v>1327</v>
      </c>
      <c r="S309" s="72"/>
      <c r="T309" s="73"/>
      <c r="U309" s="151"/>
      <c r="V309" s="102">
        <v>46145</v>
      </c>
      <c r="W309" s="70">
        <v>3</v>
      </c>
      <c r="X309" s="103" t="s">
        <v>1329</v>
      </c>
      <c r="Y309" s="104">
        <f t="shared" si="111"/>
        <v>46237</v>
      </c>
      <c r="Z309" s="105">
        <f ca="1" t="shared" si="112"/>
        <v>-76</v>
      </c>
      <c r="AA309" s="70"/>
      <c r="AB309" s="70" t="s">
        <v>685</v>
      </c>
      <c r="AC309" s="70" t="s">
        <v>13</v>
      </c>
      <c r="AD309" s="71" t="s">
        <v>1326</v>
      </c>
      <c r="AE309" s="71" t="s">
        <v>1327</v>
      </c>
      <c r="AF309" s="72"/>
      <c r="AG309" s="73"/>
      <c r="AH309" s="151"/>
      <c r="AI309" s="102">
        <v>46267</v>
      </c>
      <c r="AJ309" s="70">
        <v>3</v>
      </c>
      <c r="AK309" s="103" t="s">
        <v>1330</v>
      </c>
      <c r="AL309" s="104">
        <f t="shared" si="115"/>
        <v>46358</v>
      </c>
      <c r="AM309" s="105">
        <f ca="1" t="shared" si="116"/>
        <v>45</v>
      </c>
      <c r="AN309" s="115"/>
      <c r="AO309" s="115"/>
      <c r="AP309" s="115"/>
      <c r="AQ309" s="93"/>
      <c r="AR309" s="93"/>
      <c r="AS309" s="94"/>
      <c r="AT309" s="95"/>
      <c r="AU309" s="79"/>
      <c r="AV309" s="117"/>
      <c r="AW309" s="115"/>
      <c r="AX309" s="106"/>
      <c r="AY309" s="104">
        <f t="shared" si="117"/>
        <v>0</v>
      </c>
      <c r="AZ309" s="105">
        <f ca="1" t="shared" si="118"/>
        <v>-46313</v>
      </c>
    </row>
    <row r="310" customHeight="1" spans="1:52">
      <c r="A310" s="70">
        <v>308</v>
      </c>
      <c r="B310" s="70" t="s">
        <v>685</v>
      </c>
      <c r="C310" s="70" t="s">
        <v>38</v>
      </c>
      <c r="D310" s="71" t="s">
        <v>1331</v>
      </c>
      <c r="E310" s="71" t="s">
        <v>1332</v>
      </c>
      <c r="F310" s="72"/>
      <c r="G310" s="73"/>
      <c r="H310" s="114" t="s">
        <v>16</v>
      </c>
      <c r="I310" s="165">
        <v>46039</v>
      </c>
      <c r="J310" s="70">
        <v>3</v>
      </c>
      <c r="K310" s="106" t="s">
        <v>1333</v>
      </c>
      <c r="L310" s="104">
        <f t="shared" si="95"/>
        <v>46129</v>
      </c>
      <c r="M310" s="105">
        <f ca="1" t="shared" si="96"/>
        <v>-184</v>
      </c>
      <c r="N310" s="70"/>
      <c r="O310" s="70" t="s">
        <v>685</v>
      </c>
      <c r="P310" s="70" t="s">
        <v>38</v>
      </c>
      <c r="Q310" s="71" t="s">
        <v>1331</v>
      </c>
      <c r="R310" s="71" t="s">
        <v>1332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1334</v>
      </c>
      <c r="Y310" s="104">
        <f t="shared" si="111"/>
        <v>46226</v>
      </c>
      <c r="Z310" s="105">
        <f ca="1" t="shared" si="112"/>
        <v>-87</v>
      </c>
      <c r="AA310" s="70"/>
      <c r="AB310" s="70" t="s">
        <v>685</v>
      </c>
      <c r="AC310" s="70" t="s">
        <v>38</v>
      </c>
      <c r="AD310" s="71" t="s">
        <v>1331</v>
      </c>
      <c r="AE310" s="71" t="s">
        <v>1332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1335</v>
      </c>
      <c r="AL310" s="104">
        <f t="shared" si="115"/>
        <v>46334</v>
      </c>
      <c r="AM310" s="105">
        <f ca="1" t="shared" si="116"/>
        <v>21</v>
      </c>
      <c r="AN310" s="115"/>
      <c r="AO310" s="115"/>
      <c r="AP310" s="115"/>
      <c r="AQ310" s="93"/>
      <c r="AR310" s="93"/>
      <c r="AS310" s="94"/>
      <c r="AT310" s="95"/>
      <c r="AU310" s="79"/>
      <c r="AV310" s="117"/>
      <c r="AW310" s="115"/>
      <c r="AX310" s="106"/>
      <c r="AY310" s="104">
        <f t="shared" si="117"/>
        <v>0</v>
      </c>
      <c r="AZ310" s="105">
        <f ca="1" t="shared" si="118"/>
        <v>-46313</v>
      </c>
    </row>
    <row r="311" customHeight="1" spans="1:52">
      <c r="A311" s="70">
        <v>309</v>
      </c>
      <c r="B311" s="70" t="s">
        <v>685</v>
      </c>
      <c r="C311" s="70" t="s">
        <v>13</v>
      </c>
      <c r="D311" s="71" t="s">
        <v>1336</v>
      </c>
      <c r="E311" s="71" t="s">
        <v>1337</v>
      </c>
      <c r="F311" s="72"/>
      <c r="G311" s="73"/>
      <c r="H311" s="114" t="s">
        <v>16</v>
      </c>
      <c r="I311" s="165">
        <v>46039</v>
      </c>
      <c r="J311" s="70">
        <v>3</v>
      </c>
      <c r="K311" s="106" t="s">
        <v>1338</v>
      </c>
      <c r="L311" s="104">
        <f t="shared" si="95"/>
        <v>46129</v>
      </c>
      <c r="M311" s="105">
        <f ca="1" t="shared" si="96"/>
        <v>-184</v>
      </c>
      <c r="N311" s="70"/>
      <c r="O311" s="70" t="s">
        <v>685</v>
      </c>
      <c r="P311" s="70" t="s">
        <v>13</v>
      </c>
      <c r="Q311" s="71" t="s">
        <v>1336</v>
      </c>
      <c r="R311" s="71" t="s">
        <v>1337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1339</v>
      </c>
      <c r="Y311" s="104">
        <f t="shared" si="111"/>
        <v>46237</v>
      </c>
      <c r="Z311" s="105">
        <f ca="1" t="shared" si="112"/>
        <v>-76</v>
      </c>
      <c r="AA311" s="70"/>
      <c r="AB311" s="70" t="s">
        <v>685</v>
      </c>
      <c r="AC311" s="70" t="s">
        <v>13</v>
      </c>
      <c r="AD311" s="71" t="s">
        <v>1336</v>
      </c>
      <c r="AE311" s="71" t="s">
        <v>1337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1340</v>
      </c>
      <c r="AL311" s="104">
        <f t="shared" si="115"/>
        <v>46326</v>
      </c>
      <c r="AM311" s="105">
        <f ca="1" t="shared" si="116"/>
        <v>13</v>
      </c>
      <c r="AN311" s="115"/>
      <c r="AO311" s="70"/>
      <c r="AP311" s="70"/>
      <c r="AQ311" s="71"/>
      <c r="AR311" s="71"/>
      <c r="AS311" s="72"/>
      <c r="AT311" s="73"/>
      <c r="AU311" s="79"/>
      <c r="AV311" s="117"/>
      <c r="AW311" s="115"/>
      <c r="AX311" s="106"/>
      <c r="AY311" s="104">
        <f t="shared" ref="AY311:AY374" si="119">EDATE(AV311,AW311)</f>
        <v>0</v>
      </c>
      <c r="AZ311" s="105">
        <f ca="1" t="shared" ref="AZ311:AZ374" si="120">AY311-TODAY()</f>
        <v>-46313</v>
      </c>
    </row>
    <row r="312" customHeight="1" spans="1:52">
      <c r="A312" s="70">
        <v>310</v>
      </c>
      <c r="B312" s="70" t="s">
        <v>685</v>
      </c>
      <c r="C312" s="70" t="s">
        <v>38</v>
      </c>
      <c r="D312" s="71" t="s">
        <v>1341</v>
      </c>
      <c r="E312" s="71" t="s">
        <v>1342</v>
      </c>
      <c r="F312" s="72"/>
      <c r="G312" s="73"/>
      <c r="H312" s="151"/>
      <c r="I312" s="165">
        <v>46039</v>
      </c>
      <c r="J312" s="70">
        <v>3</v>
      </c>
      <c r="K312" s="106" t="s">
        <v>1343</v>
      </c>
      <c r="L312" s="104">
        <f t="shared" si="95"/>
        <v>46129</v>
      </c>
      <c r="M312" s="105">
        <f ca="1" t="shared" si="96"/>
        <v>-184</v>
      </c>
      <c r="N312" s="70"/>
      <c r="O312" s="70" t="s">
        <v>685</v>
      </c>
      <c r="P312" s="70" t="s">
        <v>38</v>
      </c>
      <c r="Q312" s="71" t="s">
        <v>1341</v>
      </c>
      <c r="R312" s="71" t="s">
        <v>1342</v>
      </c>
      <c r="S312" s="72"/>
      <c r="T312" s="73"/>
      <c r="U312" s="151"/>
      <c r="V312" s="102">
        <v>46135</v>
      </c>
      <c r="W312" s="70">
        <v>3</v>
      </c>
      <c r="X312" s="103" t="s">
        <v>1344</v>
      </c>
      <c r="Y312" s="104">
        <f t="shared" si="111"/>
        <v>46226</v>
      </c>
      <c r="Z312" s="105">
        <f ca="1" t="shared" si="112"/>
        <v>-87</v>
      </c>
      <c r="AA312" s="70"/>
      <c r="AB312" s="70" t="s">
        <v>685</v>
      </c>
      <c r="AC312" s="70" t="s">
        <v>38</v>
      </c>
      <c r="AD312" s="71" t="s">
        <v>1341</v>
      </c>
      <c r="AE312" s="71" t="s">
        <v>1342</v>
      </c>
      <c r="AF312" s="72"/>
      <c r="AG312" s="73"/>
      <c r="AH312" s="151"/>
      <c r="AI312" s="102">
        <v>46242</v>
      </c>
      <c r="AJ312" s="70">
        <v>3</v>
      </c>
      <c r="AK312" s="103" t="s">
        <v>1345</v>
      </c>
      <c r="AL312" s="104">
        <f t="shared" si="115"/>
        <v>46334</v>
      </c>
      <c r="AM312" s="105">
        <f ca="1" t="shared" si="116"/>
        <v>21</v>
      </c>
      <c r="AN312" s="115"/>
      <c r="AO312" s="70"/>
      <c r="AP312" s="70"/>
      <c r="AQ312" s="71"/>
      <c r="AR312" s="71"/>
      <c r="AS312" s="72"/>
      <c r="AT312" s="73"/>
      <c r="AU312" s="151"/>
      <c r="AV312" s="117"/>
      <c r="AW312" s="115"/>
      <c r="AX312" s="106"/>
      <c r="AY312" s="104">
        <f t="shared" si="119"/>
        <v>0</v>
      </c>
      <c r="AZ312" s="105">
        <f ca="1" t="shared" si="120"/>
        <v>-46313</v>
      </c>
    </row>
    <row r="313" customHeight="1" spans="1:52">
      <c r="A313" s="70">
        <v>311</v>
      </c>
      <c r="B313" s="70" t="s">
        <v>229</v>
      </c>
      <c r="C313" s="70" t="s">
        <v>38</v>
      </c>
      <c r="D313" s="71" t="s">
        <v>217</v>
      </c>
      <c r="E313" s="71" t="s">
        <v>218</v>
      </c>
      <c r="F313" s="72"/>
      <c r="G313" s="73"/>
      <c r="H313" s="151"/>
      <c r="I313" s="165">
        <v>46039</v>
      </c>
      <c r="J313" s="70">
        <v>3</v>
      </c>
      <c r="K313" s="106" t="s">
        <v>1346</v>
      </c>
      <c r="L313" s="104">
        <f t="shared" si="95"/>
        <v>46129</v>
      </c>
      <c r="M313" s="105">
        <f ca="1" t="shared" si="96"/>
        <v>-184</v>
      </c>
      <c r="N313" s="70"/>
      <c r="O313" s="70" t="s">
        <v>229</v>
      </c>
      <c r="P313" s="70" t="s">
        <v>38</v>
      </c>
      <c r="Q313" s="71" t="s">
        <v>217</v>
      </c>
      <c r="R313" s="71" t="s">
        <v>218</v>
      </c>
      <c r="S313" s="72"/>
      <c r="T313" s="73"/>
      <c r="U313" s="151"/>
      <c r="V313" s="102">
        <v>46122</v>
      </c>
      <c r="W313" s="70">
        <v>3</v>
      </c>
      <c r="X313" s="103" t="s">
        <v>1347</v>
      </c>
      <c r="Y313" s="104">
        <f t="shared" si="111"/>
        <v>46213</v>
      </c>
      <c r="Z313" s="105">
        <f ca="1" t="shared" si="112"/>
        <v>-100</v>
      </c>
      <c r="AA313" s="70"/>
      <c r="AB313" s="70" t="s">
        <v>229</v>
      </c>
      <c r="AC313" s="70" t="s">
        <v>38</v>
      </c>
      <c r="AD313" s="71" t="s">
        <v>217</v>
      </c>
      <c r="AE313" s="71" t="s">
        <v>218</v>
      </c>
      <c r="AF313" s="72"/>
      <c r="AG313" s="73"/>
      <c r="AH313" s="151"/>
      <c r="AI313" s="102">
        <v>46291</v>
      </c>
      <c r="AJ313" s="70">
        <v>3</v>
      </c>
      <c r="AK313" s="103" t="s">
        <v>1348</v>
      </c>
      <c r="AL313" s="104">
        <f t="shared" si="115"/>
        <v>46382</v>
      </c>
      <c r="AM313" s="105">
        <f ca="1" t="shared" si="116"/>
        <v>69</v>
      </c>
      <c r="AN313" s="115"/>
      <c r="AO313" s="115"/>
      <c r="AP313" s="115"/>
      <c r="AQ313" s="93"/>
      <c r="AR313" s="93"/>
      <c r="AS313" s="94"/>
      <c r="AT313" s="95"/>
      <c r="AU313" s="79"/>
      <c r="AV313" s="117"/>
      <c r="AW313" s="115"/>
      <c r="AX313" s="106"/>
      <c r="AY313" s="104">
        <f t="shared" si="119"/>
        <v>0</v>
      </c>
      <c r="AZ313" s="105">
        <f ca="1" t="shared" si="120"/>
        <v>-46313</v>
      </c>
    </row>
    <row r="314" customHeight="1" spans="1:52">
      <c r="A314" s="70">
        <v>312</v>
      </c>
      <c r="B314" s="70" t="s">
        <v>229</v>
      </c>
      <c r="C314" s="70" t="s">
        <v>38</v>
      </c>
      <c r="D314" s="71" t="s">
        <v>1349</v>
      </c>
      <c r="E314" s="71" t="s">
        <v>1350</v>
      </c>
      <c r="F314" s="72"/>
      <c r="G314" s="73"/>
      <c r="H314" s="151"/>
      <c r="I314" s="165">
        <v>46039</v>
      </c>
      <c r="J314" s="70">
        <v>3</v>
      </c>
      <c r="K314" s="106" t="s">
        <v>1351</v>
      </c>
      <c r="L314" s="104">
        <f t="shared" si="95"/>
        <v>46129</v>
      </c>
      <c r="M314" s="105">
        <f ca="1" t="shared" si="96"/>
        <v>-184</v>
      </c>
      <c r="N314" s="70"/>
      <c r="O314" s="70" t="s">
        <v>229</v>
      </c>
      <c r="P314" s="70" t="s">
        <v>38</v>
      </c>
      <c r="Q314" s="71" t="s">
        <v>1349</v>
      </c>
      <c r="R314" s="71" t="s">
        <v>1350</v>
      </c>
      <c r="S314" s="72"/>
      <c r="T314" s="73"/>
      <c r="U314" s="151"/>
      <c r="V314" s="102">
        <v>46122</v>
      </c>
      <c r="W314" s="70">
        <v>3</v>
      </c>
      <c r="X314" s="103" t="s">
        <v>1352</v>
      </c>
      <c r="Y314" s="104">
        <f t="shared" si="111"/>
        <v>46213</v>
      </c>
      <c r="Z314" s="105">
        <f ca="1" t="shared" si="112"/>
        <v>-100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115"/>
        <v>0</v>
      </c>
      <c r="AM314" s="105">
        <f ca="1" t="shared" si="116"/>
        <v>-46313</v>
      </c>
      <c r="AN314" s="115"/>
      <c r="AO314" s="115"/>
      <c r="AP314" s="115"/>
      <c r="AQ314" s="93"/>
      <c r="AR314" s="93"/>
      <c r="AS314" s="94"/>
      <c r="AT314" s="95"/>
      <c r="AU314" s="79"/>
      <c r="AV314" s="117"/>
      <c r="AW314" s="115"/>
      <c r="AX314" s="106"/>
      <c r="AY314" s="104">
        <f t="shared" si="119"/>
        <v>0</v>
      </c>
      <c r="AZ314" s="105">
        <f ca="1" t="shared" si="120"/>
        <v>-46313</v>
      </c>
    </row>
    <row r="315" customHeight="1" spans="1:52">
      <c r="A315" s="70">
        <v>313</v>
      </c>
      <c r="B315" s="70" t="s">
        <v>78</v>
      </c>
      <c r="C315" s="70" t="s">
        <v>38</v>
      </c>
      <c r="D315" s="71" t="s">
        <v>832</v>
      </c>
      <c r="E315" s="71" t="s">
        <v>589</v>
      </c>
      <c r="F315" s="72"/>
      <c r="G315" s="73"/>
      <c r="H315" s="151"/>
      <c r="I315" s="165">
        <v>46039</v>
      </c>
      <c r="J315" s="70">
        <v>3</v>
      </c>
      <c r="K315" s="106" t="s">
        <v>1353</v>
      </c>
      <c r="L315" s="104">
        <f t="shared" si="95"/>
        <v>46129</v>
      </c>
      <c r="M315" s="105">
        <f ca="1" t="shared" si="96"/>
        <v>-184</v>
      </c>
      <c r="N315" s="70"/>
      <c r="O315" s="70" t="s">
        <v>78</v>
      </c>
      <c r="P315" s="70" t="s">
        <v>38</v>
      </c>
      <c r="Q315" s="71" t="s">
        <v>832</v>
      </c>
      <c r="R315" s="71" t="s">
        <v>589</v>
      </c>
      <c r="S315" s="72"/>
      <c r="T315" s="73"/>
      <c r="U315" s="151"/>
      <c r="V315" s="102">
        <v>46127</v>
      </c>
      <c r="W315" s="70">
        <v>3</v>
      </c>
      <c r="X315" s="103" t="s">
        <v>1354</v>
      </c>
      <c r="Y315" s="104">
        <f t="shared" si="111"/>
        <v>46218</v>
      </c>
      <c r="Z315" s="105">
        <f ca="1" t="shared" si="112"/>
        <v>-95</v>
      </c>
      <c r="AA315" s="70"/>
      <c r="AB315" s="70" t="s">
        <v>78</v>
      </c>
      <c r="AC315" s="70" t="s">
        <v>38</v>
      </c>
      <c r="AD315" s="71" t="s">
        <v>832</v>
      </c>
      <c r="AE315" s="71" t="s">
        <v>589</v>
      </c>
      <c r="AF315" s="72"/>
      <c r="AG315" s="73"/>
      <c r="AH315" s="151"/>
      <c r="AI315" s="102">
        <v>46263</v>
      </c>
      <c r="AJ315" s="70">
        <v>3</v>
      </c>
      <c r="AK315" s="103" t="s">
        <v>1355</v>
      </c>
      <c r="AL315" s="104">
        <f t="shared" si="115"/>
        <v>46355</v>
      </c>
      <c r="AM315" s="105">
        <f ca="1" t="shared" si="116"/>
        <v>42</v>
      </c>
      <c r="AN315" s="115"/>
      <c r="AO315" s="70"/>
      <c r="AP315" s="70"/>
      <c r="AQ315" s="71"/>
      <c r="AR315" s="71"/>
      <c r="AS315" s="72"/>
      <c r="AT315" s="73"/>
      <c r="AU315" s="114"/>
      <c r="AV315" s="117"/>
      <c r="AW315" s="115"/>
      <c r="AX315" s="106"/>
      <c r="AY315" s="104">
        <f t="shared" si="119"/>
        <v>0</v>
      </c>
      <c r="AZ315" s="105">
        <f ca="1" t="shared" si="120"/>
        <v>-46313</v>
      </c>
    </row>
    <row r="316" customHeight="1" spans="1:52">
      <c r="A316" s="70">
        <v>314</v>
      </c>
      <c r="B316" s="70" t="s">
        <v>78</v>
      </c>
      <c r="C316" s="70" t="s">
        <v>38</v>
      </c>
      <c r="D316" s="71" t="s">
        <v>828</v>
      </c>
      <c r="E316" s="71" t="s">
        <v>593</v>
      </c>
      <c r="F316" s="72"/>
      <c r="G316" s="73"/>
      <c r="H316" s="151"/>
      <c r="I316" s="165">
        <v>46039</v>
      </c>
      <c r="J316" s="70">
        <v>3</v>
      </c>
      <c r="K316" s="106" t="s">
        <v>1356</v>
      </c>
      <c r="L316" s="104">
        <f t="shared" si="95"/>
        <v>46129</v>
      </c>
      <c r="M316" s="105">
        <f ca="1" t="shared" si="96"/>
        <v>-184</v>
      </c>
      <c r="N316" s="70"/>
      <c r="O316" s="70" t="s">
        <v>78</v>
      </c>
      <c r="P316" s="70" t="s">
        <v>38</v>
      </c>
      <c r="Q316" s="71" t="s">
        <v>828</v>
      </c>
      <c r="R316" s="71" t="s">
        <v>593</v>
      </c>
      <c r="S316" s="72"/>
      <c r="T316" s="73"/>
      <c r="U316" s="151"/>
      <c r="V316" s="102">
        <v>46127</v>
      </c>
      <c r="W316" s="70">
        <v>3</v>
      </c>
      <c r="X316" s="103" t="s">
        <v>1357</v>
      </c>
      <c r="Y316" s="104">
        <f t="shared" si="111"/>
        <v>46218</v>
      </c>
      <c r="Z316" s="105">
        <f ca="1" t="shared" si="112"/>
        <v>-95</v>
      </c>
      <c r="AA316" s="70"/>
      <c r="AB316" s="70" t="s">
        <v>78</v>
      </c>
      <c r="AC316" s="70" t="s">
        <v>38</v>
      </c>
      <c r="AD316" s="71" t="s">
        <v>828</v>
      </c>
      <c r="AE316" s="71" t="s">
        <v>593</v>
      </c>
      <c r="AF316" s="72"/>
      <c r="AG316" s="73"/>
      <c r="AH316" s="151"/>
      <c r="AI316" s="102">
        <v>46263</v>
      </c>
      <c r="AJ316" s="70">
        <v>3</v>
      </c>
      <c r="AK316" s="103" t="s">
        <v>1358</v>
      </c>
      <c r="AL316" s="104">
        <f t="shared" si="115"/>
        <v>46355</v>
      </c>
      <c r="AM316" s="105">
        <f ca="1" t="shared" si="116"/>
        <v>42</v>
      </c>
      <c r="AN316" s="115"/>
      <c r="AO316" s="115"/>
      <c r="AP316" s="115"/>
      <c r="AQ316" s="93"/>
      <c r="AR316" s="93"/>
      <c r="AS316" s="94"/>
      <c r="AT316" s="95"/>
      <c r="AU316" s="79"/>
      <c r="AV316" s="117"/>
      <c r="AW316" s="115"/>
      <c r="AX316" s="106"/>
      <c r="AY316" s="104">
        <f t="shared" si="119"/>
        <v>0</v>
      </c>
      <c r="AZ316" s="105">
        <f ca="1" t="shared" si="120"/>
        <v>-46313</v>
      </c>
    </row>
    <row r="317" customHeight="1" spans="1:52">
      <c r="A317" s="70">
        <v>316</v>
      </c>
      <c r="B317" s="70" t="s">
        <v>1359</v>
      </c>
      <c r="C317" s="70" t="s">
        <v>13</v>
      </c>
      <c r="D317" s="71" t="s">
        <v>1360</v>
      </c>
      <c r="E317" s="71" t="s">
        <v>1361</v>
      </c>
      <c r="F317" s="72"/>
      <c r="G317" s="73"/>
      <c r="H317" s="114" t="s">
        <v>16</v>
      </c>
      <c r="I317" s="165">
        <v>46039</v>
      </c>
      <c r="J317" s="70">
        <v>3</v>
      </c>
      <c r="K317" s="106" t="s">
        <v>1362</v>
      </c>
      <c r="L317" s="104">
        <f t="shared" si="95"/>
        <v>46129</v>
      </c>
      <c r="M317" s="105">
        <f ca="1" t="shared" si="96"/>
        <v>-184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111"/>
        <v>0</v>
      </c>
      <c r="Z317" s="105">
        <f ca="1" t="shared" si="112"/>
        <v>-46313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115"/>
        <v>0</v>
      </c>
      <c r="AM317" s="105">
        <f ca="1" t="shared" si="116"/>
        <v>-46313</v>
      </c>
      <c r="AN317" s="115"/>
      <c r="AO317" s="115"/>
      <c r="AP317" s="115"/>
      <c r="AQ317" s="93"/>
      <c r="AR317" s="93"/>
      <c r="AS317" s="94"/>
      <c r="AT317" s="95"/>
      <c r="AU317" s="79"/>
      <c r="AV317" s="117"/>
      <c r="AW317" s="115"/>
      <c r="AX317" s="106"/>
      <c r="AY317" s="104">
        <f t="shared" si="119"/>
        <v>0</v>
      </c>
      <c r="AZ317" s="105">
        <f ca="1" t="shared" si="120"/>
        <v>-46313</v>
      </c>
    </row>
    <row r="318" customHeight="1" spans="1:52">
      <c r="A318" s="70">
        <v>317</v>
      </c>
      <c r="B318" s="70" t="s">
        <v>1359</v>
      </c>
      <c r="C318" s="70" t="s">
        <v>13</v>
      </c>
      <c r="D318" s="71" t="s">
        <v>1363</v>
      </c>
      <c r="E318" s="71" t="s">
        <v>1364</v>
      </c>
      <c r="F318" s="72"/>
      <c r="G318" s="73"/>
      <c r="H318" s="114" t="s">
        <v>16</v>
      </c>
      <c r="I318" s="165">
        <v>46039</v>
      </c>
      <c r="J318" s="70">
        <v>3</v>
      </c>
      <c r="K318" s="106" t="s">
        <v>1365</v>
      </c>
      <c r="L318" s="104">
        <f t="shared" si="95"/>
        <v>46129</v>
      </c>
      <c r="M318" s="105">
        <f ca="1" t="shared" si="96"/>
        <v>-184</v>
      </c>
      <c r="N318" s="70"/>
      <c r="O318" s="70" t="s">
        <v>1359</v>
      </c>
      <c r="P318" s="70" t="s">
        <v>13</v>
      </c>
      <c r="Q318" s="71" t="s">
        <v>1363</v>
      </c>
      <c r="R318" s="71" t="s">
        <v>1364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1366</v>
      </c>
      <c r="Y318" s="104">
        <f t="shared" si="111"/>
        <v>46215</v>
      </c>
      <c r="Z318" s="105">
        <f ca="1" t="shared" si="112"/>
        <v>-98</v>
      </c>
      <c r="AA318" s="70"/>
      <c r="AB318" s="70" t="s">
        <v>1359</v>
      </c>
      <c r="AC318" s="70" t="s">
        <v>13</v>
      </c>
      <c r="AD318" s="71" t="s">
        <v>1363</v>
      </c>
      <c r="AE318" s="71" t="s">
        <v>1364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1367</v>
      </c>
      <c r="AL318" s="104">
        <f t="shared" si="115"/>
        <v>46302</v>
      </c>
      <c r="AM318" s="105">
        <f ca="1" t="shared" si="116"/>
        <v>-11</v>
      </c>
      <c r="AN318" s="115"/>
      <c r="AO318" s="115"/>
      <c r="AP318" s="115"/>
      <c r="AQ318" s="93"/>
      <c r="AR318" s="93"/>
      <c r="AS318" s="94"/>
      <c r="AT318" s="95"/>
      <c r="AU318" s="79"/>
      <c r="AV318" s="117"/>
      <c r="AW318" s="115"/>
      <c r="AX318" s="106"/>
      <c r="AY318" s="104">
        <f t="shared" si="119"/>
        <v>0</v>
      </c>
      <c r="AZ318" s="105">
        <f ca="1" t="shared" si="120"/>
        <v>-46313</v>
      </c>
    </row>
    <row r="319" customHeight="1" spans="1:52">
      <c r="A319" s="70">
        <v>318</v>
      </c>
      <c r="B319" s="70" t="s">
        <v>61</v>
      </c>
      <c r="C319" s="70" t="s">
        <v>38</v>
      </c>
      <c r="D319" s="71" t="s">
        <v>1368</v>
      </c>
      <c r="E319" s="71" t="s">
        <v>189</v>
      </c>
      <c r="F319" s="72"/>
      <c r="G319" s="73"/>
      <c r="H319" s="114" t="s">
        <v>16</v>
      </c>
      <c r="I319" s="165">
        <v>46039</v>
      </c>
      <c r="J319" s="70">
        <v>3</v>
      </c>
      <c r="K319" s="106" t="s">
        <v>1369</v>
      </c>
      <c r="L319" s="104">
        <f t="shared" si="95"/>
        <v>46129</v>
      </c>
      <c r="M319" s="105">
        <f ca="1" t="shared" si="96"/>
        <v>-184</v>
      </c>
      <c r="N319" s="70"/>
      <c r="O319" s="70" t="s">
        <v>61</v>
      </c>
      <c r="P319" s="70" t="s">
        <v>38</v>
      </c>
      <c r="Q319" s="71" t="s">
        <v>1368</v>
      </c>
      <c r="R319" s="71" t="s">
        <v>189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1370</v>
      </c>
      <c r="Y319" s="104">
        <f t="shared" si="111"/>
        <v>46294</v>
      </c>
      <c r="Z319" s="105">
        <f ca="1" t="shared" si="112"/>
        <v>-19</v>
      </c>
      <c r="AA319" s="70"/>
      <c r="AB319" s="70" t="s">
        <v>65</v>
      </c>
      <c r="AC319" s="70" t="s">
        <v>38</v>
      </c>
      <c r="AD319" s="71" t="s">
        <v>1368</v>
      </c>
      <c r="AE319" s="71" t="s">
        <v>189</v>
      </c>
      <c r="AF319" s="72"/>
      <c r="AG319" s="73"/>
      <c r="AH319" s="114" t="s">
        <v>16</v>
      </c>
      <c r="AI319" s="102">
        <v>46293</v>
      </c>
      <c r="AJ319" s="70">
        <v>3</v>
      </c>
      <c r="AK319" s="103" t="s">
        <v>1371</v>
      </c>
      <c r="AL319" s="104">
        <f t="shared" si="115"/>
        <v>46384</v>
      </c>
      <c r="AM319" s="105">
        <f ca="1" t="shared" si="116"/>
        <v>71</v>
      </c>
      <c r="AN319" s="115"/>
      <c r="AO319" s="115"/>
      <c r="AP319" s="115"/>
      <c r="AQ319" s="93"/>
      <c r="AR319" s="93"/>
      <c r="AS319" s="94"/>
      <c r="AT319" s="95"/>
      <c r="AU319" s="79"/>
      <c r="AV319" s="117"/>
      <c r="AW319" s="115"/>
      <c r="AX319" s="106"/>
      <c r="AY319" s="104">
        <f t="shared" si="119"/>
        <v>0</v>
      </c>
      <c r="AZ319" s="105">
        <f ca="1" t="shared" si="120"/>
        <v>-46313</v>
      </c>
    </row>
    <row r="320" customHeight="1" spans="1:52">
      <c r="A320" s="70">
        <v>319</v>
      </c>
      <c r="B320" s="70" t="s">
        <v>55</v>
      </c>
      <c r="C320" s="70" t="s">
        <v>38</v>
      </c>
      <c r="D320" s="71" t="s">
        <v>1372</v>
      </c>
      <c r="E320" s="71" t="s">
        <v>189</v>
      </c>
      <c r="F320" s="72"/>
      <c r="G320" s="73"/>
      <c r="H320" s="114" t="s">
        <v>16</v>
      </c>
      <c r="I320" s="165">
        <v>46039</v>
      </c>
      <c r="J320" s="70">
        <v>3</v>
      </c>
      <c r="K320" s="106" t="s">
        <v>1373</v>
      </c>
      <c r="L320" s="104">
        <f t="shared" si="95"/>
        <v>46129</v>
      </c>
      <c r="M320" s="105">
        <f ca="1" t="shared" si="96"/>
        <v>-184</v>
      </c>
      <c r="N320" s="70"/>
      <c r="O320" s="70" t="s">
        <v>55</v>
      </c>
      <c r="P320" s="70" t="s">
        <v>38</v>
      </c>
      <c r="Q320" s="71" t="s">
        <v>1372</v>
      </c>
      <c r="R320" s="71" t="s">
        <v>189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1374</v>
      </c>
      <c r="Y320" s="104">
        <f t="shared" si="111"/>
        <v>46314</v>
      </c>
      <c r="Z320" s="105">
        <f ca="1" t="shared" si="112"/>
        <v>1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115"/>
        <v>0</v>
      </c>
      <c r="AM320" s="105">
        <f ca="1" t="shared" si="116"/>
        <v>-46313</v>
      </c>
      <c r="AN320" s="115"/>
      <c r="AO320" s="70"/>
      <c r="AP320" s="70"/>
      <c r="AQ320" s="71"/>
      <c r="AR320" s="71"/>
      <c r="AS320" s="72"/>
      <c r="AT320" s="73"/>
      <c r="AU320" s="79"/>
      <c r="AV320" s="117"/>
      <c r="AW320" s="115"/>
      <c r="AX320" s="106"/>
      <c r="AY320" s="104">
        <f t="shared" si="119"/>
        <v>0</v>
      </c>
      <c r="AZ320" s="105">
        <f ca="1" t="shared" si="120"/>
        <v>-46313</v>
      </c>
    </row>
    <row r="321" customHeight="1" spans="1:52">
      <c r="A321" s="70">
        <v>320</v>
      </c>
      <c r="B321" s="70" t="s">
        <v>1275</v>
      </c>
      <c r="C321" s="70" t="s">
        <v>38</v>
      </c>
      <c r="D321" s="71" t="s">
        <v>1375</v>
      </c>
      <c r="E321" s="71" t="s">
        <v>189</v>
      </c>
      <c r="F321" s="72"/>
      <c r="G321" s="73"/>
      <c r="H321" s="114" t="s">
        <v>16</v>
      </c>
      <c r="I321" s="165">
        <v>46039</v>
      </c>
      <c r="J321" s="70">
        <v>3</v>
      </c>
      <c r="K321" s="106" t="s">
        <v>1376</v>
      </c>
      <c r="L321" s="104">
        <f t="shared" si="95"/>
        <v>46129</v>
      </c>
      <c r="M321" s="105">
        <f ca="1" t="shared" si="96"/>
        <v>-184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111"/>
        <v>0</v>
      </c>
      <c r="Z321" s="105">
        <f ca="1" t="shared" si="112"/>
        <v>-46313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115"/>
        <v>0</v>
      </c>
      <c r="AM321" s="105">
        <f ca="1" t="shared" si="116"/>
        <v>-46313</v>
      </c>
      <c r="AN321" s="115"/>
      <c r="AO321" s="115"/>
      <c r="AP321" s="115"/>
      <c r="AQ321" s="93"/>
      <c r="AR321" s="93"/>
      <c r="AS321" s="94"/>
      <c r="AT321" s="95"/>
      <c r="AU321" s="79"/>
      <c r="AV321" s="117"/>
      <c r="AW321" s="115"/>
      <c r="AX321" s="106"/>
      <c r="AY321" s="104">
        <f t="shared" si="119"/>
        <v>0</v>
      </c>
      <c r="AZ321" s="105">
        <f ca="1" t="shared" si="120"/>
        <v>-46313</v>
      </c>
    </row>
    <row r="322" customHeight="1" spans="1:52">
      <c r="A322" s="70">
        <v>321</v>
      </c>
      <c r="B322" s="70" t="s">
        <v>1377</v>
      </c>
      <c r="C322" s="70" t="s">
        <v>38</v>
      </c>
      <c r="D322" s="71" t="s">
        <v>1378</v>
      </c>
      <c r="E322" s="71" t="s">
        <v>189</v>
      </c>
      <c r="F322" s="72"/>
      <c r="G322" s="73"/>
      <c r="H322" s="114" t="s">
        <v>16</v>
      </c>
      <c r="I322" s="165">
        <v>46039</v>
      </c>
      <c r="J322" s="70">
        <v>3</v>
      </c>
      <c r="K322" s="106" t="s">
        <v>1379</v>
      </c>
      <c r="L322" s="104">
        <f t="shared" ref="L322:L385" si="121">EDATE(I322,J322)</f>
        <v>46129</v>
      </c>
      <c r="M322" s="105">
        <f ca="1" t="shared" ref="M322:M385" si="122">L322-TODAY()</f>
        <v>-184</v>
      </c>
      <c r="N322" s="70"/>
      <c r="O322" s="70" t="s">
        <v>1380</v>
      </c>
      <c r="P322" s="70" t="s">
        <v>38</v>
      </c>
      <c r="Q322" s="71" t="s">
        <v>1378</v>
      </c>
      <c r="R322" s="71" t="s">
        <v>189</v>
      </c>
      <c r="S322" s="72"/>
      <c r="T322" s="73"/>
      <c r="U322" s="114" t="s">
        <v>16</v>
      </c>
      <c r="V322" s="102">
        <v>46262</v>
      </c>
      <c r="W322" s="70">
        <v>3</v>
      </c>
      <c r="X322" s="103" t="s">
        <v>1381</v>
      </c>
      <c r="Y322" s="104">
        <f t="shared" si="111"/>
        <v>46354</v>
      </c>
      <c r="Z322" s="105">
        <f ca="1" t="shared" si="112"/>
        <v>41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115"/>
        <v>0</v>
      </c>
      <c r="AM322" s="105">
        <f ca="1" t="shared" si="116"/>
        <v>-46313</v>
      </c>
      <c r="AN322" s="115"/>
      <c r="AO322" s="115"/>
      <c r="AP322" s="115"/>
      <c r="AQ322" s="93"/>
      <c r="AR322" s="93"/>
      <c r="AS322" s="94"/>
      <c r="AT322" s="95"/>
      <c r="AU322" s="114"/>
      <c r="AV322" s="117"/>
      <c r="AW322" s="115"/>
      <c r="AX322" s="106"/>
      <c r="AY322" s="104">
        <f t="shared" si="119"/>
        <v>0</v>
      </c>
      <c r="AZ322" s="105">
        <f ca="1" t="shared" si="120"/>
        <v>-46313</v>
      </c>
    </row>
    <row r="323" customHeight="1" spans="1:52">
      <c r="A323" s="70">
        <v>322</v>
      </c>
      <c r="B323" s="70" t="s">
        <v>1275</v>
      </c>
      <c r="C323" s="70" t="s">
        <v>38</v>
      </c>
      <c r="D323" s="71" t="s">
        <v>1382</v>
      </c>
      <c r="E323" s="71" t="s">
        <v>189</v>
      </c>
      <c r="F323" s="72"/>
      <c r="G323" s="73"/>
      <c r="H323" s="114" t="s">
        <v>16</v>
      </c>
      <c r="I323" s="165">
        <v>46039</v>
      </c>
      <c r="J323" s="70">
        <v>3</v>
      </c>
      <c r="K323" s="106" t="s">
        <v>1383</v>
      </c>
      <c r="L323" s="104">
        <f t="shared" si="121"/>
        <v>46129</v>
      </c>
      <c r="M323" s="105">
        <f ca="1" t="shared" si="122"/>
        <v>-184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111"/>
        <v>0</v>
      </c>
      <c r="Z323" s="105">
        <f ca="1" t="shared" si="112"/>
        <v>-46313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115"/>
        <v>0</v>
      </c>
      <c r="AM323" s="105">
        <f ca="1" t="shared" si="116"/>
        <v>-46313</v>
      </c>
      <c r="AN323" s="115"/>
      <c r="AO323" s="115"/>
      <c r="AP323" s="115"/>
      <c r="AQ323" s="93"/>
      <c r="AR323" s="93"/>
      <c r="AS323" s="94"/>
      <c r="AT323" s="95"/>
      <c r="AU323" s="79"/>
      <c r="AV323" s="117"/>
      <c r="AW323" s="115"/>
      <c r="AX323" s="106"/>
      <c r="AY323" s="104">
        <f t="shared" si="119"/>
        <v>0</v>
      </c>
      <c r="AZ323" s="105">
        <f ca="1" t="shared" si="120"/>
        <v>-46313</v>
      </c>
    </row>
    <row r="324" customHeight="1" spans="1:52">
      <c r="A324" s="70">
        <v>323</v>
      </c>
      <c r="B324" s="70" t="s">
        <v>1275</v>
      </c>
      <c r="C324" s="70" t="s">
        <v>38</v>
      </c>
      <c r="D324" s="71" t="s">
        <v>1384</v>
      </c>
      <c r="E324" s="71" t="s">
        <v>189</v>
      </c>
      <c r="F324" s="72"/>
      <c r="G324" s="73"/>
      <c r="H324" s="114" t="s">
        <v>16</v>
      </c>
      <c r="I324" s="165">
        <v>46039</v>
      </c>
      <c r="J324" s="70">
        <v>3</v>
      </c>
      <c r="K324" s="106" t="s">
        <v>1385</v>
      </c>
      <c r="L324" s="104">
        <f t="shared" si="121"/>
        <v>46129</v>
      </c>
      <c r="M324" s="105">
        <f ca="1" t="shared" si="122"/>
        <v>-184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123">EDATE(V324,W324)</f>
        <v>0</v>
      </c>
      <c r="Z324" s="105">
        <f ca="1" t="shared" ref="Z324:Z352" si="124">Y324-TODAY()</f>
        <v>-46313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115"/>
        <v>0</v>
      </c>
      <c r="AM324" s="105">
        <f ca="1" t="shared" si="116"/>
        <v>-46313</v>
      </c>
      <c r="AN324" s="115"/>
      <c r="AO324" s="115"/>
      <c r="AP324" s="115"/>
      <c r="AQ324" s="93"/>
      <c r="AR324" s="93"/>
      <c r="AS324" s="94"/>
      <c r="AT324" s="95"/>
      <c r="AU324" s="79"/>
      <c r="AV324" s="117"/>
      <c r="AW324" s="115"/>
      <c r="AX324" s="106"/>
      <c r="AY324" s="104">
        <f t="shared" si="119"/>
        <v>0</v>
      </c>
      <c r="AZ324" s="105">
        <f ca="1" t="shared" si="120"/>
        <v>-46313</v>
      </c>
    </row>
    <row r="325" customHeight="1" spans="1:52">
      <c r="A325" s="70">
        <v>324</v>
      </c>
      <c r="B325" s="70" t="s">
        <v>1275</v>
      </c>
      <c r="C325" s="70" t="s">
        <v>38</v>
      </c>
      <c r="D325" s="71" t="s">
        <v>1386</v>
      </c>
      <c r="E325" s="71" t="s">
        <v>189</v>
      </c>
      <c r="F325" s="72"/>
      <c r="G325" s="73"/>
      <c r="H325" s="114" t="s">
        <v>16</v>
      </c>
      <c r="I325" s="165">
        <v>46039</v>
      </c>
      <c r="J325" s="70">
        <v>3</v>
      </c>
      <c r="K325" s="106" t="s">
        <v>1387</v>
      </c>
      <c r="L325" s="104">
        <f t="shared" si="121"/>
        <v>46129</v>
      </c>
      <c r="M325" s="105">
        <f ca="1" t="shared" si="122"/>
        <v>-184</v>
      </c>
      <c r="N325" s="70"/>
      <c r="O325" s="70" t="s">
        <v>1275</v>
      </c>
      <c r="P325" s="70" t="s">
        <v>38</v>
      </c>
      <c r="Q325" s="71" t="s">
        <v>1386</v>
      </c>
      <c r="R325" s="71" t="s">
        <v>189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1388</v>
      </c>
      <c r="Y325" s="104">
        <f t="shared" si="123"/>
        <v>46249</v>
      </c>
      <c r="Z325" s="105">
        <f ca="1" t="shared" si="124"/>
        <v>-64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115"/>
        <v>0</v>
      </c>
      <c r="AM325" s="105">
        <f ca="1" t="shared" si="116"/>
        <v>-46313</v>
      </c>
      <c r="AN325" s="115"/>
      <c r="AO325" s="70"/>
      <c r="AP325" s="70"/>
      <c r="AQ325" s="71"/>
      <c r="AR325" s="71"/>
      <c r="AS325" s="72"/>
      <c r="AT325" s="73"/>
      <c r="AU325" s="79"/>
      <c r="AV325" s="117"/>
      <c r="AW325" s="115"/>
      <c r="AX325" s="106"/>
      <c r="AY325" s="104">
        <f t="shared" si="119"/>
        <v>0</v>
      </c>
      <c r="AZ325" s="105">
        <f ca="1" t="shared" si="120"/>
        <v>-46313</v>
      </c>
    </row>
    <row r="326" customHeight="1" spans="1:52">
      <c r="A326" s="70">
        <v>325</v>
      </c>
      <c r="B326" s="70" t="s">
        <v>1275</v>
      </c>
      <c r="C326" s="70" t="s">
        <v>13</v>
      </c>
      <c r="D326" s="71" t="s">
        <v>1389</v>
      </c>
      <c r="E326" s="71" t="s">
        <v>1279</v>
      </c>
      <c r="F326" s="72"/>
      <c r="G326" s="73"/>
      <c r="H326" s="114" t="s">
        <v>16</v>
      </c>
      <c r="I326" s="165">
        <v>46039</v>
      </c>
      <c r="J326" s="70">
        <v>3</v>
      </c>
      <c r="K326" s="106" t="s">
        <v>1390</v>
      </c>
      <c r="L326" s="104">
        <f t="shared" si="121"/>
        <v>46129</v>
      </c>
      <c r="M326" s="105">
        <f ca="1" t="shared" si="122"/>
        <v>-184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123"/>
        <v>0</v>
      </c>
      <c r="Z326" s="105">
        <f ca="1" t="shared" si="124"/>
        <v>-46313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115"/>
        <v>0</v>
      </c>
      <c r="AM326" s="105">
        <f ca="1" t="shared" si="116"/>
        <v>-46313</v>
      </c>
      <c r="AN326" s="115"/>
      <c r="AO326" s="70"/>
      <c r="AP326" s="70"/>
      <c r="AQ326" s="71"/>
      <c r="AR326" s="71"/>
      <c r="AS326" s="72"/>
      <c r="AT326" s="73"/>
      <c r="AU326" s="79"/>
      <c r="AV326" s="117"/>
      <c r="AW326" s="115"/>
      <c r="AX326" s="106"/>
      <c r="AY326" s="104">
        <f t="shared" si="119"/>
        <v>0</v>
      </c>
      <c r="AZ326" s="105">
        <f ca="1" t="shared" si="120"/>
        <v>-46313</v>
      </c>
    </row>
    <row r="327" customHeight="1" spans="1:52">
      <c r="A327" s="70">
        <v>326</v>
      </c>
      <c r="B327" s="70" t="s">
        <v>1275</v>
      </c>
      <c r="C327" s="70" t="s">
        <v>13</v>
      </c>
      <c r="D327" s="71" t="s">
        <v>1391</v>
      </c>
      <c r="E327" s="71" t="s">
        <v>80</v>
      </c>
      <c r="F327" s="72"/>
      <c r="G327" s="73"/>
      <c r="H327" s="114" t="s">
        <v>16</v>
      </c>
      <c r="I327" s="165">
        <v>46039</v>
      </c>
      <c r="J327" s="70">
        <v>3</v>
      </c>
      <c r="K327" s="106" t="s">
        <v>1392</v>
      </c>
      <c r="L327" s="104">
        <f t="shared" si="121"/>
        <v>46129</v>
      </c>
      <c r="M327" s="105">
        <f ca="1" t="shared" si="122"/>
        <v>-184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123"/>
        <v>0</v>
      </c>
      <c r="Z327" s="105">
        <f ca="1" t="shared" si="124"/>
        <v>-46313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115"/>
        <v>0</v>
      </c>
      <c r="AM327" s="105">
        <f ca="1" t="shared" si="116"/>
        <v>-46313</v>
      </c>
      <c r="AN327" s="115"/>
      <c r="AO327" s="115"/>
      <c r="AP327" s="115"/>
      <c r="AQ327" s="93"/>
      <c r="AR327" s="93"/>
      <c r="AS327" s="94"/>
      <c r="AT327" s="95"/>
      <c r="AU327" s="79"/>
      <c r="AV327" s="117"/>
      <c r="AW327" s="115"/>
      <c r="AX327" s="106"/>
      <c r="AY327" s="104">
        <f t="shared" si="119"/>
        <v>0</v>
      </c>
      <c r="AZ327" s="105">
        <f ca="1" t="shared" si="120"/>
        <v>-46313</v>
      </c>
    </row>
    <row r="328" customHeight="1" spans="1:52">
      <c r="A328" s="70">
        <v>327</v>
      </c>
      <c r="B328" s="70" t="s">
        <v>1393</v>
      </c>
      <c r="C328" s="70" t="s">
        <v>38</v>
      </c>
      <c r="D328" s="71" t="s">
        <v>1394</v>
      </c>
      <c r="E328" s="71" t="s">
        <v>1395</v>
      </c>
      <c r="F328" s="72"/>
      <c r="G328" s="73"/>
      <c r="H328" s="151"/>
      <c r="I328" s="165">
        <v>46039</v>
      </c>
      <c r="J328" s="70">
        <v>3</v>
      </c>
      <c r="K328" s="106" t="s">
        <v>1396</v>
      </c>
      <c r="L328" s="104">
        <f t="shared" si="121"/>
        <v>46129</v>
      </c>
      <c r="M328" s="105">
        <f ca="1" t="shared" si="122"/>
        <v>-184</v>
      </c>
      <c r="N328" s="70"/>
      <c r="O328" s="70" t="s">
        <v>1393</v>
      </c>
      <c r="P328" s="70" t="s">
        <v>38</v>
      </c>
      <c r="Q328" s="71" t="s">
        <v>1394</v>
      </c>
      <c r="R328" s="71" t="s">
        <v>1395</v>
      </c>
      <c r="S328" s="72"/>
      <c r="T328" s="73"/>
      <c r="U328" s="151"/>
      <c r="V328" s="102">
        <v>46182</v>
      </c>
      <c r="W328" s="70">
        <v>3</v>
      </c>
      <c r="X328" s="103" t="s">
        <v>1397</v>
      </c>
      <c r="Y328" s="104">
        <f t="shared" si="123"/>
        <v>46274</v>
      </c>
      <c r="Z328" s="105">
        <f ca="1" t="shared" si="124"/>
        <v>-39</v>
      </c>
      <c r="AA328" s="70"/>
      <c r="AB328" s="70" t="s">
        <v>1393</v>
      </c>
      <c r="AC328" s="70" t="s">
        <v>38</v>
      </c>
      <c r="AD328" s="71" t="s">
        <v>1394</v>
      </c>
      <c r="AE328" s="71" t="s">
        <v>1395</v>
      </c>
      <c r="AF328" s="72"/>
      <c r="AG328" s="73"/>
      <c r="AH328" s="151"/>
      <c r="AI328" s="102">
        <v>46261</v>
      </c>
      <c r="AJ328" s="70">
        <v>3</v>
      </c>
      <c r="AK328" s="103" t="s">
        <v>1398</v>
      </c>
      <c r="AL328" s="104">
        <f t="shared" si="115"/>
        <v>46353</v>
      </c>
      <c r="AM328" s="105">
        <f ca="1" t="shared" si="116"/>
        <v>40</v>
      </c>
      <c r="AN328" s="115"/>
      <c r="AO328" s="70"/>
      <c r="AP328" s="70"/>
      <c r="AQ328" s="71"/>
      <c r="AR328" s="71"/>
      <c r="AS328" s="72"/>
      <c r="AT328" s="73"/>
      <c r="AU328" s="114"/>
      <c r="AV328" s="117"/>
      <c r="AW328" s="115"/>
      <c r="AX328" s="106"/>
      <c r="AY328" s="104">
        <f t="shared" si="119"/>
        <v>0</v>
      </c>
      <c r="AZ328" s="105">
        <f ca="1" t="shared" si="120"/>
        <v>-46313</v>
      </c>
    </row>
    <row r="329" customHeight="1" spans="1:52">
      <c r="A329" s="70">
        <v>328</v>
      </c>
      <c r="B329" s="70" t="s">
        <v>644</v>
      </c>
      <c r="C329" s="70" t="s">
        <v>264</v>
      </c>
      <c r="D329" s="71" t="s">
        <v>265</v>
      </c>
      <c r="E329" s="71" t="s">
        <v>266</v>
      </c>
      <c r="F329" s="72"/>
      <c r="G329" s="73"/>
      <c r="H329" s="151"/>
      <c r="I329" s="165">
        <v>46039</v>
      </c>
      <c r="J329" s="165" t="s">
        <v>767</v>
      </c>
      <c r="K329" s="106"/>
      <c r="L329" s="104" t="e">
        <f t="shared" si="121"/>
        <v>#VALUE!</v>
      </c>
      <c r="M329" s="105" t="e">
        <f ca="1" t="shared" si="122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123"/>
        <v>0</v>
      </c>
      <c r="Z329" s="105">
        <f ca="1" t="shared" si="124"/>
        <v>-46313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115"/>
        <v>0</v>
      </c>
      <c r="AM329" s="105">
        <f ca="1" t="shared" si="116"/>
        <v>-46313</v>
      </c>
      <c r="AN329" s="115"/>
      <c r="AO329" s="70"/>
      <c r="AP329" s="70"/>
      <c r="AQ329" s="71"/>
      <c r="AR329" s="71"/>
      <c r="AS329" s="72"/>
      <c r="AT329" s="73"/>
      <c r="AU329" s="114"/>
      <c r="AV329" s="117"/>
      <c r="AW329" s="115"/>
      <c r="AX329" s="106"/>
      <c r="AY329" s="104">
        <f t="shared" si="119"/>
        <v>0</v>
      </c>
      <c r="AZ329" s="105">
        <f ca="1" t="shared" si="120"/>
        <v>-46313</v>
      </c>
    </row>
    <row r="330" customHeight="1" spans="1:52">
      <c r="A330" s="70">
        <v>329</v>
      </c>
      <c r="B330" s="70" t="s">
        <v>1399</v>
      </c>
      <c r="C330" s="70" t="s">
        <v>374</v>
      </c>
      <c r="D330" s="71" t="s">
        <v>1400</v>
      </c>
      <c r="E330" s="71" t="s">
        <v>1401</v>
      </c>
      <c r="F330" s="72"/>
      <c r="G330" s="73"/>
      <c r="H330" s="114" t="s">
        <v>16</v>
      </c>
      <c r="I330" s="165">
        <v>46039</v>
      </c>
      <c r="J330" s="70">
        <v>3</v>
      </c>
      <c r="K330" s="106" t="s">
        <v>1402</v>
      </c>
      <c r="L330" s="104">
        <f t="shared" si="121"/>
        <v>46129</v>
      </c>
      <c r="M330" s="105">
        <f ca="1" t="shared" si="122"/>
        <v>-184</v>
      </c>
      <c r="N330" s="70"/>
      <c r="O330" s="70" t="s">
        <v>1399</v>
      </c>
      <c r="P330" s="70" t="s">
        <v>374</v>
      </c>
      <c r="Q330" s="71" t="s">
        <v>1400</v>
      </c>
      <c r="R330" s="71" t="s">
        <v>1401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1403</v>
      </c>
      <c r="Y330" s="104">
        <f t="shared" si="123"/>
        <v>46220</v>
      </c>
      <c r="Z330" s="105">
        <f ca="1" t="shared" si="124"/>
        <v>-93</v>
      </c>
      <c r="AA330" s="70"/>
      <c r="AB330" s="70" t="s">
        <v>1399</v>
      </c>
      <c r="AC330" s="70" t="s">
        <v>374</v>
      </c>
      <c r="AD330" s="71" t="s">
        <v>1400</v>
      </c>
      <c r="AE330" s="71" t="s">
        <v>1401</v>
      </c>
      <c r="AF330" s="72"/>
      <c r="AG330" s="73"/>
      <c r="AH330" s="114" t="s">
        <v>16</v>
      </c>
      <c r="AI330" s="102">
        <v>46252</v>
      </c>
      <c r="AJ330" s="70">
        <v>3</v>
      </c>
      <c r="AK330" s="103" t="s">
        <v>1404</v>
      </c>
      <c r="AL330" s="104">
        <f t="shared" si="115"/>
        <v>46344</v>
      </c>
      <c r="AM330" s="105">
        <f ca="1" t="shared" si="116"/>
        <v>31</v>
      </c>
      <c r="AN330" s="115"/>
      <c r="AO330" s="115"/>
      <c r="AP330" s="115"/>
      <c r="AQ330" s="93"/>
      <c r="AR330" s="93"/>
      <c r="AS330" s="94"/>
      <c r="AT330" s="95"/>
      <c r="AU330" s="79"/>
      <c r="AV330" s="117"/>
      <c r="AW330" s="115"/>
      <c r="AX330" s="106"/>
      <c r="AY330" s="104">
        <f t="shared" si="119"/>
        <v>0</v>
      </c>
      <c r="AZ330" s="105">
        <f ca="1" t="shared" si="120"/>
        <v>-46313</v>
      </c>
    </row>
    <row r="331" customHeight="1" spans="1:52">
      <c r="A331" s="70">
        <v>330</v>
      </c>
      <c r="B331" s="70" t="s">
        <v>1405</v>
      </c>
      <c r="C331" s="70" t="s">
        <v>374</v>
      </c>
      <c r="D331" s="71" t="s">
        <v>1406</v>
      </c>
      <c r="E331" s="71" t="s">
        <v>1407</v>
      </c>
      <c r="F331" s="72"/>
      <c r="G331" s="73"/>
      <c r="H331" s="75"/>
      <c r="I331" s="165">
        <v>46039</v>
      </c>
      <c r="J331" s="70">
        <v>3</v>
      </c>
      <c r="K331" s="106" t="s">
        <v>1408</v>
      </c>
      <c r="L331" s="104">
        <f t="shared" si="121"/>
        <v>46129</v>
      </c>
      <c r="M331" s="105">
        <f ca="1" t="shared" si="122"/>
        <v>-184</v>
      </c>
      <c r="N331" s="70"/>
      <c r="O331" s="70"/>
      <c r="P331" s="70"/>
      <c r="Q331" s="71"/>
      <c r="R331" s="71"/>
      <c r="S331" s="72"/>
      <c r="T331" s="73"/>
      <c r="U331" s="192"/>
      <c r="V331" s="102"/>
      <c r="W331" s="70"/>
      <c r="X331" s="103"/>
      <c r="Y331" s="104">
        <f t="shared" si="123"/>
        <v>0</v>
      </c>
      <c r="Z331" s="105">
        <f ca="1" t="shared" si="124"/>
        <v>-46313</v>
      </c>
      <c r="AA331" s="70"/>
      <c r="AB331" s="70"/>
      <c r="AC331" s="70"/>
      <c r="AD331" s="71"/>
      <c r="AE331" s="71"/>
      <c r="AF331" s="72"/>
      <c r="AG331" s="73"/>
      <c r="AH331" s="192"/>
      <c r="AI331" s="102"/>
      <c r="AJ331" s="70"/>
      <c r="AK331" s="103"/>
      <c r="AL331" s="104">
        <f t="shared" si="115"/>
        <v>0</v>
      </c>
      <c r="AM331" s="105">
        <f ca="1" t="shared" si="116"/>
        <v>-46313</v>
      </c>
      <c r="AN331" s="115"/>
      <c r="AO331" s="70"/>
      <c r="AP331" s="70"/>
      <c r="AQ331" s="71"/>
      <c r="AR331" s="71"/>
      <c r="AS331" s="72"/>
      <c r="AT331" s="73"/>
      <c r="AU331" s="193"/>
      <c r="AV331" s="117"/>
      <c r="AW331" s="115"/>
      <c r="AX331" s="106"/>
      <c r="AY331" s="104">
        <f t="shared" si="119"/>
        <v>0</v>
      </c>
      <c r="AZ331" s="105">
        <f ca="1" t="shared" si="120"/>
        <v>-46313</v>
      </c>
    </row>
    <row r="332" customHeight="1" spans="1:52">
      <c r="A332" s="70">
        <v>331</v>
      </c>
      <c r="B332" s="70" t="s">
        <v>1409</v>
      </c>
      <c r="C332" s="70" t="s">
        <v>374</v>
      </c>
      <c r="D332" s="71" t="s">
        <v>1410</v>
      </c>
      <c r="E332" s="71" t="s">
        <v>548</v>
      </c>
      <c r="F332" s="72"/>
      <c r="G332" s="73"/>
      <c r="H332" s="79" t="s">
        <v>16</v>
      </c>
      <c r="I332" s="165">
        <v>46039</v>
      </c>
      <c r="J332" s="70">
        <v>3</v>
      </c>
      <c r="K332" s="106" t="s">
        <v>1411</v>
      </c>
      <c r="L332" s="104">
        <f t="shared" si="121"/>
        <v>46129</v>
      </c>
      <c r="M332" s="105">
        <f ca="1" t="shared" si="122"/>
        <v>-184</v>
      </c>
      <c r="N332" s="70"/>
      <c r="O332" s="70" t="s">
        <v>1409</v>
      </c>
      <c r="P332" s="70" t="s">
        <v>374</v>
      </c>
      <c r="Q332" s="71" t="s">
        <v>1410</v>
      </c>
      <c r="R332" s="71" t="s">
        <v>548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1412</v>
      </c>
      <c r="Y332" s="104">
        <f t="shared" si="123"/>
        <v>46224</v>
      </c>
      <c r="Z332" s="105">
        <f ca="1" t="shared" si="124"/>
        <v>-89</v>
      </c>
      <c r="AA332" s="70"/>
      <c r="AB332" s="70" t="s">
        <v>1409</v>
      </c>
      <c r="AC332" s="70" t="s">
        <v>374</v>
      </c>
      <c r="AD332" s="71" t="s">
        <v>1410</v>
      </c>
      <c r="AE332" s="71" t="s">
        <v>548</v>
      </c>
      <c r="AF332" s="72"/>
      <c r="AG332" s="73"/>
      <c r="AH332" s="79" t="s">
        <v>16</v>
      </c>
      <c r="AI332" s="102">
        <v>46269</v>
      </c>
      <c r="AJ332" s="70">
        <v>3</v>
      </c>
      <c r="AK332" s="103" t="s">
        <v>1413</v>
      </c>
      <c r="AL332" s="104">
        <f t="shared" si="115"/>
        <v>46360</v>
      </c>
      <c r="AM332" s="105">
        <f ca="1" t="shared" si="116"/>
        <v>47</v>
      </c>
      <c r="AN332" s="115"/>
      <c r="AO332" s="115"/>
      <c r="AP332" s="115"/>
      <c r="AQ332" s="93"/>
      <c r="AR332" s="93"/>
      <c r="AS332" s="94"/>
      <c r="AT332" s="95"/>
      <c r="AU332" s="79"/>
      <c r="AV332" s="117"/>
      <c r="AW332" s="115"/>
      <c r="AX332" s="106"/>
      <c r="AY332" s="104">
        <f t="shared" si="119"/>
        <v>0</v>
      </c>
      <c r="AZ332" s="105">
        <f ca="1" t="shared" si="120"/>
        <v>-46313</v>
      </c>
    </row>
    <row r="333" customHeight="1" spans="1:52">
      <c r="A333" s="70">
        <v>332</v>
      </c>
      <c r="B333" s="70" t="s">
        <v>1409</v>
      </c>
      <c r="C333" s="70" t="s">
        <v>374</v>
      </c>
      <c r="D333" s="71" t="s">
        <v>1414</v>
      </c>
      <c r="E333" s="71" t="s">
        <v>548</v>
      </c>
      <c r="F333" s="72"/>
      <c r="G333" s="73"/>
      <c r="H333" s="79" t="s">
        <v>16</v>
      </c>
      <c r="I333" s="165">
        <v>46039</v>
      </c>
      <c r="J333" s="70">
        <v>3</v>
      </c>
      <c r="K333" s="106" t="s">
        <v>1415</v>
      </c>
      <c r="L333" s="104">
        <f t="shared" si="121"/>
        <v>46129</v>
      </c>
      <c r="M333" s="105">
        <f ca="1" t="shared" si="122"/>
        <v>-184</v>
      </c>
      <c r="N333" s="70"/>
      <c r="O333" s="70" t="s">
        <v>1409</v>
      </c>
      <c r="P333" s="70" t="s">
        <v>374</v>
      </c>
      <c r="Q333" s="71" t="s">
        <v>1414</v>
      </c>
      <c r="R333" s="71" t="s">
        <v>548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1416</v>
      </c>
      <c r="Y333" s="104">
        <f t="shared" si="123"/>
        <v>46224</v>
      </c>
      <c r="Z333" s="105">
        <f ca="1" t="shared" si="124"/>
        <v>-89</v>
      </c>
      <c r="AA333" s="70"/>
      <c r="AB333" s="70" t="s">
        <v>1409</v>
      </c>
      <c r="AC333" s="70" t="s">
        <v>374</v>
      </c>
      <c r="AD333" s="71" t="s">
        <v>1414</v>
      </c>
      <c r="AE333" s="71" t="s">
        <v>548</v>
      </c>
      <c r="AF333" s="72"/>
      <c r="AG333" s="73"/>
      <c r="AH333" s="79" t="s">
        <v>16</v>
      </c>
      <c r="AI333" s="102">
        <v>46269</v>
      </c>
      <c r="AJ333" s="70">
        <v>3</v>
      </c>
      <c r="AK333" s="103" t="s">
        <v>1417</v>
      </c>
      <c r="AL333" s="104">
        <f t="shared" si="115"/>
        <v>46360</v>
      </c>
      <c r="AM333" s="105">
        <f ca="1" t="shared" si="116"/>
        <v>47</v>
      </c>
      <c r="AN333" s="115"/>
      <c r="AO333" s="115"/>
      <c r="AP333" s="115"/>
      <c r="AQ333" s="93"/>
      <c r="AR333" s="93"/>
      <c r="AS333" s="94"/>
      <c r="AT333" s="95"/>
      <c r="AU333" s="79"/>
      <c r="AV333" s="117"/>
      <c r="AW333" s="115"/>
      <c r="AX333" s="106"/>
      <c r="AY333" s="104">
        <f t="shared" si="119"/>
        <v>0</v>
      </c>
      <c r="AZ333" s="105">
        <f ca="1" t="shared" si="120"/>
        <v>-46313</v>
      </c>
    </row>
    <row r="334" customHeight="1" spans="1:52">
      <c r="A334" s="70">
        <v>333</v>
      </c>
      <c r="B334" s="70" t="s">
        <v>561</v>
      </c>
      <c r="C334" s="70" t="s">
        <v>374</v>
      </c>
      <c r="D334" s="71" t="s">
        <v>1418</v>
      </c>
      <c r="E334" s="71" t="s">
        <v>1419</v>
      </c>
      <c r="F334" s="72"/>
      <c r="G334" s="73"/>
      <c r="H334" s="79" t="s">
        <v>16</v>
      </c>
      <c r="I334" s="165">
        <v>46039</v>
      </c>
      <c r="J334" s="70">
        <v>3</v>
      </c>
      <c r="K334" s="106" t="s">
        <v>1420</v>
      </c>
      <c r="L334" s="104">
        <f t="shared" si="121"/>
        <v>46129</v>
      </c>
      <c r="M334" s="105">
        <f ca="1" t="shared" si="122"/>
        <v>-184</v>
      </c>
      <c r="N334" s="70"/>
      <c r="O334" s="70" t="s">
        <v>561</v>
      </c>
      <c r="P334" s="70" t="s">
        <v>374</v>
      </c>
      <c r="Q334" s="71" t="s">
        <v>1418</v>
      </c>
      <c r="R334" s="71" t="s">
        <v>1419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1421</v>
      </c>
      <c r="Y334" s="104">
        <f t="shared" si="123"/>
        <v>46228</v>
      </c>
      <c r="Z334" s="105">
        <f ca="1" t="shared" si="124"/>
        <v>-85</v>
      </c>
      <c r="AA334" s="70"/>
      <c r="AB334" s="70" t="s">
        <v>561</v>
      </c>
      <c r="AC334" s="70" t="s">
        <v>374</v>
      </c>
      <c r="AD334" s="71" t="s">
        <v>1418</v>
      </c>
      <c r="AE334" s="71" t="s">
        <v>1419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1422</v>
      </c>
      <c r="AL334" s="104">
        <f t="shared" si="115"/>
        <v>46311</v>
      </c>
      <c r="AM334" s="105">
        <f ca="1" t="shared" si="116"/>
        <v>-2</v>
      </c>
      <c r="AN334" s="115"/>
      <c r="AO334" s="70" t="s">
        <v>561</v>
      </c>
      <c r="AP334" s="70" t="s">
        <v>374</v>
      </c>
      <c r="AQ334" s="71" t="s">
        <v>1418</v>
      </c>
      <c r="AR334" s="71" t="s">
        <v>1419</v>
      </c>
      <c r="AS334" s="72"/>
      <c r="AT334" s="73"/>
      <c r="AU334" s="79" t="s">
        <v>16</v>
      </c>
      <c r="AV334" s="117">
        <v>46305</v>
      </c>
      <c r="AW334" s="115">
        <v>3</v>
      </c>
      <c r="AX334" s="106"/>
      <c r="AY334" s="104">
        <f t="shared" si="119"/>
        <v>46397</v>
      </c>
      <c r="AZ334" s="105">
        <f ca="1" t="shared" si="120"/>
        <v>84</v>
      </c>
    </row>
    <row r="335" customHeight="1" spans="1:52">
      <c r="A335" s="70">
        <v>334</v>
      </c>
      <c r="B335" s="70" t="s">
        <v>561</v>
      </c>
      <c r="C335" s="70" t="s">
        <v>374</v>
      </c>
      <c r="D335" s="71" t="s">
        <v>1423</v>
      </c>
      <c r="E335" s="71" t="s">
        <v>568</v>
      </c>
      <c r="F335" s="72"/>
      <c r="G335" s="73"/>
      <c r="H335" s="79" t="s">
        <v>16</v>
      </c>
      <c r="I335" s="165">
        <v>46039</v>
      </c>
      <c r="J335" s="70">
        <v>3</v>
      </c>
      <c r="K335" s="106" t="s">
        <v>1424</v>
      </c>
      <c r="L335" s="104">
        <f t="shared" si="121"/>
        <v>46129</v>
      </c>
      <c r="M335" s="105">
        <f ca="1" t="shared" si="122"/>
        <v>-184</v>
      </c>
      <c r="N335" s="70"/>
      <c r="O335" s="70" t="s">
        <v>561</v>
      </c>
      <c r="P335" s="70" t="s">
        <v>374</v>
      </c>
      <c r="Q335" s="71" t="s">
        <v>1423</v>
      </c>
      <c r="R335" s="71" t="s">
        <v>568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1425</v>
      </c>
      <c r="Y335" s="104">
        <f t="shared" si="123"/>
        <v>46261</v>
      </c>
      <c r="Z335" s="105">
        <f ca="1" t="shared" si="124"/>
        <v>-52</v>
      </c>
      <c r="AA335" s="70"/>
      <c r="AB335" s="70" t="s">
        <v>561</v>
      </c>
      <c r="AC335" s="70" t="s">
        <v>374</v>
      </c>
      <c r="AD335" s="71" t="s">
        <v>1423</v>
      </c>
      <c r="AE335" s="71" t="s">
        <v>568</v>
      </c>
      <c r="AF335" s="72"/>
      <c r="AG335" s="73"/>
      <c r="AH335" s="79" t="s">
        <v>16</v>
      </c>
      <c r="AI335" s="102">
        <v>46270</v>
      </c>
      <c r="AJ335" s="70">
        <v>3</v>
      </c>
      <c r="AK335" s="103" t="s">
        <v>1426</v>
      </c>
      <c r="AL335" s="104">
        <f t="shared" si="115"/>
        <v>46361</v>
      </c>
      <c r="AM335" s="105">
        <f ca="1" t="shared" si="116"/>
        <v>48</v>
      </c>
      <c r="AN335" s="115"/>
      <c r="AO335" s="70"/>
      <c r="AP335" s="70"/>
      <c r="AQ335" s="71"/>
      <c r="AR335" s="71"/>
      <c r="AS335" s="72"/>
      <c r="AT335" s="73"/>
      <c r="AU335" s="74"/>
      <c r="AV335" s="117"/>
      <c r="AW335" s="115"/>
      <c r="AX335" s="106"/>
      <c r="AY335" s="104">
        <f t="shared" si="119"/>
        <v>0</v>
      </c>
      <c r="AZ335" s="105">
        <f ca="1" t="shared" si="120"/>
        <v>-46313</v>
      </c>
    </row>
    <row r="336" customHeight="1" spans="1:52">
      <c r="A336" s="70">
        <v>335</v>
      </c>
      <c r="B336" s="70" t="s">
        <v>561</v>
      </c>
      <c r="C336" s="70" t="s">
        <v>374</v>
      </c>
      <c r="D336" s="71" t="s">
        <v>1427</v>
      </c>
      <c r="E336" s="71" t="s">
        <v>1419</v>
      </c>
      <c r="F336" s="72"/>
      <c r="G336" s="73"/>
      <c r="H336" s="79" t="s">
        <v>16</v>
      </c>
      <c r="I336" s="165">
        <v>46039</v>
      </c>
      <c r="J336" s="70">
        <v>3</v>
      </c>
      <c r="K336" s="106" t="s">
        <v>1428</v>
      </c>
      <c r="L336" s="104">
        <f t="shared" si="121"/>
        <v>46129</v>
      </c>
      <c r="M336" s="105">
        <f ca="1" t="shared" si="122"/>
        <v>-184</v>
      </c>
      <c r="N336" s="70"/>
      <c r="O336" s="70" t="s">
        <v>561</v>
      </c>
      <c r="P336" s="70" t="s">
        <v>374</v>
      </c>
      <c r="Q336" s="71" t="s">
        <v>1427</v>
      </c>
      <c r="R336" s="71" t="s">
        <v>1419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1429</v>
      </c>
      <c r="Y336" s="104">
        <f t="shared" si="123"/>
        <v>46261</v>
      </c>
      <c r="Z336" s="105">
        <f ca="1" t="shared" si="124"/>
        <v>-52</v>
      </c>
      <c r="AA336" s="70"/>
      <c r="AB336" s="70" t="s">
        <v>561</v>
      </c>
      <c r="AC336" s="70" t="s">
        <v>374</v>
      </c>
      <c r="AD336" s="71" t="s">
        <v>1427</v>
      </c>
      <c r="AE336" s="71" t="s">
        <v>1419</v>
      </c>
      <c r="AF336" s="72"/>
      <c r="AG336" s="73"/>
      <c r="AH336" s="79" t="s">
        <v>16</v>
      </c>
      <c r="AI336" s="102">
        <v>46247</v>
      </c>
      <c r="AJ336" s="70">
        <v>3</v>
      </c>
      <c r="AK336" s="103" t="s">
        <v>1430</v>
      </c>
      <c r="AL336" s="104">
        <f t="shared" si="115"/>
        <v>46339</v>
      </c>
      <c r="AM336" s="105">
        <f ca="1" t="shared" si="116"/>
        <v>26</v>
      </c>
      <c r="AN336" s="115"/>
      <c r="AO336" s="70"/>
      <c r="AP336" s="70"/>
      <c r="AQ336" s="71"/>
      <c r="AR336" s="71"/>
      <c r="AS336" s="72"/>
      <c r="AT336" s="73"/>
      <c r="AU336" s="74"/>
      <c r="AV336" s="117"/>
      <c r="AW336" s="115"/>
      <c r="AX336" s="106"/>
      <c r="AY336" s="104">
        <f t="shared" si="119"/>
        <v>0</v>
      </c>
      <c r="AZ336" s="105">
        <f ca="1" t="shared" si="120"/>
        <v>-46313</v>
      </c>
    </row>
    <row r="337" customHeight="1" spans="1:52">
      <c r="A337" s="70">
        <v>336</v>
      </c>
      <c r="B337" s="70" t="s">
        <v>12</v>
      </c>
      <c r="C337" s="70" t="s">
        <v>38</v>
      </c>
      <c r="D337" s="71" t="s">
        <v>1431</v>
      </c>
      <c r="E337" s="71" t="s">
        <v>189</v>
      </c>
      <c r="F337" s="72"/>
      <c r="G337" s="73"/>
      <c r="H337" s="79" t="s">
        <v>16</v>
      </c>
      <c r="I337" s="165">
        <v>46040</v>
      </c>
      <c r="J337" s="70">
        <v>3</v>
      </c>
      <c r="K337" s="106" t="s">
        <v>1432</v>
      </c>
      <c r="L337" s="104">
        <f t="shared" si="121"/>
        <v>46130</v>
      </c>
      <c r="M337" s="105">
        <f ca="1" t="shared" si="122"/>
        <v>-183</v>
      </c>
      <c r="N337" s="70"/>
      <c r="O337" s="70" t="s">
        <v>610</v>
      </c>
      <c r="P337" s="70" t="s">
        <v>38</v>
      </c>
      <c r="Q337" s="71" t="s">
        <v>1431</v>
      </c>
      <c r="R337" s="71" t="s">
        <v>189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1433</v>
      </c>
      <c r="Y337" s="104">
        <f t="shared" si="123"/>
        <v>46219</v>
      </c>
      <c r="Z337" s="105">
        <f ca="1" t="shared" si="124"/>
        <v>-94</v>
      </c>
      <c r="AA337" s="70"/>
      <c r="AB337" s="70" t="s">
        <v>12</v>
      </c>
      <c r="AC337" s="70" t="s">
        <v>38</v>
      </c>
      <c r="AD337" s="71" t="s">
        <v>1431</v>
      </c>
      <c r="AE337" s="71" t="s">
        <v>189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1434</v>
      </c>
      <c r="AL337" s="104">
        <f t="shared" si="115"/>
        <v>46297</v>
      </c>
      <c r="AM337" s="105">
        <f ca="1" t="shared" si="116"/>
        <v>-16</v>
      </c>
      <c r="AN337" s="115"/>
      <c r="AO337" s="70"/>
      <c r="AP337" s="70"/>
      <c r="AQ337" s="71"/>
      <c r="AR337" s="71"/>
      <c r="AS337" s="72"/>
      <c r="AT337" s="73"/>
      <c r="AU337" s="74"/>
      <c r="AV337" s="117"/>
      <c r="AW337" s="115"/>
      <c r="AX337" s="106"/>
      <c r="AY337" s="104">
        <f t="shared" si="119"/>
        <v>0</v>
      </c>
      <c r="AZ337" s="105">
        <f ca="1" t="shared" si="120"/>
        <v>-46313</v>
      </c>
    </row>
    <row r="338" customHeight="1" spans="1:52">
      <c r="A338" s="70">
        <v>337</v>
      </c>
      <c r="B338" s="70" t="s">
        <v>92</v>
      </c>
      <c r="C338" s="70" t="s">
        <v>13</v>
      </c>
      <c r="D338" s="71" t="s">
        <v>1435</v>
      </c>
      <c r="E338" s="71" t="s">
        <v>1003</v>
      </c>
      <c r="F338" s="72"/>
      <c r="G338" s="73"/>
      <c r="H338" s="75"/>
      <c r="I338" s="165">
        <v>46040</v>
      </c>
      <c r="J338" s="70">
        <v>3</v>
      </c>
      <c r="K338" s="106" t="s">
        <v>1436</v>
      </c>
      <c r="L338" s="104">
        <f t="shared" si="121"/>
        <v>46130</v>
      </c>
      <c r="M338" s="105">
        <f ca="1" t="shared" si="122"/>
        <v>-183</v>
      </c>
      <c r="N338" s="70"/>
      <c r="O338" s="70" t="s">
        <v>92</v>
      </c>
      <c r="P338" s="70" t="s">
        <v>13</v>
      </c>
      <c r="Q338" s="71" t="s">
        <v>1435</v>
      </c>
      <c r="R338" s="71" t="s">
        <v>1003</v>
      </c>
      <c r="S338" s="72"/>
      <c r="T338" s="73"/>
      <c r="U338" s="75"/>
      <c r="V338" s="102">
        <v>46125</v>
      </c>
      <c r="W338" s="70">
        <v>3</v>
      </c>
      <c r="X338" s="103" t="s">
        <v>1437</v>
      </c>
      <c r="Y338" s="104">
        <f t="shared" si="123"/>
        <v>46216</v>
      </c>
      <c r="Z338" s="105">
        <f ca="1" t="shared" si="124"/>
        <v>-97</v>
      </c>
      <c r="AA338" s="70"/>
      <c r="AB338" s="70" t="s">
        <v>92</v>
      </c>
      <c r="AC338" s="70" t="s">
        <v>13</v>
      </c>
      <c r="AD338" s="71" t="s">
        <v>1435</v>
      </c>
      <c r="AE338" s="71" t="s">
        <v>1003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1438</v>
      </c>
      <c r="AL338" s="104">
        <f t="shared" si="115"/>
        <v>46300</v>
      </c>
      <c r="AM338" s="105">
        <f ca="1" t="shared" si="116"/>
        <v>-13</v>
      </c>
      <c r="AN338" s="115"/>
      <c r="AO338" s="70" t="s">
        <v>92</v>
      </c>
      <c r="AP338" s="70" t="s">
        <v>13</v>
      </c>
      <c r="AQ338" s="71" t="s">
        <v>1435</v>
      </c>
      <c r="AR338" s="71" t="s">
        <v>1003</v>
      </c>
      <c r="AS338" s="72"/>
      <c r="AT338" s="73"/>
      <c r="AU338" s="79" t="s">
        <v>16</v>
      </c>
      <c r="AV338" s="117">
        <v>46295</v>
      </c>
      <c r="AW338" s="115">
        <v>3</v>
      </c>
      <c r="AX338" s="106" t="s">
        <v>1439</v>
      </c>
      <c r="AY338" s="104">
        <f t="shared" si="119"/>
        <v>46386</v>
      </c>
      <c r="AZ338" s="105">
        <f ca="1" t="shared" si="120"/>
        <v>73</v>
      </c>
    </row>
    <row r="339" customHeight="1" spans="1:52">
      <c r="A339" s="70">
        <v>338</v>
      </c>
      <c r="B339" s="70" t="s">
        <v>134</v>
      </c>
      <c r="C339" s="70" t="s">
        <v>13</v>
      </c>
      <c r="D339" s="71" t="s">
        <v>1440</v>
      </c>
      <c r="E339" s="71" t="s">
        <v>45</v>
      </c>
      <c r="F339" s="72"/>
      <c r="G339" s="73"/>
      <c r="H339" s="74" t="s">
        <v>16</v>
      </c>
      <c r="I339" s="165">
        <v>46040</v>
      </c>
      <c r="J339" s="70">
        <v>3</v>
      </c>
      <c r="K339" s="106" t="s">
        <v>1441</v>
      </c>
      <c r="L339" s="104">
        <f t="shared" si="121"/>
        <v>46130</v>
      </c>
      <c r="M339" s="105">
        <f ca="1" t="shared" si="122"/>
        <v>-183</v>
      </c>
      <c r="N339" s="70"/>
      <c r="O339" s="70" t="s">
        <v>134</v>
      </c>
      <c r="P339" s="70" t="s">
        <v>13</v>
      </c>
      <c r="Q339" s="71" t="s">
        <v>1440</v>
      </c>
      <c r="R339" s="71" t="s">
        <v>45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1442</v>
      </c>
      <c r="Y339" s="104">
        <f t="shared" si="123"/>
        <v>46213</v>
      </c>
      <c r="Z339" s="105">
        <f ca="1" t="shared" si="124"/>
        <v>-100</v>
      </c>
      <c r="AA339" s="70"/>
      <c r="AB339" s="70" t="s">
        <v>134</v>
      </c>
      <c r="AC339" s="70" t="s">
        <v>13</v>
      </c>
      <c r="AD339" s="71" t="s">
        <v>1440</v>
      </c>
      <c r="AE339" s="71" t="s">
        <v>45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1443</v>
      </c>
      <c r="AL339" s="104">
        <f t="shared" si="115"/>
        <v>46303</v>
      </c>
      <c r="AM339" s="105">
        <f ca="1" t="shared" si="116"/>
        <v>-10</v>
      </c>
      <c r="AN339" s="115"/>
      <c r="AO339" s="70" t="s">
        <v>134</v>
      </c>
      <c r="AP339" s="70" t="s">
        <v>13</v>
      </c>
      <c r="AQ339" s="71" t="s">
        <v>1440</v>
      </c>
      <c r="AR339" s="71" t="s">
        <v>45</v>
      </c>
      <c r="AS339" s="72"/>
      <c r="AT339" s="73"/>
      <c r="AU339" s="74" t="s">
        <v>16</v>
      </c>
      <c r="AV339" s="117">
        <v>46305</v>
      </c>
      <c r="AW339" s="115">
        <v>3</v>
      </c>
      <c r="AX339" s="106"/>
      <c r="AY339" s="104">
        <f t="shared" si="119"/>
        <v>46397</v>
      </c>
      <c r="AZ339" s="105">
        <f ca="1" t="shared" si="120"/>
        <v>84</v>
      </c>
    </row>
    <row r="340" customHeight="1" spans="1:52">
      <c r="A340" s="70">
        <v>339</v>
      </c>
      <c r="B340" s="70" t="s">
        <v>134</v>
      </c>
      <c r="C340" s="70" t="s">
        <v>13</v>
      </c>
      <c r="D340" s="71" t="s">
        <v>1444</v>
      </c>
      <c r="E340" s="71" t="s">
        <v>15</v>
      </c>
      <c r="F340" s="72"/>
      <c r="G340" s="73"/>
      <c r="H340" s="151"/>
      <c r="I340" s="165">
        <v>46040</v>
      </c>
      <c r="J340" s="70">
        <v>3</v>
      </c>
      <c r="K340" s="106" t="s">
        <v>1445</v>
      </c>
      <c r="L340" s="104">
        <f t="shared" si="121"/>
        <v>46130</v>
      </c>
      <c r="M340" s="105">
        <f ca="1" t="shared" si="122"/>
        <v>-183</v>
      </c>
      <c r="N340" s="70"/>
      <c r="O340" s="70" t="s">
        <v>134</v>
      </c>
      <c r="P340" s="70" t="s">
        <v>13</v>
      </c>
      <c r="Q340" s="71" t="s">
        <v>1444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1446</v>
      </c>
      <c r="Y340" s="104">
        <f t="shared" si="123"/>
        <v>46221</v>
      </c>
      <c r="Z340" s="105">
        <f ca="1" t="shared" si="124"/>
        <v>-92</v>
      </c>
      <c r="AA340" s="70"/>
      <c r="AB340" s="70" t="s">
        <v>134</v>
      </c>
      <c r="AC340" s="70" t="s">
        <v>13</v>
      </c>
      <c r="AD340" s="71" t="s">
        <v>1444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1447</v>
      </c>
      <c r="AL340" s="104">
        <f t="shared" si="115"/>
        <v>46312</v>
      </c>
      <c r="AM340" s="105">
        <f ca="1" t="shared" si="116"/>
        <v>-1</v>
      </c>
      <c r="AN340" s="115"/>
      <c r="AO340" s="115"/>
      <c r="AP340" s="115"/>
      <c r="AQ340" s="93"/>
      <c r="AR340" s="93"/>
      <c r="AS340" s="94"/>
      <c r="AT340" s="95"/>
      <c r="AU340" s="114"/>
      <c r="AV340" s="117"/>
      <c r="AW340" s="115"/>
      <c r="AX340" s="106"/>
      <c r="AY340" s="104">
        <f t="shared" si="119"/>
        <v>0</v>
      </c>
      <c r="AZ340" s="105">
        <f ca="1" t="shared" si="120"/>
        <v>-46313</v>
      </c>
    </row>
    <row r="341" customHeight="1" spans="1:52">
      <c r="A341" s="70">
        <v>340</v>
      </c>
      <c r="B341" s="70" t="s">
        <v>229</v>
      </c>
      <c r="C341" s="70" t="s">
        <v>13</v>
      </c>
      <c r="D341" s="70" t="s">
        <v>1448</v>
      </c>
      <c r="E341" s="71" t="s">
        <v>126</v>
      </c>
      <c r="F341" s="72"/>
      <c r="G341" s="73"/>
      <c r="H341" s="151"/>
      <c r="I341" s="165">
        <v>46040</v>
      </c>
      <c r="J341" s="70">
        <v>3</v>
      </c>
      <c r="K341" s="106" t="s">
        <v>1449</v>
      </c>
      <c r="L341" s="104">
        <f t="shared" si="121"/>
        <v>46130</v>
      </c>
      <c r="M341" s="105">
        <f ca="1" t="shared" si="122"/>
        <v>-183</v>
      </c>
      <c r="N341" s="70"/>
      <c r="O341" s="70" t="s">
        <v>229</v>
      </c>
      <c r="P341" s="70" t="s">
        <v>13</v>
      </c>
      <c r="Q341" s="70" t="s">
        <v>1448</v>
      </c>
      <c r="R341" s="71" t="s">
        <v>126</v>
      </c>
      <c r="S341" s="72"/>
      <c r="T341" s="73"/>
      <c r="U341" s="151"/>
      <c r="V341" s="102">
        <v>46133</v>
      </c>
      <c r="W341" s="70">
        <v>3</v>
      </c>
      <c r="X341" s="103" t="s">
        <v>1450</v>
      </c>
      <c r="Y341" s="104">
        <f t="shared" si="123"/>
        <v>46224</v>
      </c>
      <c r="Z341" s="105">
        <f ca="1" t="shared" si="124"/>
        <v>-89</v>
      </c>
      <c r="AA341" s="70"/>
      <c r="AB341" s="70" t="s">
        <v>229</v>
      </c>
      <c r="AC341" s="70" t="s">
        <v>13</v>
      </c>
      <c r="AD341" s="70" t="s">
        <v>1448</v>
      </c>
      <c r="AE341" s="71" t="s">
        <v>126</v>
      </c>
      <c r="AF341" s="72"/>
      <c r="AG341" s="73"/>
      <c r="AH341" s="151"/>
      <c r="AI341" s="102">
        <v>46215</v>
      </c>
      <c r="AJ341" s="70">
        <v>3</v>
      </c>
      <c r="AK341" s="103" t="s">
        <v>1451</v>
      </c>
      <c r="AL341" s="104">
        <f t="shared" si="115"/>
        <v>46307</v>
      </c>
      <c r="AM341" s="105">
        <f ca="1" t="shared" si="116"/>
        <v>-6</v>
      </c>
      <c r="AN341" s="115"/>
      <c r="AO341" s="70"/>
      <c r="AP341" s="70"/>
      <c r="AQ341" s="70"/>
      <c r="AR341" s="71"/>
      <c r="AS341" s="72"/>
      <c r="AT341" s="73"/>
      <c r="AU341" s="114"/>
      <c r="AV341" s="117"/>
      <c r="AW341" s="115"/>
      <c r="AX341" s="106"/>
      <c r="AY341" s="104">
        <f t="shared" si="119"/>
        <v>0</v>
      </c>
      <c r="AZ341" s="105">
        <f ca="1" t="shared" si="120"/>
        <v>-46313</v>
      </c>
    </row>
    <row r="342" customHeight="1" spans="1:52">
      <c r="A342" s="70">
        <v>341</v>
      </c>
      <c r="B342" s="70" t="s">
        <v>270</v>
      </c>
      <c r="C342" s="70" t="s">
        <v>264</v>
      </c>
      <c r="D342" s="71" t="s">
        <v>1452</v>
      </c>
      <c r="E342" s="71" t="s">
        <v>1232</v>
      </c>
      <c r="F342" s="72"/>
      <c r="G342" s="73"/>
      <c r="H342" s="151"/>
      <c r="I342" s="165">
        <v>46040</v>
      </c>
      <c r="J342" s="70">
        <v>3</v>
      </c>
      <c r="K342" s="106" t="s">
        <v>1453</v>
      </c>
      <c r="L342" s="104">
        <f t="shared" si="121"/>
        <v>46130</v>
      </c>
      <c r="M342" s="105">
        <f ca="1" t="shared" si="122"/>
        <v>-183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123"/>
        <v>0</v>
      </c>
      <c r="Z342" s="105">
        <f ca="1" t="shared" si="124"/>
        <v>-46313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115"/>
        <v>0</v>
      </c>
      <c r="AM342" s="105">
        <f ca="1" t="shared" si="116"/>
        <v>-46313</v>
      </c>
      <c r="AN342" s="115"/>
      <c r="AO342" s="115"/>
      <c r="AP342" s="115"/>
      <c r="AQ342" s="93"/>
      <c r="AR342" s="93"/>
      <c r="AS342" s="94"/>
      <c r="AT342" s="95"/>
      <c r="AU342" s="79"/>
      <c r="AV342" s="117"/>
      <c r="AW342" s="115"/>
      <c r="AX342" s="106"/>
      <c r="AY342" s="104">
        <f t="shared" si="119"/>
        <v>0</v>
      </c>
      <c r="AZ342" s="105">
        <f ca="1" t="shared" si="120"/>
        <v>-46313</v>
      </c>
    </row>
    <row r="343" customHeight="1" spans="1:52">
      <c r="A343" s="70">
        <v>342</v>
      </c>
      <c r="B343" s="70" t="s">
        <v>169</v>
      </c>
      <c r="C343" s="70" t="s">
        <v>38</v>
      </c>
      <c r="D343" s="71" t="s">
        <v>170</v>
      </c>
      <c r="E343" s="71" t="s">
        <v>171</v>
      </c>
      <c r="F343" s="72"/>
      <c r="G343" s="73"/>
      <c r="H343" s="151"/>
      <c r="I343" s="165">
        <v>46040</v>
      </c>
      <c r="J343" s="165" t="s">
        <v>767</v>
      </c>
      <c r="K343" s="106"/>
      <c r="L343" s="104" t="e">
        <f t="shared" si="121"/>
        <v>#VALUE!</v>
      </c>
      <c r="M343" s="105" t="e">
        <f ca="1" t="shared" si="122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123"/>
        <v>0</v>
      </c>
      <c r="Z343" s="105">
        <f ca="1" t="shared" si="124"/>
        <v>-46313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115"/>
        <v>0</v>
      </c>
      <c r="AM343" s="105">
        <f ca="1" t="shared" si="116"/>
        <v>-46313</v>
      </c>
      <c r="AN343" s="115"/>
      <c r="AO343" s="115"/>
      <c r="AP343" s="115"/>
      <c r="AQ343" s="93"/>
      <c r="AR343" s="93"/>
      <c r="AS343" s="94"/>
      <c r="AT343" s="95"/>
      <c r="AU343" s="79"/>
      <c r="AV343" s="117"/>
      <c r="AW343" s="115"/>
      <c r="AX343" s="106"/>
      <c r="AY343" s="104">
        <f t="shared" si="119"/>
        <v>0</v>
      </c>
      <c r="AZ343" s="105">
        <f ca="1" t="shared" si="120"/>
        <v>-46313</v>
      </c>
    </row>
    <row r="344" customHeight="1" spans="1:52">
      <c r="A344" s="70">
        <v>343</v>
      </c>
      <c r="B344" s="70" t="s">
        <v>281</v>
      </c>
      <c r="C344" s="70" t="s">
        <v>264</v>
      </c>
      <c r="D344" s="71" t="s">
        <v>1454</v>
      </c>
      <c r="E344" s="71" t="s">
        <v>1455</v>
      </c>
      <c r="F344" s="72"/>
      <c r="G344" s="73"/>
      <c r="H344" s="151"/>
      <c r="I344" s="165">
        <v>46040</v>
      </c>
      <c r="J344" s="70">
        <v>3</v>
      </c>
      <c r="K344" s="106" t="s">
        <v>1456</v>
      </c>
      <c r="L344" s="104">
        <f t="shared" si="121"/>
        <v>46130</v>
      </c>
      <c r="M344" s="105">
        <f ca="1" t="shared" si="122"/>
        <v>-183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123"/>
        <v>0</v>
      </c>
      <c r="Z344" s="105">
        <f ca="1" t="shared" si="124"/>
        <v>-46313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115"/>
        <v>0</v>
      </c>
      <c r="AM344" s="105">
        <f ca="1" t="shared" si="116"/>
        <v>-46313</v>
      </c>
      <c r="AN344" s="115"/>
      <c r="AO344" s="115"/>
      <c r="AP344" s="115"/>
      <c r="AQ344" s="93"/>
      <c r="AR344" s="93"/>
      <c r="AS344" s="94"/>
      <c r="AT344" s="95"/>
      <c r="AU344" s="79"/>
      <c r="AV344" s="117"/>
      <c r="AW344" s="115"/>
      <c r="AX344" s="106"/>
      <c r="AY344" s="104">
        <f t="shared" si="119"/>
        <v>0</v>
      </c>
      <c r="AZ344" s="105">
        <f ca="1" t="shared" si="120"/>
        <v>-46313</v>
      </c>
    </row>
    <row r="345" customHeight="1" spans="1:52">
      <c r="A345" s="70">
        <v>344</v>
      </c>
      <c r="B345" s="70" t="s">
        <v>881</v>
      </c>
      <c r="C345" s="70" t="s">
        <v>374</v>
      </c>
      <c r="D345" s="71" t="s">
        <v>1400</v>
      </c>
      <c r="E345" s="71" t="s">
        <v>1401</v>
      </c>
      <c r="F345" s="72"/>
      <c r="G345" s="73"/>
      <c r="H345" s="74" t="s">
        <v>16</v>
      </c>
      <c r="I345" s="165">
        <v>46040</v>
      </c>
      <c r="J345" s="70">
        <v>3</v>
      </c>
      <c r="K345" s="106" t="s">
        <v>1457</v>
      </c>
      <c r="L345" s="104">
        <f t="shared" si="121"/>
        <v>46130</v>
      </c>
      <c r="M345" s="105">
        <f ca="1" t="shared" si="122"/>
        <v>-183</v>
      </c>
      <c r="N345" s="70"/>
      <c r="O345" s="70" t="s">
        <v>881</v>
      </c>
      <c r="P345" s="70" t="s">
        <v>374</v>
      </c>
      <c r="Q345" s="71" t="s">
        <v>1400</v>
      </c>
      <c r="R345" s="71" t="s">
        <v>1401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1458</v>
      </c>
      <c r="Y345" s="104">
        <f t="shared" si="123"/>
        <v>46214</v>
      </c>
      <c r="Z345" s="105">
        <f ca="1" t="shared" si="124"/>
        <v>-99</v>
      </c>
      <c r="AA345" s="70"/>
      <c r="AB345" s="70" t="s">
        <v>881</v>
      </c>
      <c r="AC345" s="70" t="s">
        <v>374</v>
      </c>
      <c r="AD345" s="71" t="s">
        <v>1400</v>
      </c>
      <c r="AE345" s="71" t="s">
        <v>1401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1459</v>
      </c>
      <c r="AL345" s="104">
        <f t="shared" si="115"/>
        <v>46310</v>
      </c>
      <c r="AM345" s="105">
        <f ca="1" t="shared" si="116"/>
        <v>-3</v>
      </c>
      <c r="AN345" s="115"/>
      <c r="AO345" s="70" t="s">
        <v>881</v>
      </c>
      <c r="AP345" s="70" t="s">
        <v>374</v>
      </c>
      <c r="AQ345" s="71" t="s">
        <v>1400</v>
      </c>
      <c r="AR345" s="71" t="s">
        <v>1401</v>
      </c>
      <c r="AS345" s="72"/>
      <c r="AT345" s="73"/>
      <c r="AU345" s="74" t="s">
        <v>16</v>
      </c>
      <c r="AV345" s="117">
        <v>46306</v>
      </c>
      <c r="AW345" s="115">
        <v>3</v>
      </c>
      <c r="AX345" s="106"/>
      <c r="AY345" s="104">
        <f t="shared" si="119"/>
        <v>46398</v>
      </c>
      <c r="AZ345" s="105">
        <f ca="1" t="shared" si="120"/>
        <v>85</v>
      </c>
    </row>
    <row r="346" customHeight="1" spans="1:52">
      <c r="A346" s="70">
        <v>345</v>
      </c>
      <c r="B346" s="70" t="s">
        <v>12</v>
      </c>
      <c r="C346" s="70" t="s">
        <v>38</v>
      </c>
      <c r="D346" s="71" t="s">
        <v>1460</v>
      </c>
      <c r="E346" s="71" t="s">
        <v>902</v>
      </c>
      <c r="F346" s="72"/>
      <c r="G346" s="73"/>
      <c r="H346" s="74" t="s">
        <v>16</v>
      </c>
      <c r="I346" s="165">
        <v>46041</v>
      </c>
      <c r="J346" s="70">
        <v>3</v>
      </c>
      <c r="K346" s="106" t="s">
        <v>1461</v>
      </c>
      <c r="L346" s="104">
        <f t="shared" si="121"/>
        <v>46131</v>
      </c>
      <c r="M346" s="105">
        <f ca="1" t="shared" si="122"/>
        <v>-182</v>
      </c>
      <c r="N346" s="70"/>
      <c r="O346" s="70" t="s">
        <v>12</v>
      </c>
      <c r="P346" s="70" t="s">
        <v>38</v>
      </c>
      <c r="Q346" s="71" t="s">
        <v>1460</v>
      </c>
      <c r="R346" s="71" t="s">
        <v>902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1462</v>
      </c>
      <c r="Y346" s="104">
        <f t="shared" si="123"/>
        <v>46211</v>
      </c>
      <c r="Z346" s="105">
        <f ca="1" t="shared" si="124"/>
        <v>-102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115"/>
        <v>0</v>
      </c>
      <c r="AM346" s="105">
        <f ca="1" t="shared" si="116"/>
        <v>-46313</v>
      </c>
      <c r="AN346" s="115"/>
      <c r="AO346" s="115"/>
      <c r="AP346" s="115"/>
      <c r="AQ346" s="93"/>
      <c r="AR346" s="93"/>
      <c r="AS346" s="94"/>
      <c r="AT346" s="95"/>
      <c r="AU346" s="79"/>
      <c r="AV346" s="117"/>
      <c r="AW346" s="115"/>
      <c r="AX346" s="106"/>
      <c r="AY346" s="104">
        <f t="shared" si="119"/>
        <v>0</v>
      </c>
      <c r="AZ346" s="105">
        <f ca="1" t="shared" si="120"/>
        <v>-46313</v>
      </c>
    </row>
    <row r="347" customHeight="1" spans="1:52">
      <c r="A347" s="70">
        <v>346</v>
      </c>
      <c r="B347" s="70" t="s">
        <v>229</v>
      </c>
      <c r="C347" s="70" t="s">
        <v>13</v>
      </c>
      <c r="D347" s="71" t="s">
        <v>1463</v>
      </c>
      <c r="E347" s="71" t="s">
        <v>126</v>
      </c>
      <c r="F347" s="72"/>
      <c r="G347" s="73"/>
      <c r="H347" s="75"/>
      <c r="I347" s="165">
        <v>46041</v>
      </c>
      <c r="J347" s="70">
        <v>3</v>
      </c>
      <c r="K347" s="106" t="s">
        <v>1464</v>
      </c>
      <c r="L347" s="104">
        <f t="shared" si="121"/>
        <v>46131</v>
      </c>
      <c r="M347" s="105">
        <f ca="1" t="shared" si="122"/>
        <v>-182</v>
      </c>
      <c r="N347" s="70"/>
      <c r="O347" s="70" t="s">
        <v>229</v>
      </c>
      <c r="P347" s="70" t="s">
        <v>13</v>
      </c>
      <c r="Q347" s="71" t="s">
        <v>1463</v>
      </c>
      <c r="R347" s="71" t="s">
        <v>126</v>
      </c>
      <c r="S347" s="72"/>
      <c r="T347" s="73"/>
      <c r="U347" s="75"/>
      <c r="V347" s="102">
        <v>46166</v>
      </c>
      <c r="W347" s="70">
        <v>3</v>
      </c>
      <c r="X347" s="103" t="s">
        <v>1465</v>
      </c>
      <c r="Y347" s="104">
        <f t="shared" si="123"/>
        <v>46258</v>
      </c>
      <c r="Z347" s="105">
        <f ca="1" t="shared" si="124"/>
        <v>-55</v>
      </c>
      <c r="AA347" s="70"/>
      <c r="AB347" s="70" t="s">
        <v>229</v>
      </c>
      <c r="AC347" s="70" t="s">
        <v>13</v>
      </c>
      <c r="AD347" s="71" t="s">
        <v>1463</v>
      </c>
      <c r="AE347" s="71" t="s">
        <v>126</v>
      </c>
      <c r="AF347" s="72"/>
      <c r="AG347" s="73"/>
      <c r="AH347" s="75"/>
      <c r="AI347" s="102">
        <v>46260</v>
      </c>
      <c r="AJ347" s="70">
        <v>3</v>
      </c>
      <c r="AK347" s="103" t="s">
        <v>1466</v>
      </c>
      <c r="AL347" s="104">
        <f t="shared" si="115"/>
        <v>46352</v>
      </c>
      <c r="AM347" s="105">
        <f ca="1" t="shared" si="116"/>
        <v>39</v>
      </c>
      <c r="AN347" s="115"/>
      <c r="AO347" s="115"/>
      <c r="AP347" s="115"/>
      <c r="AQ347" s="93"/>
      <c r="AR347" s="93"/>
      <c r="AS347" s="94"/>
      <c r="AT347" s="95"/>
      <c r="AU347" s="79"/>
      <c r="AV347" s="117"/>
      <c r="AW347" s="115"/>
      <c r="AX347" s="106"/>
      <c r="AY347" s="104">
        <f t="shared" si="119"/>
        <v>0</v>
      </c>
      <c r="AZ347" s="105">
        <f ca="1" t="shared" si="120"/>
        <v>-46313</v>
      </c>
    </row>
    <row r="348" customHeight="1" spans="1:52">
      <c r="A348" s="70">
        <v>347</v>
      </c>
      <c r="B348" s="70" t="s">
        <v>229</v>
      </c>
      <c r="C348" s="70" t="s">
        <v>13</v>
      </c>
      <c r="D348" s="71" t="s">
        <v>1467</v>
      </c>
      <c r="E348" s="71" t="s">
        <v>51</v>
      </c>
      <c r="F348" s="72"/>
      <c r="G348" s="73"/>
      <c r="H348" s="75"/>
      <c r="I348" s="165">
        <v>46041</v>
      </c>
      <c r="J348" s="70">
        <v>3</v>
      </c>
      <c r="K348" s="106" t="s">
        <v>1468</v>
      </c>
      <c r="L348" s="104">
        <f t="shared" si="121"/>
        <v>46131</v>
      </c>
      <c r="M348" s="105">
        <f ca="1" t="shared" si="122"/>
        <v>-182</v>
      </c>
      <c r="N348" s="70"/>
      <c r="O348" s="70" t="s">
        <v>229</v>
      </c>
      <c r="P348" s="70" t="s">
        <v>13</v>
      </c>
      <c r="Q348" s="71" t="s">
        <v>1467</v>
      </c>
      <c r="R348" s="71" t="s">
        <v>51</v>
      </c>
      <c r="S348" s="72"/>
      <c r="T348" s="73"/>
      <c r="U348" s="75"/>
      <c r="V348" s="102">
        <v>46122</v>
      </c>
      <c r="W348" s="70">
        <v>3</v>
      </c>
      <c r="X348" s="103" t="s">
        <v>1469</v>
      </c>
      <c r="Y348" s="104">
        <f t="shared" si="123"/>
        <v>46213</v>
      </c>
      <c r="Z348" s="105">
        <f ca="1" t="shared" si="124"/>
        <v>-100</v>
      </c>
      <c r="AA348" s="70"/>
      <c r="AB348" s="70" t="s">
        <v>229</v>
      </c>
      <c r="AC348" s="70" t="s">
        <v>13</v>
      </c>
      <c r="AD348" s="71" t="s">
        <v>1467</v>
      </c>
      <c r="AE348" s="71" t="s">
        <v>51</v>
      </c>
      <c r="AF348" s="72"/>
      <c r="AG348" s="73"/>
      <c r="AH348" s="75"/>
      <c r="AI348" s="102">
        <v>46258</v>
      </c>
      <c r="AJ348" s="70">
        <v>3</v>
      </c>
      <c r="AK348" s="103" t="s">
        <v>1470</v>
      </c>
      <c r="AL348" s="104">
        <f t="shared" si="115"/>
        <v>46350</v>
      </c>
      <c r="AM348" s="105">
        <f ca="1" t="shared" si="116"/>
        <v>37</v>
      </c>
      <c r="AN348" s="115"/>
      <c r="AO348" s="115"/>
      <c r="AP348" s="115"/>
      <c r="AQ348" s="93"/>
      <c r="AR348" s="93"/>
      <c r="AS348" s="94"/>
      <c r="AT348" s="95"/>
      <c r="AU348" s="79"/>
      <c r="AV348" s="117"/>
      <c r="AW348" s="115"/>
      <c r="AX348" s="106"/>
      <c r="AY348" s="104">
        <f t="shared" si="119"/>
        <v>0</v>
      </c>
      <c r="AZ348" s="105">
        <f ca="1" t="shared" si="120"/>
        <v>-46313</v>
      </c>
    </row>
    <row r="349" customHeight="1" spans="1:52">
      <c r="A349" s="70">
        <v>348</v>
      </c>
      <c r="B349" s="70" t="s">
        <v>229</v>
      </c>
      <c r="C349" s="70" t="s">
        <v>13</v>
      </c>
      <c r="D349" s="71" t="s">
        <v>1471</v>
      </c>
      <c r="E349" s="71" t="s">
        <v>15</v>
      </c>
      <c r="F349" s="72"/>
      <c r="G349" s="73"/>
      <c r="H349" s="74" t="s">
        <v>16</v>
      </c>
      <c r="I349" s="165">
        <v>46041</v>
      </c>
      <c r="J349" s="70">
        <v>3</v>
      </c>
      <c r="K349" s="106" t="s">
        <v>1472</v>
      </c>
      <c r="L349" s="104">
        <f t="shared" si="121"/>
        <v>46131</v>
      </c>
      <c r="M349" s="105">
        <f ca="1" t="shared" si="122"/>
        <v>-182</v>
      </c>
      <c r="N349" s="70"/>
      <c r="O349" s="70" t="s">
        <v>229</v>
      </c>
      <c r="P349" s="70" t="s">
        <v>13</v>
      </c>
      <c r="Q349" s="71" t="s">
        <v>1471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1473</v>
      </c>
      <c r="Y349" s="104">
        <f t="shared" si="123"/>
        <v>46218</v>
      </c>
      <c r="Z349" s="105">
        <f ca="1" t="shared" si="124"/>
        <v>-95</v>
      </c>
      <c r="AA349" s="70"/>
      <c r="AB349" s="70" t="s">
        <v>229</v>
      </c>
      <c r="AC349" s="70" t="s">
        <v>13</v>
      </c>
      <c r="AD349" s="71" t="s">
        <v>1471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1474</v>
      </c>
      <c r="AL349" s="104">
        <f t="shared" si="115"/>
        <v>46312</v>
      </c>
      <c r="AM349" s="105">
        <f ca="1" t="shared" si="116"/>
        <v>-1</v>
      </c>
      <c r="AN349" s="115"/>
      <c r="AO349" s="70"/>
      <c r="AP349" s="70"/>
      <c r="AQ349" s="71"/>
      <c r="AR349" s="71"/>
      <c r="AS349" s="72"/>
      <c r="AT349" s="73"/>
      <c r="AU349" s="79"/>
      <c r="AV349" s="117"/>
      <c r="AW349" s="115"/>
      <c r="AX349" s="106"/>
      <c r="AY349" s="104">
        <f t="shared" si="119"/>
        <v>0</v>
      </c>
      <c r="AZ349" s="105">
        <f ca="1" t="shared" si="120"/>
        <v>-46313</v>
      </c>
    </row>
    <row r="350" customHeight="1" spans="1:52">
      <c r="A350" s="70">
        <v>349</v>
      </c>
      <c r="B350" s="70" t="s">
        <v>229</v>
      </c>
      <c r="C350" s="70" t="s">
        <v>38</v>
      </c>
      <c r="D350" s="71" t="s">
        <v>1475</v>
      </c>
      <c r="E350" s="71" t="s">
        <v>40</v>
      </c>
      <c r="F350" s="72"/>
      <c r="G350" s="73"/>
      <c r="H350" s="75"/>
      <c r="I350" s="165">
        <v>46041</v>
      </c>
      <c r="J350" s="70">
        <v>3</v>
      </c>
      <c r="K350" s="106" t="s">
        <v>1476</v>
      </c>
      <c r="L350" s="104">
        <f t="shared" si="121"/>
        <v>46131</v>
      </c>
      <c r="M350" s="105">
        <f ca="1" t="shared" si="122"/>
        <v>-182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123"/>
        <v>0</v>
      </c>
      <c r="Z350" s="105">
        <f ca="1" t="shared" si="124"/>
        <v>-46313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115"/>
        <v>0</v>
      </c>
      <c r="AM350" s="105">
        <f ca="1" t="shared" si="116"/>
        <v>-46313</v>
      </c>
      <c r="AN350" s="115"/>
      <c r="AO350" s="115"/>
      <c r="AP350" s="115"/>
      <c r="AQ350" s="93"/>
      <c r="AR350" s="93"/>
      <c r="AS350" s="94"/>
      <c r="AT350" s="95"/>
      <c r="AU350" s="79"/>
      <c r="AV350" s="117"/>
      <c r="AW350" s="115"/>
      <c r="AX350" s="106"/>
      <c r="AY350" s="104">
        <f t="shared" si="119"/>
        <v>0</v>
      </c>
      <c r="AZ350" s="105">
        <f ca="1" t="shared" si="120"/>
        <v>-46313</v>
      </c>
    </row>
    <row r="351" customHeight="1" spans="1:52">
      <c r="A351" s="70">
        <v>350</v>
      </c>
      <c r="B351" s="70" t="s">
        <v>229</v>
      </c>
      <c r="C351" s="70" t="s">
        <v>13</v>
      </c>
      <c r="D351" s="71" t="s">
        <v>1477</v>
      </c>
      <c r="E351" s="71" t="s">
        <v>34</v>
      </c>
      <c r="F351" s="72"/>
      <c r="G351" s="73"/>
      <c r="H351" s="75"/>
      <c r="I351" s="165">
        <v>46041</v>
      </c>
      <c r="J351" s="70">
        <v>3</v>
      </c>
      <c r="K351" s="106" t="s">
        <v>1478</v>
      </c>
      <c r="L351" s="104">
        <f t="shared" si="121"/>
        <v>46131</v>
      </c>
      <c r="M351" s="105">
        <f ca="1" t="shared" si="122"/>
        <v>-182</v>
      </c>
      <c r="N351" s="70"/>
      <c r="O351" s="70" t="s">
        <v>229</v>
      </c>
      <c r="P351" s="70" t="s">
        <v>13</v>
      </c>
      <c r="Q351" s="71" t="s">
        <v>1477</v>
      </c>
      <c r="R351" s="71" t="s">
        <v>34</v>
      </c>
      <c r="S351" s="72"/>
      <c r="T351" s="73"/>
      <c r="U351" s="75"/>
      <c r="V351" s="102">
        <v>46161</v>
      </c>
      <c r="W351" s="70">
        <v>3</v>
      </c>
      <c r="X351" s="103" t="s">
        <v>1479</v>
      </c>
      <c r="Y351" s="104">
        <f t="shared" si="123"/>
        <v>46253</v>
      </c>
      <c r="Z351" s="105">
        <f ca="1" t="shared" si="124"/>
        <v>-60</v>
      </c>
      <c r="AA351" s="70"/>
      <c r="AB351" s="70" t="s">
        <v>229</v>
      </c>
      <c r="AC351" s="70" t="s">
        <v>13</v>
      </c>
      <c r="AD351" s="71" t="s">
        <v>1477</v>
      </c>
      <c r="AE351" s="71" t="s">
        <v>34</v>
      </c>
      <c r="AF351" s="72"/>
      <c r="AG351" s="73"/>
      <c r="AH351" s="75"/>
      <c r="AI351" s="102">
        <v>46286</v>
      </c>
      <c r="AJ351" s="70">
        <v>3</v>
      </c>
      <c r="AK351" s="103" t="s">
        <v>1480</v>
      </c>
      <c r="AL351" s="104">
        <f t="shared" si="115"/>
        <v>46377</v>
      </c>
      <c r="AM351" s="105">
        <f ca="1" t="shared" si="116"/>
        <v>64</v>
      </c>
      <c r="AN351" s="115"/>
      <c r="AO351" s="70"/>
      <c r="AP351" s="70"/>
      <c r="AQ351" s="71"/>
      <c r="AR351" s="71"/>
      <c r="AS351" s="72"/>
      <c r="AT351" s="73"/>
      <c r="AU351" s="79"/>
      <c r="AV351" s="117"/>
      <c r="AW351" s="115"/>
      <c r="AX351" s="106"/>
      <c r="AY351" s="104">
        <f t="shared" si="119"/>
        <v>0</v>
      </c>
      <c r="AZ351" s="105">
        <f ca="1" t="shared" si="120"/>
        <v>-46313</v>
      </c>
    </row>
    <row r="352" customHeight="1" spans="1:52">
      <c r="A352" s="70">
        <v>351</v>
      </c>
      <c r="B352" s="70" t="s">
        <v>721</v>
      </c>
      <c r="C352" s="70" t="s">
        <v>38</v>
      </c>
      <c r="D352" s="71" t="s">
        <v>1481</v>
      </c>
      <c r="E352" s="71" t="s">
        <v>492</v>
      </c>
      <c r="F352" s="72"/>
      <c r="G352" s="73"/>
      <c r="H352" s="114" t="s">
        <v>16</v>
      </c>
      <c r="I352" s="165">
        <v>46041</v>
      </c>
      <c r="J352" s="70">
        <v>3</v>
      </c>
      <c r="K352" s="106" t="s">
        <v>1482</v>
      </c>
      <c r="L352" s="104">
        <f t="shared" si="121"/>
        <v>46131</v>
      </c>
      <c r="M352" s="105">
        <f ca="1" t="shared" si="122"/>
        <v>-182</v>
      </c>
      <c r="N352" s="70"/>
      <c r="O352" s="70" t="s">
        <v>721</v>
      </c>
      <c r="P352" s="70" t="s">
        <v>38</v>
      </c>
      <c r="Q352" s="71" t="s">
        <v>1481</v>
      </c>
      <c r="R352" s="71" t="s">
        <v>492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1483</v>
      </c>
      <c r="Y352" s="104">
        <f t="shared" si="123"/>
        <v>46219</v>
      </c>
      <c r="Z352" s="105">
        <f ca="1" t="shared" si="124"/>
        <v>-94</v>
      </c>
      <c r="AA352" s="70"/>
      <c r="AB352" s="70" t="s">
        <v>721</v>
      </c>
      <c r="AC352" s="70" t="s">
        <v>38</v>
      </c>
      <c r="AD352" s="71" t="s">
        <v>1481</v>
      </c>
      <c r="AE352" s="71" t="s">
        <v>492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1484</v>
      </c>
      <c r="AL352" s="104">
        <f t="shared" si="115"/>
        <v>46304</v>
      </c>
      <c r="AM352" s="105">
        <f ca="1" t="shared" si="116"/>
        <v>-9</v>
      </c>
      <c r="AN352" s="115"/>
      <c r="AO352" s="70" t="s">
        <v>721</v>
      </c>
      <c r="AP352" s="70" t="s">
        <v>38</v>
      </c>
      <c r="AQ352" s="71" t="s">
        <v>1481</v>
      </c>
      <c r="AR352" s="71" t="s">
        <v>492</v>
      </c>
      <c r="AS352" s="72"/>
      <c r="AT352" s="73"/>
      <c r="AU352" s="114" t="s">
        <v>16</v>
      </c>
      <c r="AV352" s="117">
        <v>46301</v>
      </c>
      <c r="AW352" s="115">
        <v>3</v>
      </c>
      <c r="AX352" s="106" t="s">
        <v>1485</v>
      </c>
      <c r="AY352" s="104">
        <f t="shared" si="119"/>
        <v>46393</v>
      </c>
      <c r="AZ352" s="105">
        <f ca="1" t="shared" si="120"/>
        <v>80</v>
      </c>
    </row>
    <row r="353" customHeight="1" spans="1:52">
      <c r="A353" s="70">
        <v>352</v>
      </c>
      <c r="B353" s="70" t="s">
        <v>721</v>
      </c>
      <c r="C353" s="70" t="s">
        <v>13</v>
      </c>
      <c r="D353" s="71" t="s">
        <v>1486</v>
      </c>
      <c r="E353" s="71" t="s">
        <v>34</v>
      </c>
      <c r="F353" s="72"/>
      <c r="G353" s="73"/>
      <c r="H353" s="114" t="s">
        <v>16</v>
      </c>
      <c r="I353" s="165">
        <v>46041</v>
      </c>
      <c r="J353" s="70">
        <v>3</v>
      </c>
      <c r="K353" s="106" t="s">
        <v>1487</v>
      </c>
      <c r="L353" s="104">
        <f t="shared" si="121"/>
        <v>46131</v>
      </c>
      <c r="M353" s="105">
        <f ca="1" t="shared" si="122"/>
        <v>-182</v>
      </c>
      <c r="N353" s="70"/>
      <c r="O353" s="70" t="s">
        <v>721</v>
      </c>
      <c r="P353" s="70" t="s">
        <v>13</v>
      </c>
      <c r="Q353" s="71" t="s">
        <v>1486</v>
      </c>
      <c r="R353" s="71" t="s">
        <v>34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1488</v>
      </c>
      <c r="Y353" s="104">
        <f t="shared" ref="Y353:Y397" si="125">EDATE(V353,W353)</f>
        <v>46240</v>
      </c>
      <c r="Z353" s="105">
        <f ca="1" t="shared" ref="Z353:Z404" si="126">Y353-TODAY()</f>
        <v>-73</v>
      </c>
      <c r="AA353" s="70"/>
      <c r="AB353" s="70" t="s">
        <v>721</v>
      </c>
      <c r="AC353" s="70" t="s">
        <v>13</v>
      </c>
      <c r="AD353" s="71" t="s">
        <v>1486</v>
      </c>
      <c r="AE353" s="71" t="s">
        <v>34</v>
      </c>
      <c r="AF353" s="72"/>
      <c r="AG353" s="73"/>
      <c r="AH353" s="114" t="s">
        <v>16</v>
      </c>
      <c r="AI353" s="102">
        <v>46260</v>
      </c>
      <c r="AJ353" s="70">
        <v>3</v>
      </c>
      <c r="AK353" s="103" t="s">
        <v>1489</v>
      </c>
      <c r="AL353" s="104">
        <f t="shared" si="115"/>
        <v>46352</v>
      </c>
      <c r="AM353" s="105">
        <f ca="1" t="shared" si="116"/>
        <v>39</v>
      </c>
      <c r="AN353" s="115"/>
      <c r="AO353" s="115"/>
      <c r="AP353" s="115"/>
      <c r="AQ353" s="93"/>
      <c r="AR353" s="93"/>
      <c r="AS353" s="94"/>
      <c r="AT353" s="95"/>
      <c r="AU353" s="114"/>
      <c r="AV353" s="117"/>
      <c r="AW353" s="115"/>
      <c r="AX353" s="106"/>
      <c r="AY353" s="104">
        <f t="shared" si="119"/>
        <v>0</v>
      </c>
      <c r="AZ353" s="105">
        <f ca="1" t="shared" si="120"/>
        <v>-46313</v>
      </c>
    </row>
    <row r="354" customHeight="1" spans="1:52">
      <c r="A354" s="70">
        <v>353</v>
      </c>
      <c r="B354" s="70" t="s">
        <v>721</v>
      </c>
      <c r="C354" s="70" t="s">
        <v>40</v>
      </c>
      <c r="D354" s="71" t="s">
        <v>1490</v>
      </c>
      <c r="E354" s="71" t="s">
        <v>40</v>
      </c>
      <c r="F354" s="72"/>
      <c r="G354" s="73"/>
      <c r="H354" s="114" t="s">
        <v>16</v>
      </c>
      <c r="I354" s="165">
        <v>46041</v>
      </c>
      <c r="J354" s="70">
        <v>3</v>
      </c>
      <c r="K354" s="106" t="s">
        <v>1491</v>
      </c>
      <c r="L354" s="104">
        <f t="shared" si="121"/>
        <v>46131</v>
      </c>
      <c r="M354" s="105">
        <f ca="1" t="shared" si="122"/>
        <v>-182</v>
      </c>
      <c r="N354" s="70"/>
      <c r="O354" s="70" t="s">
        <v>721</v>
      </c>
      <c r="P354" s="70" t="s">
        <v>40</v>
      </c>
      <c r="Q354" s="71" t="s">
        <v>1490</v>
      </c>
      <c r="R354" s="71" t="s">
        <v>40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1492</v>
      </c>
      <c r="Y354" s="104">
        <f t="shared" si="125"/>
        <v>46219</v>
      </c>
      <c r="Z354" s="105">
        <f ca="1" t="shared" si="126"/>
        <v>-94</v>
      </c>
      <c r="AA354" s="70"/>
      <c r="AB354" s="70" t="s">
        <v>721</v>
      </c>
      <c r="AC354" s="70" t="s">
        <v>40</v>
      </c>
      <c r="AD354" s="71" t="s">
        <v>1490</v>
      </c>
      <c r="AE354" s="71" t="s">
        <v>40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1493</v>
      </c>
      <c r="AL354" s="104">
        <f t="shared" si="115"/>
        <v>46302</v>
      </c>
      <c r="AM354" s="105">
        <f ca="1" t="shared" si="116"/>
        <v>-11</v>
      </c>
      <c r="AN354" s="115"/>
      <c r="AO354" s="70" t="s">
        <v>721</v>
      </c>
      <c r="AP354" s="70" t="s">
        <v>40</v>
      </c>
      <c r="AQ354" s="71" t="s">
        <v>1490</v>
      </c>
      <c r="AR354" s="71" t="s">
        <v>40</v>
      </c>
      <c r="AS354" s="72"/>
      <c r="AT354" s="73"/>
      <c r="AU354" s="114" t="s">
        <v>16</v>
      </c>
      <c r="AV354" s="117">
        <v>46306</v>
      </c>
      <c r="AW354" s="115">
        <v>3</v>
      </c>
      <c r="AX354" s="106"/>
      <c r="AY354" s="104">
        <f t="shared" si="119"/>
        <v>46398</v>
      </c>
      <c r="AZ354" s="105">
        <f ca="1" t="shared" si="120"/>
        <v>85</v>
      </c>
    </row>
    <row r="355" customHeight="1" spans="1:52">
      <c r="A355" s="70">
        <v>354</v>
      </c>
      <c r="B355" s="70" t="s">
        <v>1393</v>
      </c>
      <c r="C355" s="70" t="s">
        <v>38</v>
      </c>
      <c r="D355" s="71" t="s">
        <v>1494</v>
      </c>
      <c r="E355" s="71" t="s">
        <v>1395</v>
      </c>
      <c r="F355" s="72"/>
      <c r="G355" s="73"/>
      <c r="H355" s="75"/>
      <c r="I355" s="165">
        <v>46041</v>
      </c>
      <c r="J355" s="70">
        <v>3</v>
      </c>
      <c r="K355" s="106" t="s">
        <v>1495</v>
      </c>
      <c r="L355" s="104">
        <f t="shared" si="121"/>
        <v>46131</v>
      </c>
      <c r="M355" s="105">
        <f ca="1" t="shared" si="122"/>
        <v>-182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125"/>
        <v>0</v>
      </c>
      <c r="Z355" s="105">
        <f ca="1" t="shared" si="126"/>
        <v>-46313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127">EDATE(AI355,AJ355)</f>
        <v>0</v>
      </c>
      <c r="AM355" s="105">
        <f ca="1" t="shared" ref="AM355:AM380" si="128">AL355-TODAY()</f>
        <v>-46313</v>
      </c>
      <c r="AN355" s="115"/>
      <c r="AO355" s="70"/>
      <c r="AP355" s="70"/>
      <c r="AQ355" s="71"/>
      <c r="AR355" s="71"/>
      <c r="AS355" s="72"/>
      <c r="AT355" s="73"/>
      <c r="AU355" s="114"/>
      <c r="AV355" s="117"/>
      <c r="AW355" s="115"/>
      <c r="AX355" s="106"/>
      <c r="AY355" s="104">
        <f t="shared" si="119"/>
        <v>0</v>
      </c>
      <c r="AZ355" s="105">
        <f ca="1" t="shared" si="120"/>
        <v>-46313</v>
      </c>
    </row>
    <row r="356" customHeight="1" spans="1:52">
      <c r="A356" s="70">
        <v>355</v>
      </c>
      <c r="B356" s="70" t="s">
        <v>1496</v>
      </c>
      <c r="C356" s="70" t="s">
        <v>38</v>
      </c>
      <c r="D356" s="71" t="s">
        <v>1497</v>
      </c>
      <c r="E356" s="71" t="s">
        <v>1498</v>
      </c>
      <c r="F356" s="72"/>
      <c r="G356" s="73"/>
      <c r="H356" s="114" t="s">
        <v>16</v>
      </c>
      <c r="I356" s="165">
        <v>46041</v>
      </c>
      <c r="J356" s="70">
        <v>3</v>
      </c>
      <c r="K356" s="106" t="s">
        <v>1499</v>
      </c>
      <c r="L356" s="104">
        <f t="shared" si="121"/>
        <v>46131</v>
      </c>
      <c r="M356" s="105">
        <f ca="1" t="shared" si="122"/>
        <v>-182</v>
      </c>
      <c r="N356" s="70"/>
      <c r="O356" s="70" t="s">
        <v>1496</v>
      </c>
      <c r="P356" s="70" t="s">
        <v>38</v>
      </c>
      <c r="Q356" s="71" t="s">
        <v>1497</v>
      </c>
      <c r="R356" s="71" t="s">
        <v>1498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1500</v>
      </c>
      <c r="Y356" s="104">
        <f t="shared" si="125"/>
        <v>46268</v>
      </c>
      <c r="Z356" s="105">
        <f ca="1" t="shared" si="126"/>
        <v>-45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127"/>
        <v>0</v>
      </c>
      <c r="AM356" s="105">
        <f ca="1" t="shared" si="128"/>
        <v>-46313</v>
      </c>
      <c r="AN356" s="115"/>
      <c r="AO356" s="70"/>
      <c r="AP356" s="70"/>
      <c r="AQ356" s="71"/>
      <c r="AR356" s="71"/>
      <c r="AS356" s="72"/>
      <c r="AT356" s="73"/>
      <c r="AU356" s="114"/>
      <c r="AV356" s="117"/>
      <c r="AW356" s="115"/>
      <c r="AX356" s="106"/>
      <c r="AY356" s="104">
        <f t="shared" si="119"/>
        <v>0</v>
      </c>
      <c r="AZ356" s="105">
        <f ca="1" t="shared" si="120"/>
        <v>-46313</v>
      </c>
    </row>
    <row r="357" customHeight="1" spans="1:52">
      <c r="A357" s="70">
        <v>356</v>
      </c>
      <c r="B357" s="70" t="s">
        <v>741</v>
      </c>
      <c r="C357" s="70" t="s">
        <v>38</v>
      </c>
      <c r="D357" s="71" t="s">
        <v>1501</v>
      </c>
      <c r="E357" s="71" t="s">
        <v>735</v>
      </c>
      <c r="F357" s="72"/>
      <c r="G357" s="73"/>
      <c r="H357" s="75"/>
      <c r="I357" s="165">
        <v>46041</v>
      </c>
      <c r="J357" s="70">
        <v>3</v>
      </c>
      <c r="K357" s="106" t="s">
        <v>1502</v>
      </c>
      <c r="L357" s="104">
        <f t="shared" si="121"/>
        <v>46131</v>
      </c>
      <c r="M357" s="105">
        <f ca="1" t="shared" si="122"/>
        <v>-182</v>
      </c>
      <c r="N357" s="70"/>
      <c r="O357" s="70" t="s">
        <v>741</v>
      </c>
      <c r="P357" s="70" t="s">
        <v>38</v>
      </c>
      <c r="Q357" s="71" t="s">
        <v>1501</v>
      </c>
      <c r="R357" s="71" t="s">
        <v>735</v>
      </c>
      <c r="S357" s="72"/>
      <c r="T357" s="73"/>
      <c r="U357" s="75"/>
      <c r="V357" s="102">
        <v>46133</v>
      </c>
      <c r="W357" s="70">
        <v>3</v>
      </c>
      <c r="X357" s="103" t="s">
        <v>1503</v>
      </c>
      <c r="Y357" s="104">
        <f t="shared" si="125"/>
        <v>46224</v>
      </c>
      <c r="Z357" s="105">
        <f ca="1" t="shared" si="126"/>
        <v>-89</v>
      </c>
      <c r="AA357" s="70"/>
      <c r="AB357" s="70" t="s">
        <v>741</v>
      </c>
      <c r="AC357" s="70" t="s">
        <v>38</v>
      </c>
      <c r="AD357" s="71" t="s">
        <v>1501</v>
      </c>
      <c r="AE357" s="71" t="s">
        <v>735</v>
      </c>
      <c r="AF357" s="72"/>
      <c r="AG357" s="73"/>
      <c r="AH357" s="75"/>
      <c r="AI357" s="102">
        <v>46227</v>
      </c>
      <c r="AJ357" s="70">
        <v>3</v>
      </c>
      <c r="AK357" s="103" t="s">
        <v>1504</v>
      </c>
      <c r="AL357" s="104">
        <f t="shared" si="127"/>
        <v>46319</v>
      </c>
      <c r="AM357" s="105">
        <f ca="1" t="shared" si="128"/>
        <v>6</v>
      </c>
      <c r="AN357" s="115"/>
      <c r="AO357" s="70" t="s">
        <v>741</v>
      </c>
      <c r="AP357" s="70" t="s">
        <v>38</v>
      </c>
      <c r="AQ357" s="71" t="s">
        <v>1501</v>
      </c>
      <c r="AR357" s="71" t="s">
        <v>735</v>
      </c>
      <c r="AS357" s="72"/>
      <c r="AT357" s="73"/>
      <c r="AU357" s="75"/>
      <c r="AV357" s="117">
        <v>46310</v>
      </c>
      <c r="AW357" s="115">
        <v>3</v>
      </c>
      <c r="AX357" s="106"/>
      <c r="AY357" s="104">
        <f t="shared" si="119"/>
        <v>46402</v>
      </c>
      <c r="AZ357" s="105">
        <f ca="1" t="shared" si="120"/>
        <v>89</v>
      </c>
    </row>
    <row r="358" customHeight="1" spans="1:52">
      <c r="A358" s="70">
        <v>357</v>
      </c>
      <c r="B358" s="70" t="s">
        <v>281</v>
      </c>
      <c r="C358" s="70" t="s">
        <v>264</v>
      </c>
      <c r="D358" s="71" t="s">
        <v>1505</v>
      </c>
      <c r="E358" s="71" t="s">
        <v>277</v>
      </c>
      <c r="F358" s="72"/>
      <c r="G358" s="73"/>
      <c r="H358" s="75"/>
      <c r="I358" s="165">
        <v>46041</v>
      </c>
      <c r="J358" s="70">
        <v>3</v>
      </c>
      <c r="K358" s="106" t="s">
        <v>1506</v>
      </c>
      <c r="L358" s="104">
        <f t="shared" si="121"/>
        <v>46131</v>
      </c>
      <c r="M358" s="105">
        <f ca="1" t="shared" si="122"/>
        <v>-182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125"/>
        <v>0</v>
      </c>
      <c r="Z358" s="105">
        <f ca="1" t="shared" si="126"/>
        <v>-46313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127"/>
        <v>0</v>
      </c>
      <c r="AM358" s="105">
        <f ca="1" t="shared" si="128"/>
        <v>-46313</v>
      </c>
      <c r="AN358" s="115"/>
      <c r="AO358" s="115"/>
      <c r="AP358" s="115"/>
      <c r="AQ358" s="93"/>
      <c r="AR358" s="93"/>
      <c r="AS358" s="94"/>
      <c r="AT358" s="95"/>
      <c r="AU358" s="79"/>
      <c r="AV358" s="117"/>
      <c r="AW358" s="115"/>
      <c r="AX358" s="106"/>
      <c r="AY358" s="104">
        <f t="shared" si="119"/>
        <v>0</v>
      </c>
      <c r="AZ358" s="105">
        <f ca="1" t="shared" si="120"/>
        <v>-46313</v>
      </c>
    </row>
    <row r="359" customHeight="1" spans="1:52">
      <c r="A359" s="70">
        <v>358</v>
      </c>
      <c r="B359" s="70" t="s">
        <v>1507</v>
      </c>
      <c r="C359" s="70" t="s">
        <v>374</v>
      </c>
      <c r="D359" s="71" t="s">
        <v>1508</v>
      </c>
      <c r="E359" s="71" t="s">
        <v>1509</v>
      </c>
      <c r="F359" s="72"/>
      <c r="G359" s="73"/>
      <c r="H359" s="74" t="s">
        <v>16</v>
      </c>
      <c r="I359" s="165">
        <v>46041</v>
      </c>
      <c r="J359" s="70">
        <v>3</v>
      </c>
      <c r="K359" s="106" t="s">
        <v>1510</v>
      </c>
      <c r="L359" s="104">
        <f t="shared" si="121"/>
        <v>46131</v>
      </c>
      <c r="M359" s="105">
        <f ca="1" t="shared" si="122"/>
        <v>-182</v>
      </c>
      <c r="N359" s="70"/>
      <c r="O359" s="70" t="s">
        <v>1507</v>
      </c>
      <c r="P359" s="70" t="s">
        <v>374</v>
      </c>
      <c r="Q359" s="71" t="s">
        <v>1508</v>
      </c>
      <c r="R359" s="71" t="s">
        <v>1509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1511</v>
      </c>
      <c r="Y359" s="104">
        <f t="shared" si="125"/>
        <v>46221</v>
      </c>
      <c r="Z359" s="105">
        <f ca="1" t="shared" si="126"/>
        <v>-92</v>
      </c>
      <c r="AA359" s="70"/>
      <c r="AB359" s="70" t="s">
        <v>1507</v>
      </c>
      <c r="AC359" s="70" t="s">
        <v>374</v>
      </c>
      <c r="AD359" s="71" t="s">
        <v>1508</v>
      </c>
      <c r="AE359" s="71" t="s">
        <v>1509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1512</v>
      </c>
      <c r="AL359" s="104">
        <f t="shared" si="127"/>
        <v>46335</v>
      </c>
      <c r="AM359" s="105">
        <f ca="1" t="shared" si="128"/>
        <v>22</v>
      </c>
      <c r="AN359" s="115"/>
      <c r="AO359" s="115"/>
      <c r="AP359" s="115"/>
      <c r="AQ359" s="93"/>
      <c r="AR359" s="93"/>
      <c r="AS359" s="94"/>
      <c r="AT359" s="95"/>
      <c r="AU359" s="79"/>
      <c r="AV359" s="117"/>
      <c r="AW359" s="115"/>
      <c r="AX359" s="106"/>
      <c r="AY359" s="104">
        <f t="shared" si="119"/>
        <v>0</v>
      </c>
      <c r="AZ359" s="105">
        <f ca="1" t="shared" si="120"/>
        <v>-46313</v>
      </c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1513</v>
      </c>
      <c r="E360" s="71" t="s">
        <v>1514</v>
      </c>
      <c r="F360" s="72"/>
      <c r="G360" s="73"/>
      <c r="H360" s="74" t="s">
        <v>16</v>
      </c>
      <c r="I360" s="165">
        <v>46042</v>
      </c>
      <c r="J360" s="70">
        <v>3</v>
      </c>
      <c r="K360" s="106" t="s">
        <v>1515</v>
      </c>
      <c r="L360" s="104">
        <f t="shared" si="121"/>
        <v>46132</v>
      </c>
      <c r="M360" s="105">
        <f ca="1" t="shared" si="122"/>
        <v>-181</v>
      </c>
      <c r="N360" s="70"/>
      <c r="O360" s="70" t="s">
        <v>357</v>
      </c>
      <c r="P360" s="70" t="s">
        <v>13</v>
      </c>
      <c r="Q360" s="71" t="s">
        <v>1513</v>
      </c>
      <c r="R360" s="71" t="s">
        <v>1514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1516</v>
      </c>
      <c r="Y360" s="104">
        <f t="shared" si="125"/>
        <v>46261</v>
      </c>
      <c r="Z360" s="105">
        <f ca="1" t="shared" si="126"/>
        <v>-52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127"/>
        <v>0</v>
      </c>
      <c r="AM360" s="105">
        <f ca="1" t="shared" si="128"/>
        <v>-46313</v>
      </c>
      <c r="AN360" s="115"/>
      <c r="AO360" s="115"/>
      <c r="AP360" s="115"/>
      <c r="AQ360" s="93"/>
      <c r="AR360" s="93"/>
      <c r="AS360" s="94"/>
      <c r="AT360" s="95"/>
      <c r="AU360" s="79"/>
      <c r="AV360" s="117"/>
      <c r="AW360" s="115"/>
      <c r="AX360" s="106"/>
      <c r="AY360" s="104">
        <f t="shared" si="119"/>
        <v>0</v>
      </c>
      <c r="AZ360" s="105">
        <f ca="1" t="shared" si="120"/>
        <v>-46313</v>
      </c>
    </row>
    <row r="361" customHeight="1" spans="1:52">
      <c r="A361" s="70">
        <v>360</v>
      </c>
      <c r="B361" s="70" t="s">
        <v>229</v>
      </c>
      <c r="C361" s="70" t="s">
        <v>13</v>
      </c>
      <c r="D361" s="71" t="s">
        <v>1517</v>
      </c>
      <c r="E361" s="71" t="s">
        <v>311</v>
      </c>
      <c r="F361" s="72"/>
      <c r="G361" s="73"/>
      <c r="H361" s="74" t="s">
        <v>16</v>
      </c>
      <c r="I361" s="165">
        <v>46042</v>
      </c>
      <c r="J361" s="70">
        <v>3</v>
      </c>
      <c r="K361" s="106" t="s">
        <v>1518</v>
      </c>
      <c r="L361" s="104">
        <f t="shared" si="121"/>
        <v>46132</v>
      </c>
      <c r="M361" s="105">
        <f ca="1" t="shared" si="122"/>
        <v>-181</v>
      </c>
      <c r="N361" s="70"/>
      <c r="O361" s="70" t="s">
        <v>229</v>
      </c>
      <c r="P361" s="70" t="s">
        <v>13</v>
      </c>
      <c r="Q361" s="71" t="s">
        <v>1517</v>
      </c>
      <c r="R361" s="71" t="s">
        <v>311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1519</v>
      </c>
      <c r="Y361" s="104">
        <f t="shared" si="125"/>
        <v>46285</v>
      </c>
      <c r="Z361" s="105">
        <f ca="1" t="shared" si="126"/>
        <v>-28</v>
      </c>
      <c r="AA361" s="70"/>
      <c r="AB361" s="70" t="s">
        <v>229</v>
      </c>
      <c r="AC361" s="70" t="s">
        <v>13</v>
      </c>
      <c r="AD361" s="71" t="s">
        <v>1517</v>
      </c>
      <c r="AE361" s="71" t="s">
        <v>311</v>
      </c>
      <c r="AF361" s="72"/>
      <c r="AG361" s="73"/>
      <c r="AH361" s="74" t="s">
        <v>16</v>
      </c>
      <c r="AI361" s="102">
        <v>46274</v>
      </c>
      <c r="AJ361" s="70">
        <v>3</v>
      </c>
      <c r="AK361" s="103" t="s">
        <v>1520</v>
      </c>
      <c r="AL361" s="104">
        <f t="shared" si="127"/>
        <v>46365</v>
      </c>
      <c r="AM361" s="105">
        <f ca="1" t="shared" si="128"/>
        <v>52</v>
      </c>
      <c r="AN361" s="115"/>
      <c r="AO361" s="70"/>
      <c r="AP361" s="70"/>
      <c r="AQ361" s="71"/>
      <c r="AR361" s="71"/>
      <c r="AS361" s="72"/>
      <c r="AT361" s="73"/>
      <c r="AU361" s="114"/>
      <c r="AV361" s="117"/>
      <c r="AW361" s="115"/>
      <c r="AX361" s="106"/>
      <c r="AY361" s="104">
        <f t="shared" si="119"/>
        <v>0</v>
      </c>
      <c r="AZ361" s="105">
        <f ca="1" t="shared" si="120"/>
        <v>-46313</v>
      </c>
    </row>
    <row r="362" customHeight="1" spans="1:52">
      <c r="A362" s="70">
        <v>361</v>
      </c>
      <c r="B362" s="70" t="s">
        <v>229</v>
      </c>
      <c r="C362" s="70" t="s">
        <v>13</v>
      </c>
      <c r="D362" s="71" t="s">
        <v>1521</v>
      </c>
      <c r="E362" s="71" t="s">
        <v>1266</v>
      </c>
      <c r="F362" s="72"/>
      <c r="G362" s="73"/>
      <c r="H362" s="74"/>
      <c r="I362" s="165">
        <v>46042</v>
      </c>
      <c r="J362" s="70">
        <v>3</v>
      </c>
      <c r="K362" s="106" t="s">
        <v>1522</v>
      </c>
      <c r="L362" s="104">
        <f t="shared" si="121"/>
        <v>46132</v>
      </c>
      <c r="M362" s="105">
        <f ca="1" t="shared" si="122"/>
        <v>-181</v>
      </c>
      <c r="N362" s="70"/>
      <c r="O362" s="70" t="s">
        <v>229</v>
      </c>
      <c r="P362" s="70" t="s">
        <v>13</v>
      </c>
      <c r="Q362" s="71" t="s">
        <v>1521</v>
      </c>
      <c r="R362" s="71" t="s">
        <v>1266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1523</v>
      </c>
      <c r="Y362" s="104">
        <f t="shared" si="125"/>
        <v>46285</v>
      </c>
      <c r="Z362" s="105">
        <f ca="1" t="shared" si="126"/>
        <v>-28</v>
      </c>
      <c r="AA362" s="70"/>
      <c r="AB362" s="70" t="s">
        <v>229</v>
      </c>
      <c r="AC362" s="70" t="s">
        <v>13</v>
      </c>
      <c r="AD362" s="71" t="s">
        <v>1521</v>
      </c>
      <c r="AE362" s="71" t="s">
        <v>1266</v>
      </c>
      <c r="AF362" s="72"/>
      <c r="AG362" s="73"/>
      <c r="AH362" s="74" t="s">
        <v>16</v>
      </c>
      <c r="AI362" s="102">
        <v>46274</v>
      </c>
      <c r="AJ362" s="70">
        <v>3</v>
      </c>
      <c r="AK362" s="103" t="s">
        <v>1524</v>
      </c>
      <c r="AL362" s="104">
        <f t="shared" si="127"/>
        <v>46365</v>
      </c>
      <c r="AM362" s="105">
        <f ca="1" t="shared" si="128"/>
        <v>52</v>
      </c>
      <c r="AN362" s="115"/>
      <c r="AO362" s="70"/>
      <c r="AP362" s="70"/>
      <c r="AQ362" s="71"/>
      <c r="AR362" s="71"/>
      <c r="AS362" s="72"/>
      <c r="AT362" s="73"/>
      <c r="AU362" s="114"/>
      <c r="AV362" s="117"/>
      <c r="AW362" s="115"/>
      <c r="AX362" s="106"/>
      <c r="AY362" s="104">
        <f t="shared" si="119"/>
        <v>0</v>
      </c>
      <c r="AZ362" s="105">
        <f ca="1" t="shared" si="120"/>
        <v>-46313</v>
      </c>
    </row>
    <row r="363" customHeight="1" spans="1:52">
      <c r="A363" s="70">
        <v>362</v>
      </c>
      <c r="B363" s="70" t="s">
        <v>229</v>
      </c>
      <c r="C363" s="70" t="s">
        <v>38</v>
      </c>
      <c r="D363" s="71" t="s">
        <v>1525</v>
      </c>
      <c r="E363" s="71" t="s">
        <v>1526</v>
      </c>
      <c r="F363" s="72"/>
      <c r="G363" s="73"/>
      <c r="H363" s="75"/>
      <c r="I363" s="165">
        <v>46042</v>
      </c>
      <c r="J363" s="70">
        <v>3</v>
      </c>
      <c r="K363" s="106" t="s">
        <v>1527</v>
      </c>
      <c r="L363" s="104">
        <f t="shared" si="121"/>
        <v>46132</v>
      </c>
      <c r="M363" s="105">
        <f ca="1" t="shared" si="122"/>
        <v>-181</v>
      </c>
      <c r="N363" s="70"/>
      <c r="O363" s="70" t="s">
        <v>229</v>
      </c>
      <c r="P363" s="70" t="s">
        <v>38</v>
      </c>
      <c r="Q363" s="71" t="s">
        <v>1525</v>
      </c>
      <c r="R363" s="71" t="s">
        <v>1526</v>
      </c>
      <c r="S363" s="72"/>
      <c r="T363" s="73"/>
      <c r="U363" s="75"/>
      <c r="V363" s="102">
        <v>46185</v>
      </c>
      <c r="W363" s="70">
        <v>3</v>
      </c>
      <c r="X363" s="103" t="s">
        <v>1528</v>
      </c>
      <c r="Y363" s="104">
        <f t="shared" si="125"/>
        <v>46277</v>
      </c>
      <c r="Z363" s="105">
        <f ca="1" t="shared" si="126"/>
        <v>-36</v>
      </c>
      <c r="AA363" s="70"/>
      <c r="AB363" s="70" t="s">
        <v>229</v>
      </c>
      <c r="AC363" s="70" t="s">
        <v>38</v>
      </c>
      <c r="AD363" s="71" t="s">
        <v>1525</v>
      </c>
      <c r="AE363" s="71" t="s">
        <v>1526</v>
      </c>
      <c r="AF363" s="72"/>
      <c r="AG363" s="73"/>
      <c r="AH363" s="75"/>
      <c r="AI363" s="102">
        <v>46270</v>
      </c>
      <c r="AJ363" s="70">
        <v>3</v>
      </c>
      <c r="AK363" s="103" t="s">
        <v>1529</v>
      </c>
      <c r="AL363" s="104">
        <f t="shared" si="127"/>
        <v>46361</v>
      </c>
      <c r="AM363" s="105">
        <f ca="1" t="shared" si="128"/>
        <v>48</v>
      </c>
      <c r="AN363" s="115"/>
      <c r="AO363" s="115"/>
      <c r="AP363" s="115"/>
      <c r="AQ363" s="93"/>
      <c r="AR363" s="93"/>
      <c r="AS363" s="94"/>
      <c r="AT363" s="95"/>
      <c r="AU363" s="79"/>
      <c r="AV363" s="117"/>
      <c r="AW363" s="115"/>
      <c r="AX363" s="106"/>
      <c r="AY363" s="104">
        <f t="shared" si="119"/>
        <v>0</v>
      </c>
      <c r="AZ363" s="105">
        <f ca="1" t="shared" si="120"/>
        <v>-46313</v>
      </c>
    </row>
    <row r="364" customHeight="1" spans="1:52">
      <c r="A364" s="70">
        <v>363</v>
      </c>
      <c r="B364" s="70" t="s">
        <v>229</v>
      </c>
      <c r="C364" s="70" t="s">
        <v>38</v>
      </c>
      <c r="D364" s="71" t="s">
        <v>1530</v>
      </c>
      <c r="E364" s="71" t="s">
        <v>1531</v>
      </c>
      <c r="F364" s="72"/>
      <c r="G364" s="73"/>
      <c r="H364" s="75"/>
      <c r="I364" s="165">
        <v>46042</v>
      </c>
      <c r="J364" s="70">
        <v>3</v>
      </c>
      <c r="K364" s="106" t="s">
        <v>1532</v>
      </c>
      <c r="L364" s="104">
        <f t="shared" si="121"/>
        <v>46132</v>
      </c>
      <c r="M364" s="105">
        <f ca="1" t="shared" si="122"/>
        <v>-181</v>
      </c>
      <c r="N364" s="70"/>
      <c r="O364" s="70" t="s">
        <v>229</v>
      </c>
      <c r="P364" s="70" t="s">
        <v>38</v>
      </c>
      <c r="Q364" s="71" t="s">
        <v>1530</v>
      </c>
      <c r="R364" s="71" t="s">
        <v>1531</v>
      </c>
      <c r="S364" s="72"/>
      <c r="T364" s="73"/>
      <c r="U364" s="75"/>
      <c r="V364" s="102">
        <v>46185</v>
      </c>
      <c r="W364" s="70">
        <v>3</v>
      </c>
      <c r="X364" s="103" t="s">
        <v>1533</v>
      </c>
      <c r="Y364" s="104">
        <f t="shared" si="125"/>
        <v>46277</v>
      </c>
      <c r="Z364" s="105">
        <f ca="1" t="shared" si="126"/>
        <v>-36</v>
      </c>
      <c r="AA364" s="70"/>
      <c r="AB364" s="70" t="s">
        <v>229</v>
      </c>
      <c r="AC364" s="70" t="s">
        <v>38</v>
      </c>
      <c r="AD364" s="71" t="s">
        <v>1530</v>
      </c>
      <c r="AE364" s="71" t="s">
        <v>1531</v>
      </c>
      <c r="AF364" s="72"/>
      <c r="AG364" s="73"/>
      <c r="AH364" s="75"/>
      <c r="AI364" s="102">
        <v>46272</v>
      </c>
      <c r="AJ364" s="70">
        <v>3</v>
      </c>
      <c r="AK364" s="103" t="s">
        <v>1534</v>
      </c>
      <c r="AL364" s="104">
        <f t="shared" si="127"/>
        <v>46363</v>
      </c>
      <c r="AM364" s="105">
        <f ca="1" t="shared" si="128"/>
        <v>50</v>
      </c>
      <c r="AN364" s="115"/>
      <c r="AO364" s="115"/>
      <c r="AP364" s="115"/>
      <c r="AQ364" s="93"/>
      <c r="AR364" s="93"/>
      <c r="AS364" s="94"/>
      <c r="AT364" s="95"/>
      <c r="AU364" s="79"/>
      <c r="AV364" s="117"/>
      <c r="AW364" s="115"/>
      <c r="AX364" s="106"/>
      <c r="AY364" s="104">
        <f t="shared" si="119"/>
        <v>0</v>
      </c>
      <c r="AZ364" s="105">
        <f ca="1" t="shared" si="120"/>
        <v>-46313</v>
      </c>
    </row>
    <row r="365" customHeight="1" spans="1:52">
      <c r="A365" s="70">
        <v>364</v>
      </c>
      <c r="B365" s="70" t="s">
        <v>229</v>
      </c>
      <c r="C365" s="70" t="s">
        <v>13</v>
      </c>
      <c r="D365" s="71" t="s">
        <v>1535</v>
      </c>
      <c r="E365" s="71" t="s">
        <v>1536</v>
      </c>
      <c r="F365" s="72"/>
      <c r="G365" s="73"/>
      <c r="H365" s="74" t="s">
        <v>16</v>
      </c>
      <c r="I365" s="165">
        <v>46042</v>
      </c>
      <c r="J365" s="70">
        <v>3</v>
      </c>
      <c r="K365" s="106" t="s">
        <v>1537</v>
      </c>
      <c r="L365" s="104">
        <f t="shared" si="121"/>
        <v>46132</v>
      </c>
      <c r="M365" s="105">
        <f ca="1" t="shared" si="122"/>
        <v>-181</v>
      </c>
      <c r="N365" s="70"/>
      <c r="O365" s="70" t="s">
        <v>229</v>
      </c>
      <c r="P365" s="70" t="s">
        <v>13</v>
      </c>
      <c r="Q365" s="71" t="s">
        <v>1535</v>
      </c>
      <c r="R365" s="71" t="s">
        <v>1536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1538</v>
      </c>
      <c r="Y365" s="104">
        <f t="shared" si="125"/>
        <v>46255</v>
      </c>
      <c r="Z365" s="105">
        <f ca="1" t="shared" si="126"/>
        <v>-58</v>
      </c>
      <c r="AA365" s="70"/>
      <c r="AB365" s="70" t="s">
        <v>229</v>
      </c>
      <c r="AC365" s="70" t="s">
        <v>13</v>
      </c>
      <c r="AD365" s="71" t="s">
        <v>1535</v>
      </c>
      <c r="AE365" s="71" t="s">
        <v>1536</v>
      </c>
      <c r="AF365" s="72"/>
      <c r="AG365" s="73"/>
      <c r="AH365" s="74" t="s">
        <v>16</v>
      </c>
      <c r="AI365" s="102">
        <v>46248</v>
      </c>
      <c r="AJ365" s="70">
        <v>3</v>
      </c>
      <c r="AK365" s="103" t="s">
        <v>1539</v>
      </c>
      <c r="AL365" s="104">
        <f t="shared" si="127"/>
        <v>46340</v>
      </c>
      <c r="AM365" s="105">
        <f ca="1" t="shared" si="128"/>
        <v>27</v>
      </c>
      <c r="AN365" s="115"/>
      <c r="AO365" s="115"/>
      <c r="AP365" s="115"/>
      <c r="AQ365" s="93"/>
      <c r="AR365" s="93"/>
      <c r="AS365" s="94"/>
      <c r="AT365" s="95"/>
      <c r="AU365" s="79"/>
      <c r="AV365" s="117"/>
      <c r="AW365" s="115"/>
      <c r="AX365" s="106"/>
      <c r="AY365" s="104">
        <f t="shared" si="119"/>
        <v>0</v>
      </c>
      <c r="AZ365" s="105">
        <f ca="1" t="shared" si="120"/>
        <v>-46313</v>
      </c>
    </row>
    <row r="366" customHeight="1" spans="1:52">
      <c r="A366" s="70">
        <v>365</v>
      </c>
      <c r="B366" s="70" t="s">
        <v>229</v>
      </c>
      <c r="C366" s="70" t="s">
        <v>13</v>
      </c>
      <c r="D366" s="71" t="s">
        <v>1540</v>
      </c>
      <c r="E366" s="71" t="s">
        <v>1541</v>
      </c>
      <c r="F366" s="72"/>
      <c r="G366" s="73"/>
      <c r="H366" s="74" t="s">
        <v>16</v>
      </c>
      <c r="I366" s="165">
        <v>46042</v>
      </c>
      <c r="J366" s="70">
        <v>3</v>
      </c>
      <c r="K366" s="106" t="s">
        <v>1542</v>
      </c>
      <c r="L366" s="104">
        <f t="shared" si="121"/>
        <v>46132</v>
      </c>
      <c r="M366" s="105">
        <f ca="1" t="shared" si="122"/>
        <v>-181</v>
      </c>
      <c r="N366" s="70"/>
      <c r="O366" s="70" t="s">
        <v>229</v>
      </c>
      <c r="P366" s="70" t="s">
        <v>13</v>
      </c>
      <c r="Q366" s="71" t="s">
        <v>1540</v>
      </c>
      <c r="R366" s="71" t="s">
        <v>1541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1543</v>
      </c>
      <c r="Y366" s="104">
        <f t="shared" si="125"/>
        <v>46255</v>
      </c>
      <c r="Z366" s="105">
        <f ca="1" t="shared" si="126"/>
        <v>-58</v>
      </c>
      <c r="AA366" s="70"/>
      <c r="AB366" s="70" t="s">
        <v>229</v>
      </c>
      <c r="AC366" s="70" t="s">
        <v>13</v>
      </c>
      <c r="AD366" s="71" t="s">
        <v>1540</v>
      </c>
      <c r="AE366" s="71" t="s">
        <v>1541</v>
      </c>
      <c r="AF366" s="72"/>
      <c r="AG366" s="73"/>
      <c r="AH366" s="74" t="s">
        <v>16</v>
      </c>
      <c r="AI366" s="102">
        <v>46255</v>
      </c>
      <c r="AJ366" s="70">
        <v>3</v>
      </c>
      <c r="AK366" s="103" t="s">
        <v>1544</v>
      </c>
      <c r="AL366" s="104">
        <f t="shared" si="127"/>
        <v>46347</v>
      </c>
      <c r="AM366" s="105">
        <f ca="1" t="shared" si="128"/>
        <v>34</v>
      </c>
      <c r="AN366" s="115"/>
      <c r="AO366" s="115"/>
      <c r="AP366" s="115"/>
      <c r="AQ366" s="93"/>
      <c r="AR366" s="93"/>
      <c r="AS366" s="94"/>
      <c r="AT366" s="95"/>
      <c r="AU366" s="79"/>
      <c r="AV366" s="117"/>
      <c r="AW366" s="115"/>
      <c r="AX366" s="106"/>
      <c r="AY366" s="104">
        <f t="shared" si="119"/>
        <v>0</v>
      </c>
      <c r="AZ366" s="105">
        <f ca="1" t="shared" si="120"/>
        <v>-46313</v>
      </c>
    </row>
    <row r="367" customHeight="1" spans="1:52">
      <c r="A367" s="70">
        <v>366</v>
      </c>
      <c r="B367" s="70" t="s">
        <v>229</v>
      </c>
      <c r="C367" s="70" t="s">
        <v>38</v>
      </c>
      <c r="D367" s="71" t="s">
        <v>1545</v>
      </c>
      <c r="E367" s="71" t="s">
        <v>28</v>
      </c>
      <c r="F367" s="72"/>
      <c r="G367" s="73"/>
      <c r="H367" s="74" t="s">
        <v>16</v>
      </c>
      <c r="I367" s="165">
        <v>46042</v>
      </c>
      <c r="J367" s="70">
        <v>3</v>
      </c>
      <c r="K367" s="106" t="s">
        <v>1546</v>
      </c>
      <c r="L367" s="104">
        <f t="shared" si="121"/>
        <v>46132</v>
      </c>
      <c r="M367" s="105">
        <f ca="1" t="shared" si="122"/>
        <v>-181</v>
      </c>
      <c r="N367" s="70"/>
      <c r="O367" s="70" t="s">
        <v>229</v>
      </c>
      <c r="P367" s="70" t="s">
        <v>38</v>
      </c>
      <c r="Q367" s="71" t="s">
        <v>1545</v>
      </c>
      <c r="R367" s="71" t="s">
        <v>28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1547</v>
      </c>
      <c r="Y367" s="104">
        <f t="shared" si="125"/>
        <v>46261</v>
      </c>
      <c r="Z367" s="105">
        <f ca="1" t="shared" si="126"/>
        <v>-52</v>
      </c>
      <c r="AA367" s="70"/>
      <c r="AB367" s="70" t="s">
        <v>229</v>
      </c>
      <c r="AC367" s="70" t="s">
        <v>38</v>
      </c>
      <c r="AD367" s="71" t="s">
        <v>1545</v>
      </c>
      <c r="AE367" s="71" t="s">
        <v>28</v>
      </c>
      <c r="AF367" s="72"/>
      <c r="AG367" s="73"/>
      <c r="AH367" s="74" t="s">
        <v>16</v>
      </c>
      <c r="AI367" s="102">
        <v>46252</v>
      </c>
      <c r="AJ367" s="70">
        <v>3</v>
      </c>
      <c r="AK367" s="103" t="s">
        <v>1548</v>
      </c>
      <c r="AL367" s="104">
        <f t="shared" si="127"/>
        <v>46344</v>
      </c>
      <c r="AM367" s="105">
        <f ca="1" t="shared" si="128"/>
        <v>31</v>
      </c>
      <c r="AN367" s="115"/>
      <c r="AO367" s="115"/>
      <c r="AP367" s="115"/>
      <c r="AQ367" s="93"/>
      <c r="AR367" s="93"/>
      <c r="AS367" s="94"/>
      <c r="AT367" s="95"/>
      <c r="AU367" s="79"/>
      <c r="AV367" s="117"/>
      <c r="AW367" s="115"/>
      <c r="AX367" s="106"/>
      <c r="AY367" s="104">
        <f t="shared" si="119"/>
        <v>0</v>
      </c>
      <c r="AZ367" s="105">
        <f ca="1" t="shared" si="120"/>
        <v>-46313</v>
      </c>
    </row>
    <row r="368" customHeight="1" spans="1:52">
      <c r="A368" s="70">
        <v>367</v>
      </c>
      <c r="B368" s="70" t="s">
        <v>721</v>
      </c>
      <c r="C368" s="70" t="s">
        <v>38</v>
      </c>
      <c r="D368" s="71" t="s">
        <v>1549</v>
      </c>
      <c r="E368" s="71" t="s">
        <v>189</v>
      </c>
      <c r="F368" s="72"/>
      <c r="G368" s="73"/>
      <c r="H368" s="74" t="s">
        <v>16</v>
      </c>
      <c r="I368" s="165">
        <v>46042</v>
      </c>
      <c r="J368" s="70">
        <v>3</v>
      </c>
      <c r="K368" s="106" t="s">
        <v>1550</v>
      </c>
      <c r="L368" s="104">
        <f t="shared" si="121"/>
        <v>46132</v>
      </c>
      <c r="M368" s="105">
        <f ca="1" t="shared" si="122"/>
        <v>-181</v>
      </c>
      <c r="N368" s="70"/>
      <c r="O368" s="70" t="s">
        <v>721</v>
      </c>
      <c r="P368" s="70" t="s">
        <v>38</v>
      </c>
      <c r="Q368" s="71" t="s">
        <v>1549</v>
      </c>
      <c r="R368" s="71" t="s">
        <v>189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1551</v>
      </c>
      <c r="Y368" s="104">
        <f t="shared" si="125"/>
        <v>46255</v>
      </c>
      <c r="Z368" s="105">
        <f ca="1" t="shared" si="126"/>
        <v>-58</v>
      </c>
      <c r="AA368" s="70"/>
      <c r="AB368" s="70" t="s">
        <v>721</v>
      </c>
      <c r="AC368" s="70" t="s">
        <v>38</v>
      </c>
      <c r="AD368" s="71" t="s">
        <v>1549</v>
      </c>
      <c r="AE368" s="71" t="s">
        <v>189</v>
      </c>
      <c r="AF368" s="72"/>
      <c r="AG368" s="73"/>
      <c r="AH368" s="74" t="s">
        <v>16</v>
      </c>
      <c r="AI368" s="102">
        <v>46284</v>
      </c>
      <c r="AJ368" s="70">
        <v>3</v>
      </c>
      <c r="AK368" s="103" t="s">
        <v>1552</v>
      </c>
      <c r="AL368" s="104">
        <f t="shared" si="127"/>
        <v>46375</v>
      </c>
      <c r="AM368" s="105">
        <f ca="1" t="shared" si="128"/>
        <v>62</v>
      </c>
      <c r="AN368" s="115"/>
      <c r="AO368" s="115"/>
      <c r="AP368" s="115"/>
      <c r="AQ368" s="93"/>
      <c r="AR368" s="93"/>
      <c r="AS368" s="94"/>
      <c r="AT368" s="95"/>
      <c r="AU368" s="79"/>
      <c r="AV368" s="117"/>
      <c r="AW368" s="115"/>
      <c r="AX368" s="106"/>
      <c r="AY368" s="104">
        <f t="shared" si="119"/>
        <v>0</v>
      </c>
      <c r="AZ368" s="105">
        <f ca="1" t="shared" si="120"/>
        <v>-46313</v>
      </c>
    </row>
    <row r="369" customHeight="1" spans="1:52">
      <c r="A369" s="70">
        <v>368</v>
      </c>
      <c r="B369" s="70" t="s">
        <v>1275</v>
      </c>
      <c r="C369" s="70" t="s">
        <v>38</v>
      </c>
      <c r="D369" s="71" t="s">
        <v>1553</v>
      </c>
      <c r="E369" s="71" t="s">
        <v>189</v>
      </c>
      <c r="F369" s="72"/>
      <c r="G369" s="73"/>
      <c r="H369" s="74" t="s">
        <v>16</v>
      </c>
      <c r="I369" s="165">
        <v>46042</v>
      </c>
      <c r="J369" s="70">
        <v>3</v>
      </c>
      <c r="K369" s="106" t="s">
        <v>1554</v>
      </c>
      <c r="L369" s="104">
        <f t="shared" si="121"/>
        <v>46132</v>
      </c>
      <c r="M369" s="105">
        <f ca="1" t="shared" si="122"/>
        <v>-181</v>
      </c>
      <c r="N369" s="70"/>
      <c r="O369" s="70" t="s">
        <v>1275</v>
      </c>
      <c r="P369" s="70" t="s">
        <v>38</v>
      </c>
      <c r="Q369" s="71" t="s">
        <v>1553</v>
      </c>
      <c r="R369" s="71" t="s">
        <v>189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1555</v>
      </c>
      <c r="Y369" s="104">
        <f t="shared" si="125"/>
        <v>46239</v>
      </c>
      <c r="Z369" s="105">
        <f ca="1" t="shared" si="126"/>
        <v>-74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127"/>
        <v>0</v>
      </c>
      <c r="AM369" s="105">
        <f ca="1" t="shared" si="128"/>
        <v>-46313</v>
      </c>
      <c r="AN369" s="115"/>
      <c r="AO369" s="115"/>
      <c r="AP369" s="115"/>
      <c r="AQ369" s="93"/>
      <c r="AR369" s="93"/>
      <c r="AS369" s="94"/>
      <c r="AT369" s="95"/>
      <c r="AU369" s="79"/>
      <c r="AV369" s="117"/>
      <c r="AW369" s="115"/>
      <c r="AX369" s="106"/>
      <c r="AY369" s="104">
        <f t="shared" si="119"/>
        <v>0</v>
      </c>
      <c r="AZ369" s="105">
        <f ca="1" t="shared" si="120"/>
        <v>-46313</v>
      </c>
    </row>
    <row r="370" customHeight="1" spans="1:52">
      <c r="A370" s="70">
        <v>369</v>
      </c>
      <c r="B370" s="70" t="s">
        <v>718</v>
      </c>
      <c r="C370" s="70" t="s">
        <v>38</v>
      </c>
      <c r="D370" s="71" t="s">
        <v>1556</v>
      </c>
      <c r="E370" s="71" t="s">
        <v>189</v>
      </c>
      <c r="F370" s="72"/>
      <c r="G370" s="73"/>
      <c r="H370" s="74" t="s">
        <v>16</v>
      </c>
      <c r="I370" s="165">
        <v>46042</v>
      </c>
      <c r="J370" s="70">
        <v>3</v>
      </c>
      <c r="K370" s="106" t="s">
        <v>1557</v>
      </c>
      <c r="L370" s="104">
        <f t="shared" si="121"/>
        <v>46132</v>
      </c>
      <c r="M370" s="105">
        <f ca="1" t="shared" si="122"/>
        <v>-181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125"/>
        <v>0</v>
      </c>
      <c r="Z370" s="105">
        <f ca="1" t="shared" si="126"/>
        <v>-46313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127"/>
        <v>0</v>
      </c>
      <c r="AM370" s="105">
        <f ca="1" t="shared" si="128"/>
        <v>-46313</v>
      </c>
      <c r="AN370" s="115"/>
      <c r="AO370" s="70"/>
      <c r="AP370" s="70"/>
      <c r="AQ370" s="71"/>
      <c r="AR370" s="71"/>
      <c r="AS370" s="72"/>
      <c r="AT370" s="73"/>
      <c r="AU370" s="79"/>
      <c r="AV370" s="117"/>
      <c r="AW370" s="115"/>
      <c r="AX370" s="106"/>
      <c r="AY370" s="104">
        <f t="shared" si="119"/>
        <v>0</v>
      </c>
      <c r="AZ370" s="105">
        <f ca="1" t="shared" si="120"/>
        <v>-46313</v>
      </c>
    </row>
    <row r="371" customHeight="1" spans="1:52">
      <c r="A371" s="70">
        <v>370</v>
      </c>
      <c r="B371" s="70" t="s">
        <v>718</v>
      </c>
      <c r="C371" s="70" t="s">
        <v>13</v>
      </c>
      <c r="D371" s="71" t="s">
        <v>1558</v>
      </c>
      <c r="E371" s="71" t="s">
        <v>76</v>
      </c>
      <c r="F371" s="72"/>
      <c r="G371" s="73"/>
      <c r="H371" s="75"/>
      <c r="I371" s="165">
        <v>46042</v>
      </c>
      <c r="J371" s="70">
        <v>3</v>
      </c>
      <c r="K371" s="106" t="s">
        <v>1559</v>
      </c>
      <c r="L371" s="104">
        <f t="shared" si="121"/>
        <v>46132</v>
      </c>
      <c r="M371" s="105">
        <f ca="1" t="shared" si="122"/>
        <v>-181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125"/>
        <v>0</v>
      </c>
      <c r="Z371" s="105">
        <f ca="1" t="shared" si="126"/>
        <v>-46313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127"/>
        <v>0</v>
      </c>
      <c r="AM371" s="105">
        <f ca="1" t="shared" si="128"/>
        <v>-46313</v>
      </c>
      <c r="AN371" s="115"/>
      <c r="AO371" s="115"/>
      <c r="AP371" s="115"/>
      <c r="AQ371" s="93"/>
      <c r="AR371" s="93"/>
      <c r="AS371" s="94"/>
      <c r="AT371" s="95"/>
      <c r="AU371" s="79"/>
      <c r="AV371" s="117"/>
      <c r="AW371" s="115"/>
      <c r="AX371" s="106"/>
      <c r="AY371" s="104">
        <f t="shared" si="119"/>
        <v>0</v>
      </c>
      <c r="AZ371" s="105">
        <f ca="1" t="shared" si="120"/>
        <v>-46313</v>
      </c>
    </row>
    <row r="372" customHeight="1" spans="1:52">
      <c r="A372" s="70">
        <v>371</v>
      </c>
      <c r="B372" s="70" t="s">
        <v>1205</v>
      </c>
      <c r="C372" s="70" t="s">
        <v>38</v>
      </c>
      <c r="D372" s="71" t="s">
        <v>1560</v>
      </c>
      <c r="E372" s="71" t="s">
        <v>189</v>
      </c>
      <c r="F372" s="72"/>
      <c r="G372" s="73"/>
      <c r="H372" s="114" t="s">
        <v>16</v>
      </c>
      <c r="I372" s="165">
        <v>46042</v>
      </c>
      <c r="J372" s="70">
        <v>3</v>
      </c>
      <c r="K372" s="106" t="s">
        <v>1561</v>
      </c>
      <c r="L372" s="104">
        <f t="shared" si="121"/>
        <v>46132</v>
      </c>
      <c r="M372" s="105">
        <f ca="1" t="shared" si="122"/>
        <v>-181</v>
      </c>
      <c r="N372" s="70"/>
      <c r="O372" s="70" t="s">
        <v>1205</v>
      </c>
      <c r="P372" s="70" t="s">
        <v>38</v>
      </c>
      <c r="Q372" s="71" t="s">
        <v>1560</v>
      </c>
      <c r="R372" s="71" t="s">
        <v>189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1562</v>
      </c>
      <c r="Y372" s="104">
        <f t="shared" si="125"/>
        <v>46231</v>
      </c>
      <c r="Z372" s="105">
        <f ca="1" t="shared" si="126"/>
        <v>-82</v>
      </c>
      <c r="AA372" s="70"/>
      <c r="AB372" s="70" t="s">
        <v>1205</v>
      </c>
      <c r="AC372" s="70" t="s">
        <v>38</v>
      </c>
      <c r="AD372" s="71" t="s">
        <v>1560</v>
      </c>
      <c r="AE372" s="71" t="s">
        <v>189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1563</v>
      </c>
      <c r="AL372" s="104">
        <f t="shared" si="127"/>
        <v>46338</v>
      </c>
      <c r="AM372" s="105">
        <f ca="1" t="shared" si="128"/>
        <v>25</v>
      </c>
      <c r="AN372" s="115"/>
      <c r="AO372" s="115"/>
      <c r="AP372" s="115"/>
      <c r="AQ372" s="93"/>
      <c r="AR372" s="93"/>
      <c r="AS372" s="94"/>
      <c r="AT372" s="95"/>
      <c r="AU372" s="79"/>
      <c r="AV372" s="117"/>
      <c r="AW372" s="115"/>
      <c r="AX372" s="106"/>
      <c r="AY372" s="104">
        <f t="shared" si="119"/>
        <v>0</v>
      </c>
      <c r="AZ372" s="105">
        <f ca="1" t="shared" si="120"/>
        <v>-46313</v>
      </c>
    </row>
    <row r="373" customHeight="1" spans="1:52">
      <c r="A373" s="70">
        <v>372</v>
      </c>
      <c r="B373" s="70" t="s">
        <v>1205</v>
      </c>
      <c r="C373" s="70" t="s">
        <v>13</v>
      </c>
      <c r="D373" s="71" t="s">
        <v>1564</v>
      </c>
      <c r="E373" s="71" t="s">
        <v>76</v>
      </c>
      <c r="F373" s="72"/>
      <c r="G373" s="73"/>
      <c r="H373" s="191"/>
      <c r="I373" s="165">
        <v>46042</v>
      </c>
      <c r="J373" s="70">
        <v>3</v>
      </c>
      <c r="K373" s="106" t="s">
        <v>1565</v>
      </c>
      <c r="L373" s="104">
        <f t="shared" si="121"/>
        <v>46132</v>
      </c>
      <c r="M373" s="105">
        <f ca="1" t="shared" si="122"/>
        <v>-181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125"/>
        <v>0</v>
      </c>
      <c r="Z373" s="105">
        <f ca="1" t="shared" si="126"/>
        <v>-46313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127"/>
        <v>0</v>
      </c>
      <c r="AM373" s="105">
        <f ca="1" t="shared" si="128"/>
        <v>-46313</v>
      </c>
      <c r="AN373" s="115"/>
      <c r="AO373" s="70"/>
      <c r="AP373" s="70"/>
      <c r="AQ373" s="71"/>
      <c r="AR373" s="71"/>
      <c r="AS373" s="72"/>
      <c r="AT373" s="73"/>
      <c r="AU373" s="79"/>
      <c r="AV373" s="117"/>
      <c r="AW373" s="115"/>
      <c r="AX373" s="106"/>
      <c r="AY373" s="104">
        <f t="shared" si="119"/>
        <v>0</v>
      </c>
      <c r="AZ373" s="105">
        <f ca="1" t="shared" si="120"/>
        <v>-46313</v>
      </c>
    </row>
    <row r="374" customHeight="1" spans="1:52">
      <c r="A374" s="70">
        <v>373</v>
      </c>
      <c r="B374" s="70" t="s">
        <v>1205</v>
      </c>
      <c r="C374" s="70" t="s">
        <v>13</v>
      </c>
      <c r="D374" s="71" t="s">
        <v>1566</v>
      </c>
      <c r="E374" s="71" t="s">
        <v>76</v>
      </c>
      <c r="F374" s="72"/>
      <c r="G374" s="73"/>
      <c r="H374" s="191"/>
      <c r="I374" s="165">
        <v>46042</v>
      </c>
      <c r="J374" s="70">
        <v>3</v>
      </c>
      <c r="K374" s="106" t="s">
        <v>1567</v>
      </c>
      <c r="L374" s="104">
        <f t="shared" si="121"/>
        <v>46132</v>
      </c>
      <c r="M374" s="105">
        <f ca="1" t="shared" si="122"/>
        <v>-181</v>
      </c>
      <c r="N374" s="70"/>
      <c r="O374" s="70" t="s">
        <v>1205</v>
      </c>
      <c r="P374" s="70" t="s">
        <v>13</v>
      </c>
      <c r="Q374" s="71" t="s">
        <v>1566</v>
      </c>
      <c r="R374" s="71" t="s">
        <v>76</v>
      </c>
      <c r="S374" s="72"/>
      <c r="T374" s="73"/>
      <c r="U374" s="191"/>
      <c r="V374" s="102">
        <v>46140</v>
      </c>
      <c r="W374" s="70">
        <v>3</v>
      </c>
      <c r="X374" s="103" t="s">
        <v>1568</v>
      </c>
      <c r="Y374" s="104">
        <f t="shared" si="125"/>
        <v>46231</v>
      </c>
      <c r="Z374" s="105">
        <f ca="1" t="shared" si="126"/>
        <v>-82</v>
      </c>
      <c r="AA374" s="70"/>
      <c r="AB374" s="70" t="s">
        <v>1205</v>
      </c>
      <c r="AC374" s="70" t="s">
        <v>13</v>
      </c>
      <c r="AD374" s="71" t="s">
        <v>1566</v>
      </c>
      <c r="AE374" s="71" t="s">
        <v>76</v>
      </c>
      <c r="AF374" s="72"/>
      <c r="AG374" s="73"/>
      <c r="AH374" s="191"/>
      <c r="AI374" s="102">
        <v>46236</v>
      </c>
      <c r="AJ374" s="70">
        <v>3</v>
      </c>
      <c r="AK374" s="103" t="s">
        <v>1569</v>
      </c>
      <c r="AL374" s="104">
        <f t="shared" si="127"/>
        <v>46328</v>
      </c>
      <c r="AM374" s="105">
        <f ca="1" t="shared" si="128"/>
        <v>15</v>
      </c>
      <c r="AN374" s="115"/>
      <c r="AO374" s="115"/>
      <c r="AP374" s="115"/>
      <c r="AQ374" s="93"/>
      <c r="AR374" s="93"/>
      <c r="AS374" s="94"/>
      <c r="AT374" s="95"/>
      <c r="AU374" s="79"/>
      <c r="AV374" s="117"/>
      <c r="AW374" s="115"/>
      <c r="AX374" s="106"/>
      <c r="AY374" s="104">
        <f t="shared" si="119"/>
        <v>0</v>
      </c>
      <c r="AZ374" s="105">
        <f ca="1" t="shared" si="120"/>
        <v>-46313</v>
      </c>
    </row>
    <row r="375" customHeight="1" spans="1:52">
      <c r="A375" s="70">
        <v>374</v>
      </c>
      <c r="B375" s="70" t="s">
        <v>1205</v>
      </c>
      <c r="C375" s="70" t="s">
        <v>13</v>
      </c>
      <c r="D375" s="71" t="s">
        <v>1570</v>
      </c>
      <c r="E375" s="71" t="s">
        <v>76</v>
      </c>
      <c r="F375" s="72"/>
      <c r="G375" s="73"/>
      <c r="H375" s="191"/>
      <c r="I375" s="165">
        <v>46042</v>
      </c>
      <c r="J375" s="70">
        <v>3</v>
      </c>
      <c r="K375" s="106" t="s">
        <v>1571</v>
      </c>
      <c r="L375" s="104">
        <f t="shared" si="121"/>
        <v>46132</v>
      </c>
      <c r="M375" s="105">
        <f ca="1" t="shared" si="122"/>
        <v>-181</v>
      </c>
      <c r="N375" s="70"/>
      <c r="O375" s="70" t="s">
        <v>1205</v>
      </c>
      <c r="P375" s="70" t="s">
        <v>13</v>
      </c>
      <c r="Q375" s="71" t="s">
        <v>1570</v>
      </c>
      <c r="R375" s="71" t="s">
        <v>76</v>
      </c>
      <c r="S375" s="72"/>
      <c r="T375" s="73"/>
      <c r="U375" s="191"/>
      <c r="V375" s="102">
        <v>46140</v>
      </c>
      <c r="W375" s="70">
        <v>3</v>
      </c>
      <c r="X375" s="103" t="s">
        <v>1572</v>
      </c>
      <c r="Y375" s="104">
        <f t="shared" si="125"/>
        <v>46231</v>
      </c>
      <c r="Z375" s="105">
        <f ca="1" t="shared" si="126"/>
        <v>-82</v>
      </c>
      <c r="AA375" s="70"/>
      <c r="AB375" s="70" t="s">
        <v>1205</v>
      </c>
      <c r="AC375" s="70" t="s">
        <v>13</v>
      </c>
      <c r="AD375" s="71" t="s">
        <v>1570</v>
      </c>
      <c r="AE375" s="71" t="s">
        <v>76</v>
      </c>
      <c r="AF375" s="72"/>
      <c r="AG375" s="73"/>
      <c r="AH375" s="191"/>
      <c r="AI375" s="102">
        <v>46245</v>
      </c>
      <c r="AJ375" s="70">
        <v>3</v>
      </c>
      <c r="AK375" s="103" t="s">
        <v>1573</v>
      </c>
      <c r="AL375" s="104">
        <f t="shared" si="127"/>
        <v>46337</v>
      </c>
      <c r="AM375" s="105">
        <f ca="1" t="shared" si="128"/>
        <v>24</v>
      </c>
      <c r="AN375" s="115"/>
      <c r="AO375" s="115"/>
      <c r="AP375" s="115"/>
      <c r="AQ375" s="93"/>
      <c r="AR375" s="93"/>
      <c r="AS375" s="94"/>
      <c r="AT375" s="95"/>
      <c r="AU375" s="79"/>
      <c r="AV375" s="117"/>
      <c r="AW375" s="115"/>
      <c r="AX375" s="106"/>
      <c r="AY375" s="104">
        <f>EDATE(AV375,AW375)</f>
        <v>0</v>
      </c>
      <c r="AZ375" s="105">
        <f ca="1">AY375-TODAY()</f>
        <v>-46313</v>
      </c>
    </row>
    <row r="376" customHeight="1" spans="1:52">
      <c r="A376" s="70">
        <v>375</v>
      </c>
      <c r="B376" s="70" t="s">
        <v>1574</v>
      </c>
      <c r="C376" s="70" t="s">
        <v>38</v>
      </c>
      <c r="D376" s="71" t="s">
        <v>1575</v>
      </c>
      <c r="E376" s="71" t="s">
        <v>1576</v>
      </c>
      <c r="F376" s="72"/>
      <c r="G376" s="73"/>
      <c r="H376" s="191"/>
      <c r="I376" s="165">
        <v>46042</v>
      </c>
      <c r="J376" s="70">
        <v>3</v>
      </c>
      <c r="K376" s="106" t="s">
        <v>1577</v>
      </c>
      <c r="L376" s="104">
        <f t="shared" si="121"/>
        <v>46132</v>
      </c>
      <c r="M376" s="105">
        <f ca="1" t="shared" si="122"/>
        <v>-181</v>
      </c>
      <c r="N376" s="70"/>
      <c r="O376" s="70" t="s">
        <v>1574</v>
      </c>
      <c r="P376" s="70" t="s">
        <v>38</v>
      </c>
      <c r="Q376" s="71" t="s">
        <v>1575</v>
      </c>
      <c r="R376" s="71" t="s">
        <v>1576</v>
      </c>
      <c r="S376" s="72"/>
      <c r="T376" s="73"/>
      <c r="U376" s="191"/>
      <c r="V376" s="102">
        <v>46125</v>
      </c>
      <c r="W376" s="70">
        <v>3</v>
      </c>
      <c r="X376" s="103" t="s">
        <v>1578</v>
      </c>
      <c r="Y376" s="104">
        <f t="shared" si="125"/>
        <v>46216</v>
      </c>
      <c r="Z376" s="105">
        <f ca="1" t="shared" si="126"/>
        <v>-97</v>
      </c>
      <c r="AA376" s="70"/>
      <c r="AB376" s="70" t="s">
        <v>1574</v>
      </c>
      <c r="AC376" s="70" t="s">
        <v>38</v>
      </c>
      <c r="AD376" s="71" t="s">
        <v>1575</v>
      </c>
      <c r="AE376" s="71" t="s">
        <v>1576</v>
      </c>
      <c r="AF376" s="72"/>
      <c r="AG376" s="73"/>
      <c r="AH376" s="191"/>
      <c r="AI376" s="102">
        <v>46246</v>
      </c>
      <c r="AJ376" s="70">
        <v>3</v>
      </c>
      <c r="AK376" s="103" t="s">
        <v>1579</v>
      </c>
      <c r="AL376" s="104">
        <f t="shared" si="127"/>
        <v>46338</v>
      </c>
      <c r="AM376" s="105">
        <f ca="1" t="shared" si="128"/>
        <v>25</v>
      </c>
      <c r="AN376" s="115"/>
      <c r="AO376" s="115"/>
      <c r="AP376" s="115"/>
      <c r="AQ376" s="93"/>
      <c r="AR376" s="93"/>
      <c r="AS376" s="94"/>
      <c r="AT376" s="95"/>
      <c r="AU376" s="79"/>
      <c r="AV376" s="117"/>
      <c r="AW376" s="115"/>
      <c r="AX376" s="106"/>
      <c r="AY376" s="104"/>
      <c r="AZ376" s="105"/>
    </row>
    <row r="377" customHeight="1" spans="1:52">
      <c r="A377" s="70">
        <v>376</v>
      </c>
      <c r="B377" s="70" t="s">
        <v>270</v>
      </c>
      <c r="C377" s="70" t="s">
        <v>264</v>
      </c>
      <c r="D377" s="71" t="s">
        <v>1580</v>
      </c>
      <c r="E377" s="71" t="s">
        <v>264</v>
      </c>
      <c r="F377" s="72"/>
      <c r="G377" s="73"/>
      <c r="H377" s="74" t="s">
        <v>16</v>
      </c>
      <c r="I377" s="165">
        <v>46042</v>
      </c>
      <c r="J377" s="70">
        <v>3</v>
      </c>
      <c r="K377" s="106" t="s">
        <v>1581</v>
      </c>
      <c r="L377" s="104">
        <f t="shared" si="121"/>
        <v>46132</v>
      </c>
      <c r="M377" s="105">
        <f ca="1" t="shared" si="122"/>
        <v>-181</v>
      </c>
      <c r="N377" s="70"/>
      <c r="O377" s="70" t="s">
        <v>270</v>
      </c>
      <c r="P377" s="70" t="s">
        <v>264</v>
      </c>
      <c r="Q377" s="71" t="s">
        <v>1580</v>
      </c>
      <c r="R377" s="71" t="s">
        <v>264</v>
      </c>
      <c r="S377" s="72"/>
      <c r="T377" s="73"/>
      <c r="U377" s="191"/>
      <c r="V377" s="102">
        <v>46154</v>
      </c>
      <c r="W377" s="70">
        <v>3</v>
      </c>
      <c r="X377" s="103" t="s">
        <v>1582</v>
      </c>
      <c r="Y377" s="104">
        <f t="shared" si="125"/>
        <v>46246</v>
      </c>
      <c r="Z377" s="105">
        <f ca="1" t="shared" si="126"/>
        <v>-67</v>
      </c>
      <c r="AA377" s="70"/>
      <c r="AB377" s="70" t="s">
        <v>270</v>
      </c>
      <c r="AC377" s="70" t="s">
        <v>264</v>
      </c>
      <c r="AD377" s="71" t="s">
        <v>1580</v>
      </c>
      <c r="AE377" s="71" t="s">
        <v>264</v>
      </c>
      <c r="AF377" s="72"/>
      <c r="AG377" s="73"/>
      <c r="AH377" s="191"/>
      <c r="AI377" s="102">
        <v>46247</v>
      </c>
      <c r="AJ377" s="70">
        <v>3</v>
      </c>
      <c r="AK377" s="103" t="s">
        <v>1583</v>
      </c>
      <c r="AL377" s="104">
        <f t="shared" si="127"/>
        <v>46339</v>
      </c>
      <c r="AM377" s="105">
        <f ca="1" t="shared" si="128"/>
        <v>26</v>
      </c>
      <c r="AN377" s="115"/>
      <c r="AO377" s="115"/>
      <c r="AP377" s="115"/>
      <c r="AQ377" s="93"/>
      <c r="AR377" s="93"/>
      <c r="AS377" s="94"/>
      <c r="AT377" s="95"/>
      <c r="AU377" s="79"/>
      <c r="AV377" s="117"/>
      <c r="AW377" s="115"/>
      <c r="AX377" s="106"/>
      <c r="AY377" s="104"/>
      <c r="AZ377" s="105"/>
    </row>
    <row r="378" customHeight="1" spans="1:52">
      <c r="A378" s="70">
        <v>377</v>
      </c>
      <c r="B378" s="70" t="s">
        <v>270</v>
      </c>
      <c r="C378" s="70" t="s">
        <v>264</v>
      </c>
      <c r="D378" s="71" t="s">
        <v>1584</v>
      </c>
      <c r="E378" s="71" t="s">
        <v>277</v>
      </c>
      <c r="F378" s="72"/>
      <c r="G378" s="73"/>
      <c r="H378" s="75"/>
      <c r="I378" s="165">
        <v>46042</v>
      </c>
      <c r="J378" s="70">
        <v>3</v>
      </c>
      <c r="K378" s="106" t="s">
        <v>1585</v>
      </c>
      <c r="L378" s="104">
        <f t="shared" si="121"/>
        <v>46132</v>
      </c>
      <c r="M378" s="105">
        <f ca="1" t="shared" si="122"/>
        <v>-181</v>
      </c>
      <c r="N378" s="70"/>
      <c r="O378" s="70" t="s">
        <v>270</v>
      </c>
      <c r="P378" s="70" t="s">
        <v>264</v>
      </c>
      <c r="Q378" s="71" t="s">
        <v>1584</v>
      </c>
      <c r="R378" s="71" t="s">
        <v>277</v>
      </c>
      <c r="S378" s="72"/>
      <c r="T378" s="73"/>
      <c r="U378" s="75"/>
      <c r="V378" s="102">
        <v>46262</v>
      </c>
      <c r="W378" s="70">
        <v>3</v>
      </c>
      <c r="X378" s="103" t="s">
        <v>1586</v>
      </c>
      <c r="Y378" s="104">
        <f t="shared" si="125"/>
        <v>46354</v>
      </c>
      <c r="Z378" s="105">
        <f ca="1" t="shared" si="126"/>
        <v>41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127"/>
        <v>0</v>
      </c>
      <c r="AM378" s="105">
        <f ca="1" t="shared" si="128"/>
        <v>-46313</v>
      </c>
      <c r="AN378" s="115"/>
      <c r="AO378" s="115"/>
      <c r="AP378" s="115"/>
      <c r="AQ378" s="93"/>
      <c r="AR378" s="93"/>
      <c r="AS378" s="94"/>
      <c r="AT378" s="95"/>
      <c r="AU378" s="79"/>
      <c r="AV378" s="117"/>
      <c r="AW378" s="115"/>
      <c r="AX378" s="106"/>
      <c r="AY378" s="104"/>
      <c r="AZ378" s="105"/>
    </row>
    <row r="379" customHeight="1" spans="1:52">
      <c r="A379" s="70">
        <v>378</v>
      </c>
      <c r="B379" s="70" t="s">
        <v>270</v>
      </c>
      <c r="C379" s="70" t="s">
        <v>264</v>
      </c>
      <c r="D379" s="71" t="s">
        <v>958</v>
      </c>
      <c r="E379" s="71" t="s">
        <v>1232</v>
      </c>
      <c r="F379" s="72"/>
      <c r="G379" s="73"/>
      <c r="H379" s="75"/>
      <c r="I379" s="165">
        <v>46042</v>
      </c>
      <c r="J379" s="165" t="s">
        <v>767</v>
      </c>
      <c r="K379" s="106"/>
      <c r="L379" s="104" t="e">
        <f t="shared" si="121"/>
        <v>#VALUE!</v>
      </c>
      <c r="M379" s="105" t="e">
        <f ca="1" t="shared" si="122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125"/>
        <v>0</v>
      </c>
      <c r="Z379" s="105">
        <f ca="1" t="shared" si="126"/>
        <v>-46313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127"/>
        <v>0</v>
      </c>
      <c r="AM379" s="105">
        <f ca="1" t="shared" si="128"/>
        <v>-46313</v>
      </c>
      <c r="AN379" s="115"/>
      <c r="AO379" s="70"/>
      <c r="AP379" s="70"/>
      <c r="AQ379" s="71"/>
      <c r="AR379" s="71"/>
      <c r="AS379" s="72"/>
      <c r="AT379" s="73"/>
      <c r="AU379" s="79"/>
      <c r="AV379" s="117"/>
      <c r="AW379" s="115"/>
      <c r="AX379" s="106"/>
      <c r="AY379" s="104"/>
      <c r="AZ379" s="105"/>
    </row>
    <row r="380" customHeight="1" spans="1:52">
      <c r="A380" s="70">
        <v>379</v>
      </c>
      <c r="B380" s="70" t="s">
        <v>270</v>
      </c>
      <c r="C380" s="70" t="s">
        <v>264</v>
      </c>
      <c r="D380" s="71" t="s">
        <v>367</v>
      </c>
      <c r="E380" s="71" t="s">
        <v>368</v>
      </c>
      <c r="F380" s="72"/>
      <c r="G380" s="73"/>
      <c r="H380" s="75"/>
      <c r="I380" s="165">
        <v>46042</v>
      </c>
      <c r="J380" s="165" t="s">
        <v>767</v>
      </c>
      <c r="K380" s="106"/>
      <c r="L380" s="104" t="e">
        <f t="shared" si="121"/>
        <v>#VALUE!</v>
      </c>
      <c r="M380" s="105" t="e">
        <f ca="1" t="shared" si="122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125"/>
        <v>0</v>
      </c>
      <c r="Z380" s="105">
        <f ca="1" t="shared" si="126"/>
        <v>-46313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127"/>
        <v>0</v>
      </c>
      <c r="AM380" s="105">
        <f ca="1" t="shared" si="128"/>
        <v>-46313</v>
      </c>
      <c r="AN380" s="115"/>
      <c r="AO380" s="115"/>
      <c r="AP380" s="115"/>
      <c r="AQ380" s="93"/>
      <c r="AR380" s="93"/>
      <c r="AS380" s="94"/>
      <c r="AT380" s="95"/>
      <c r="AU380" s="79"/>
      <c r="AV380" s="117"/>
      <c r="AW380" s="115"/>
      <c r="AX380" s="106"/>
      <c r="AY380" s="104"/>
      <c r="AZ380" s="105"/>
    </row>
    <row r="381" customHeight="1" spans="1:52">
      <c r="A381" s="70">
        <v>380</v>
      </c>
      <c r="B381" s="70" t="s">
        <v>263</v>
      </c>
      <c r="C381" s="70" t="s">
        <v>264</v>
      </c>
      <c r="D381" s="71" t="s">
        <v>265</v>
      </c>
      <c r="E381" s="71" t="s">
        <v>266</v>
      </c>
      <c r="F381" s="72"/>
      <c r="G381" s="73"/>
      <c r="H381" s="75"/>
      <c r="I381" s="165">
        <v>46042</v>
      </c>
      <c r="J381" s="165" t="s">
        <v>767</v>
      </c>
      <c r="K381" s="106"/>
      <c r="L381" s="104" t="e">
        <f t="shared" si="121"/>
        <v>#VALUE!</v>
      </c>
      <c r="M381" s="105" t="e">
        <f ca="1" t="shared" si="122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125"/>
        <v>0</v>
      </c>
      <c r="Z381" s="105">
        <f ca="1" t="shared" si="126"/>
        <v>-46313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129">EDATE(AI381,AJ381)</f>
        <v>0</v>
      </c>
      <c r="AM381" s="105">
        <f ca="1" t="shared" ref="AM381:AM390" si="130">AL381-TODAY()</f>
        <v>-46313</v>
      </c>
      <c r="AN381" s="115"/>
      <c r="AO381" s="115"/>
      <c r="AP381" s="115"/>
      <c r="AQ381" s="93"/>
      <c r="AR381" s="93"/>
      <c r="AS381" s="94"/>
      <c r="AT381" s="95"/>
      <c r="AU381" s="79"/>
      <c r="AV381" s="117"/>
      <c r="AW381" s="115"/>
      <c r="AX381" s="106"/>
      <c r="AY381" s="104"/>
      <c r="AZ381" s="105"/>
    </row>
    <row r="382" customHeight="1" spans="1:52">
      <c r="A382" s="70">
        <v>381</v>
      </c>
      <c r="B382" s="70" t="s">
        <v>782</v>
      </c>
      <c r="C382" s="70" t="s">
        <v>374</v>
      </c>
      <c r="D382" s="71" t="s">
        <v>1587</v>
      </c>
      <c r="E382" s="71" t="s">
        <v>548</v>
      </c>
      <c r="F382" s="72"/>
      <c r="G382" s="73"/>
      <c r="H382" s="79" t="s">
        <v>16</v>
      </c>
      <c r="I382" s="165">
        <v>46042</v>
      </c>
      <c r="J382" s="70">
        <v>3</v>
      </c>
      <c r="K382" s="106" t="s">
        <v>1588</v>
      </c>
      <c r="L382" s="104">
        <f t="shared" si="121"/>
        <v>46132</v>
      </c>
      <c r="M382" s="105">
        <f ca="1" t="shared" si="122"/>
        <v>-181</v>
      </c>
      <c r="N382" s="70"/>
      <c r="O382" s="70" t="s">
        <v>782</v>
      </c>
      <c r="P382" s="70" t="s">
        <v>374</v>
      </c>
      <c r="Q382" s="71" t="s">
        <v>1587</v>
      </c>
      <c r="R382" s="71" t="s">
        <v>548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1589</v>
      </c>
      <c r="Y382" s="104">
        <f t="shared" si="125"/>
        <v>46244</v>
      </c>
      <c r="Z382" s="105">
        <f ca="1" t="shared" si="126"/>
        <v>-69</v>
      </c>
      <c r="AA382" s="70"/>
      <c r="AB382" s="70" t="s">
        <v>782</v>
      </c>
      <c r="AC382" s="70" t="s">
        <v>374</v>
      </c>
      <c r="AD382" s="71" t="s">
        <v>1587</v>
      </c>
      <c r="AE382" s="71" t="s">
        <v>548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1590</v>
      </c>
      <c r="AL382" s="104">
        <f t="shared" si="129"/>
        <v>46334</v>
      </c>
      <c r="AM382" s="105">
        <f ca="1" t="shared" si="130"/>
        <v>21</v>
      </c>
      <c r="AN382" s="115"/>
      <c r="AO382" s="115"/>
      <c r="AP382" s="115"/>
      <c r="AQ382" s="93"/>
      <c r="AR382" s="93"/>
      <c r="AS382" s="94"/>
      <c r="AT382" s="95"/>
      <c r="AU382" s="79"/>
      <c r="AV382" s="117"/>
      <c r="AW382" s="115"/>
      <c r="AX382" s="106"/>
      <c r="AY382" s="104"/>
      <c r="AZ382" s="105"/>
    </row>
    <row r="383" customHeight="1" spans="1:52">
      <c r="A383" s="70">
        <v>382</v>
      </c>
      <c r="B383" s="70" t="s">
        <v>886</v>
      </c>
      <c r="C383" s="70" t="s">
        <v>374</v>
      </c>
      <c r="D383" s="71" t="s">
        <v>1591</v>
      </c>
      <c r="E383" s="71" t="s">
        <v>1592</v>
      </c>
      <c r="F383" s="72"/>
      <c r="G383" s="73"/>
      <c r="H383" s="79" t="s">
        <v>16</v>
      </c>
      <c r="I383" s="165">
        <v>46042</v>
      </c>
      <c r="J383" s="70">
        <v>3</v>
      </c>
      <c r="K383" s="106" t="s">
        <v>1593</v>
      </c>
      <c r="L383" s="104">
        <f t="shared" si="121"/>
        <v>46132</v>
      </c>
      <c r="M383" s="105">
        <f ca="1" t="shared" si="122"/>
        <v>-181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125"/>
        <v>0</v>
      </c>
      <c r="Z383" s="105">
        <f ca="1" t="shared" si="126"/>
        <v>-46313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129"/>
        <v>0</v>
      </c>
      <c r="AM383" s="105">
        <f ca="1" t="shared" si="130"/>
        <v>-46313</v>
      </c>
      <c r="AN383" s="115"/>
      <c r="AO383" s="115"/>
      <c r="AP383" s="115"/>
      <c r="AQ383" s="93"/>
      <c r="AR383" s="93"/>
      <c r="AS383" s="94"/>
      <c r="AT383" s="95"/>
      <c r="AU383" s="79"/>
      <c r="AV383" s="117"/>
      <c r="AW383" s="115"/>
      <c r="AX383" s="106"/>
      <c r="AY383" s="104"/>
      <c r="AZ383" s="105"/>
    </row>
    <row r="384" customHeight="1" spans="1:52">
      <c r="A384" s="70">
        <v>383</v>
      </c>
      <c r="B384" s="70" t="s">
        <v>886</v>
      </c>
      <c r="C384" s="70" t="s">
        <v>374</v>
      </c>
      <c r="D384" s="71" t="s">
        <v>1594</v>
      </c>
      <c r="E384" s="71" t="s">
        <v>568</v>
      </c>
      <c r="F384" s="72"/>
      <c r="G384" s="73"/>
      <c r="H384" s="79" t="s">
        <v>16</v>
      </c>
      <c r="I384" s="165">
        <v>46042</v>
      </c>
      <c r="J384" s="70">
        <v>3</v>
      </c>
      <c r="K384" s="106" t="s">
        <v>1595</v>
      </c>
      <c r="L384" s="104">
        <f t="shared" si="121"/>
        <v>46132</v>
      </c>
      <c r="M384" s="105">
        <f ca="1" t="shared" si="122"/>
        <v>-181</v>
      </c>
      <c r="N384" s="70"/>
      <c r="O384" s="70" t="s">
        <v>886</v>
      </c>
      <c r="P384" s="70" t="s">
        <v>374</v>
      </c>
      <c r="Q384" s="71" t="s">
        <v>1594</v>
      </c>
      <c r="R384" s="71" t="s">
        <v>568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1596</v>
      </c>
      <c r="Y384" s="104">
        <f t="shared" si="125"/>
        <v>46218</v>
      </c>
      <c r="Z384" s="105">
        <f ca="1" t="shared" si="126"/>
        <v>-95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129"/>
        <v>0</v>
      </c>
      <c r="AM384" s="105">
        <f ca="1" t="shared" si="130"/>
        <v>-46313</v>
      </c>
      <c r="AN384" s="115"/>
      <c r="AO384" s="115"/>
      <c r="AP384" s="115"/>
      <c r="AQ384" s="93"/>
      <c r="AR384" s="93"/>
      <c r="AS384" s="94"/>
      <c r="AT384" s="95"/>
      <c r="AU384" s="79"/>
      <c r="AV384" s="117"/>
      <c r="AW384" s="115"/>
      <c r="AX384" s="106"/>
      <c r="AY384" s="104"/>
      <c r="AZ384" s="105"/>
    </row>
    <row r="385" customHeight="1" spans="1:52">
      <c r="A385" s="70">
        <v>384</v>
      </c>
      <c r="B385" s="70" t="s">
        <v>886</v>
      </c>
      <c r="C385" s="70" t="s">
        <v>374</v>
      </c>
      <c r="D385" s="71" t="s">
        <v>1597</v>
      </c>
      <c r="E385" s="71" t="s">
        <v>568</v>
      </c>
      <c r="F385" s="72"/>
      <c r="G385" s="73"/>
      <c r="H385" s="79" t="s">
        <v>16</v>
      </c>
      <c r="I385" s="165">
        <v>46042</v>
      </c>
      <c r="J385" s="70">
        <v>3</v>
      </c>
      <c r="K385" s="106" t="s">
        <v>1598</v>
      </c>
      <c r="L385" s="104">
        <f t="shared" si="121"/>
        <v>46132</v>
      </c>
      <c r="M385" s="105">
        <f ca="1" t="shared" si="122"/>
        <v>-181</v>
      </c>
      <c r="N385" s="70"/>
      <c r="O385" s="70" t="s">
        <v>886</v>
      </c>
      <c r="P385" s="70" t="s">
        <v>374</v>
      </c>
      <c r="Q385" s="71" t="s">
        <v>1597</v>
      </c>
      <c r="R385" s="71" t="s">
        <v>568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1599</v>
      </c>
      <c r="Y385" s="104">
        <f t="shared" si="125"/>
        <v>46261</v>
      </c>
      <c r="Z385" s="105">
        <f ca="1" t="shared" si="126"/>
        <v>-52</v>
      </c>
      <c r="AA385" s="70"/>
      <c r="AB385" s="70" t="s">
        <v>886</v>
      </c>
      <c r="AC385" s="70" t="s">
        <v>374</v>
      </c>
      <c r="AD385" s="71" t="s">
        <v>1597</v>
      </c>
      <c r="AE385" s="71" t="s">
        <v>568</v>
      </c>
      <c r="AF385" s="72"/>
      <c r="AG385" s="73"/>
      <c r="AH385" s="79" t="s">
        <v>16</v>
      </c>
      <c r="AI385" s="102">
        <v>46288</v>
      </c>
      <c r="AJ385" s="70">
        <v>3</v>
      </c>
      <c r="AK385" s="103" t="s">
        <v>1600</v>
      </c>
      <c r="AL385" s="104">
        <f t="shared" si="129"/>
        <v>46379</v>
      </c>
      <c r="AM385" s="105">
        <f ca="1" t="shared" si="130"/>
        <v>66</v>
      </c>
      <c r="AN385" s="115"/>
      <c r="AO385" s="115"/>
      <c r="AP385" s="115"/>
      <c r="AQ385" s="93"/>
      <c r="AR385" s="93"/>
      <c r="AS385" s="94"/>
      <c r="AT385" s="95"/>
      <c r="AU385" s="79"/>
      <c r="AV385" s="117"/>
      <c r="AW385" s="115"/>
      <c r="AX385" s="106"/>
      <c r="AY385" s="104"/>
      <c r="AZ385" s="105"/>
    </row>
    <row r="386" customHeight="1" spans="1:52">
      <c r="A386" s="70">
        <v>385</v>
      </c>
      <c r="B386" s="70" t="s">
        <v>886</v>
      </c>
      <c r="C386" s="70" t="s">
        <v>374</v>
      </c>
      <c r="D386" s="71" t="s">
        <v>1601</v>
      </c>
      <c r="E386" s="71" t="s">
        <v>568</v>
      </c>
      <c r="F386" s="72"/>
      <c r="G386" s="73"/>
      <c r="H386" s="79" t="s">
        <v>16</v>
      </c>
      <c r="I386" s="165">
        <v>46042</v>
      </c>
      <c r="J386" s="70">
        <v>3</v>
      </c>
      <c r="K386" s="106" t="s">
        <v>1602</v>
      </c>
      <c r="L386" s="104">
        <f t="shared" ref="L386:L449" si="131">EDATE(I386,J386)</f>
        <v>46132</v>
      </c>
      <c r="M386" s="105">
        <f ca="1" t="shared" ref="M386:M449" si="132">L386-TODAY()</f>
        <v>-181</v>
      </c>
      <c r="N386" s="70"/>
      <c r="O386" s="70" t="s">
        <v>886</v>
      </c>
      <c r="P386" s="70" t="s">
        <v>374</v>
      </c>
      <c r="Q386" s="71" t="s">
        <v>1601</v>
      </c>
      <c r="R386" s="71" t="s">
        <v>568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1603</v>
      </c>
      <c r="Y386" s="104">
        <f t="shared" si="125"/>
        <v>46261</v>
      </c>
      <c r="Z386" s="105">
        <f ca="1" t="shared" si="126"/>
        <v>-52</v>
      </c>
      <c r="AA386" s="70"/>
      <c r="AB386" s="70" t="s">
        <v>886</v>
      </c>
      <c r="AC386" s="70" t="s">
        <v>374</v>
      </c>
      <c r="AD386" s="71" t="s">
        <v>1601</v>
      </c>
      <c r="AE386" s="71" t="s">
        <v>568</v>
      </c>
      <c r="AF386" s="72"/>
      <c r="AG386" s="73"/>
      <c r="AH386" s="79" t="s">
        <v>16</v>
      </c>
      <c r="AI386" s="102">
        <v>46294</v>
      </c>
      <c r="AJ386" s="70">
        <v>3</v>
      </c>
      <c r="AK386" s="103" t="s">
        <v>1604</v>
      </c>
      <c r="AL386" s="104">
        <f t="shared" si="129"/>
        <v>46385</v>
      </c>
      <c r="AM386" s="105">
        <f ca="1" t="shared" si="130"/>
        <v>72</v>
      </c>
      <c r="AN386" s="115"/>
      <c r="AO386" s="115"/>
      <c r="AP386" s="115"/>
      <c r="AQ386" s="93"/>
      <c r="AR386" s="93"/>
      <c r="AS386" s="94"/>
      <c r="AT386" s="95"/>
      <c r="AU386" s="79"/>
      <c r="AV386" s="117"/>
      <c r="AW386" s="115"/>
      <c r="AX386" s="106"/>
      <c r="AY386" s="104"/>
      <c r="AZ386" s="105"/>
    </row>
    <row r="387" customHeight="1" spans="1:52">
      <c r="A387" s="70">
        <v>386</v>
      </c>
      <c r="B387" s="70" t="s">
        <v>886</v>
      </c>
      <c r="C387" s="70" t="s">
        <v>374</v>
      </c>
      <c r="D387" s="71" t="s">
        <v>1605</v>
      </c>
      <c r="E387" s="71" t="s">
        <v>568</v>
      </c>
      <c r="F387" s="72"/>
      <c r="G387" s="73"/>
      <c r="H387" s="79" t="s">
        <v>16</v>
      </c>
      <c r="I387" s="165">
        <v>46042</v>
      </c>
      <c r="J387" s="70">
        <v>3</v>
      </c>
      <c r="K387" s="106" t="s">
        <v>1606</v>
      </c>
      <c r="L387" s="104">
        <f t="shared" si="131"/>
        <v>46132</v>
      </c>
      <c r="M387" s="105">
        <f ca="1" t="shared" si="132"/>
        <v>-181</v>
      </c>
      <c r="N387" s="70"/>
      <c r="O387" s="70" t="s">
        <v>886</v>
      </c>
      <c r="P387" s="70" t="s">
        <v>374</v>
      </c>
      <c r="Q387" s="71" t="s">
        <v>1605</v>
      </c>
      <c r="R387" s="71" t="s">
        <v>568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1607</v>
      </c>
      <c r="Y387" s="104">
        <f t="shared" si="125"/>
        <v>46271</v>
      </c>
      <c r="Z387" s="105">
        <f ca="1" t="shared" si="126"/>
        <v>-42</v>
      </c>
      <c r="AA387" s="70"/>
      <c r="AB387" s="70" t="s">
        <v>886</v>
      </c>
      <c r="AC387" s="70" t="s">
        <v>374</v>
      </c>
      <c r="AD387" s="71" t="s">
        <v>1605</v>
      </c>
      <c r="AE387" s="71" t="s">
        <v>568</v>
      </c>
      <c r="AF387" s="72"/>
      <c r="AG387" s="73"/>
      <c r="AH387" s="79" t="s">
        <v>16</v>
      </c>
      <c r="AI387" s="102">
        <v>46288</v>
      </c>
      <c r="AJ387" s="70">
        <v>3</v>
      </c>
      <c r="AK387" s="103" t="s">
        <v>1608</v>
      </c>
      <c r="AL387" s="104">
        <f t="shared" si="129"/>
        <v>46379</v>
      </c>
      <c r="AM387" s="105">
        <f ca="1" t="shared" si="130"/>
        <v>66</v>
      </c>
      <c r="AN387" s="115"/>
      <c r="AO387" s="70"/>
      <c r="AP387" s="70"/>
      <c r="AQ387" s="71"/>
      <c r="AR387" s="71"/>
      <c r="AS387" s="72"/>
      <c r="AT387" s="73"/>
      <c r="AU387" s="76"/>
      <c r="AV387" s="117"/>
      <c r="AW387" s="115"/>
      <c r="AX387" s="106"/>
      <c r="AY387" s="104"/>
      <c r="AZ387" s="105"/>
    </row>
    <row r="388" customHeight="1" spans="1:52">
      <c r="A388" s="70">
        <v>387</v>
      </c>
      <c r="B388" s="70" t="s">
        <v>1156</v>
      </c>
      <c r="C388" s="70" t="s">
        <v>374</v>
      </c>
      <c r="D388" s="71" t="s">
        <v>1609</v>
      </c>
      <c r="E388" s="71" t="s">
        <v>883</v>
      </c>
      <c r="F388" s="72"/>
      <c r="G388" s="73"/>
      <c r="H388" s="79" t="s">
        <v>16</v>
      </c>
      <c r="I388" s="165">
        <v>46042</v>
      </c>
      <c r="J388" s="70">
        <v>3</v>
      </c>
      <c r="K388" s="106" t="s">
        <v>1610</v>
      </c>
      <c r="L388" s="104">
        <f t="shared" si="131"/>
        <v>46132</v>
      </c>
      <c r="M388" s="105">
        <f ca="1" t="shared" si="132"/>
        <v>-181</v>
      </c>
      <c r="N388" s="70"/>
      <c r="O388" s="70" t="s">
        <v>1156</v>
      </c>
      <c r="P388" s="70" t="s">
        <v>374</v>
      </c>
      <c r="Q388" s="71" t="s">
        <v>1609</v>
      </c>
      <c r="R388" s="71" t="s">
        <v>883</v>
      </c>
      <c r="S388" s="72"/>
      <c r="T388" s="73"/>
      <c r="U388" s="79" t="s">
        <v>16</v>
      </c>
      <c r="V388" s="102">
        <v>46293</v>
      </c>
      <c r="W388" s="70">
        <v>3</v>
      </c>
      <c r="X388" s="103" t="s">
        <v>1611</v>
      </c>
      <c r="Y388" s="104">
        <f t="shared" si="125"/>
        <v>46384</v>
      </c>
      <c r="Z388" s="105">
        <f ca="1" t="shared" si="126"/>
        <v>71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129"/>
        <v>0</v>
      </c>
      <c r="AM388" s="105">
        <f ca="1" t="shared" si="130"/>
        <v>-46313</v>
      </c>
      <c r="AN388" s="115"/>
      <c r="AO388" s="115"/>
      <c r="AP388" s="115"/>
      <c r="AQ388" s="93"/>
      <c r="AR388" s="93"/>
      <c r="AS388" s="94"/>
      <c r="AT388" s="95"/>
      <c r="AU388" s="79"/>
      <c r="AV388" s="117"/>
      <c r="AW388" s="115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1612</v>
      </c>
      <c r="E389" s="71" t="s">
        <v>1613</v>
      </c>
      <c r="F389" s="72"/>
      <c r="G389" s="73"/>
      <c r="H389" s="79" t="s">
        <v>16</v>
      </c>
      <c r="I389" s="165">
        <v>46043</v>
      </c>
      <c r="J389" s="70">
        <v>3</v>
      </c>
      <c r="K389" s="106" t="s">
        <v>1614</v>
      </c>
      <c r="L389" s="104">
        <f t="shared" si="131"/>
        <v>46133</v>
      </c>
      <c r="M389" s="105">
        <f ca="1" t="shared" si="132"/>
        <v>-180</v>
      </c>
      <c r="N389" s="70"/>
      <c r="O389" s="70" t="s">
        <v>12</v>
      </c>
      <c r="P389" s="70" t="s">
        <v>13</v>
      </c>
      <c r="Q389" s="71" t="s">
        <v>1612</v>
      </c>
      <c r="R389" s="71" t="s">
        <v>1613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1615</v>
      </c>
      <c r="Y389" s="104">
        <f t="shared" si="125"/>
        <v>46243</v>
      </c>
      <c r="Z389" s="105">
        <f ca="1" t="shared" si="126"/>
        <v>-70</v>
      </c>
      <c r="AA389" s="70"/>
      <c r="AB389" s="70" t="s">
        <v>12</v>
      </c>
      <c r="AC389" s="70" t="s">
        <v>13</v>
      </c>
      <c r="AD389" s="71" t="s">
        <v>1612</v>
      </c>
      <c r="AE389" s="71" t="s">
        <v>1613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1616</v>
      </c>
      <c r="AL389" s="104">
        <f t="shared" si="129"/>
        <v>46325</v>
      </c>
      <c r="AM389" s="105">
        <f ca="1" t="shared" si="130"/>
        <v>12</v>
      </c>
      <c r="AN389" s="115"/>
      <c r="AO389" s="115"/>
      <c r="AP389" s="115"/>
      <c r="AQ389" s="93"/>
      <c r="AR389" s="93"/>
      <c r="AS389" s="94"/>
      <c r="AT389" s="95"/>
      <c r="AU389" s="79"/>
      <c r="AV389" s="117"/>
      <c r="AW389" s="115"/>
      <c r="AX389" s="106"/>
      <c r="AY389" s="104"/>
      <c r="AZ389" s="105"/>
    </row>
    <row r="390" customHeight="1" spans="1:52">
      <c r="A390" s="70">
        <v>389</v>
      </c>
      <c r="B390" s="70" t="s">
        <v>1393</v>
      </c>
      <c r="C390" s="70" t="s">
        <v>38</v>
      </c>
      <c r="D390" s="71" t="s">
        <v>1617</v>
      </c>
      <c r="E390" s="71" t="s">
        <v>1618</v>
      </c>
      <c r="F390" s="72"/>
      <c r="G390" s="73"/>
      <c r="H390" s="151"/>
      <c r="I390" s="165">
        <v>46043</v>
      </c>
      <c r="J390" s="70">
        <v>3</v>
      </c>
      <c r="K390" s="106" t="s">
        <v>1619</v>
      </c>
      <c r="L390" s="104">
        <f t="shared" si="131"/>
        <v>46133</v>
      </c>
      <c r="M390" s="105">
        <f ca="1" t="shared" si="132"/>
        <v>-180</v>
      </c>
      <c r="N390" s="70"/>
      <c r="O390" s="70" t="s">
        <v>1393</v>
      </c>
      <c r="P390" s="70" t="s">
        <v>38</v>
      </c>
      <c r="Q390" s="71" t="s">
        <v>1617</v>
      </c>
      <c r="R390" s="71" t="s">
        <v>1618</v>
      </c>
      <c r="S390" s="72"/>
      <c r="T390" s="73"/>
      <c r="U390" s="151"/>
      <c r="V390" s="102">
        <v>46147</v>
      </c>
      <c r="W390" s="70">
        <v>3</v>
      </c>
      <c r="X390" s="103" t="s">
        <v>1620</v>
      </c>
      <c r="Y390" s="104">
        <f t="shared" si="125"/>
        <v>46239</v>
      </c>
      <c r="Z390" s="105">
        <f ca="1" t="shared" si="126"/>
        <v>-74</v>
      </c>
      <c r="AA390" s="70"/>
      <c r="AB390" s="70" t="s">
        <v>1393</v>
      </c>
      <c r="AC390" s="70" t="s">
        <v>38</v>
      </c>
      <c r="AD390" s="71" t="s">
        <v>1617</v>
      </c>
      <c r="AE390" s="71" t="s">
        <v>1618</v>
      </c>
      <c r="AF390" s="72"/>
      <c r="AG390" s="73"/>
      <c r="AH390" s="151"/>
      <c r="AI390" s="102">
        <v>46249</v>
      </c>
      <c r="AJ390" s="70">
        <v>3</v>
      </c>
      <c r="AK390" s="103" t="s">
        <v>1621</v>
      </c>
      <c r="AL390" s="104">
        <f t="shared" si="129"/>
        <v>46341</v>
      </c>
      <c r="AM390" s="105">
        <f ca="1" t="shared" si="130"/>
        <v>28</v>
      </c>
      <c r="AN390" s="115"/>
      <c r="AO390" s="115"/>
      <c r="AP390" s="115"/>
      <c r="AQ390" s="93"/>
      <c r="AR390" s="93"/>
      <c r="AS390" s="94"/>
      <c r="AT390" s="95"/>
      <c r="AU390" s="79"/>
      <c r="AV390" s="117"/>
      <c r="AW390" s="115"/>
      <c r="AX390" s="106"/>
      <c r="AY390" s="104"/>
      <c r="AZ390" s="105"/>
    </row>
    <row r="391" customHeight="1" spans="1:52">
      <c r="A391" s="70">
        <v>390</v>
      </c>
      <c r="B391" s="70" t="s">
        <v>570</v>
      </c>
      <c r="C391" s="70" t="s">
        <v>13</v>
      </c>
      <c r="D391" s="71" t="s">
        <v>1622</v>
      </c>
      <c r="E391" s="71" t="s">
        <v>76</v>
      </c>
      <c r="F391" s="72"/>
      <c r="G391" s="73"/>
      <c r="H391" s="76" t="s">
        <v>16</v>
      </c>
      <c r="I391" s="165">
        <v>46043</v>
      </c>
      <c r="J391" s="70">
        <v>3</v>
      </c>
      <c r="K391" s="106" t="s">
        <v>1623</v>
      </c>
      <c r="L391" s="104">
        <f t="shared" si="131"/>
        <v>46133</v>
      </c>
      <c r="M391" s="105">
        <f ca="1" t="shared" si="132"/>
        <v>-180</v>
      </c>
      <c r="N391" s="70"/>
      <c r="O391" s="70" t="s">
        <v>570</v>
      </c>
      <c r="P391" s="70" t="s">
        <v>13</v>
      </c>
      <c r="Q391" s="71" t="s">
        <v>1622</v>
      </c>
      <c r="R391" s="71" t="s">
        <v>76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1624</v>
      </c>
      <c r="Y391" s="104">
        <f t="shared" si="125"/>
        <v>46299</v>
      </c>
      <c r="Z391" s="105">
        <f ca="1" t="shared" si="126"/>
        <v>-14</v>
      </c>
      <c r="AA391" s="70"/>
      <c r="AB391" s="70" t="s">
        <v>570</v>
      </c>
      <c r="AC391" s="70" t="s">
        <v>13</v>
      </c>
      <c r="AD391" s="71" t="s">
        <v>1622</v>
      </c>
      <c r="AE391" s="71" t="s">
        <v>76</v>
      </c>
      <c r="AF391" s="72"/>
      <c r="AG391" s="73"/>
      <c r="AH391" s="76" t="s">
        <v>16</v>
      </c>
      <c r="AI391" s="102">
        <v>46284</v>
      </c>
      <c r="AJ391" s="70">
        <v>3</v>
      </c>
      <c r="AK391" s="103" t="s">
        <v>1625</v>
      </c>
      <c r="AL391" s="104">
        <f t="shared" ref="AL388:AL396" si="133">EDATE(AI391,AJ391)</f>
        <v>46375</v>
      </c>
      <c r="AM391" s="105">
        <f ca="1" t="shared" ref="AM388:AM396" si="134">AL391-TODAY()</f>
        <v>62</v>
      </c>
      <c r="AN391" s="115"/>
      <c r="AO391" s="70"/>
      <c r="AP391" s="70"/>
      <c r="AQ391" s="71"/>
      <c r="AR391" s="93"/>
      <c r="AS391" s="94"/>
      <c r="AT391" s="95"/>
      <c r="AU391" s="79"/>
      <c r="AV391" s="117"/>
      <c r="AW391" s="115"/>
      <c r="AX391" s="106"/>
      <c r="AY391" s="104"/>
      <c r="AZ391" s="105"/>
    </row>
    <row r="392" customHeight="1" spans="1:52">
      <c r="A392" s="70">
        <v>391</v>
      </c>
      <c r="B392" s="70" t="s">
        <v>229</v>
      </c>
      <c r="C392" s="70" t="s">
        <v>38</v>
      </c>
      <c r="D392" s="71" t="s">
        <v>1626</v>
      </c>
      <c r="E392" s="71" t="s">
        <v>1627</v>
      </c>
      <c r="F392" s="72"/>
      <c r="G392" s="73"/>
      <c r="H392" s="151"/>
      <c r="I392" s="165">
        <v>46043</v>
      </c>
      <c r="J392" s="70">
        <v>3</v>
      </c>
      <c r="K392" s="106" t="s">
        <v>1628</v>
      </c>
      <c r="L392" s="104">
        <f t="shared" si="131"/>
        <v>46133</v>
      </c>
      <c r="M392" s="105">
        <f ca="1" t="shared" si="132"/>
        <v>-180</v>
      </c>
      <c r="N392" s="70"/>
      <c r="O392" s="70" t="s">
        <v>229</v>
      </c>
      <c r="P392" s="70" t="s">
        <v>38</v>
      </c>
      <c r="Q392" s="71" t="s">
        <v>1626</v>
      </c>
      <c r="R392" s="71" t="s">
        <v>1627</v>
      </c>
      <c r="S392" s="72"/>
      <c r="T392" s="73"/>
      <c r="U392" s="151"/>
      <c r="V392" s="102">
        <v>46140</v>
      </c>
      <c r="W392" s="70">
        <v>3</v>
      </c>
      <c r="X392" s="103" t="s">
        <v>1629</v>
      </c>
      <c r="Y392" s="104">
        <f t="shared" si="125"/>
        <v>46231</v>
      </c>
      <c r="Z392" s="105">
        <f ca="1" t="shared" si="126"/>
        <v>-82</v>
      </c>
      <c r="AA392" s="70"/>
      <c r="AB392" s="70" t="s">
        <v>229</v>
      </c>
      <c r="AC392" s="70" t="s">
        <v>38</v>
      </c>
      <c r="AD392" s="71" t="s">
        <v>1626</v>
      </c>
      <c r="AE392" s="71" t="s">
        <v>1627</v>
      </c>
      <c r="AF392" s="72"/>
      <c r="AG392" s="73"/>
      <c r="AH392" s="151"/>
      <c r="AI392" s="102">
        <v>46224</v>
      </c>
      <c r="AJ392" s="70">
        <v>3</v>
      </c>
      <c r="AK392" s="103" t="s">
        <v>1630</v>
      </c>
      <c r="AL392" s="104">
        <f t="shared" si="133"/>
        <v>46316</v>
      </c>
      <c r="AM392" s="105">
        <f ca="1" t="shared" si="134"/>
        <v>3</v>
      </c>
      <c r="AN392" s="115"/>
      <c r="AO392" s="115"/>
      <c r="AP392" s="115"/>
      <c r="AQ392" s="93"/>
      <c r="AR392" s="93"/>
      <c r="AS392" s="94"/>
      <c r="AT392" s="95"/>
      <c r="AU392" s="79"/>
      <c r="AV392" s="117"/>
      <c r="AW392" s="115"/>
      <c r="AX392" s="106"/>
      <c r="AY392" s="104"/>
      <c r="AZ392" s="105"/>
    </row>
    <row r="393" customHeight="1" spans="1:52">
      <c r="A393" s="70">
        <v>392</v>
      </c>
      <c r="B393" s="70" t="s">
        <v>229</v>
      </c>
      <c r="C393" s="70" t="s">
        <v>38</v>
      </c>
      <c r="D393" s="71" t="s">
        <v>1631</v>
      </c>
      <c r="E393" s="71" t="s">
        <v>40</v>
      </c>
      <c r="F393" s="72"/>
      <c r="G393" s="73"/>
      <c r="H393" s="151"/>
      <c r="I393" s="165">
        <v>46043</v>
      </c>
      <c r="J393" s="70">
        <v>3</v>
      </c>
      <c r="K393" s="106" t="s">
        <v>1632</v>
      </c>
      <c r="L393" s="104">
        <f t="shared" si="131"/>
        <v>46133</v>
      </c>
      <c r="M393" s="105">
        <f ca="1" t="shared" si="132"/>
        <v>-180</v>
      </c>
      <c r="N393" s="70"/>
      <c r="O393" s="70" t="s">
        <v>229</v>
      </c>
      <c r="P393" s="70" t="s">
        <v>38</v>
      </c>
      <c r="Q393" s="71" t="s">
        <v>1631</v>
      </c>
      <c r="R393" s="71" t="s">
        <v>40</v>
      </c>
      <c r="S393" s="72"/>
      <c r="T393" s="73"/>
      <c r="U393" s="151"/>
      <c r="V393" s="102">
        <v>46127</v>
      </c>
      <c r="W393" s="70">
        <v>3</v>
      </c>
      <c r="X393" s="103" t="s">
        <v>1633</v>
      </c>
      <c r="Y393" s="104">
        <f t="shared" si="125"/>
        <v>46218</v>
      </c>
      <c r="Z393" s="105">
        <f ca="1" t="shared" si="126"/>
        <v>-95</v>
      </c>
      <c r="AA393" s="70"/>
      <c r="AB393" s="70" t="s">
        <v>229</v>
      </c>
      <c r="AC393" s="70" t="s">
        <v>38</v>
      </c>
      <c r="AD393" s="71" t="s">
        <v>1631</v>
      </c>
      <c r="AE393" s="71" t="s">
        <v>40</v>
      </c>
      <c r="AF393" s="72"/>
      <c r="AG393" s="73"/>
      <c r="AH393" s="151"/>
      <c r="AI393" s="102">
        <v>46209</v>
      </c>
      <c r="AJ393" s="70">
        <v>3</v>
      </c>
      <c r="AK393" s="103" t="s">
        <v>1634</v>
      </c>
      <c r="AL393" s="104">
        <f t="shared" si="133"/>
        <v>46301</v>
      </c>
      <c r="AM393" s="105">
        <f ca="1" t="shared" si="134"/>
        <v>-12</v>
      </c>
      <c r="AN393" s="115"/>
      <c r="AO393" s="70" t="s">
        <v>229</v>
      </c>
      <c r="AP393" s="70" t="s">
        <v>38</v>
      </c>
      <c r="AQ393" s="71" t="s">
        <v>1631</v>
      </c>
      <c r="AR393" s="71" t="s">
        <v>40</v>
      </c>
      <c r="AS393" s="72"/>
      <c r="AT393" s="73"/>
      <c r="AU393" s="151"/>
      <c r="AV393" s="117">
        <v>46295</v>
      </c>
      <c r="AW393" s="115">
        <v>3</v>
      </c>
      <c r="AX393" s="106" t="s">
        <v>1635</v>
      </c>
      <c r="AY393" s="104">
        <f t="shared" ref="AY393:AY456" si="135">EDATE(AV393,AW393)</f>
        <v>46386</v>
      </c>
      <c r="AZ393" s="105">
        <f ca="1" t="shared" ref="AZ393:AZ456" si="136">AY393-TODAY()</f>
        <v>73</v>
      </c>
    </row>
    <row r="394" customHeight="1" spans="1:52">
      <c r="A394" s="70">
        <v>393</v>
      </c>
      <c r="B394" s="70" t="s">
        <v>229</v>
      </c>
      <c r="C394" s="70" t="s">
        <v>38</v>
      </c>
      <c r="D394" s="71" t="s">
        <v>1636</v>
      </c>
      <c r="E394" s="71" t="s">
        <v>1637</v>
      </c>
      <c r="F394" s="72"/>
      <c r="G394" s="73"/>
      <c r="H394" s="151"/>
      <c r="I394" s="165">
        <v>46043</v>
      </c>
      <c r="J394" s="70">
        <v>3</v>
      </c>
      <c r="K394" s="106" t="s">
        <v>1638</v>
      </c>
      <c r="L394" s="104">
        <f t="shared" si="131"/>
        <v>46133</v>
      </c>
      <c r="M394" s="105">
        <f ca="1" t="shared" si="132"/>
        <v>-180</v>
      </c>
      <c r="N394" s="70"/>
      <c r="O394" s="70" t="s">
        <v>229</v>
      </c>
      <c r="P394" s="70" t="s">
        <v>38</v>
      </c>
      <c r="Q394" s="71" t="s">
        <v>1636</v>
      </c>
      <c r="R394" s="71" t="s">
        <v>1637</v>
      </c>
      <c r="S394" s="72"/>
      <c r="T394" s="73"/>
      <c r="U394" s="151"/>
      <c r="V394" s="102">
        <v>46133</v>
      </c>
      <c r="W394" s="70">
        <v>3</v>
      </c>
      <c r="X394" s="103" t="s">
        <v>1639</v>
      </c>
      <c r="Y394" s="104">
        <f t="shared" si="125"/>
        <v>46224</v>
      </c>
      <c r="Z394" s="105">
        <f ca="1" t="shared" si="126"/>
        <v>-89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133"/>
        <v>0</v>
      </c>
      <c r="AM394" s="105">
        <f ca="1" t="shared" si="134"/>
        <v>-46313</v>
      </c>
      <c r="AN394" s="115"/>
      <c r="AO394" s="70"/>
      <c r="AP394" s="70"/>
      <c r="AQ394" s="71"/>
      <c r="AR394" s="71"/>
      <c r="AS394" s="72"/>
      <c r="AT394" s="73"/>
      <c r="AU394" s="79"/>
      <c r="AV394" s="117"/>
      <c r="AW394" s="115"/>
      <c r="AX394" s="106"/>
      <c r="AY394" s="104">
        <f t="shared" si="135"/>
        <v>0</v>
      </c>
      <c r="AZ394" s="105">
        <f ca="1" t="shared" si="136"/>
        <v>-46313</v>
      </c>
    </row>
    <row r="395" customHeight="1" spans="1:52">
      <c r="A395" s="70">
        <v>394</v>
      </c>
      <c r="B395" s="70" t="s">
        <v>229</v>
      </c>
      <c r="C395" s="70" t="s">
        <v>13</v>
      </c>
      <c r="D395" s="71" t="s">
        <v>1640</v>
      </c>
      <c r="E395" s="71" t="s">
        <v>45</v>
      </c>
      <c r="F395" s="72"/>
      <c r="G395" s="73"/>
      <c r="H395" s="75"/>
      <c r="I395" s="165">
        <v>46043</v>
      </c>
      <c r="J395" s="70">
        <v>3</v>
      </c>
      <c r="K395" s="106" t="s">
        <v>1641</v>
      </c>
      <c r="L395" s="104">
        <f t="shared" si="131"/>
        <v>46133</v>
      </c>
      <c r="M395" s="105">
        <f ca="1" t="shared" si="132"/>
        <v>-180</v>
      </c>
      <c r="N395" s="70"/>
      <c r="O395" s="70" t="s">
        <v>229</v>
      </c>
      <c r="P395" s="70" t="s">
        <v>13</v>
      </c>
      <c r="Q395" s="71" t="s">
        <v>1640</v>
      </c>
      <c r="R395" s="71" t="s">
        <v>45</v>
      </c>
      <c r="S395" s="72"/>
      <c r="T395" s="73"/>
      <c r="U395" s="75"/>
      <c r="V395" s="102">
        <v>46151</v>
      </c>
      <c r="W395" s="70">
        <v>3</v>
      </c>
      <c r="X395" s="103" t="s">
        <v>1642</v>
      </c>
      <c r="Y395" s="104">
        <f t="shared" si="125"/>
        <v>46243</v>
      </c>
      <c r="Z395" s="105">
        <f ca="1" t="shared" si="126"/>
        <v>-70</v>
      </c>
      <c r="AA395" s="70"/>
      <c r="AB395" s="70" t="s">
        <v>229</v>
      </c>
      <c r="AC395" s="70" t="s">
        <v>13</v>
      </c>
      <c r="AD395" s="71" t="s">
        <v>1640</v>
      </c>
      <c r="AE395" s="71" t="s">
        <v>45</v>
      </c>
      <c r="AF395" s="72"/>
      <c r="AG395" s="73"/>
      <c r="AH395" s="75"/>
      <c r="AI395" s="102">
        <v>46266</v>
      </c>
      <c r="AJ395" s="70">
        <v>3</v>
      </c>
      <c r="AK395" s="103" t="s">
        <v>1643</v>
      </c>
      <c r="AL395" s="104">
        <f t="shared" si="133"/>
        <v>46357</v>
      </c>
      <c r="AM395" s="105">
        <f ca="1" t="shared" si="134"/>
        <v>44</v>
      </c>
      <c r="AN395" s="115"/>
      <c r="AO395" s="70"/>
      <c r="AP395" s="70"/>
      <c r="AQ395" s="71"/>
      <c r="AR395" s="71"/>
      <c r="AS395" s="72"/>
      <c r="AT395" s="73"/>
      <c r="AU395" s="79"/>
      <c r="AV395" s="117"/>
      <c r="AW395" s="115"/>
      <c r="AX395" s="106"/>
      <c r="AY395" s="104">
        <f t="shared" si="135"/>
        <v>0</v>
      </c>
      <c r="AZ395" s="105">
        <f ca="1" t="shared" si="136"/>
        <v>-46313</v>
      </c>
    </row>
    <row r="396" customHeight="1" spans="1:52">
      <c r="A396" s="70">
        <v>395</v>
      </c>
      <c r="B396" s="70" t="s">
        <v>229</v>
      </c>
      <c r="C396" s="70" t="s">
        <v>13</v>
      </c>
      <c r="D396" s="71" t="s">
        <v>1644</v>
      </c>
      <c r="E396" s="71" t="s">
        <v>76</v>
      </c>
      <c r="F396" s="72"/>
      <c r="G396" s="73"/>
      <c r="H396" s="75"/>
      <c r="I396" s="165">
        <v>46043</v>
      </c>
      <c r="J396" s="70">
        <v>3</v>
      </c>
      <c r="K396" s="106" t="s">
        <v>1645</v>
      </c>
      <c r="L396" s="104">
        <f t="shared" si="131"/>
        <v>46133</v>
      </c>
      <c r="M396" s="105">
        <f ca="1" t="shared" si="132"/>
        <v>-180</v>
      </c>
      <c r="N396" s="70"/>
      <c r="O396" s="70" t="s">
        <v>229</v>
      </c>
      <c r="P396" s="70" t="s">
        <v>13</v>
      </c>
      <c r="Q396" s="71" t="s">
        <v>1644</v>
      </c>
      <c r="R396" s="71" t="s">
        <v>76</v>
      </c>
      <c r="S396" s="72"/>
      <c r="T396" s="73"/>
      <c r="U396" s="75"/>
      <c r="V396" s="102">
        <v>46153</v>
      </c>
      <c r="W396" s="70">
        <v>3</v>
      </c>
      <c r="X396" s="103" t="s">
        <v>1646</v>
      </c>
      <c r="Y396" s="104">
        <f t="shared" si="125"/>
        <v>46245</v>
      </c>
      <c r="Z396" s="105">
        <f ca="1" t="shared" si="126"/>
        <v>-68</v>
      </c>
      <c r="AA396" s="70"/>
      <c r="AB396" s="70" t="s">
        <v>229</v>
      </c>
      <c r="AC396" s="70" t="s">
        <v>13</v>
      </c>
      <c r="AD396" s="71" t="s">
        <v>1644</v>
      </c>
      <c r="AE396" s="71" t="s">
        <v>76</v>
      </c>
      <c r="AF396" s="72"/>
      <c r="AG396" s="73"/>
      <c r="AH396" s="75"/>
      <c r="AI396" s="102">
        <v>46248</v>
      </c>
      <c r="AJ396" s="70">
        <v>3</v>
      </c>
      <c r="AK396" s="103" t="s">
        <v>1647</v>
      </c>
      <c r="AL396" s="104">
        <f t="shared" si="133"/>
        <v>46340</v>
      </c>
      <c r="AM396" s="105">
        <f ca="1" t="shared" si="134"/>
        <v>27</v>
      </c>
      <c r="AN396" s="115"/>
      <c r="AO396" s="70"/>
      <c r="AP396" s="70"/>
      <c r="AQ396" s="71"/>
      <c r="AR396" s="71"/>
      <c r="AS396" s="72"/>
      <c r="AT396" s="73"/>
      <c r="AU396" s="79"/>
      <c r="AV396" s="117"/>
      <c r="AW396" s="115"/>
      <c r="AX396" s="106"/>
      <c r="AY396" s="104">
        <f t="shared" si="135"/>
        <v>0</v>
      </c>
      <c r="AZ396" s="105">
        <f ca="1" t="shared" si="136"/>
        <v>-46313</v>
      </c>
    </row>
    <row r="397" customHeight="1" spans="1:52">
      <c r="A397" s="70">
        <v>396</v>
      </c>
      <c r="B397" s="70" t="s">
        <v>229</v>
      </c>
      <c r="C397" s="70" t="s">
        <v>13</v>
      </c>
      <c r="D397" s="70" t="s">
        <v>1648</v>
      </c>
      <c r="E397" s="71" t="s">
        <v>1266</v>
      </c>
      <c r="F397" s="72"/>
      <c r="G397" s="73"/>
      <c r="H397" s="75"/>
      <c r="I397" s="165">
        <v>46043</v>
      </c>
      <c r="J397" s="70">
        <v>3</v>
      </c>
      <c r="K397" s="106" t="s">
        <v>1649</v>
      </c>
      <c r="L397" s="104">
        <f t="shared" si="131"/>
        <v>46133</v>
      </c>
      <c r="M397" s="105">
        <f ca="1" t="shared" si="132"/>
        <v>-180</v>
      </c>
      <c r="N397" s="70"/>
      <c r="O397" s="70" t="s">
        <v>229</v>
      </c>
      <c r="P397" s="70" t="s">
        <v>13</v>
      </c>
      <c r="Q397" s="70" t="s">
        <v>1648</v>
      </c>
      <c r="R397" s="71" t="s">
        <v>1266</v>
      </c>
      <c r="S397" s="72"/>
      <c r="T397" s="73"/>
      <c r="U397" s="75"/>
      <c r="V397" s="102">
        <v>46136</v>
      </c>
      <c r="W397" s="70">
        <v>3</v>
      </c>
      <c r="X397" s="103" t="s">
        <v>1650</v>
      </c>
      <c r="Y397" s="104">
        <f t="shared" si="125"/>
        <v>46227</v>
      </c>
      <c r="Z397" s="105">
        <f ca="1" t="shared" si="126"/>
        <v>-86</v>
      </c>
      <c r="AA397" s="70"/>
      <c r="AB397" s="70" t="s">
        <v>229</v>
      </c>
      <c r="AC397" s="70" t="s">
        <v>13</v>
      </c>
      <c r="AD397" s="70" t="s">
        <v>1648</v>
      </c>
      <c r="AE397" s="71" t="s">
        <v>1266</v>
      </c>
      <c r="AF397" s="72"/>
      <c r="AG397" s="73"/>
      <c r="AH397" s="75"/>
      <c r="AI397" s="102">
        <v>46227</v>
      </c>
      <c r="AJ397" s="70">
        <v>3</v>
      </c>
      <c r="AK397" s="103" t="s">
        <v>1651</v>
      </c>
      <c r="AL397" s="104">
        <f t="shared" ref="AL393:AL438" si="137">EDATE(AI397,AJ397)</f>
        <v>46319</v>
      </c>
      <c r="AM397" s="105">
        <f ca="1" t="shared" ref="AM393:AM404" si="138">AL397-TODAY()</f>
        <v>6</v>
      </c>
      <c r="AN397" s="115"/>
      <c r="AO397" s="70"/>
      <c r="AP397" s="70"/>
      <c r="AQ397" s="70"/>
      <c r="AR397" s="71"/>
      <c r="AS397" s="72"/>
      <c r="AT397" s="73"/>
      <c r="AU397" s="79"/>
      <c r="AV397" s="117"/>
      <c r="AW397" s="115"/>
      <c r="AX397" s="106"/>
      <c r="AY397" s="104">
        <f t="shared" si="135"/>
        <v>0</v>
      </c>
      <c r="AZ397" s="105">
        <f ca="1" t="shared" si="136"/>
        <v>-46313</v>
      </c>
    </row>
    <row r="398" customHeight="1" spans="1:52">
      <c r="A398" s="70">
        <v>397</v>
      </c>
      <c r="B398" s="70" t="s">
        <v>229</v>
      </c>
      <c r="C398" s="70" t="s">
        <v>13</v>
      </c>
      <c r="D398" s="70" t="s">
        <v>1652</v>
      </c>
      <c r="E398" s="71" t="s">
        <v>311</v>
      </c>
      <c r="F398" s="72"/>
      <c r="G398" s="73"/>
      <c r="H398" s="75"/>
      <c r="I398" s="165">
        <v>46043</v>
      </c>
      <c r="J398" s="70">
        <v>3</v>
      </c>
      <c r="K398" s="106" t="s">
        <v>1653</v>
      </c>
      <c r="L398" s="104">
        <f t="shared" si="131"/>
        <v>46133</v>
      </c>
      <c r="M398" s="105">
        <f ca="1" t="shared" si="132"/>
        <v>-180</v>
      </c>
      <c r="N398" s="70"/>
      <c r="O398" s="70" t="s">
        <v>229</v>
      </c>
      <c r="P398" s="70" t="s">
        <v>13</v>
      </c>
      <c r="Q398" s="70" t="s">
        <v>1652</v>
      </c>
      <c r="R398" s="71" t="s">
        <v>311</v>
      </c>
      <c r="S398" s="72"/>
      <c r="T398" s="73"/>
      <c r="U398" s="75"/>
      <c r="V398" s="102">
        <v>46136</v>
      </c>
      <c r="W398" s="70">
        <v>3</v>
      </c>
      <c r="X398" s="103" t="s">
        <v>1654</v>
      </c>
      <c r="Y398" s="104">
        <f t="shared" ref="Y387:Y409" si="139">EDATE(V398,W398)</f>
        <v>46227</v>
      </c>
      <c r="Z398" s="105">
        <f ca="1" t="shared" si="126"/>
        <v>-86</v>
      </c>
      <c r="AA398" s="70"/>
      <c r="AB398" s="70" t="s">
        <v>229</v>
      </c>
      <c r="AC398" s="70" t="s">
        <v>13</v>
      </c>
      <c r="AD398" s="70" t="s">
        <v>1652</v>
      </c>
      <c r="AE398" s="71" t="s">
        <v>311</v>
      </c>
      <c r="AF398" s="72"/>
      <c r="AG398" s="73"/>
      <c r="AH398" s="75"/>
      <c r="AI398" s="102">
        <v>46227</v>
      </c>
      <c r="AJ398" s="70">
        <v>3</v>
      </c>
      <c r="AK398" s="103" t="s">
        <v>1655</v>
      </c>
      <c r="AL398" s="104">
        <f t="shared" si="137"/>
        <v>46319</v>
      </c>
      <c r="AM398" s="105">
        <f ca="1" t="shared" si="138"/>
        <v>6</v>
      </c>
      <c r="AN398" s="115"/>
      <c r="AO398" s="70"/>
      <c r="AP398" s="70"/>
      <c r="AQ398" s="71"/>
      <c r="AR398" s="71"/>
      <c r="AS398" s="72"/>
      <c r="AT398" s="73"/>
      <c r="AU398" s="79"/>
      <c r="AV398" s="117"/>
      <c r="AW398" s="115"/>
      <c r="AX398" s="106"/>
      <c r="AY398" s="104">
        <f t="shared" si="135"/>
        <v>0</v>
      </c>
      <c r="AZ398" s="105">
        <f ca="1" t="shared" si="136"/>
        <v>-46313</v>
      </c>
    </row>
    <row r="399" customHeight="1" spans="1:52">
      <c r="A399" s="70">
        <v>398</v>
      </c>
      <c r="B399" s="70" t="s">
        <v>134</v>
      </c>
      <c r="C399" s="70" t="s">
        <v>13</v>
      </c>
      <c r="D399" s="71" t="s">
        <v>1656</v>
      </c>
      <c r="E399" s="71" t="s">
        <v>45</v>
      </c>
      <c r="F399" s="72"/>
      <c r="G399" s="73"/>
      <c r="H399" s="114" t="s">
        <v>16</v>
      </c>
      <c r="I399" s="165">
        <v>46043</v>
      </c>
      <c r="J399" s="70">
        <v>3</v>
      </c>
      <c r="K399" s="106" t="s">
        <v>1657</v>
      </c>
      <c r="L399" s="104">
        <f t="shared" si="131"/>
        <v>46133</v>
      </c>
      <c r="M399" s="105">
        <f ca="1" t="shared" si="132"/>
        <v>-180</v>
      </c>
      <c r="N399" s="70"/>
      <c r="O399" s="70" t="s">
        <v>134</v>
      </c>
      <c r="P399" s="70" t="s">
        <v>13</v>
      </c>
      <c r="Q399" s="71" t="s">
        <v>1656</v>
      </c>
      <c r="R399" s="71" t="s">
        <v>45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1658</v>
      </c>
      <c r="Y399" s="104">
        <f t="shared" si="139"/>
        <v>46223</v>
      </c>
      <c r="Z399" s="105">
        <f ca="1" t="shared" si="126"/>
        <v>-90</v>
      </c>
      <c r="AA399" s="70"/>
      <c r="AB399" s="70" t="s">
        <v>134</v>
      </c>
      <c r="AC399" s="70" t="s">
        <v>13</v>
      </c>
      <c r="AD399" s="71" t="s">
        <v>1656</v>
      </c>
      <c r="AE399" s="71" t="s">
        <v>45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1659</v>
      </c>
      <c r="AL399" s="104">
        <f t="shared" si="137"/>
        <v>46316</v>
      </c>
      <c r="AM399" s="105">
        <f ca="1" t="shared" si="138"/>
        <v>3</v>
      </c>
      <c r="AN399" s="115"/>
      <c r="AO399" s="70"/>
      <c r="AP399" s="70"/>
      <c r="AQ399" s="71"/>
      <c r="AR399" s="71"/>
      <c r="AS399" s="72"/>
      <c r="AT399" s="73"/>
      <c r="AU399" s="79"/>
      <c r="AV399" s="102"/>
      <c r="AW399" s="115"/>
      <c r="AX399" s="106"/>
      <c r="AY399" s="104">
        <f t="shared" si="135"/>
        <v>0</v>
      </c>
      <c r="AZ399" s="105">
        <f ca="1" t="shared" si="136"/>
        <v>-46313</v>
      </c>
    </row>
    <row r="400" customHeight="1" spans="1:52">
      <c r="A400" s="70">
        <v>399</v>
      </c>
      <c r="B400" s="70" t="s">
        <v>134</v>
      </c>
      <c r="C400" s="70" t="s">
        <v>13</v>
      </c>
      <c r="D400" s="71" t="s">
        <v>1660</v>
      </c>
      <c r="E400" s="71" t="s">
        <v>45</v>
      </c>
      <c r="F400" s="72"/>
      <c r="G400" s="73"/>
      <c r="H400" s="114" t="s">
        <v>16</v>
      </c>
      <c r="I400" s="165">
        <v>46043</v>
      </c>
      <c r="J400" s="70">
        <v>3</v>
      </c>
      <c r="K400" s="106" t="s">
        <v>1661</v>
      </c>
      <c r="L400" s="104">
        <f t="shared" si="131"/>
        <v>46133</v>
      </c>
      <c r="M400" s="105">
        <f ca="1" t="shared" si="132"/>
        <v>-180</v>
      </c>
      <c r="N400" s="70"/>
      <c r="O400" s="70" t="s">
        <v>134</v>
      </c>
      <c r="P400" s="70" t="s">
        <v>13</v>
      </c>
      <c r="Q400" s="71" t="s">
        <v>1660</v>
      </c>
      <c r="R400" s="71" t="s">
        <v>45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1662</v>
      </c>
      <c r="Y400" s="104">
        <f t="shared" si="139"/>
        <v>46220</v>
      </c>
      <c r="Z400" s="105">
        <f ca="1" t="shared" si="126"/>
        <v>-93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137"/>
        <v>0</v>
      </c>
      <c r="AM400" s="105">
        <f ca="1" t="shared" si="138"/>
        <v>-46313</v>
      </c>
      <c r="AN400" s="115"/>
      <c r="AO400" s="115"/>
      <c r="AP400" s="115"/>
      <c r="AQ400" s="93"/>
      <c r="AR400" s="93"/>
      <c r="AS400" s="94"/>
      <c r="AT400" s="95"/>
      <c r="AU400" s="79"/>
      <c r="AV400" s="117"/>
      <c r="AW400" s="115"/>
      <c r="AX400" s="106"/>
      <c r="AY400" s="104">
        <f t="shared" si="135"/>
        <v>0</v>
      </c>
      <c r="AZ400" s="105">
        <f ca="1" t="shared" si="136"/>
        <v>-46313</v>
      </c>
    </row>
    <row r="401" customHeight="1" spans="1:52">
      <c r="A401" s="70">
        <v>400</v>
      </c>
      <c r="B401" s="70" t="s">
        <v>134</v>
      </c>
      <c r="C401" s="70" t="s">
        <v>13</v>
      </c>
      <c r="D401" s="71" t="s">
        <v>1663</v>
      </c>
      <c r="E401" s="71" t="s">
        <v>604</v>
      </c>
      <c r="F401" s="72"/>
      <c r="G401" s="73"/>
      <c r="H401" s="114" t="s">
        <v>16</v>
      </c>
      <c r="I401" s="165">
        <v>46043</v>
      </c>
      <c r="J401" s="70">
        <v>3</v>
      </c>
      <c r="K401" s="106" t="s">
        <v>1664</v>
      </c>
      <c r="L401" s="104">
        <f t="shared" si="131"/>
        <v>46133</v>
      </c>
      <c r="M401" s="105">
        <f ca="1" t="shared" si="132"/>
        <v>-180</v>
      </c>
      <c r="N401" s="70"/>
      <c r="O401" s="70" t="s">
        <v>134</v>
      </c>
      <c r="P401" s="70" t="s">
        <v>13</v>
      </c>
      <c r="Q401" s="71" t="s">
        <v>1663</v>
      </c>
      <c r="R401" s="71" t="s">
        <v>604</v>
      </c>
      <c r="S401" s="72"/>
      <c r="T401" s="73"/>
      <c r="U401" s="151" t="s">
        <v>434</v>
      </c>
      <c r="V401" s="102">
        <v>46131</v>
      </c>
      <c r="W401" s="70">
        <v>3</v>
      </c>
      <c r="X401" s="103" t="s">
        <v>1665</v>
      </c>
      <c r="Y401" s="104">
        <f t="shared" si="139"/>
        <v>46222</v>
      </c>
      <c r="Z401" s="105">
        <f ca="1" t="shared" si="126"/>
        <v>-91</v>
      </c>
      <c r="AA401" s="70"/>
      <c r="AB401" s="70" t="s">
        <v>134</v>
      </c>
      <c r="AC401" s="70" t="s">
        <v>13</v>
      </c>
      <c r="AD401" s="71" t="s">
        <v>1663</v>
      </c>
      <c r="AE401" s="71" t="s">
        <v>604</v>
      </c>
      <c r="AF401" s="72"/>
      <c r="AG401" s="73"/>
      <c r="AH401" s="151" t="s">
        <v>434</v>
      </c>
      <c r="AI401" s="102">
        <v>46216</v>
      </c>
      <c r="AJ401" s="70">
        <v>3</v>
      </c>
      <c r="AK401" s="103" t="s">
        <v>1666</v>
      </c>
      <c r="AL401" s="104">
        <f t="shared" si="137"/>
        <v>46308</v>
      </c>
      <c r="AM401" s="105">
        <f ca="1" t="shared" si="138"/>
        <v>-5</v>
      </c>
      <c r="AN401" s="115"/>
      <c r="AO401" s="70" t="s">
        <v>134</v>
      </c>
      <c r="AP401" s="70" t="s">
        <v>13</v>
      </c>
      <c r="AQ401" s="71" t="s">
        <v>1663</v>
      </c>
      <c r="AR401" s="71" t="s">
        <v>604</v>
      </c>
      <c r="AS401" s="72"/>
      <c r="AT401" s="73"/>
      <c r="AU401" s="151" t="s">
        <v>434</v>
      </c>
      <c r="AV401" s="117">
        <v>46302</v>
      </c>
      <c r="AW401" s="115">
        <v>3</v>
      </c>
      <c r="AX401" s="106" t="s">
        <v>1667</v>
      </c>
      <c r="AY401" s="104">
        <f t="shared" si="135"/>
        <v>46394</v>
      </c>
      <c r="AZ401" s="105">
        <f ca="1" t="shared" si="136"/>
        <v>81</v>
      </c>
    </row>
    <row r="402" customHeight="1" spans="1:52">
      <c r="A402" s="70">
        <v>401</v>
      </c>
      <c r="B402" s="71" t="s">
        <v>844</v>
      </c>
      <c r="C402" s="70" t="s">
        <v>13</v>
      </c>
      <c r="D402" s="71" t="s">
        <v>1668</v>
      </c>
      <c r="E402" s="71" t="s">
        <v>126</v>
      </c>
      <c r="F402" s="72"/>
      <c r="G402" s="73"/>
      <c r="H402" s="75"/>
      <c r="I402" s="165">
        <v>46043</v>
      </c>
      <c r="J402" s="70">
        <v>3</v>
      </c>
      <c r="K402" s="106" t="s">
        <v>1669</v>
      </c>
      <c r="L402" s="104">
        <f t="shared" si="131"/>
        <v>46133</v>
      </c>
      <c r="M402" s="105">
        <f ca="1" t="shared" si="132"/>
        <v>-180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139"/>
        <v>0</v>
      </c>
      <c r="Z402" s="105">
        <f ca="1" t="shared" si="126"/>
        <v>-46313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137"/>
        <v>0</v>
      </c>
      <c r="AM402" s="105">
        <f ca="1" t="shared" si="138"/>
        <v>-46313</v>
      </c>
      <c r="AN402" s="115"/>
      <c r="AO402" s="115"/>
      <c r="AP402" s="115"/>
      <c r="AQ402" s="93"/>
      <c r="AR402" s="93"/>
      <c r="AS402" s="94"/>
      <c r="AT402" s="95"/>
      <c r="AU402" s="79"/>
      <c r="AV402" s="117"/>
      <c r="AW402" s="115"/>
      <c r="AX402" s="106"/>
      <c r="AY402" s="104">
        <f t="shared" si="135"/>
        <v>0</v>
      </c>
      <c r="AZ402" s="105">
        <f ca="1" t="shared" si="136"/>
        <v>-46313</v>
      </c>
    </row>
    <row r="403" customHeight="1" spans="1:52">
      <c r="A403" s="70">
        <v>402</v>
      </c>
      <c r="B403" s="71" t="s">
        <v>1670</v>
      </c>
      <c r="C403" s="70" t="s">
        <v>264</v>
      </c>
      <c r="D403" s="71" t="s">
        <v>1671</v>
      </c>
      <c r="E403" s="71" t="s">
        <v>1672</v>
      </c>
      <c r="F403" s="72"/>
      <c r="G403" s="73"/>
      <c r="H403" s="79" t="s">
        <v>16</v>
      </c>
      <c r="I403" s="165">
        <v>46043</v>
      </c>
      <c r="J403" s="70">
        <v>3</v>
      </c>
      <c r="K403" s="106" t="s">
        <v>1673</v>
      </c>
      <c r="L403" s="104">
        <f t="shared" si="131"/>
        <v>46133</v>
      </c>
      <c r="M403" s="105">
        <f ca="1" t="shared" si="132"/>
        <v>-180</v>
      </c>
      <c r="N403" s="70"/>
      <c r="O403" s="71" t="s">
        <v>1674</v>
      </c>
      <c r="P403" s="70" t="s">
        <v>264</v>
      </c>
      <c r="Q403" s="71" t="s">
        <v>1671</v>
      </c>
      <c r="R403" s="71" t="s">
        <v>1672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1675</v>
      </c>
      <c r="Y403" s="104">
        <f t="shared" si="139"/>
        <v>46245</v>
      </c>
      <c r="Z403" s="105">
        <f ca="1" t="shared" si="126"/>
        <v>-68</v>
      </c>
      <c r="AA403" s="70"/>
      <c r="AB403" s="71" t="s">
        <v>1676</v>
      </c>
      <c r="AC403" s="70" t="s">
        <v>264</v>
      </c>
      <c r="AD403" s="71" t="s">
        <v>1671</v>
      </c>
      <c r="AE403" s="71" t="s">
        <v>1672</v>
      </c>
      <c r="AF403" s="72"/>
      <c r="AG403" s="73"/>
      <c r="AH403" s="79" t="s">
        <v>16</v>
      </c>
      <c r="AI403" s="102">
        <v>46274</v>
      </c>
      <c r="AJ403" s="70">
        <v>3</v>
      </c>
      <c r="AK403" s="103" t="s">
        <v>1677</v>
      </c>
      <c r="AL403" s="104">
        <f t="shared" si="137"/>
        <v>46365</v>
      </c>
      <c r="AM403" s="105">
        <f ca="1" t="shared" si="138"/>
        <v>52</v>
      </c>
      <c r="AN403" s="115"/>
      <c r="AO403" s="115"/>
      <c r="AP403" s="115"/>
      <c r="AQ403" s="93"/>
      <c r="AR403" s="93"/>
      <c r="AS403" s="94"/>
      <c r="AT403" s="95"/>
      <c r="AU403" s="79"/>
      <c r="AV403" s="117"/>
      <c r="AW403" s="115"/>
      <c r="AX403" s="106"/>
      <c r="AY403" s="104">
        <f t="shared" si="135"/>
        <v>0</v>
      </c>
      <c r="AZ403" s="105">
        <f ca="1" t="shared" si="136"/>
        <v>-46313</v>
      </c>
    </row>
    <row r="404" customHeight="1" spans="1:52">
      <c r="A404" s="70">
        <v>403</v>
      </c>
      <c r="B404" s="70" t="s">
        <v>757</v>
      </c>
      <c r="C404" s="70" t="s">
        <v>264</v>
      </c>
      <c r="D404" s="71" t="s">
        <v>1678</v>
      </c>
      <c r="E404" s="71" t="s">
        <v>264</v>
      </c>
      <c r="F404" s="72"/>
      <c r="G404" s="73"/>
      <c r="H404" s="75"/>
      <c r="I404" s="165">
        <v>46043</v>
      </c>
      <c r="J404" s="70">
        <v>3</v>
      </c>
      <c r="K404" s="106" t="s">
        <v>1679</v>
      </c>
      <c r="L404" s="104">
        <f t="shared" si="131"/>
        <v>46133</v>
      </c>
      <c r="M404" s="105">
        <f ca="1" t="shared" si="132"/>
        <v>-180</v>
      </c>
      <c r="N404" s="70"/>
      <c r="O404" s="70" t="s">
        <v>757</v>
      </c>
      <c r="P404" s="70" t="s">
        <v>264</v>
      </c>
      <c r="Q404" s="71" t="s">
        <v>1678</v>
      </c>
      <c r="R404" s="71" t="s">
        <v>264</v>
      </c>
      <c r="S404" s="72"/>
      <c r="T404" s="73"/>
      <c r="U404" s="75"/>
      <c r="V404" s="102">
        <v>46160</v>
      </c>
      <c r="W404" s="70">
        <v>3</v>
      </c>
      <c r="X404" s="103" t="s">
        <v>1680</v>
      </c>
      <c r="Y404" s="104">
        <f t="shared" si="139"/>
        <v>46252</v>
      </c>
      <c r="Z404" s="105">
        <f ca="1" t="shared" si="126"/>
        <v>-61</v>
      </c>
      <c r="AA404" s="70"/>
      <c r="AB404" s="70" t="s">
        <v>757</v>
      </c>
      <c r="AC404" s="70" t="s">
        <v>264</v>
      </c>
      <c r="AD404" s="71" t="s">
        <v>1678</v>
      </c>
      <c r="AE404" s="71" t="s">
        <v>264</v>
      </c>
      <c r="AF404" s="72"/>
      <c r="AG404" s="73"/>
      <c r="AH404" s="75"/>
      <c r="AI404" s="102">
        <v>46263</v>
      </c>
      <c r="AJ404" s="70">
        <v>3</v>
      </c>
      <c r="AK404" s="103"/>
      <c r="AL404" s="104">
        <f t="shared" si="137"/>
        <v>46355</v>
      </c>
      <c r="AM404" s="105">
        <f ca="1" t="shared" si="138"/>
        <v>42</v>
      </c>
      <c r="AN404" s="115"/>
      <c r="AO404" s="115"/>
      <c r="AP404" s="115"/>
      <c r="AQ404" s="93"/>
      <c r="AR404" s="93"/>
      <c r="AS404" s="94"/>
      <c r="AT404" s="95"/>
      <c r="AU404" s="79"/>
      <c r="AV404" s="117"/>
      <c r="AW404" s="115"/>
      <c r="AX404" s="106"/>
      <c r="AY404" s="104">
        <f t="shared" si="135"/>
        <v>0</v>
      </c>
      <c r="AZ404" s="105">
        <f ca="1" t="shared" si="136"/>
        <v>-46313</v>
      </c>
    </row>
    <row r="405" customHeight="1" spans="1:52">
      <c r="A405" s="70">
        <v>404</v>
      </c>
      <c r="B405" s="70" t="s">
        <v>281</v>
      </c>
      <c r="C405" s="70" t="s">
        <v>264</v>
      </c>
      <c r="D405" s="71" t="s">
        <v>1681</v>
      </c>
      <c r="E405" s="71" t="s">
        <v>364</v>
      </c>
      <c r="F405" s="72"/>
      <c r="G405" s="73"/>
      <c r="H405" s="75"/>
      <c r="I405" s="165">
        <v>46043</v>
      </c>
      <c r="J405" s="70">
        <v>3</v>
      </c>
      <c r="K405" s="106" t="s">
        <v>1682</v>
      </c>
      <c r="L405" s="104">
        <f t="shared" si="131"/>
        <v>46133</v>
      </c>
      <c r="M405" s="105">
        <f ca="1" t="shared" si="132"/>
        <v>-180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139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137"/>
        <v>0</v>
      </c>
      <c r="AM405" s="105"/>
      <c r="AN405" s="115"/>
      <c r="AO405" s="115"/>
      <c r="AP405" s="115"/>
      <c r="AQ405" s="93"/>
      <c r="AR405" s="93"/>
      <c r="AS405" s="94"/>
      <c r="AT405" s="95"/>
      <c r="AU405" s="79"/>
      <c r="AV405" s="117"/>
      <c r="AW405" s="115"/>
      <c r="AX405" s="106"/>
      <c r="AY405" s="104">
        <f t="shared" si="135"/>
        <v>0</v>
      </c>
      <c r="AZ405" s="105">
        <f ca="1" t="shared" si="136"/>
        <v>-46313</v>
      </c>
    </row>
    <row r="406" customHeight="1" spans="1:52">
      <c r="A406" s="70">
        <v>405</v>
      </c>
      <c r="B406" s="70" t="s">
        <v>644</v>
      </c>
      <c r="C406" s="70" t="s">
        <v>264</v>
      </c>
      <c r="D406" s="71" t="s">
        <v>265</v>
      </c>
      <c r="E406" s="71" t="s">
        <v>266</v>
      </c>
      <c r="F406" s="72"/>
      <c r="G406" s="73"/>
      <c r="H406" s="75"/>
      <c r="I406" s="165">
        <v>46043</v>
      </c>
      <c r="J406" s="165" t="s">
        <v>767</v>
      </c>
      <c r="K406" s="106"/>
      <c r="L406" s="104" t="e">
        <f t="shared" si="131"/>
        <v>#VALUE!</v>
      </c>
      <c r="M406" s="105" t="e">
        <f ca="1" t="shared" si="132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139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137"/>
        <v>0</v>
      </c>
      <c r="AM406" s="105"/>
      <c r="AN406" s="115"/>
      <c r="AO406" s="70"/>
      <c r="AP406" s="70"/>
      <c r="AQ406" s="71"/>
      <c r="AR406" s="71"/>
      <c r="AS406" s="72"/>
      <c r="AT406" s="73"/>
      <c r="AU406" s="79"/>
      <c r="AV406" s="117"/>
      <c r="AW406" s="115"/>
      <c r="AX406" s="106"/>
      <c r="AY406" s="104">
        <f t="shared" si="135"/>
        <v>0</v>
      </c>
      <c r="AZ406" s="105">
        <f ca="1" t="shared" si="136"/>
        <v>-46313</v>
      </c>
    </row>
    <row r="407" customHeight="1" spans="1:52">
      <c r="A407" s="70">
        <v>406</v>
      </c>
      <c r="B407" s="70" t="s">
        <v>791</v>
      </c>
      <c r="C407" s="70" t="s">
        <v>374</v>
      </c>
      <c r="D407" s="71" t="s">
        <v>1683</v>
      </c>
      <c r="E407" s="71" t="s">
        <v>1684</v>
      </c>
      <c r="F407" s="72"/>
      <c r="G407" s="73"/>
      <c r="H407" s="75"/>
      <c r="I407" s="165">
        <v>46043</v>
      </c>
      <c r="J407" s="70">
        <v>3</v>
      </c>
      <c r="K407" s="106" t="s">
        <v>1685</v>
      </c>
      <c r="L407" s="104">
        <f t="shared" si="131"/>
        <v>46133</v>
      </c>
      <c r="M407" s="105">
        <f ca="1" t="shared" si="132"/>
        <v>-180</v>
      </c>
      <c r="N407" s="70"/>
      <c r="O407" s="70" t="s">
        <v>791</v>
      </c>
      <c r="P407" s="70" t="s">
        <v>374</v>
      </c>
      <c r="Q407" s="71" t="s">
        <v>1683</v>
      </c>
      <c r="R407" s="71" t="s">
        <v>1684</v>
      </c>
      <c r="S407" s="72"/>
      <c r="T407" s="73"/>
      <c r="U407" s="75"/>
      <c r="V407" s="102">
        <v>46175</v>
      </c>
      <c r="W407" s="70">
        <v>3</v>
      </c>
      <c r="X407" s="103" t="s">
        <v>1686</v>
      </c>
      <c r="Y407" s="104">
        <f t="shared" si="139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137"/>
        <v>0</v>
      </c>
      <c r="AM407" s="105">
        <f ca="1" t="shared" ref="AM407:AM438" si="140">AL407-TODAY()</f>
        <v>-46313</v>
      </c>
      <c r="AN407" s="115"/>
      <c r="AO407" s="115"/>
      <c r="AP407" s="115"/>
      <c r="AQ407" s="93"/>
      <c r="AR407" s="93"/>
      <c r="AS407" s="94"/>
      <c r="AT407" s="95"/>
      <c r="AU407" s="79"/>
      <c r="AV407" s="117"/>
      <c r="AW407" s="115"/>
      <c r="AX407" s="106"/>
      <c r="AY407" s="104">
        <f t="shared" si="135"/>
        <v>0</v>
      </c>
      <c r="AZ407" s="105">
        <f ca="1" t="shared" si="136"/>
        <v>-46313</v>
      </c>
    </row>
    <row r="408" customHeight="1" spans="1:52">
      <c r="A408" s="70">
        <v>407</v>
      </c>
      <c r="B408" s="70" t="s">
        <v>134</v>
      </c>
      <c r="C408" s="70" t="s">
        <v>13</v>
      </c>
      <c r="D408" s="71" t="s">
        <v>1687</v>
      </c>
      <c r="E408" s="71" t="s">
        <v>1688</v>
      </c>
      <c r="F408" s="72"/>
      <c r="G408" s="73"/>
      <c r="H408" s="74" t="s">
        <v>16</v>
      </c>
      <c r="I408" s="165">
        <v>46044</v>
      </c>
      <c r="J408" s="70">
        <v>3</v>
      </c>
      <c r="K408" s="106" t="s">
        <v>1689</v>
      </c>
      <c r="L408" s="104">
        <f t="shared" si="131"/>
        <v>46134</v>
      </c>
      <c r="M408" s="105">
        <f ca="1" t="shared" si="132"/>
        <v>-179</v>
      </c>
      <c r="N408" s="70"/>
      <c r="O408" s="70" t="s">
        <v>134</v>
      </c>
      <c r="P408" s="70" t="s">
        <v>13</v>
      </c>
      <c r="Q408" s="71" t="s">
        <v>1687</v>
      </c>
      <c r="R408" s="71" t="s">
        <v>1688</v>
      </c>
      <c r="S408" s="72"/>
      <c r="T408" s="73"/>
      <c r="U408" s="75" t="s">
        <v>434</v>
      </c>
      <c r="V408" s="102">
        <v>46128</v>
      </c>
      <c r="W408" s="70">
        <v>3</v>
      </c>
      <c r="X408" s="103" t="s">
        <v>1690</v>
      </c>
      <c r="Y408" s="104">
        <f t="shared" si="139"/>
        <v>46219</v>
      </c>
      <c r="Z408" s="105">
        <f ca="1">Y408-TODAY()</f>
        <v>-94</v>
      </c>
      <c r="AA408" s="70"/>
      <c r="AB408" s="70" t="s">
        <v>134</v>
      </c>
      <c r="AC408" s="70" t="s">
        <v>13</v>
      </c>
      <c r="AD408" s="71" t="s">
        <v>1687</v>
      </c>
      <c r="AE408" s="71" t="s">
        <v>1688</v>
      </c>
      <c r="AF408" s="72"/>
      <c r="AG408" s="73"/>
      <c r="AH408" s="75" t="s">
        <v>434</v>
      </c>
      <c r="AI408" s="102">
        <v>46213</v>
      </c>
      <c r="AJ408" s="70">
        <v>3</v>
      </c>
      <c r="AK408" s="103" t="s">
        <v>1691</v>
      </c>
      <c r="AL408" s="104">
        <f t="shared" si="137"/>
        <v>46305</v>
      </c>
      <c r="AM408" s="105">
        <f ca="1" t="shared" si="140"/>
        <v>-8</v>
      </c>
      <c r="AN408" s="115"/>
      <c r="AO408" s="70" t="s">
        <v>134</v>
      </c>
      <c r="AP408" s="70" t="s">
        <v>13</v>
      </c>
      <c r="AQ408" s="71" t="s">
        <v>1687</v>
      </c>
      <c r="AR408" s="71" t="s">
        <v>1688</v>
      </c>
      <c r="AS408" s="72"/>
      <c r="AT408" s="73"/>
      <c r="AU408" s="75" t="s">
        <v>434</v>
      </c>
      <c r="AV408" s="117">
        <v>46303</v>
      </c>
      <c r="AW408" s="115">
        <v>3</v>
      </c>
      <c r="AX408" s="106" t="s">
        <v>1692</v>
      </c>
      <c r="AY408" s="104">
        <f t="shared" si="135"/>
        <v>46395</v>
      </c>
      <c r="AZ408" s="105">
        <f ca="1" t="shared" si="136"/>
        <v>82</v>
      </c>
    </row>
    <row r="409" customHeight="1" spans="1:52">
      <c r="A409" s="70">
        <v>408</v>
      </c>
      <c r="B409" s="70" t="s">
        <v>229</v>
      </c>
      <c r="C409" s="70" t="s">
        <v>13</v>
      </c>
      <c r="D409" s="71" t="s">
        <v>1693</v>
      </c>
      <c r="E409" s="71" t="s">
        <v>34</v>
      </c>
      <c r="F409" s="72"/>
      <c r="G409" s="73"/>
      <c r="H409" s="75"/>
      <c r="I409" s="165">
        <v>46044</v>
      </c>
      <c r="J409" s="70">
        <v>3</v>
      </c>
      <c r="K409" s="106" t="s">
        <v>1694</v>
      </c>
      <c r="L409" s="104">
        <f t="shared" si="131"/>
        <v>46134</v>
      </c>
      <c r="M409" s="105">
        <f ca="1" t="shared" si="132"/>
        <v>-179</v>
      </c>
      <c r="N409" s="70"/>
      <c r="O409" s="70" t="s">
        <v>229</v>
      </c>
      <c r="P409" s="70" t="s">
        <v>13</v>
      </c>
      <c r="Q409" s="71" t="s">
        <v>1693</v>
      </c>
      <c r="R409" s="71" t="s">
        <v>34</v>
      </c>
      <c r="S409" s="72"/>
      <c r="T409" s="73"/>
      <c r="U409" s="75"/>
      <c r="V409" s="102">
        <v>46139</v>
      </c>
      <c r="W409" s="70">
        <v>3</v>
      </c>
      <c r="X409" s="103" t="s">
        <v>1695</v>
      </c>
      <c r="Y409" s="104">
        <f t="shared" si="139"/>
        <v>46230</v>
      </c>
      <c r="Z409" s="105">
        <f ca="1">Y409-TODAY()</f>
        <v>-83</v>
      </c>
      <c r="AA409" s="70"/>
      <c r="AB409" s="70" t="s">
        <v>229</v>
      </c>
      <c r="AC409" s="70" t="s">
        <v>13</v>
      </c>
      <c r="AD409" s="71" t="s">
        <v>1693</v>
      </c>
      <c r="AE409" s="71" t="s">
        <v>34</v>
      </c>
      <c r="AF409" s="72"/>
      <c r="AG409" s="73"/>
      <c r="AH409" s="75"/>
      <c r="AI409" s="102">
        <v>46231</v>
      </c>
      <c r="AJ409" s="70">
        <v>3</v>
      </c>
      <c r="AK409" s="103" t="s">
        <v>1696</v>
      </c>
      <c r="AL409" s="104">
        <f t="shared" si="137"/>
        <v>46323</v>
      </c>
      <c r="AM409" s="105">
        <f ca="1" t="shared" si="140"/>
        <v>10</v>
      </c>
      <c r="AN409" s="115"/>
      <c r="AO409" s="70"/>
      <c r="AP409" s="70"/>
      <c r="AQ409" s="71"/>
      <c r="AR409" s="71"/>
      <c r="AS409" s="194"/>
      <c r="AT409" s="95"/>
      <c r="AU409" s="114"/>
      <c r="AV409" s="117"/>
      <c r="AW409" s="115"/>
      <c r="AX409" s="106"/>
      <c r="AY409" s="104">
        <f t="shared" si="135"/>
        <v>0</v>
      </c>
      <c r="AZ409" s="105">
        <f ca="1" t="shared" si="136"/>
        <v>-46313</v>
      </c>
    </row>
    <row r="410" customHeight="1" spans="1:52">
      <c r="A410" s="70">
        <v>409</v>
      </c>
      <c r="B410" s="70" t="s">
        <v>844</v>
      </c>
      <c r="C410" s="70" t="s">
        <v>38</v>
      </c>
      <c r="D410" s="70" t="s">
        <v>1697</v>
      </c>
      <c r="E410" s="71" t="s">
        <v>189</v>
      </c>
      <c r="F410" s="72"/>
      <c r="G410" s="73"/>
      <c r="H410" s="74" t="s">
        <v>16</v>
      </c>
      <c r="I410" s="165">
        <v>46044</v>
      </c>
      <c r="J410" s="70">
        <v>3</v>
      </c>
      <c r="K410" s="106" t="s">
        <v>1698</v>
      </c>
      <c r="L410" s="104">
        <f t="shared" si="131"/>
        <v>46134</v>
      </c>
      <c r="M410" s="105">
        <f ca="1" t="shared" si="132"/>
        <v>-179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141">EDATE(V410,W410)</f>
        <v>0</v>
      </c>
      <c r="Z410" s="105">
        <f ca="1" t="shared" ref="Z410:Z433" si="142">Y410-TODAY()</f>
        <v>-46313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137"/>
        <v>0</v>
      </c>
      <c r="AM410" s="105">
        <f ca="1" t="shared" si="140"/>
        <v>-46313</v>
      </c>
      <c r="AN410" s="115"/>
      <c r="AO410" s="115"/>
      <c r="AP410" s="115"/>
      <c r="AQ410" s="115"/>
      <c r="AR410" s="93"/>
      <c r="AS410" s="94"/>
      <c r="AT410" s="95"/>
      <c r="AU410" s="79"/>
      <c r="AV410" s="117"/>
      <c r="AW410" s="115"/>
      <c r="AX410" s="106"/>
      <c r="AY410" s="104">
        <f t="shared" si="135"/>
        <v>0</v>
      </c>
      <c r="AZ410" s="105">
        <f ca="1" t="shared" si="136"/>
        <v>-46313</v>
      </c>
    </row>
    <row r="411" customHeight="1" spans="1:52">
      <c r="A411" s="70">
        <v>410</v>
      </c>
      <c r="B411" s="70" t="s">
        <v>295</v>
      </c>
      <c r="C411" s="70" t="s">
        <v>264</v>
      </c>
      <c r="D411" s="71" t="s">
        <v>1699</v>
      </c>
      <c r="E411" s="71" t="s">
        <v>1700</v>
      </c>
      <c r="F411" s="72"/>
      <c r="G411" s="73"/>
      <c r="H411" s="75"/>
      <c r="I411" s="165">
        <v>46044</v>
      </c>
      <c r="J411" s="70">
        <v>3</v>
      </c>
      <c r="K411" s="106" t="s">
        <v>1701</v>
      </c>
      <c r="L411" s="104">
        <f t="shared" si="131"/>
        <v>46134</v>
      </c>
      <c r="M411" s="105">
        <f ca="1" t="shared" si="132"/>
        <v>-179</v>
      </c>
      <c r="N411" s="70"/>
      <c r="O411" s="70" t="s">
        <v>295</v>
      </c>
      <c r="P411" s="70" t="s">
        <v>264</v>
      </c>
      <c r="Q411" s="71" t="s">
        <v>1699</v>
      </c>
      <c r="R411" s="71" t="s">
        <v>1700</v>
      </c>
      <c r="S411" s="72"/>
      <c r="T411" s="73"/>
      <c r="U411" s="75"/>
      <c r="V411" s="102">
        <v>46171</v>
      </c>
      <c r="W411" s="70">
        <v>3</v>
      </c>
      <c r="X411" s="103" t="s">
        <v>1702</v>
      </c>
      <c r="Y411" s="104">
        <f t="shared" si="141"/>
        <v>46263</v>
      </c>
      <c r="Z411" s="105">
        <f ca="1" t="shared" si="142"/>
        <v>-50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137"/>
        <v>0</v>
      </c>
      <c r="AM411" s="105">
        <f ca="1" t="shared" si="140"/>
        <v>-46313</v>
      </c>
      <c r="AN411" s="115"/>
      <c r="AO411" s="115"/>
      <c r="AP411" s="115"/>
      <c r="AQ411" s="93"/>
      <c r="AR411" s="93"/>
      <c r="AS411" s="94"/>
      <c r="AT411" s="95"/>
      <c r="AU411" s="195"/>
      <c r="AV411" s="117"/>
      <c r="AW411" s="115"/>
      <c r="AX411" s="106"/>
      <c r="AY411" s="104">
        <f t="shared" si="135"/>
        <v>0</v>
      </c>
      <c r="AZ411" s="105">
        <f ca="1" t="shared" si="136"/>
        <v>-46313</v>
      </c>
    </row>
    <row r="412" customHeight="1" spans="1:52">
      <c r="A412" s="70">
        <v>411</v>
      </c>
      <c r="B412" s="70" t="s">
        <v>295</v>
      </c>
      <c r="C412" s="70" t="s">
        <v>264</v>
      </c>
      <c r="D412" s="70" t="s">
        <v>1703</v>
      </c>
      <c r="E412" s="71" t="s">
        <v>1704</v>
      </c>
      <c r="F412" s="72"/>
      <c r="G412" s="73"/>
      <c r="H412" s="75"/>
      <c r="I412" s="165">
        <v>46044</v>
      </c>
      <c r="J412" s="70">
        <v>3</v>
      </c>
      <c r="K412" s="106" t="s">
        <v>1705</v>
      </c>
      <c r="L412" s="104">
        <f t="shared" si="131"/>
        <v>46134</v>
      </c>
      <c r="M412" s="105">
        <f ca="1" t="shared" si="132"/>
        <v>-179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141"/>
        <v>0</v>
      </c>
      <c r="Z412" s="105">
        <f ca="1" t="shared" si="142"/>
        <v>-46313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137"/>
        <v>0</v>
      </c>
      <c r="AM412" s="105">
        <f ca="1" t="shared" si="140"/>
        <v>-46313</v>
      </c>
      <c r="AN412" s="115"/>
      <c r="AO412" s="70"/>
      <c r="AP412" s="70"/>
      <c r="AQ412" s="70"/>
      <c r="AR412" s="71"/>
      <c r="AS412" s="72"/>
      <c r="AT412" s="73"/>
      <c r="AU412" s="75"/>
      <c r="AV412" s="117"/>
      <c r="AW412" s="115"/>
      <c r="AX412" s="106"/>
      <c r="AY412" s="104">
        <f t="shared" si="135"/>
        <v>0</v>
      </c>
      <c r="AZ412" s="105">
        <f ca="1" t="shared" si="136"/>
        <v>-46313</v>
      </c>
    </row>
    <row r="413" customHeight="1" spans="1:52">
      <c r="A413" s="70">
        <v>412</v>
      </c>
      <c r="B413" s="70" t="s">
        <v>295</v>
      </c>
      <c r="C413" s="70" t="s">
        <v>264</v>
      </c>
      <c r="D413" s="71" t="s">
        <v>1706</v>
      </c>
      <c r="E413" s="71" t="s">
        <v>1707</v>
      </c>
      <c r="F413" s="72"/>
      <c r="G413" s="73"/>
      <c r="H413" s="75"/>
      <c r="I413" s="165">
        <v>46044</v>
      </c>
      <c r="J413" s="70">
        <v>3</v>
      </c>
      <c r="K413" s="106" t="s">
        <v>1708</v>
      </c>
      <c r="L413" s="104">
        <f t="shared" si="131"/>
        <v>46134</v>
      </c>
      <c r="M413" s="105">
        <f ca="1" t="shared" si="132"/>
        <v>-179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141"/>
        <v>0</v>
      </c>
      <c r="Z413" s="105">
        <f ca="1" t="shared" si="142"/>
        <v>-46313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137"/>
        <v>0</v>
      </c>
      <c r="AM413" s="105">
        <f ca="1" t="shared" si="140"/>
        <v>-46313</v>
      </c>
      <c r="AN413" s="115"/>
      <c r="AO413" s="70"/>
      <c r="AP413" s="70"/>
      <c r="AQ413" s="71"/>
      <c r="AR413" s="71"/>
      <c r="AS413" s="72"/>
      <c r="AT413" s="73"/>
      <c r="AU413" s="79"/>
      <c r="AV413" s="117"/>
      <c r="AW413" s="115"/>
      <c r="AX413" s="106"/>
      <c r="AY413" s="104">
        <f t="shared" si="135"/>
        <v>0</v>
      </c>
      <c r="AZ413" s="105">
        <f ca="1" t="shared" si="136"/>
        <v>-46313</v>
      </c>
    </row>
    <row r="414" customHeight="1" spans="1:52">
      <c r="A414" s="70">
        <v>413</v>
      </c>
      <c r="B414" s="70" t="s">
        <v>270</v>
      </c>
      <c r="C414" s="70" t="s">
        <v>264</v>
      </c>
      <c r="D414" s="71" t="s">
        <v>276</v>
      </c>
      <c r="E414" s="71" t="s">
        <v>277</v>
      </c>
      <c r="F414" s="72"/>
      <c r="G414" s="73"/>
      <c r="H414" s="75"/>
      <c r="I414" s="165">
        <v>46044</v>
      </c>
      <c r="J414" s="165" t="s">
        <v>767</v>
      </c>
      <c r="K414" s="106"/>
      <c r="L414" s="104" t="e">
        <f t="shared" si="131"/>
        <v>#VALUE!</v>
      </c>
      <c r="M414" s="105" t="e">
        <f ca="1" t="shared" si="132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141"/>
        <v>0</v>
      </c>
      <c r="Z414" s="105">
        <f ca="1" t="shared" si="142"/>
        <v>-46313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137"/>
        <v>0</v>
      </c>
      <c r="AM414" s="105">
        <f ca="1" t="shared" si="140"/>
        <v>-46313</v>
      </c>
      <c r="AN414" s="115"/>
      <c r="AO414" s="115"/>
      <c r="AP414" s="115"/>
      <c r="AQ414" s="93"/>
      <c r="AR414" s="93"/>
      <c r="AS414" s="94"/>
      <c r="AT414" s="95"/>
      <c r="AU414" s="79"/>
      <c r="AV414" s="117"/>
      <c r="AW414" s="115"/>
      <c r="AX414" s="106"/>
      <c r="AY414" s="104">
        <f t="shared" si="135"/>
        <v>0</v>
      </c>
      <c r="AZ414" s="105">
        <f ca="1" t="shared" si="136"/>
        <v>-46313</v>
      </c>
    </row>
    <row r="415" customHeight="1" spans="1:52">
      <c r="A415" s="70">
        <v>414</v>
      </c>
      <c r="B415" s="70" t="s">
        <v>270</v>
      </c>
      <c r="C415" s="70" t="s">
        <v>264</v>
      </c>
      <c r="D415" s="71" t="s">
        <v>1580</v>
      </c>
      <c r="E415" s="71" t="s">
        <v>1707</v>
      </c>
      <c r="F415" s="72"/>
      <c r="G415" s="73"/>
      <c r="H415" s="75"/>
      <c r="I415" s="165">
        <v>46044</v>
      </c>
      <c r="J415" s="165" t="s">
        <v>767</v>
      </c>
      <c r="K415" s="106"/>
      <c r="L415" s="104" t="e">
        <f t="shared" si="131"/>
        <v>#VALUE!</v>
      </c>
      <c r="M415" s="105" t="e">
        <f ca="1" t="shared" si="132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141"/>
        <v>0</v>
      </c>
      <c r="Z415" s="105">
        <f ca="1" t="shared" si="142"/>
        <v>-46313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137"/>
        <v>0</v>
      </c>
      <c r="AM415" s="105">
        <f ca="1" t="shared" si="140"/>
        <v>-46313</v>
      </c>
      <c r="AN415" s="115"/>
      <c r="AO415" s="115"/>
      <c r="AP415" s="115"/>
      <c r="AQ415" s="93"/>
      <c r="AR415" s="93"/>
      <c r="AS415" s="94"/>
      <c r="AT415" s="95"/>
      <c r="AU415" s="114"/>
      <c r="AV415" s="117"/>
      <c r="AW415" s="115"/>
      <c r="AX415" s="106"/>
      <c r="AY415" s="104">
        <f t="shared" si="135"/>
        <v>0</v>
      </c>
      <c r="AZ415" s="105">
        <f ca="1" t="shared" si="136"/>
        <v>-46313</v>
      </c>
    </row>
    <row r="416" customHeight="1" spans="1:52">
      <c r="A416" s="70">
        <v>415</v>
      </c>
      <c r="B416" s="70" t="s">
        <v>270</v>
      </c>
      <c r="C416" s="70" t="s">
        <v>264</v>
      </c>
      <c r="D416" s="71" t="s">
        <v>958</v>
      </c>
      <c r="E416" s="71" t="s">
        <v>1232</v>
      </c>
      <c r="F416" s="72"/>
      <c r="G416" s="73"/>
      <c r="H416" s="75"/>
      <c r="I416" s="165">
        <v>46044</v>
      </c>
      <c r="J416" s="165" t="s">
        <v>767</v>
      </c>
      <c r="K416" s="106"/>
      <c r="L416" s="104" t="e">
        <f t="shared" si="131"/>
        <v>#VALUE!</v>
      </c>
      <c r="M416" s="105" t="e">
        <f ca="1" t="shared" si="132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141"/>
        <v>0</v>
      </c>
      <c r="Z416" s="105">
        <f ca="1" t="shared" si="142"/>
        <v>-46313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137"/>
        <v>0</v>
      </c>
      <c r="AM416" s="105">
        <f ca="1" t="shared" si="140"/>
        <v>-46313</v>
      </c>
      <c r="AN416" s="115"/>
      <c r="AO416" s="70"/>
      <c r="AP416" s="70"/>
      <c r="AQ416" s="71"/>
      <c r="AR416" s="71"/>
      <c r="AS416" s="72"/>
      <c r="AT416" s="73"/>
      <c r="AU416" s="114"/>
      <c r="AV416" s="117"/>
      <c r="AW416" s="115"/>
      <c r="AX416" s="106"/>
      <c r="AY416" s="104">
        <f t="shared" si="135"/>
        <v>0</v>
      </c>
      <c r="AZ416" s="105">
        <f ca="1" t="shared" si="136"/>
        <v>-46313</v>
      </c>
    </row>
    <row r="417" customHeight="1" spans="1:52">
      <c r="A417" s="70">
        <v>416</v>
      </c>
      <c r="B417" s="70" t="s">
        <v>1399</v>
      </c>
      <c r="C417" s="70" t="s">
        <v>374</v>
      </c>
      <c r="D417" s="71" t="s">
        <v>1709</v>
      </c>
      <c r="E417" s="71" t="s">
        <v>883</v>
      </c>
      <c r="F417" s="72"/>
      <c r="G417" s="73"/>
      <c r="H417" s="75"/>
      <c r="I417" s="165">
        <v>46044</v>
      </c>
      <c r="J417" s="70">
        <v>3</v>
      </c>
      <c r="K417" s="106" t="s">
        <v>1710</v>
      </c>
      <c r="L417" s="104">
        <f t="shared" si="131"/>
        <v>46134</v>
      </c>
      <c r="M417" s="105">
        <f ca="1" t="shared" si="132"/>
        <v>-179</v>
      </c>
      <c r="N417" s="70"/>
      <c r="O417" s="70" t="s">
        <v>1399</v>
      </c>
      <c r="P417" s="70" t="s">
        <v>374</v>
      </c>
      <c r="Q417" s="71" t="s">
        <v>1709</v>
      </c>
      <c r="R417" s="71" t="s">
        <v>883</v>
      </c>
      <c r="S417" s="72"/>
      <c r="T417" s="73"/>
      <c r="U417" s="75"/>
      <c r="V417" s="102">
        <v>46129</v>
      </c>
      <c r="W417" s="70">
        <v>3</v>
      </c>
      <c r="X417" s="103" t="s">
        <v>1711</v>
      </c>
      <c r="Y417" s="104">
        <f t="shared" si="141"/>
        <v>46220</v>
      </c>
      <c r="Z417" s="105">
        <f ca="1" t="shared" si="142"/>
        <v>-93</v>
      </c>
      <c r="AA417" s="70"/>
      <c r="AB417" s="70" t="s">
        <v>1399</v>
      </c>
      <c r="AC417" s="70" t="s">
        <v>374</v>
      </c>
      <c r="AD417" s="71" t="s">
        <v>1709</v>
      </c>
      <c r="AE417" s="71" t="s">
        <v>883</v>
      </c>
      <c r="AF417" s="72"/>
      <c r="AG417" s="73"/>
      <c r="AH417" s="75"/>
      <c r="AI417" s="102">
        <v>46220</v>
      </c>
      <c r="AJ417" s="70">
        <v>3</v>
      </c>
      <c r="AK417" s="103" t="s">
        <v>1712</v>
      </c>
      <c r="AL417" s="104">
        <f t="shared" si="137"/>
        <v>46312</v>
      </c>
      <c r="AM417" s="105">
        <f ca="1" t="shared" si="140"/>
        <v>-1</v>
      </c>
      <c r="AN417" s="115"/>
      <c r="AO417" s="115"/>
      <c r="AP417" s="115"/>
      <c r="AQ417" s="93"/>
      <c r="AR417" s="93"/>
      <c r="AS417" s="94"/>
      <c r="AT417" s="95"/>
      <c r="AU417" s="79"/>
      <c r="AV417" s="117"/>
      <c r="AW417" s="115"/>
      <c r="AX417" s="106"/>
      <c r="AY417" s="104">
        <f t="shared" si="135"/>
        <v>0</v>
      </c>
      <c r="AZ417" s="105">
        <f ca="1" t="shared" si="136"/>
        <v>-46313</v>
      </c>
    </row>
    <row r="418" customHeight="1" spans="1:52">
      <c r="A418" s="70">
        <v>417</v>
      </c>
      <c r="B418" s="70" t="s">
        <v>1399</v>
      </c>
      <c r="C418" s="70" t="s">
        <v>374</v>
      </c>
      <c r="D418" s="71" t="s">
        <v>1713</v>
      </c>
      <c r="E418" s="71" t="s">
        <v>883</v>
      </c>
      <c r="F418" s="72"/>
      <c r="G418" s="73"/>
      <c r="H418" s="75"/>
      <c r="I418" s="165">
        <v>46044</v>
      </c>
      <c r="J418" s="70">
        <v>3</v>
      </c>
      <c r="K418" s="106" t="s">
        <v>1714</v>
      </c>
      <c r="L418" s="104">
        <f t="shared" si="131"/>
        <v>46134</v>
      </c>
      <c r="M418" s="105">
        <f ca="1" t="shared" si="132"/>
        <v>-179</v>
      </c>
      <c r="N418" s="70"/>
      <c r="O418" s="70" t="s">
        <v>1399</v>
      </c>
      <c r="P418" s="70" t="s">
        <v>374</v>
      </c>
      <c r="Q418" s="71" t="s">
        <v>1713</v>
      </c>
      <c r="R418" s="71" t="s">
        <v>883</v>
      </c>
      <c r="S418" s="72"/>
      <c r="T418" s="73"/>
      <c r="U418" s="75"/>
      <c r="V418" s="102">
        <v>46140</v>
      </c>
      <c r="W418" s="70">
        <v>3</v>
      </c>
      <c r="X418" s="103" t="s">
        <v>1715</v>
      </c>
      <c r="Y418" s="104">
        <f t="shared" si="141"/>
        <v>46231</v>
      </c>
      <c r="Z418" s="105">
        <f ca="1" t="shared" si="142"/>
        <v>-82</v>
      </c>
      <c r="AA418" s="70"/>
      <c r="AB418" s="70" t="s">
        <v>1399</v>
      </c>
      <c r="AC418" s="70" t="s">
        <v>374</v>
      </c>
      <c r="AD418" s="71" t="s">
        <v>1713</v>
      </c>
      <c r="AE418" s="71" t="s">
        <v>883</v>
      </c>
      <c r="AF418" s="72"/>
      <c r="AG418" s="73"/>
      <c r="AH418" s="75"/>
      <c r="AI418" s="102">
        <v>46220</v>
      </c>
      <c r="AJ418" s="70">
        <v>3</v>
      </c>
      <c r="AK418" s="103" t="s">
        <v>1716</v>
      </c>
      <c r="AL418" s="104">
        <f t="shared" si="137"/>
        <v>46312</v>
      </c>
      <c r="AM418" s="105">
        <f ca="1" t="shared" si="140"/>
        <v>-1</v>
      </c>
      <c r="AN418" s="115"/>
      <c r="AO418" s="70"/>
      <c r="AP418" s="70"/>
      <c r="AQ418" s="71"/>
      <c r="AR418" s="71"/>
      <c r="AS418" s="72"/>
      <c r="AT418" s="73"/>
      <c r="AU418" s="75"/>
      <c r="AV418" s="117"/>
      <c r="AW418" s="115"/>
      <c r="AX418" s="106"/>
      <c r="AY418" s="104">
        <f t="shared" si="135"/>
        <v>0</v>
      </c>
      <c r="AZ418" s="105">
        <f ca="1" t="shared" si="136"/>
        <v>-46313</v>
      </c>
    </row>
    <row r="419" customHeight="1" spans="1:52">
      <c r="A419" s="70">
        <v>418</v>
      </c>
      <c r="B419" s="70" t="s">
        <v>1399</v>
      </c>
      <c r="C419" s="70" t="s">
        <v>374</v>
      </c>
      <c r="D419" s="71" t="s">
        <v>1717</v>
      </c>
      <c r="E419" s="71" t="s">
        <v>883</v>
      </c>
      <c r="F419" s="72"/>
      <c r="G419" s="73"/>
      <c r="H419" s="75"/>
      <c r="I419" s="165">
        <v>46044</v>
      </c>
      <c r="J419" s="70">
        <v>3</v>
      </c>
      <c r="K419" s="106" t="s">
        <v>1718</v>
      </c>
      <c r="L419" s="104">
        <f t="shared" si="131"/>
        <v>46134</v>
      </c>
      <c r="M419" s="105">
        <f ca="1" t="shared" si="132"/>
        <v>-179</v>
      </c>
      <c r="N419" s="70"/>
      <c r="O419" s="70" t="s">
        <v>1399</v>
      </c>
      <c r="P419" s="70" t="s">
        <v>374</v>
      </c>
      <c r="Q419" s="71" t="s">
        <v>1717</v>
      </c>
      <c r="R419" s="71" t="s">
        <v>883</v>
      </c>
      <c r="S419" s="72"/>
      <c r="T419" s="73"/>
      <c r="U419" s="75"/>
      <c r="V419" s="102">
        <v>46140</v>
      </c>
      <c r="W419" s="70">
        <v>3</v>
      </c>
      <c r="X419" s="103" t="s">
        <v>1719</v>
      </c>
      <c r="Y419" s="104">
        <f t="shared" si="141"/>
        <v>46231</v>
      </c>
      <c r="Z419" s="105">
        <f ca="1" t="shared" si="142"/>
        <v>-82</v>
      </c>
      <c r="AA419" s="70"/>
      <c r="AB419" s="70" t="s">
        <v>1399</v>
      </c>
      <c r="AC419" s="70" t="s">
        <v>374</v>
      </c>
      <c r="AD419" s="71" t="s">
        <v>1717</v>
      </c>
      <c r="AE419" s="71" t="s">
        <v>883</v>
      </c>
      <c r="AF419" s="72"/>
      <c r="AG419" s="73"/>
      <c r="AH419" s="75"/>
      <c r="AI419" s="102">
        <v>46220</v>
      </c>
      <c r="AJ419" s="70">
        <v>3</v>
      </c>
      <c r="AK419" s="103" t="s">
        <v>1720</v>
      </c>
      <c r="AL419" s="104">
        <f t="shared" si="137"/>
        <v>46312</v>
      </c>
      <c r="AM419" s="105">
        <f ca="1" t="shared" si="140"/>
        <v>-1</v>
      </c>
      <c r="AN419" s="115"/>
      <c r="AO419" s="115"/>
      <c r="AP419" s="115"/>
      <c r="AQ419" s="93"/>
      <c r="AR419" s="93"/>
      <c r="AS419" s="94"/>
      <c r="AT419" s="95"/>
      <c r="AU419" s="79"/>
      <c r="AV419" s="117"/>
      <c r="AW419" s="115"/>
      <c r="AX419" s="106"/>
      <c r="AY419" s="104">
        <f t="shared" si="135"/>
        <v>0</v>
      </c>
      <c r="AZ419" s="105">
        <f ca="1" t="shared" si="136"/>
        <v>-46313</v>
      </c>
    </row>
    <row r="420" customHeight="1" spans="1:52">
      <c r="A420" s="70">
        <v>419</v>
      </c>
      <c r="B420" s="70" t="s">
        <v>1399</v>
      </c>
      <c r="C420" s="70" t="s">
        <v>374</v>
      </c>
      <c r="D420" s="71" t="s">
        <v>1721</v>
      </c>
      <c r="E420" s="71" t="s">
        <v>883</v>
      </c>
      <c r="F420" s="72"/>
      <c r="G420" s="73"/>
      <c r="H420" s="75"/>
      <c r="I420" s="165">
        <v>46044</v>
      </c>
      <c r="J420" s="70">
        <v>3</v>
      </c>
      <c r="K420" s="106" t="s">
        <v>1722</v>
      </c>
      <c r="L420" s="104">
        <f t="shared" si="131"/>
        <v>46134</v>
      </c>
      <c r="M420" s="105">
        <f ca="1" t="shared" si="132"/>
        <v>-179</v>
      </c>
      <c r="N420" s="70"/>
      <c r="O420" s="70" t="s">
        <v>1399</v>
      </c>
      <c r="P420" s="70" t="s">
        <v>374</v>
      </c>
      <c r="Q420" s="71" t="s">
        <v>1721</v>
      </c>
      <c r="R420" s="71" t="s">
        <v>883</v>
      </c>
      <c r="S420" s="72"/>
      <c r="T420" s="73"/>
      <c r="U420" s="75"/>
      <c r="V420" s="102">
        <v>46140</v>
      </c>
      <c r="W420" s="70">
        <v>3</v>
      </c>
      <c r="X420" s="103" t="s">
        <v>1723</v>
      </c>
      <c r="Y420" s="104">
        <f t="shared" si="141"/>
        <v>46231</v>
      </c>
      <c r="Z420" s="105">
        <f ca="1" t="shared" si="142"/>
        <v>-82</v>
      </c>
      <c r="AA420" s="70"/>
      <c r="AB420" s="70" t="s">
        <v>1399</v>
      </c>
      <c r="AC420" s="70" t="s">
        <v>374</v>
      </c>
      <c r="AD420" s="71" t="s">
        <v>1721</v>
      </c>
      <c r="AE420" s="71" t="s">
        <v>883</v>
      </c>
      <c r="AF420" s="72"/>
      <c r="AG420" s="73"/>
      <c r="AH420" s="75"/>
      <c r="AI420" s="102">
        <v>46220</v>
      </c>
      <c r="AJ420" s="70">
        <v>3</v>
      </c>
      <c r="AK420" s="103" t="s">
        <v>1724</v>
      </c>
      <c r="AL420" s="104">
        <f t="shared" si="137"/>
        <v>46312</v>
      </c>
      <c r="AM420" s="105">
        <f ca="1" t="shared" si="140"/>
        <v>-1</v>
      </c>
      <c r="AN420" s="115"/>
      <c r="AO420" s="70"/>
      <c r="AP420" s="70"/>
      <c r="AQ420" s="71"/>
      <c r="AR420" s="71"/>
      <c r="AS420" s="72"/>
      <c r="AT420" s="73"/>
      <c r="AU420" s="79"/>
      <c r="AV420" s="117"/>
      <c r="AW420" s="115"/>
      <c r="AX420" s="106"/>
      <c r="AY420" s="104">
        <f t="shared" si="135"/>
        <v>0</v>
      </c>
      <c r="AZ420" s="105">
        <f ca="1" t="shared" si="136"/>
        <v>-46313</v>
      </c>
    </row>
    <row r="421" customHeight="1" spans="1:52">
      <c r="A421" s="70">
        <v>420</v>
      </c>
      <c r="B421" s="70" t="s">
        <v>1399</v>
      </c>
      <c r="C421" s="70" t="s">
        <v>374</v>
      </c>
      <c r="D421" s="71" t="s">
        <v>1725</v>
      </c>
      <c r="E421" s="71" t="s">
        <v>883</v>
      </c>
      <c r="F421" s="72"/>
      <c r="G421" s="73"/>
      <c r="H421" s="75"/>
      <c r="I421" s="165">
        <v>46044</v>
      </c>
      <c r="J421" s="70">
        <v>3</v>
      </c>
      <c r="K421" s="106" t="s">
        <v>1726</v>
      </c>
      <c r="L421" s="104">
        <f t="shared" si="131"/>
        <v>46134</v>
      </c>
      <c r="M421" s="105">
        <f ca="1" t="shared" si="132"/>
        <v>-179</v>
      </c>
      <c r="N421" s="70"/>
      <c r="O421" s="70" t="s">
        <v>1399</v>
      </c>
      <c r="P421" s="70" t="s">
        <v>374</v>
      </c>
      <c r="Q421" s="71" t="s">
        <v>1725</v>
      </c>
      <c r="R421" s="71" t="s">
        <v>883</v>
      </c>
      <c r="S421" s="72"/>
      <c r="T421" s="73"/>
      <c r="U421" s="75"/>
      <c r="V421" s="102">
        <v>46140</v>
      </c>
      <c r="W421" s="70">
        <v>3</v>
      </c>
      <c r="X421" s="103" t="s">
        <v>1727</v>
      </c>
      <c r="Y421" s="104">
        <f t="shared" si="141"/>
        <v>46231</v>
      </c>
      <c r="Z421" s="105">
        <f ca="1" t="shared" si="142"/>
        <v>-82</v>
      </c>
      <c r="AA421" s="70"/>
      <c r="AB421" s="70" t="s">
        <v>1399</v>
      </c>
      <c r="AC421" s="70" t="s">
        <v>374</v>
      </c>
      <c r="AD421" s="71" t="s">
        <v>1725</v>
      </c>
      <c r="AE421" s="71" t="s">
        <v>883</v>
      </c>
      <c r="AF421" s="72"/>
      <c r="AG421" s="73"/>
      <c r="AH421" s="75"/>
      <c r="AI421" s="102">
        <v>46220</v>
      </c>
      <c r="AJ421" s="70">
        <v>3</v>
      </c>
      <c r="AK421" s="103" t="s">
        <v>1728</v>
      </c>
      <c r="AL421" s="104">
        <f t="shared" si="137"/>
        <v>46312</v>
      </c>
      <c r="AM421" s="105">
        <f ca="1" t="shared" si="140"/>
        <v>-1</v>
      </c>
      <c r="AN421" s="115"/>
      <c r="AO421" s="115"/>
      <c r="AP421" s="115"/>
      <c r="AQ421" s="93"/>
      <c r="AR421" s="93"/>
      <c r="AS421" s="94"/>
      <c r="AT421" s="95"/>
      <c r="AU421" s="79"/>
      <c r="AV421" s="117"/>
      <c r="AW421" s="115"/>
      <c r="AX421" s="106"/>
      <c r="AY421" s="104">
        <f t="shared" si="135"/>
        <v>0</v>
      </c>
      <c r="AZ421" s="105">
        <f ca="1" t="shared" si="136"/>
        <v>-46313</v>
      </c>
    </row>
    <row r="422" customHeight="1" spans="1:52">
      <c r="A422" s="70">
        <v>421</v>
      </c>
      <c r="B422" s="70" t="s">
        <v>1399</v>
      </c>
      <c r="C422" s="70" t="s">
        <v>374</v>
      </c>
      <c r="D422" s="71" t="s">
        <v>1729</v>
      </c>
      <c r="E422" s="71" t="s">
        <v>883</v>
      </c>
      <c r="F422" s="72"/>
      <c r="G422" s="73"/>
      <c r="H422" s="75"/>
      <c r="I422" s="165">
        <v>46044</v>
      </c>
      <c r="J422" s="70">
        <v>3</v>
      </c>
      <c r="K422" s="106" t="s">
        <v>1730</v>
      </c>
      <c r="L422" s="104">
        <f t="shared" si="131"/>
        <v>46134</v>
      </c>
      <c r="M422" s="105">
        <f ca="1" t="shared" si="132"/>
        <v>-179</v>
      </c>
      <c r="N422" s="70"/>
      <c r="O422" s="70" t="s">
        <v>1399</v>
      </c>
      <c r="P422" s="70" t="s">
        <v>374</v>
      </c>
      <c r="Q422" s="71" t="s">
        <v>1729</v>
      </c>
      <c r="R422" s="71" t="s">
        <v>883</v>
      </c>
      <c r="S422" s="72"/>
      <c r="T422" s="73"/>
      <c r="U422" s="75"/>
      <c r="V422" s="102">
        <v>46140</v>
      </c>
      <c r="W422" s="70">
        <v>3</v>
      </c>
      <c r="X422" s="103" t="s">
        <v>1731</v>
      </c>
      <c r="Y422" s="104">
        <f t="shared" si="141"/>
        <v>46231</v>
      </c>
      <c r="Z422" s="105">
        <f ca="1" t="shared" si="142"/>
        <v>-82</v>
      </c>
      <c r="AA422" s="70"/>
      <c r="AB422" s="70" t="s">
        <v>1399</v>
      </c>
      <c r="AC422" s="70" t="s">
        <v>374</v>
      </c>
      <c r="AD422" s="71" t="s">
        <v>1729</v>
      </c>
      <c r="AE422" s="71" t="s">
        <v>883</v>
      </c>
      <c r="AF422" s="72"/>
      <c r="AG422" s="73"/>
      <c r="AH422" s="75"/>
      <c r="AI422" s="102">
        <v>46247</v>
      </c>
      <c r="AJ422" s="70">
        <v>3</v>
      </c>
      <c r="AK422" s="103" t="s">
        <v>1732</v>
      </c>
      <c r="AL422" s="104">
        <f t="shared" si="137"/>
        <v>46339</v>
      </c>
      <c r="AM422" s="105">
        <f ca="1" t="shared" si="140"/>
        <v>26</v>
      </c>
      <c r="AN422" s="115"/>
      <c r="AO422" s="115"/>
      <c r="AP422" s="115"/>
      <c r="AQ422" s="93"/>
      <c r="AR422" s="93"/>
      <c r="AS422" s="94"/>
      <c r="AT422" s="95"/>
      <c r="AU422" s="79"/>
      <c r="AV422" s="117"/>
      <c r="AW422" s="115"/>
      <c r="AX422" s="106"/>
      <c r="AY422" s="104">
        <f t="shared" si="135"/>
        <v>0</v>
      </c>
      <c r="AZ422" s="105">
        <f ca="1" t="shared" si="136"/>
        <v>-46313</v>
      </c>
    </row>
    <row r="423" customHeight="1" spans="1:52">
      <c r="A423" s="70">
        <v>422</v>
      </c>
      <c r="B423" s="70" t="s">
        <v>1399</v>
      </c>
      <c r="C423" s="70" t="s">
        <v>374</v>
      </c>
      <c r="D423" s="71" t="s">
        <v>1733</v>
      </c>
      <c r="E423" s="71" t="s">
        <v>883</v>
      </c>
      <c r="F423" s="72"/>
      <c r="G423" s="73"/>
      <c r="H423" s="75"/>
      <c r="I423" s="165">
        <v>46044</v>
      </c>
      <c r="J423" s="70">
        <v>3</v>
      </c>
      <c r="K423" s="106" t="s">
        <v>1734</v>
      </c>
      <c r="L423" s="104">
        <f t="shared" si="131"/>
        <v>46134</v>
      </c>
      <c r="M423" s="105">
        <f ca="1" t="shared" si="132"/>
        <v>-179</v>
      </c>
      <c r="N423" s="70"/>
      <c r="O423" s="70" t="s">
        <v>1399</v>
      </c>
      <c r="P423" s="70" t="s">
        <v>374</v>
      </c>
      <c r="Q423" s="71" t="s">
        <v>1733</v>
      </c>
      <c r="R423" s="71" t="s">
        <v>883</v>
      </c>
      <c r="S423" s="72"/>
      <c r="T423" s="73"/>
      <c r="U423" s="75"/>
      <c r="V423" s="102">
        <v>46140</v>
      </c>
      <c r="W423" s="70">
        <v>3</v>
      </c>
      <c r="X423" s="103" t="s">
        <v>1735</v>
      </c>
      <c r="Y423" s="104">
        <f t="shared" si="141"/>
        <v>46231</v>
      </c>
      <c r="Z423" s="105">
        <f ca="1" t="shared" si="142"/>
        <v>-82</v>
      </c>
      <c r="AA423" s="70"/>
      <c r="AB423" s="70" t="s">
        <v>1399</v>
      </c>
      <c r="AC423" s="70" t="s">
        <v>374</v>
      </c>
      <c r="AD423" s="71" t="s">
        <v>1733</v>
      </c>
      <c r="AE423" s="71" t="s">
        <v>883</v>
      </c>
      <c r="AF423" s="72"/>
      <c r="AG423" s="73"/>
      <c r="AH423" s="75"/>
      <c r="AI423" s="102">
        <v>46247</v>
      </c>
      <c r="AJ423" s="70">
        <v>3</v>
      </c>
      <c r="AK423" s="103" t="s">
        <v>1736</v>
      </c>
      <c r="AL423" s="104">
        <f t="shared" si="137"/>
        <v>46339</v>
      </c>
      <c r="AM423" s="105">
        <f ca="1" t="shared" si="140"/>
        <v>26</v>
      </c>
      <c r="AN423" s="115"/>
      <c r="AO423" s="115"/>
      <c r="AP423" s="115"/>
      <c r="AQ423" s="93"/>
      <c r="AR423" s="93"/>
      <c r="AS423" s="94"/>
      <c r="AT423" s="95"/>
      <c r="AU423" s="79"/>
      <c r="AV423" s="117"/>
      <c r="AW423" s="115"/>
      <c r="AX423" s="106"/>
      <c r="AY423" s="104">
        <f t="shared" si="135"/>
        <v>0</v>
      </c>
      <c r="AZ423" s="105">
        <f ca="1" t="shared" si="136"/>
        <v>-46313</v>
      </c>
    </row>
    <row r="424" customHeight="1" spans="1:52">
      <c r="A424" s="70">
        <v>423</v>
      </c>
      <c r="B424" s="70" t="s">
        <v>1399</v>
      </c>
      <c r="C424" s="70" t="s">
        <v>374</v>
      </c>
      <c r="D424" s="71" t="s">
        <v>1737</v>
      </c>
      <c r="E424" s="71" t="s">
        <v>883</v>
      </c>
      <c r="F424" s="72"/>
      <c r="G424" s="73"/>
      <c r="H424" s="75"/>
      <c r="I424" s="165">
        <v>46044</v>
      </c>
      <c r="J424" s="70">
        <v>3</v>
      </c>
      <c r="K424" s="106" t="s">
        <v>1738</v>
      </c>
      <c r="L424" s="104">
        <f t="shared" si="131"/>
        <v>46134</v>
      </c>
      <c r="M424" s="105">
        <f ca="1" t="shared" si="132"/>
        <v>-179</v>
      </c>
      <c r="N424" s="70"/>
      <c r="O424" s="70" t="s">
        <v>1399</v>
      </c>
      <c r="P424" s="70" t="s">
        <v>374</v>
      </c>
      <c r="Q424" s="71" t="s">
        <v>1737</v>
      </c>
      <c r="R424" s="71" t="s">
        <v>883</v>
      </c>
      <c r="S424" s="72"/>
      <c r="T424" s="73"/>
      <c r="U424" s="75"/>
      <c r="V424" s="165">
        <v>46098</v>
      </c>
      <c r="W424" s="70">
        <v>3</v>
      </c>
      <c r="X424" s="106" t="s">
        <v>1739</v>
      </c>
      <c r="Y424" s="104">
        <f t="shared" si="141"/>
        <v>46190</v>
      </c>
      <c r="Z424" s="105">
        <f ca="1" t="shared" si="142"/>
        <v>-123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137"/>
        <v>0</v>
      </c>
      <c r="AM424" s="105">
        <f ca="1" t="shared" si="140"/>
        <v>-46313</v>
      </c>
      <c r="AN424" s="115"/>
      <c r="AO424" s="115"/>
      <c r="AP424" s="115"/>
      <c r="AQ424" s="93"/>
      <c r="AR424" s="93"/>
      <c r="AS424" s="94"/>
      <c r="AT424" s="95"/>
      <c r="AU424" s="79"/>
      <c r="AV424" s="117"/>
      <c r="AW424" s="115"/>
      <c r="AX424" s="106"/>
      <c r="AY424" s="104">
        <f t="shared" si="135"/>
        <v>0</v>
      </c>
      <c r="AZ424" s="105">
        <f ca="1" t="shared" si="136"/>
        <v>-46313</v>
      </c>
    </row>
    <row r="425" customHeight="1" spans="1:52">
      <c r="A425" s="70">
        <v>424</v>
      </c>
      <c r="B425" s="70" t="s">
        <v>1399</v>
      </c>
      <c r="C425" s="70" t="s">
        <v>374</v>
      </c>
      <c r="D425" s="71" t="s">
        <v>1740</v>
      </c>
      <c r="E425" s="71" t="s">
        <v>883</v>
      </c>
      <c r="F425" s="72"/>
      <c r="G425" s="73"/>
      <c r="H425" s="75"/>
      <c r="I425" s="165">
        <v>46044</v>
      </c>
      <c r="J425" s="70">
        <v>3</v>
      </c>
      <c r="K425" s="106" t="s">
        <v>1741</v>
      </c>
      <c r="L425" s="104">
        <f t="shared" si="131"/>
        <v>46134</v>
      </c>
      <c r="M425" s="105">
        <f ca="1" t="shared" si="132"/>
        <v>-179</v>
      </c>
      <c r="N425" s="70"/>
      <c r="O425" s="70" t="s">
        <v>1399</v>
      </c>
      <c r="P425" s="70" t="s">
        <v>374</v>
      </c>
      <c r="Q425" s="71" t="s">
        <v>1740</v>
      </c>
      <c r="R425" s="71" t="s">
        <v>883</v>
      </c>
      <c r="S425" s="72"/>
      <c r="T425" s="73"/>
      <c r="U425" s="75"/>
      <c r="V425" s="102">
        <v>46135</v>
      </c>
      <c r="W425" s="70">
        <v>3</v>
      </c>
      <c r="X425" s="103" t="s">
        <v>1742</v>
      </c>
      <c r="Y425" s="104">
        <f t="shared" si="141"/>
        <v>46226</v>
      </c>
      <c r="Z425" s="105">
        <f ca="1" t="shared" si="142"/>
        <v>-87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137"/>
        <v>0</v>
      </c>
      <c r="AM425" s="105">
        <f ca="1" t="shared" si="140"/>
        <v>-46313</v>
      </c>
      <c r="AN425" s="115"/>
      <c r="AO425" s="115"/>
      <c r="AP425" s="115"/>
      <c r="AQ425" s="93"/>
      <c r="AR425" s="93"/>
      <c r="AS425" s="94"/>
      <c r="AT425" s="95"/>
      <c r="AU425" s="79"/>
      <c r="AV425" s="117"/>
      <c r="AW425" s="115"/>
      <c r="AX425" s="106"/>
      <c r="AY425" s="104">
        <f t="shared" si="135"/>
        <v>0</v>
      </c>
      <c r="AZ425" s="105">
        <f ca="1" t="shared" si="136"/>
        <v>-46313</v>
      </c>
    </row>
    <row r="426" customHeight="1" spans="1:52">
      <c r="A426" s="70">
        <v>425</v>
      </c>
      <c r="B426" s="70" t="s">
        <v>1399</v>
      </c>
      <c r="C426" s="70" t="s">
        <v>374</v>
      </c>
      <c r="D426" s="71" t="s">
        <v>1743</v>
      </c>
      <c r="E426" s="71" t="s">
        <v>883</v>
      </c>
      <c r="F426" s="72"/>
      <c r="G426" s="73"/>
      <c r="H426" s="75"/>
      <c r="I426" s="165">
        <v>46044</v>
      </c>
      <c r="J426" s="70">
        <v>3</v>
      </c>
      <c r="K426" s="106" t="s">
        <v>1744</v>
      </c>
      <c r="L426" s="104">
        <f t="shared" si="131"/>
        <v>46134</v>
      </c>
      <c r="M426" s="105">
        <f ca="1" t="shared" si="132"/>
        <v>-179</v>
      </c>
      <c r="N426" s="70"/>
      <c r="O426" s="70" t="s">
        <v>1399</v>
      </c>
      <c r="P426" s="70" t="s">
        <v>374</v>
      </c>
      <c r="Q426" s="71" t="s">
        <v>1743</v>
      </c>
      <c r="R426" s="71" t="s">
        <v>883</v>
      </c>
      <c r="S426" s="72"/>
      <c r="T426" s="73"/>
      <c r="U426" s="75"/>
      <c r="V426" s="102">
        <v>46135</v>
      </c>
      <c r="W426" s="70">
        <v>3</v>
      </c>
      <c r="X426" s="103" t="s">
        <v>1745</v>
      </c>
      <c r="Y426" s="104">
        <f t="shared" si="141"/>
        <v>46226</v>
      </c>
      <c r="Z426" s="105">
        <f ca="1" t="shared" si="142"/>
        <v>-87</v>
      </c>
      <c r="AA426" s="70"/>
      <c r="AB426" s="70" t="s">
        <v>1399</v>
      </c>
      <c r="AC426" s="70" t="s">
        <v>374</v>
      </c>
      <c r="AD426" s="71" t="s">
        <v>1743</v>
      </c>
      <c r="AE426" s="71" t="s">
        <v>883</v>
      </c>
      <c r="AF426" s="72"/>
      <c r="AG426" s="73"/>
      <c r="AH426" s="75"/>
      <c r="AI426" s="102">
        <v>46281</v>
      </c>
      <c r="AJ426" s="70">
        <v>3</v>
      </c>
      <c r="AK426" s="103" t="s">
        <v>1746</v>
      </c>
      <c r="AL426" s="104">
        <f t="shared" si="137"/>
        <v>46372</v>
      </c>
      <c r="AM426" s="105">
        <f ca="1" t="shared" si="140"/>
        <v>59</v>
      </c>
      <c r="AN426" s="115"/>
      <c r="AO426" s="115"/>
      <c r="AP426" s="115"/>
      <c r="AQ426" s="93"/>
      <c r="AR426" s="93"/>
      <c r="AS426" s="94"/>
      <c r="AT426" s="95"/>
      <c r="AU426" s="79"/>
      <c r="AV426" s="117"/>
      <c r="AW426" s="115"/>
      <c r="AX426" s="106"/>
      <c r="AY426" s="104">
        <f t="shared" si="135"/>
        <v>0</v>
      </c>
      <c r="AZ426" s="105">
        <f ca="1" t="shared" si="136"/>
        <v>-46313</v>
      </c>
    </row>
    <row r="427" customHeight="1" spans="1:52">
      <c r="A427" s="70">
        <v>426</v>
      </c>
      <c r="B427" s="70" t="s">
        <v>1399</v>
      </c>
      <c r="C427" s="70" t="s">
        <v>374</v>
      </c>
      <c r="D427" s="71" t="s">
        <v>1747</v>
      </c>
      <c r="E427" s="71" t="s">
        <v>883</v>
      </c>
      <c r="F427" s="72"/>
      <c r="G427" s="73"/>
      <c r="H427" s="75"/>
      <c r="I427" s="165">
        <v>46044</v>
      </c>
      <c r="J427" s="70">
        <v>3</v>
      </c>
      <c r="K427" s="106" t="s">
        <v>1748</v>
      </c>
      <c r="L427" s="104">
        <f t="shared" si="131"/>
        <v>46134</v>
      </c>
      <c r="M427" s="105">
        <f ca="1" t="shared" si="132"/>
        <v>-179</v>
      </c>
      <c r="N427" s="70"/>
      <c r="O427" s="70" t="s">
        <v>1399</v>
      </c>
      <c r="P427" s="70" t="s">
        <v>374</v>
      </c>
      <c r="Q427" s="71" t="s">
        <v>1747</v>
      </c>
      <c r="R427" s="71" t="s">
        <v>883</v>
      </c>
      <c r="S427" s="72"/>
      <c r="T427" s="73"/>
      <c r="U427" s="75"/>
      <c r="V427" s="102">
        <v>46247</v>
      </c>
      <c r="W427" s="70">
        <v>3</v>
      </c>
      <c r="X427" s="103" t="s">
        <v>1749</v>
      </c>
      <c r="Y427" s="104">
        <f t="shared" si="141"/>
        <v>46339</v>
      </c>
      <c r="Z427" s="105">
        <f ca="1" t="shared" si="142"/>
        <v>26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137"/>
        <v>0</v>
      </c>
      <c r="AM427" s="105">
        <f ca="1" t="shared" si="140"/>
        <v>-46313</v>
      </c>
      <c r="AN427" s="115"/>
      <c r="AO427" s="70"/>
      <c r="AP427" s="70"/>
      <c r="AQ427" s="71"/>
      <c r="AR427" s="71"/>
      <c r="AS427" s="72"/>
      <c r="AT427" s="73"/>
      <c r="AU427" s="79"/>
      <c r="AV427" s="117"/>
      <c r="AW427" s="115"/>
      <c r="AX427" s="106"/>
      <c r="AY427" s="104">
        <f t="shared" si="135"/>
        <v>0</v>
      </c>
      <c r="AZ427" s="105">
        <f ca="1" t="shared" si="136"/>
        <v>-46313</v>
      </c>
    </row>
    <row r="428" customHeight="1" spans="1:52">
      <c r="A428" s="70">
        <v>427</v>
      </c>
      <c r="B428" s="70" t="s">
        <v>1399</v>
      </c>
      <c r="C428" s="70" t="s">
        <v>374</v>
      </c>
      <c r="D428" s="71" t="s">
        <v>1750</v>
      </c>
      <c r="E428" s="71" t="s">
        <v>883</v>
      </c>
      <c r="F428" s="72"/>
      <c r="G428" s="73"/>
      <c r="H428" s="75"/>
      <c r="I428" s="165">
        <v>46044</v>
      </c>
      <c r="J428" s="70">
        <v>3</v>
      </c>
      <c r="K428" s="106" t="s">
        <v>1751</v>
      </c>
      <c r="L428" s="104">
        <f t="shared" si="131"/>
        <v>46134</v>
      </c>
      <c r="M428" s="105">
        <f ca="1" t="shared" si="132"/>
        <v>-179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141"/>
        <v>0</v>
      </c>
      <c r="Z428" s="105">
        <f ca="1" t="shared" si="142"/>
        <v>-46313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137"/>
        <v>0</v>
      </c>
      <c r="AM428" s="105">
        <f ca="1" t="shared" si="140"/>
        <v>-46313</v>
      </c>
      <c r="AN428" s="115"/>
      <c r="AO428" s="115"/>
      <c r="AP428" s="115"/>
      <c r="AQ428" s="93"/>
      <c r="AR428" s="93"/>
      <c r="AS428" s="94"/>
      <c r="AT428" s="95"/>
      <c r="AU428" s="79"/>
      <c r="AV428" s="117"/>
      <c r="AW428" s="115"/>
      <c r="AX428" s="106"/>
      <c r="AY428" s="104">
        <f t="shared" si="135"/>
        <v>0</v>
      </c>
      <c r="AZ428" s="105">
        <f ca="1" t="shared" si="136"/>
        <v>-46313</v>
      </c>
    </row>
    <row r="429" customHeight="1" spans="1:52">
      <c r="A429" s="70">
        <v>428</v>
      </c>
      <c r="B429" s="70" t="s">
        <v>1752</v>
      </c>
      <c r="C429" s="70" t="s">
        <v>374</v>
      </c>
      <c r="D429" s="71" t="s">
        <v>1753</v>
      </c>
      <c r="E429" s="71" t="s">
        <v>1754</v>
      </c>
      <c r="F429" s="72"/>
      <c r="G429" s="73"/>
      <c r="H429" s="75"/>
      <c r="I429" s="165">
        <v>46044</v>
      </c>
      <c r="J429" s="70">
        <v>3</v>
      </c>
      <c r="K429" s="106" t="s">
        <v>1755</v>
      </c>
      <c r="L429" s="104">
        <f t="shared" si="131"/>
        <v>46134</v>
      </c>
      <c r="M429" s="105">
        <f ca="1" t="shared" si="132"/>
        <v>-179</v>
      </c>
      <c r="N429" s="70"/>
      <c r="O429" s="70" t="s">
        <v>1752</v>
      </c>
      <c r="P429" s="70" t="s">
        <v>374</v>
      </c>
      <c r="Q429" s="71" t="s">
        <v>1753</v>
      </c>
      <c r="R429" s="71" t="s">
        <v>1754</v>
      </c>
      <c r="S429" s="72"/>
      <c r="T429" s="73"/>
      <c r="U429" s="75"/>
      <c r="V429" s="102">
        <v>46221</v>
      </c>
      <c r="W429" s="70">
        <v>3</v>
      </c>
      <c r="X429" s="103" t="s">
        <v>1756</v>
      </c>
      <c r="Y429" s="104">
        <f t="shared" si="141"/>
        <v>46313</v>
      </c>
      <c r="Z429" s="105">
        <f ca="1" t="shared" si="142"/>
        <v>0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137"/>
        <v>0</v>
      </c>
      <c r="AM429" s="105">
        <f ca="1" t="shared" si="140"/>
        <v>-46313</v>
      </c>
      <c r="AN429" s="115"/>
      <c r="AO429" s="115"/>
      <c r="AP429" s="115"/>
      <c r="AQ429" s="93"/>
      <c r="AR429" s="93"/>
      <c r="AS429" s="94"/>
      <c r="AT429" s="95"/>
      <c r="AU429" s="79"/>
      <c r="AV429" s="117"/>
      <c r="AW429" s="115"/>
      <c r="AX429" s="106"/>
      <c r="AY429" s="104">
        <f t="shared" si="135"/>
        <v>0</v>
      </c>
      <c r="AZ429" s="105">
        <f ca="1" t="shared" si="136"/>
        <v>-46313</v>
      </c>
    </row>
    <row r="430" customHeight="1" spans="1:52">
      <c r="A430" s="70">
        <v>429</v>
      </c>
      <c r="B430" s="70" t="s">
        <v>1757</v>
      </c>
      <c r="C430" s="70" t="s">
        <v>374</v>
      </c>
      <c r="D430" s="71" t="s">
        <v>1758</v>
      </c>
      <c r="E430" s="71" t="s">
        <v>1759</v>
      </c>
      <c r="F430" s="72"/>
      <c r="G430" s="73"/>
      <c r="H430" s="74" t="s">
        <v>16</v>
      </c>
      <c r="I430" s="165">
        <v>46044</v>
      </c>
      <c r="J430" s="70">
        <v>3</v>
      </c>
      <c r="K430" s="106" t="s">
        <v>1760</v>
      </c>
      <c r="L430" s="104">
        <f t="shared" si="131"/>
        <v>46134</v>
      </c>
      <c r="M430" s="105">
        <f ca="1" t="shared" si="132"/>
        <v>-179</v>
      </c>
      <c r="N430" s="70"/>
      <c r="O430" s="70" t="s">
        <v>1757</v>
      </c>
      <c r="P430" s="70" t="s">
        <v>374</v>
      </c>
      <c r="Q430" s="71" t="s">
        <v>1758</v>
      </c>
      <c r="R430" s="71" t="s">
        <v>1759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1761</v>
      </c>
      <c r="Y430" s="104">
        <f t="shared" si="141"/>
        <v>46220</v>
      </c>
      <c r="Z430" s="105">
        <f ca="1" t="shared" si="142"/>
        <v>-93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137"/>
        <v>0</v>
      </c>
      <c r="AM430" s="105">
        <f ca="1" t="shared" si="140"/>
        <v>-46313</v>
      </c>
      <c r="AN430" s="115"/>
      <c r="AO430" s="115"/>
      <c r="AP430" s="115"/>
      <c r="AQ430" s="93"/>
      <c r="AR430" s="93"/>
      <c r="AS430" s="94"/>
      <c r="AT430" s="95"/>
      <c r="AU430" s="79"/>
      <c r="AV430" s="117"/>
      <c r="AW430" s="115"/>
      <c r="AX430" s="106"/>
      <c r="AY430" s="104">
        <f t="shared" si="135"/>
        <v>0</v>
      </c>
      <c r="AZ430" s="105">
        <f ca="1" t="shared" si="136"/>
        <v>-46313</v>
      </c>
    </row>
    <row r="431" customHeight="1" spans="1:52">
      <c r="A431" s="70">
        <v>430</v>
      </c>
      <c r="B431" s="70" t="s">
        <v>1757</v>
      </c>
      <c r="C431" s="70" t="s">
        <v>374</v>
      </c>
      <c r="D431" s="71" t="s">
        <v>1762</v>
      </c>
      <c r="E431" s="71" t="s">
        <v>1759</v>
      </c>
      <c r="F431" s="72"/>
      <c r="G431" s="73"/>
      <c r="H431" s="74" t="s">
        <v>16</v>
      </c>
      <c r="I431" s="165">
        <v>46044</v>
      </c>
      <c r="J431" s="70">
        <v>3</v>
      </c>
      <c r="K431" s="106" t="s">
        <v>1763</v>
      </c>
      <c r="L431" s="104">
        <f t="shared" si="131"/>
        <v>46134</v>
      </c>
      <c r="M431" s="105">
        <f ca="1" t="shared" si="132"/>
        <v>-179</v>
      </c>
      <c r="N431" s="70"/>
      <c r="O431" s="70" t="s">
        <v>1757</v>
      </c>
      <c r="P431" s="70" t="s">
        <v>374</v>
      </c>
      <c r="Q431" s="71" t="s">
        <v>1762</v>
      </c>
      <c r="R431" s="71" t="s">
        <v>1759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1764</v>
      </c>
      <c r="Y431" s="104">
        <f t="shared" si="141"/>
        <v>46220</v>
      </c>
      <c r="Z431" s="105">
        <f ca="1" t="shared" si="142"/>
        <v>-93</v>
      </c>
      <c r="AA431" s="70"/>
      <c r="AB431" s="70" t="s">
        <v>1757</v>
      </c>
      <c r="AC431" s="70" t="s">
        <v>374</v>
      </c>
      <c r="AD431" s="71" t="s">
        <v>1762</v>
      </c>
      <c r="AE431" s="71" t="s">
        <v>1759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1765</v>
      </c>
      <c r="AL431" s="104">
        <f t="shared" si="137"/>
        <v>46314</v>
      </c>
      <c r="AM431" s="105">
        <f ca="1" t="shared" si="140"/>
        <v>1</v>
      </c>
      <c r="AN431" s="115"/>
      <c r="AO431" s="115"/>
      <c r="AP431" s="115"/>
      <c r="AQ431" s="93"/>
      <c r="AR431" s="93"/>
      <c r="AS431" s="94"/>
      <c r="AT431" s="95"/>
      <c r="AU431" s="79"/>
      <c r="AV431" s="117"/>
      <c r="AW431" s="115"/>
      <c r="AX431" s="106"/>
      <c r="AY431" s="104">
        <f t="shared" si="135"/>
        <v>0</v>
      </c>
      <c r="AZ431" s="105">
        <f ca="1" t="shared" si="136"/>
        <v>-46313</v>
      </c>
    </row>
    <row r="432" customHeight="1" spans="1:52">
      <c r="A432" s="70">
        <v>431</v>
      </c>
      <c r="B432" s="70" t="s">
        <v>782</v>
      </c>
      <c r="C432" s="70" t="s">
        <v>374</v>
      </c>
      <c r="D432" s="71" t="s">
        <v>1766</v>
      </c>
      <c r="E432" s="71" t="s">
        <v>548</v>
      </c>
      <c r="F432" s="72"/>
      <c r="G432" s="73"/>
      <c r="H432" s="74" t="s">
        <v>16</v>
      </c>
      <c r="I432" s="165">
        <v>46044</v>
      </c>
      <c r="J432" s="70">
        <v>3</v>
      </c>
      <c r="K432" s="106" t="s">
        <v>1767</v>
      </c>
      <c r="L432" s="104">
        <f t="shared" si="131"/>
        <v>46134</v>
      </c>
      <c r="M432" s="105">
        <f ca="1" t="shared" si="132"/>
        <v>-179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141"/>
        <v>0</v>
      </c>
      <c r="Z432" s="105">
        <f ca="1" t="shared" si="142"/>
        <v>-46313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137"/>
        <v>0</v>
      </c>
      <c r="AM432" s="105">
        <f ca="1" t="shared" si="140"/>
        <v>-46313</v>
      </c>
      <c r="AN432" s="115"/>
      <c r="AO432" s="115"/>
      <c r="AP432" s="115"/>
      <c r="AQ432" s="93"/>
      <c r="AR432" s="93"/>
      <c r="AS432" s="94"/>
      <c r="AT432" s="95"/>
      <c r="AU432" s="79"/>
      <c r="AV432" s="117"/>
      <c r="AW432" s="115"/>
      <c r="AX432" s="106"/>
      <c r="AY432" s="104">
        <f t="shared" si="135"/>
        <v>0</v>
      </c>
      <c r="AZ432" s="105">
        <f ca="1" t="shared" si="136"/>
        <v>-46313</v>
      </c>
    </row>
    <row r="433" customHeight="1" spans="1:52">
      <c r="A433" s="70">
        <v>432</v>
      </c>
      <c r="B433" s="70" t="s">
        <v>782</v>
      </c>
      <c r="C433" s="70" t="s">
        <v>374</v>
      </c>
      <c r="D433" s="71" t="s">
        <v>1768</v>
      </c>
      <c r="E433" s="71" t="s">
        <v>548</v>
      </c>
      <c r="F433" s="72"/>
      <c r="G433" s="73"/>
      <c r="H433" s="74" t="s">
        <v>16</v>
      </c>
      <c r="I433" s="165">
        <v>46044</v>
      </c>
      <c r="J433" s="70">
        <v>3</v>
      </c>
      <c r="K433" s="106" t="s">
        <v>1769</v>
      </c>
      <c r="L433" s="104">
        <f t="shared" si="131"/>
        <v>46134</v>
      </c>
      <c r="M433" s="105">
        <f ca="1" t="shared" si="132"/>
        <v>-179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141"/>
        <v>0</v>
      </c>
      <c r="Z433" s="105">
        <f ca="1" t="shared" si="142"/>
        <v>-46313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137"/>
        <v>0</v>
      </c>
      <c r="AM433" s="105">
        <f ca="1" t="shared" si="140"/>
        <v>-46313</v>
      </c>
      <c r="AN433" s="115"/>
      <c r="AO433" s="115"/>
      <c r="AP433" s="115"/>
      <c r="AQ433" s="93"/>
      <c r="AR433" s="93"/>
      <c r="AS433" s="94"/>
      <c r="AT433" s="95"/>
      <c r="AU433" s="79"/>
      <c r="AV433" s="117"/>
      <c r="AW433" s="115"/>
      <c r="AX433" s="106"/>
      <c r="AY433" s="104">
        <f t="shared" si="135"/>
        <v>0</v>
      </c>
      <c r="AZ433" s="105">
        <f ca="1" t="shared" si="136"/>
        <v>-46313</v>
      </c>
    </row>
    <row r="434" customHeight="1" spans="1:52">
      <c r="A434" s="70">
        <v>433</v>
      </c>
      <c r="B434" s="70" t="s">
        <v>782</v>
      </c>
      <c r="C434" s="70" t="s">
        <v>374</v>
      </c>
      <c r="D434" s="71" t="s">
        <v>1770</v>
      </c>
      <c r="E434" s="71" t="s">
        <v>548</v>
      </c>
      <c r="F434" s="72"/>
      <c r="G434" s="73"/>
      <c r="H434" s="74" t="s">
        <v>16</v>
      </c>
      <c r="I434" s="165">
        <v>46044</v>
      </c>
      <c r="J434" s="70">
        <v>3</v>
      </c>
      <c r="K434" s="106" t="s">
        <v>1771</v>
      </c>
      <c r="L434" s="104">
        <f t="shared" si="131"/>
        <v>46134</v>
      </c>
      <c r="M434" s="105">
        <f ca="1" t="shared" si="132"/>
        <v>-179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143">EDATE(V434,W434)</f>
        <v>0</v>
      </c>
      <c r="Z434" s="105">
        <f ca="1" t="shared" ref="Z429:Z447" si="144">Y434-TODAY()</f>
        <v>-46313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137"/>
        <v>0</v>
      </c>
      <c r="AM434" s="105">
        <f ca="1" t="shared" si="140"/>
        <v>-46313</v>
      </c>
      <c r="AN434" s="115"/>
      <c r="AO434" s="70"/>
      <c r="AP434" s="70"/>
      <c r="AQ434" s="71"/>
      <c r="AR434" s="71"/>
      <c r="AS434" s="72"/>
      <c r="AT434" s="73"/>
      <c r="AU434" s="79"/>
      <c r="AV434" s="117"/>
      <c r="AW434" s="115"/>
      <c r="AX434" s="106"/>
      <c r="AY434" s="104">
        <f t="shared" si="135"/>
        <v>0</v>
      </c>
      <c r="AZ434" s="105">
        <f ca="1" t="shared" si="136"/>
        <v>-46313</v>
      </c>
    </row>
    <row r="435" customHeight="1" spans="1:52">
      <c r="A435" s="70">
        <v>434</v>
      </c>
      <c r="B435" s="70" t="s">
        <v>229</v>
      </c>
      <c r="C435" s="70" t="s">
        <v>38</v>
      </c>
      <c r="D435" s="71" t="s">
        <v>1772</v>
      </c>
      <c r="E435" s="71" t="s">
        <v>69</v>
      </c>
      <c r="F435" s="72"/>
      <c r="G435" s="73"/>
      <c r="H435" s="75"/>
      <c r="I435" s="165">
        <v>46045</v>
      </c>
      <c r="J435" s="70">
        <v>3</v>
      </c>
      <c r="K435" s="106" t="s">
        <v>1773</v>
      </c>
      <c r="L435" s="104">
        <f t="shared" si="131"/>
        <v>46135</v>
      </c>
      <c r="M435" s="105">
        <f ca="1" t="shared" si="132"/>
        <v>-178</v>
      </c>
      <c r="N435" s="70"/>
      <c r="O435" s="70" t="s">
        <v>229</v>
      </c>
      <c r="P435" s="70" t="s">
        <v>38</v>
      </c>
      <c r="Q435" s="71" t="s">
        <v>1772</v>
      </c>
      <c r="R435" s="71" t="s">
        <v>69</v>
      </c>
      <c r="S435" s="72"/>
      <c r="T435" s="73"/>
      <c r="U435" s="75"/>
      <c r="V435" s="102">
        <v>46127</v>
      </c>
      <c r="W435" s="70">
        <v>3</v>
      </c>
      <c r="X435" s="103" t="s">
        <v>1774</v>
      </c>
      <c r="Y435" s="104">
        <f t="shared" si="143"/>
        <v>46218</v>
      </c>
      <c r="Z435" s="105">
        <f ca="1" t="shared" si="144"/>
        <v>-95</v>
      </c>
      <c r="AA435" s="70"/>
      <c r="AB435" s="70" t="s">
        <v>229</v>
      </c>
      <c r="AC435" s="70" t="s">
        <v>38</v>
      </c>
      <c r="AD435" s="71" t="s">
        <v>1772</v>
      </c>
      <c r="AE435" s="71" t="s">
        <v>69</v>
      </c>
      <c r="AF435" s="72"/>
      <c r="AG435" s="73"/>
      <c r="AH435" s="75"/>
      <c r="AI435" s="102">
        <v>46259</v>
      </c>
      <c r="AJ435" s="70">
        <v>3</v>
      </c>
      <c r="AK435" s="103" t="s">
        <v>1775</v>
      </c>
      <c r="AL435" s="104">
        <f t="shared" si="137"/>
        <v>46351</v>
      </c>
      <c r="AM435" s="105">
        <f ca="1" t="shared" si="140"/>
        <v>38</v>
      </c>
      <c r="AN435" s="115"/>
      <c r="AO435" s="70"/>
      <c r="AP435" s="70"/>
      <c r="AQ435" s="71"/>
      <c r="AR435" s="71"/>
      <c r="AS435" s="72"/>
      <c r="AT435" s="73"/>
      <c r="AU435" s="79"/>
      <c r="AV435" s="117"/>
      <c r="AW435" s="115"/>
      <c r="AX435" s="106"/>
      <c r="AY435" s="104">
        <f t="shared" si="135"/>
        <v>0</v>
      </c>
      <c r="AZ435" s="105">
        <f ca="1" t="shared" si="136"/>
        <v>-46313</v>
      </c>
    </row>
    <row r="436" customHeight="1" spans="1:52">
      <c r="A436" s="70">
        <v>435</v>
      </c>
      <c r="B436" s="70" t="s">
        <v>229</v>
      </c>
      <c r="C436" s="70" t="s">
        <v>13</v>
      </c>
      <c r="D436" s="71" t="s">
        <v>1776</v>
      </c>
      <c r="E436" s="71" t="s">
        <v>820</v>
      </c>
      <c r="F436" s="72"/>
      <c r="G436" s="73"/>
      <c r="H436" s="74" t="s">
        <v>16</v>
      </c>
      <c r="I436" s="165">
        <v>46045</v>
      </c>
      <c r="J436" s="70">
        <v>3</v>
      </c>
      <c r="K436" s="106" t="s">
        <v>1777</v>
      </c>
      <c r="L436" s="104">
        <f t="shared" si="131"/>
        <v>46135</v>
      </c>
      <c r="M436" s="105">
        <f ca="1" t="shared" si="132"/>
        <v>-178</v>
      </c>
      <c r="N436" s="70"/>
      <c r="O436" s="70" t="s">
        <v>229</v>
      </c>
      <c r="P436" s="70" t="s">
        <v>13</v>
      </c>
      <c r="Q436" s="71" t="s">
        <v>1776</v>
      </c>
      <c r="R436" s="71" t="s">
        <v>820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1778</v>
      </c>
      <c r="Y436" s="104">
        <f t="shared" si="143"/>
        <v>46247</v>
      </c>
      <c r="Z436" s="105">
        <f ca="1" t="shared" si="144"/>
        <v>-66</v>
      </c>
      <c r="AA436" s="70"/>
      <c r="AB436" s="70" t="s">
        <v>229</v>
      </c>
      <c r="AC436" s="70" t="s">
        <v>13</v>
      </c>
      <c r="AD436" s="71" t="s">
        <v>1776</v>
      </c>
      <c r="AE436" s="71" t="s">
        <v>820</v>
      </c>
      <c r="AF436" s="72"/>
      <c r="AG436" s="73"/>
      <c r="AH436" s="74" t="s">
        <v>16</v>
      </c>
      <c r="AI436" s="102">
        <v>46249</v>
      </c>
      <c r="AJ436" s="70">
        <v>3</v>
      </c>
      <c r="AK436" s="103" t="s">
        <v>1779</v>
      </c>
      <c r="AL436" s="104">
        <f t="shared" si="137"/>
        <v>46341</v>
      </c>
      <c r="AM436" s="105">
        <f ca="1" t="shared" si="140"/>
        <v>28</v>
      </c>
      <c r="AN436" s="115"/>
      <c r="AO436" s="115"/>
      <c r="AP436" s="115"/>
      <c r="AQ436" s="93"/>
      <c r="AR436" s="93"/>
      <c r="AS436" s="94"/>
      <c r="AT436" s="95"/>
      <c r="AU436" s="79"/>
      <c r="AV436" s="117"/>
      <c r="AW436" s="115"/>
      <c r="AX436" s="106"/>
      <c r="AY436" s="104">
        <f t="shared" si="135"/>
        <v>0</v>
      </c>
      <c r="AZ436" s="105">
        <f ca="1" t="shared" si="136"/>
        <v>-46313</v>
      </c>
    </row>
    <row r="437" customHeight="1" spans="1:52">
      <c r="A437" s="70">
        <v>436</v>
      </c>
      <c r="B437" s="70" t="s">
        <v>229</v>
      </c>
      <c r="C437" s="70" t="s">
        <v>13</v>
      </c>
      <c r="D437" s="71" t="s">
        <v>1780</v>
      </c>
      <c r="E437" s="71" t="s">
        <v>1781</v>
      </c>
      <c r="F437" s="72"/>
      <c r="G437" s="73"/>
      <c r="H437" s="75"/>
      <c r="I437" s="165">
        <v>46045</v>
      </c>
      <c r="J437" s="70">
        <v>3</v>
      </c>
      <c r="K437" s="106" t="s">
        <v>1782</v>
      </c>
      <c r="L437" s="104">
        <f t="shared" si="131"/>
        <v>46135</v>
      </c>
      <c r="M437" s="105">
        <f ca="1" t="shared" si="132"/>
        <v>-178</v>
      </c>
      <c r="N437" s="70"/>
      <c r="O437" s="70" t="s">
        <v>229</v>
      </c>
      <c r="P437" s="70" t="s">
        <v>13</v>
      </c>
      <c r="Q437" s="71" t="s">
        <v>1780</v>
      </c>
      <c r="R437" s="71" t="s">
        <v>1781</v>
      </c>
      <c r="S437" s="72"/>
      <c r="T437" s="73"/>
      <c r="U437" s="75"/>
      <c r="V437" s="102">
        <v>46167</v>
      </c>
      <c r="W437" s="70">
        <v>3</v>
      </c>
      <c r="X437" s="103" t="s">
        <v>1783</v>
      </c>
      <c r="Y437" s="104">
        <f t="shared" si="143"/>
        <v>46259</v>
      </c>
      <c r="Z437" s="105">
        <f ca="1" t="shared" si="144"/>
        <v>-54</v>
      </c>
      <c r="AA437" s="70"/>
      <c r="AB437" s="70" t="s">
        <v>229</v>
      </c>
      <c r="AC437" s="70" t="s">
        <v>13</v>
      </c>
      <c r="AD437" s="71" t="s">
        <v>1780</v>
      </c>
      <c r="AE437" s="71" t="s">
        <v>1781</v>
      </c>
      <c r="AF437" s="72"/>
      <c r="AG437" s="73"/>
      <c r="AH437" s="75"/>
      <c r="AI437" s="102">
        <v>46253</v>
      </c>
      <c r="AJ437" s="70">
        <v>3</v>
      </c>
      <c r="AK437" s="103" t="s">
        <v>1784</v>
      </c>
      <c r="AL437" s="104">
        <f t="shared" si="137"/>
        <v>46345</v>
      </c>
      <c r="AM437" s="105">
        <f ca="1" t="shared" si="140"/>
        <v>32</v>
      </c>
      <c r="AN437" s="115"/>
      <c r="AO437" s="70"/>
      <c r="AP437" s="70"/>
      <c r="AQ437" s="71"/>
      <c r="AR437" s="71"/>
      <c r="AS437" s="72"/>
      <c r="AT437" s="73"/>
      <c r="AU437" s="79"/>
      <c r="AV437" s="117"/>
      <c r="AW437" s="115"/>
      <c r="AX437" s="106"/>
      <c r="AY437" s="104">
        <f t="shared" si="135"/>
        <v>0</v>
      </c>
      <c r="AZ437" s="105">
        <f ca="1" t="shared" si="136"/>
        <v>-46313</v>
      </c>
    </row>
    <row r="438" customHeight="1" spans="1:52">
      <c r="A438" s="70">
        <v>437</v>
      </c>
      <c r="B438" s="70" t="s">
        <v>229</v>
      </c>
      <c r="C438" s="70" t="s">
        <v>13</v>
      </c>
      <c r="D438" s="71" t="s">
        <v>1785</v>
      </c>
      <c r="E438" s="71" t="s">
        <v>1126</v>
      </c>
      <c r="F438" s="72"/>
      <c r="G438" s="73"/>
      <c r="H438" s="74" t="s">
        <v>16</v>
      </c>
      <c r="I438" s="165">
        <v>46045</v>
      </c>
      <c r="J438" s="70">
        <v>3</v>
      </c>
      <c r="K438" s="106" t="s">
        <v>1786</v>
      </c>
      <c r="L438" s="104">
        <f t="shared" si="131"/>
        <v>46135</v>
      </c>
      <c r="M438" s="105">
        <f ca="1" t="shared" si="132"/>
        <v>-178</v>
      </c>
      <c r="N438" s="70"/>
      <c r="O438" s="70" t="s">
        <v>229</v>
      </c>
      <c r="P438" s="70" t="s">
        <v>13</v>
      </c>
      <c r="Q438" s="71" t="s">
        <v>1785</v>
      </c>
      <c r="R438" s="71" t="s">
        <v>1126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1787</v>
      </c>
      <c r="Y438" s="104">
        <f t="shared" si="143"/>
        <v>46258</v>
      </c>
      <c r="Z438" s="105">
        <f ca="1" t="shared" si="144"/>
        <v>-55</v>
      </c>
      <c r="AA438" s="70"/>
      <c r="AB438" s="70" t="s">
        <v>229</v>
      </c>
      <c r="AC438" s="70" t="s">
        <v>13</v>
      </c>
      <c r="AD438" s="71" t="s">
        <v>1785</v>
      </c>
      <c r="AE438" s="71" t="s">
        <v>1126</v>
      </c>
      <c r="AF438" s="72"/>
      <c r="AG438" s="73"/>
      <c r="AH438" s="74" t="s">
        <v>16</v>
      </c>
      <c r="AI438" s="102">
        <v>46259</v>
      </c>
      <c r="AJ438" s="70">
        <v>3</v>
      </c>
      <c r="AK438" s="103" t="s">
        <v>1788</v>
      </c>
      <c r="AL438" s="104">
        <f t="shared" si="137"/>
        <v>46351</v>
      </c>
      <c r="AM438" s="105">
        <f ca="1" t="shared" si="140"/>
        <v>38</v>
      </c>
      <c r="AN438" s="115"/>
      <c r="AO438" s="70"/>
      <c r="AP438" s="70"/>
      <c r="AQ438" s="71"/>
      <c r="AR438" s="71"/>
      <c r="AS438" s="72"/>
      <c r="AT438" s="73"/>
      <c r="AU438" s="79"/>
      <c r="AV438" s="117"/>
      <c r="AW438" s="115"/>
      <c r="AX438" s="106"/>
      <c r="AY438" s="104">
        <f t="shared" si="135"/>
        <v>0</v>
      </c>
      <c r="AZ438" s="105">
        <f ca="1" t="shared" si="136"/>
        <v>-46313</v>
      </c>
    </row>
    <row r="439" customHeight="1" spans="1:52">
      <c r="A439" s="70">
        <v>438</v>
      </c>
      <c r="B439" s="70" t="s">
        <v>229</v>
      </c>
      <c r="C439" s="70" t="s">
        <v>38</v>
      </c>
      <c r="D439" s="71" t="s">
        <v>1789</v>
      </c>
      <c r="E439" s="71" t="s">
        <v>69</v>
      </c>
      <c r="F439" s="72"/>
      <c r="G439" s="73"/>
      <c r="H439" s="75"/>
      <c r="I439" s="165">
        <v>46045</v>
      </c>
      <c r="J439" s="70">
        <v>3</v>
      </c>
      <c r="K439" s="106" t="s">
        <v>1790</v>
      </c>
      <c r="L439" s="104">
        <f t="shared" si="131"/>
        <v>46135</v>
      </c>
      <c r="M439" s="105">
        <f ca="1" t="shared" si="132"/>
        <v>-178</v>
      </c>
      <c r="N439" s="70"/>
      <c r="O439" s="70" t="s">
        <v>229</v>
      </c>
      <c r="P439" s="70" t="s">
        <v>38</v>
      </c>
      <c r="Q439" s="71" t="s">
        <v>1789</v>
      </c>
      <c r="R439" s="71" t="s">
        <v>69</v>
      </c>
      <c r="S439" s="72"/>
      <c r="T439" s="73"/>
      <c r="U439" s="75"/>
      <c r="V439" s="102">
        <v>46127</v>
      </c>
      <c r="W439" s="70">
        <v>3</v>
      </c>
      <c r="X439" s="103" t="s">
        <v>1791</v>
      </c>
      <c r="Y439" s="104">
        <f t="shared" si="143"/>
        <v>46218</v>
      </c>
      <c r="Z439" s="105">
        <f ca="1" t="shared" si="144"/>
        <v>-95</v>
      </c>
      <c r="AA439" s="70"/>
      <c r="AB439" s="70" t="s">
        <v>229</v>
      </c>
      <c r="AC439" s="70" t="s">
        <v>38</v>
      </c>
      <c r="AD439" s="71" t="s">
        <v>1789</v>
      </c>
      <c r="AE439" s="71" t="s">
        <v>69</v>
      </c>
      <c r="AF439" s="72"/>
      <c r="AG439" s="73"/>
      <c r="AH439" s="75"/>
      <c r="AI439" s="102">
        <v>46231</v>
      </c>
      <c r="AJ439" s="70">
        <v>3</v>
      </c>
      <c r="AK439" s="103" t="s">
        <v>1792</v>
      </c>
      <c r="AL439" s="104">
        <f t="shared" ref="AL439:AL464" si="145">EDATE(AI439,AJ439)</f>
        <v>46323</v>
      </c>
      <c r="AM439" s="105">
        <f ca="1" t="shared" ref="AM439:AM464" si="146">AL439-TODAY()</f>
        <v>10</v>
      </c>
      <c r="AN439" s="115"/>
      <c r="AO439" s="115"/>
      <c r="AP439" s="115"/>
      <c r="AQ439" s="93"/>
      <c r="AR439" s="93"/>
      <c r="AS439" s="94"/>
      <c r="AT439" s="95"/>
      <c r="AU439" s="79"/>
      <c r="AV439" s="117"/>
      <c r="AW439" s="115"/>
      <c r="AX439" s="106"/>
      <c r="AY439" s="104">
        <f t="shared" si="135"/>
        <v>0</v>
      </c>
      <c r="AZ439" s="105">
        <f ca="1" t="shared" si="136"/>
        <v>-46313</v>
      </c>
    </row>
    <row r="440" customHeight="1" spans="1:52">
      <c r="A440" s="70">
        <v>439</v>
      </c>
      <c r="B440" s="70" t="s">
        <v>55</v>
      </c>
      <c r="C440" s="70" t="s">
        <v>13</v>
      </c>
      <c r="D440" s="71" t="s">
        <v>1793</v>
      </c>
      <c r="E440" s="71" t="s">
        <v>76</v>
      </c>
      <c r="F440" s="72"/>
      <c r="G440" s="73"/>
      <c r="H440" s="74" t="s">
        <v>16</v>
      </c>
      <c r="I440" s="165">
        <v>46045</v>
      </c>
      <c r="J440" s="70">
        <v>3</v>
      </c>
      <c r="K440" s="106" t="s">
        <v>1794</v>
      </c>
      <c r="L440" s="104">
        <f t="shared" si="131"/>
        <v>46135</v>
      </c>
      <c r="M440" s="105">
        <f ca="1" t="shared" si="132"/>
        <v>-178</v>
      </c>
      <c r="N440" s="70"/>
      <c r="O440" s="70" t="s">
        <v>12</v>
      </c>
      <c r="P440" s="70" t="s">
        <v>13</v>
      </c>
      <c r="Q440" s="71" t="s">
        <v>1793</v>
      </c>
      <c r="R440" s="71" t="s">
        <v>76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1795</v>
      </c>
      <c r="Y440" s="104">
        <f t="shared" si="143"/>
        <v>46264</v>
      </c>
      <c r="Z440" s="105">
        <f ca="1" t="shared" si="144"/>
        <v>-49</v>
      </c>
      <c r="AA440" s="70"/>
      <c r="AB440" s="70" t="s">
        <v>12</v>
      </c>
      <c r="AC440" s="70" t="s">
        <v>13</v>
      </c>
      <c r="AD440" s="71" t="s">
        <v>1793</v>
      </c>
      <c r="AE440" s="71" t="s">
        <v>76</v>
      </c>
      <c r="AF440" s="72"/>
      <c r="AG440" s="73"/>
      <c r="AH440" s="74" t="s">
        <v>16</v>
      </c>
      <c r="AI440" s="102">
        <v>46266</v>
      </c>
      <c r="AJ440" s="70">
        <v>3</v>
      </c>
      <c r="AK440" s="103" t="s">
        <v>1796</v>
      </c>
      <c r="AL440" s="104">
        <f t="shared" si="145"/>
        <v>46357</v>
      </c>
      <c r="AM440" s="105">
        <f ca="1" t="shared" si="146"/>
        <v>44</v>
      </c>
      <c r="AN440" s="115"/>
      <c r="AO440" s="115"/>
      <c r="AP440" s="115"/>
      <c r="AQ440" s="93"/>
      <c r="AR440" s="93"/>
      <c r="AS440" s="94"/>
      <c r="AT440" s="95"/>
      <c r="AU440" s="79"/>
      <c r="AV440" s="117"/>
      <c r="AW440" s="115"/>
      <c r="AX440" s="106"/>
      <c r="AY440" s="104">
        <f t="shared" si="135"/>
        <v>0</v>
      </c>
      <c r="AZ440" s="105">
        <f ca="1" t="shared" si="136"/>
        <v>-46313</v>
      </c>
    </row>
    <row r="441" customHeight="1" spans="1:52">
      <c r="A441" s="70">
        <v>440</v>
      </c>
      <c r="B441" s="70" t="s">
        <v>55</v>
      </c>
      <c r="C441" s="70" t="s">
        <v>13</v>
      </c>
      <c r="D441" s="71" t="s">
        <v>1797</v>
      </c>
      <c r="E441" s="71" t="s">
        <v>34</v>
      </c>
      <c r="F441" s="72"/>
      <c r="G441" s="73"/>
      <c r="H441" s="74" t="s">
        <v>16</v>
      </c>
      <c r="I441" s="165">
        <v>46045</v>
      </c>
      <c r="J441" s="70">
        <v>3</v>
      </c>
      <c r="K441" s="106" t="s">
        <v>1798</v>
      </c>
      <c r="L441" s="104">
        <f t="shared" si="131"/>
        <v>46135</v>
      </c>
      <c r="M441" s="105">
        <f ca="1" t="shared" si="132"/>
        <v>-178</v>
      </c>
      <c r="N441" s="70"/>
      <c r="O441" s="70" t="s">
        <v>55</v>
      </c>
      <c r="P441" s="70" t="s">
        <v>13</v>
      </c>
      <c r="Q441" s="71" t="s">
        <v>1797</v>
      </c>
      <c r="R441" s="71" t="s">
        <v>34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1799</v>
      </c>
      <c r="Y441" s="104">
        <f t="shared" si="143"/>
        <v>46250</v>
      </c>
      <c r="Z441" s="105">
        <f ca="1" t="shared" si="144"/>
        <v>-63</v>
      </c>
      <c r="AA441" s="70"/>
      <c r="AB441" s="70" t="s">
        <v>55</v>
      </c>
      <c r="AC441" s="70" t="s">
        <v>13</v>
      </c>
      <c r="AD441" s="71" t="s">
        <v>1797</v>
      </c>
      <c r="AE441" s="71" t="s">
        <v>34</v>
      </c>
      <c r="AF441" s="72"/>
      <c r="AG441" s="73"/>
      <c r="AH441" s="74" t="s">
        <v>16</v>
      </c>
      <c r="AI441" s="102">
        <v>46247</v>
      </c>
      <c r="AJ441" s="70">
        <v>3</v>
      </c>
      <c r="AK441" s="103" t="s">
        <v>1800</v>
      </c>
      <c r="AL441" s="104">
        <f t="shared" si="145"/>
        <v>46339</v>
      </c>
      <c r="AM441" s="105">
        <f ca="1" t="shared" si="146"/>
        <v>26</v>
      </c>
      <c r="AN441" s="115"/>
      <c r="AO441" s="70"/>
      <c r="AP441" s="70"/>
      <c r="AQ441" s="71"/>
      <c r="AR441" s="71"/>
      <c r="AS441" s="72"/>
      <c r="AT441" s="73"/>
      <c r="AU441" s="79"/>
      <c r="AV441" s="117"/>
      <c r="AW441" s="115"/>
      <c r="AX441" s="106"/>
      <c r="AY441" s="104">
        <f t="shared" si="135"/>
        <v>0</v>
      </c>
      <c r="AZ441" s="105">
        <f ca="1" t="shared" si="136"/>
        <v>-46313</v>
      </c>
    </row>
    <row r="442" customHeight="1" spans="1:52">
      <c r="A442" s="70">
        <v>441</v>
      </c>
      <c r="B442" s="70" t="s">
        <v>55</v>
      </c>
      <c r="C442" s="70" t="s">
        <v>13</v>
      </c>
      <c r="D442" s="71" t="s">
        <v>1801</v>
      </c>
      <c r="E442" s="71" t="s">
        <v>126</v>
      </c>
      <c r="F442" s="72"/>
      <c r="G442" s="73"/>
      <c r="H442" s="74" t="s">
        <v>16</v>
      </c>
      <c r="I442" s="165">
        <v>46045</v>
      </c>
      <c r="J442" s="70">
        <v>3</v>
      </c>
      <c r="K442" s="106" t="s">
        <v>1802</v>
      </c>
      <c r="L442" s="104">
        <f t="shared" si="131"/>
        <v>46135</v>
      </c>
      <c r="M442" s="105">
        <f ca="1" t="shared" si="132"/>
        <v>-178</v>
      </c>
      <c r="N442" s="70"/>
      <c r="O442" s="70" t="s">
        <v>55</v>
      </c>
      <c r="P442" s="70" t="s">
        <v>13</v>
      </c>
      <c r="Q442" s="71" t="s">
        <v>1801</v>
      </c>
      <c r="R442" s="71" t="s">
        <v>126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143"/>
        <v>46300</v>
      </c>
      <c r="Z442" s="105">
        <f ca="1" t="shared" si="144"/>
        <v>-13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145"/>
        <v>0</v>
      </c>
      <c r="AM442" s="105">
        <f ca="1" t="shared" si="146"/>
        <v>-46313</v>
      </c>
      <c r="AN442" s="115"/>
      <c r="AO442" s="115"/>
      <c r="AP442" s="115"/>
      <c r="AQ442" s="93"/>
      <c r="AR442" s="93"/>
      <c r="AS442" s="94"/>
      <c r="AT442" s="95"/>
      <c r="AU442" s="79"/>
      <c r="AV442" s="117"/>
      <c r="AW442" s="115"/>
      <c r="AX442" s="106"/>
      <c r="AY442" s="104">
        <f t="shared" si="135"/>
        <v>0</v>
      </c>
      <c r="AZ442" s="105">
        <f ca="1" t="shared" si="136"/>
        <v>-46313</v>
      </c>
    </row>
    <row r="443" customHeight="1" spans="1:52">
      <c r="A443" s="70">
        <v>442</v>
      </c>
      <c r="B443" s="70" t="s">
        <v>55</v>
      </c>
      <c r="C443" s="70" t="s">
        <v>13</v>
      </c>
      <c r="D443" s="71" t="s">
        <v>1803</v>
      </c>
      <c r="E443" s="71" t="s">
        <v>126</v>
      </c>
      <c r="F443" s="72"/>
      <c r="G443" s="73"/>
      <c r="H443" s="75"/>
      <c r="I443" s="165">
        <v>46045</v>
      </c>
      <c r="J443" s="70">
        <v>3</v>
      </c>
      <c r="K443" s="106" t="s">
        <v>1804</v>
      </c>
      <c r="L443" s="104">
        <f t="shared" si="131"/>
        <v>46135</v>
      </c>
      <c r="M443" s="105">
        <f ca="1" t="shared" si="132"/>
        <v>-178</v>
      </c>
      <c r="N443" s="70"/>
      <c r="O443" s="70" t="s">
        <v>55</v>
      </c>
      <c r="P443" s="70" t="s">
        <v>13</v>
      </c>
      <c r="Q443" s="71" t="s">
        <v>1803</v>
      </c>
      <c r="R443" s="71" t="s">
        <v>126</v>
      </c>
      <c r="S443" s="72"/>
      <c r="T443" s="73"/>
      <c r="U443" s="75"/>
      <c r="V443" s="102">
        <v>46129</v>
      </c>
      <c r="W443" s="70">
        <v>3</v>
      </c>
      <c r="X443" s="103" t="s">
        <v>1805</v>
      </c>
      <c r="Y443" s="104">
        <f t="shared" si="143"/>
        <v>46220</v>
      </c>
      <c r="Z443" s="105">
        <f ca="1" t="shared" si="144"/>
        <v>-93</v>
      </c>
      <c r="AA443" s="70"/>
      <c r="AB443" s="70" t="s">
        <v>55</v>
      </c>
      <c r="AC443" s="70" t="s">
        <v>13</v>
      </c>
      <c r="AD443" s="71" t="s">
        <v>1803</v>
      </c>
      <c r="AE443" s="71" t="s">
        <v>126</v>
      </c>
      <c r="AF443" s="72"/>
      <c r="AG443" s="73"/>
      <c r="AH443" s="75"/>
      <c r="AI443" s="102">
        <v>46214</v>
      </c>
      <c r="AJ443" s="70">
        <v>3</v>
      </c>
      <c r="AK443" s="103" t="s">
        <v>1806</v>
      </c>
      <c r="AL443" s="104">
        <f t="shared" si="145"/>
        <v>46306</v>
      </c>
      <c r="AM443" s="105">
        <f ca="1" t="shared" si="146"/>
        <v>-7</v>
      </c>
      <c r="AN443" s="115"/>
      <c r="AO443" s="70" t="s">
        <v>55</v>
      </c>
      <c r="AP443" s="70" t="s">
        <v>13</v>
      </c>
      <c r="AQ443" s="71" t="s">
        <v>1803</v>
      </c>
      <c r="AR443" s="71" t="s">
        <v>126</v>
      </c>
      <c r="AS443" s="72"/>
      <c r="AT443" s="73"/>
      <c r="AU443" s="75"/>
      <c r="AV443" s="117">
        <v>46302</v>
      </c>
      <c r="AW443" s="115">
        <v>3</v>
      </c>
      <c r="AX443" s="106" t="s">
        <v>1807</v>
      </c>
      <c r="AY443" s="104">
        <f t="shared" si="135"/>
        <v>46394</v>
      </c>
      <c r="AZ443" s="105">
        <f ca="1" t="shared" si="136"/>
        <v>81</v>
      </c>
    </row>
    <row r="444" customHeight="1" spans="1:52">
      <c r="A444" s="70">
        <v>443</v>
      </c>
      <c r="B444" s="70" t="s">
        <v>55</v>
      </c>
      <c r="C444" s="70" t="s">
        <v>13</v>
      </c>
      <c r="D444" s="71" t="s">
        <v>1808</v>
      </c>
      <c r="E444" s="71" t="s">
        <v>126</v>
      </c>
      <c r="F444" s="72"/>
      <c r="G444" s="73"/>
      <c r="H444" s="74" t="s">
        <v>16</v>
      </c>
      <c r="I444" s="165">
        <v>46045</v>
      </c>
      <c r="J444" s="70">
        <v>3</v>
      </c>
      <c r="K444" s="106" t="s">
        <v>1809</v>
      </c>
      <c r="L444" s="104">
        <f t="shared" si="131"/>
        <v>46135</v>
      </c>
      <c r="M444" s="105">
        <f ca="1" t="shared" si="132"/>
        <v>-178</v>
      </c>
      <c r="N444" s="70"/>
      <c r="O444" s="70" t="s">
        <v>55</v>
      </c>
      <c r="P444" s="70" t="s">
        <v>13</v>
      </c>
      <c r="Q444" s="71" t="s">
        <v>1808</v>
      </c>
      <c r="R444" s="71" t="s">
        <v>126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1810</v>
      </c>
      <c r="Y444" s="104">
        <f t="shared" si="143"/>
        <v>46220</v>
      </c>
      <c r="Z444" s="105">
        <f ca="1" t="shared" si="144"/>
        <v>-93</v>
      </c>
      <c r="AA444" s="70"/>
      <c r="AB444" s="70" t="s">
        <v>55</v>
      </c>
      <c r="AC444" s="70" t="s">
        <v>13</v>
      </c>
      <c r="AD444" s="71" t="s">
        <v>1808</v>
      </c>
      <c r="AE444" s="71" t="s">
        <v>126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1811</v>
      </c>
      <c r="AL444" s="104">
        <f t="shared" si="145"/>
        <v>46314</v>
      </c>
      <c r="AM444" s="105">
        <f ca="1" t="shared" si="146"/>
        <v>1</v>
      </c>
      <c r="AN444" s="115"/>
      <c r="AO444" s="115"/>
      <c r="AP444" s="115"/>
      <c r="AQ444" s="93"/>
      <c r="AR444" s="93"/>
      <c r="AS444" s="94"/>
      <c r="AT444" s="95"/>
      <c r="AU444" s="79"/>
      <c r="AV444" s="117"/>
      <c r="AW444" s="115"/>
      <c r="AX444" s="106"/>
      <c r="AY444" s="104">
        <f t="shared" si="135"/>
        <v>0</v>
      </c>
      <c r="AZ444" s="105">
        <f ca="1" t="shared" si="136"/>
        <v>-46313</v>
      </c>
    </row>
    <row r="445" customHeight="1" spans="1:52">
      <c r="A445" s="70">
        <v>444</v>
      </c>
      <c r="B445" s="70" t="s">
        <v>55</v>
      </c>
      <c r="C445" s="70" t="s">
        <v>13</v>
      </c>
      <c r="D445" s="71" t="s">
        <v>1812</v>
      </c>
      <c r="E445" s="71" t="s">
        <v>1813</v>
      </c>
      <c r="F445" s="72"/>
      <c r="G445" s="73"/>
      <c r="H445" s="74" t="s">
        <v>16</v>
      </c>
      <c r="I445" s="165">
        <v>46045</v>
      </c>
      <c r="J445" s="70">
        <v>3</v>
      </c>
      <c r="K445" s="106" t="s">
        <v>1814</v>
      </c>
      <c r="L445" s="104">
        <f t="shared" si="131"/>
        <v>46135</v>
      </c>
      <c r="M445" s="105">
        <f ca="1" t="shared" si="132"/>
        <v>-178</v>
      </c>
      <c r="N445" s="70"/>
      <c r="O445" s="70" t="s">
        <v>55</v>
      </c>
      <c r="P445" s="70" t="s">
        <v>13</v>
      </c>
      <c r="Q445" s="71" t="s">
        <v>1812</v>
      </c>
      <c r="R445" s="71" t="s">
        <v>1813</v>
      </c>
      <c r="S445" s="72"/>
      <c r="T445" s="73"/>
      <c r="U445" s="75"/>
      <c r="V445" s="102">
        <v>46129</v>
      </c>
      <c r="W445" s="70">
        <v>3</v>
      </c>
      <c r="X445" s="103" t="s">
        <v>1815</v>
      </c>
      <c r="Y445" s="104">
        <f t="shared" si="143"/>
        <v>46220</v>
      </c>
      <c r="Z445" s="105">
        <f ca="1" t="shared" si="144"/>
        <v>-93</v>
      </c>
      <c r="AA445" s="70"/>
      <c r="AB445" s="70" t="s">
        <v>55</v>
      </c>
      <c r="AC445" s="70" t="s">
        <v>13</v>
      </c>
      <c r="AD445" s="71" t="s">
        <v>1812</v>
      </c>
      <c r="AE445" s="71" t="s">
        <v>1813</v>
      </c>
      <c r="AF445" s="72"/>
      <c r="AG445" s="73"/>
      <c r="AH445" s="75"/>
      <c r="AI445" s="102">
        <v>46222</v>
      </c>
      <c r="AJ445" s="70">
        <v>3</v>
      </c>
      <c r="AK445" s="103" t="s">
        <v>1816</v>
      </c>
      <c r="AL445" s="104">
        <f t="shared" si="145"/>
        <v>46314</v>
      </c>
      <c r="AM445" s="105">
        <f ca="1" t="shared" si="146"/>
        <v>1</v>
      </c>
      <c r="AN445" s="115"/>
      <c r="AO445" s="70" t="s">
        <v>55</v>
      </c>
      <c r="AP445" s="70" t="s">
        <v>13</v>
      </c>
      <c r="AQ445" s="71" t="s">
        <v>1812</v>
      </c>
      <c r="AR445" s="71" t="s">
        <v>1813</v>
      </c>
      <c r="AS445" s="72"/>
      <c r="AT445" s="73"/>
      <c r="AU445" s="75"/>
      <c r="AV445" s="117">
        <v>46311</v>
      </c>
      <c r="AW445" s="115">
        <v>3</v>
      </c>
      <c r="AX445" s="106"/>
      <c r="AY445" s="104">
        <f t="shared" si="135"/>
        <v>46403</v>
      </c>
      <c r="AZ445" s="105">
        <f ca="1" t="shared" si="136"/>
        <v>90</v>
      </c>
    </row>
    <row r="446" customHeight="1" spans="1:52">
      <c r="A446" s="70">
        <v>445</v>
      </c>
      <c r="B446" s="70" t="s">
        <v>55</v>
      </c>
      <c r="C446" s="70" t="s">
        <v>38</v>
      </c>
      <c r="D446" s="71" t="s">
        <v>1817</v>
      </c>
      <c r="E446" s="71" t="s">
        <v>28</v>
      </c>
      <c r="F446" s="72"/>
      <c r="G446" s="73"/>
      <c r="H446" s="74" t="s">
        <v>16</v>
      </c>
      <c r="I446" s="165">
        <v>46045</v>
      </c>
      <c r="J446" s="70">
        <v>3</v>
      </c>
      <c r="K446" s="106" t="s">
        <v>1818</v>
      </c>
      <c r="L446" s="104">
        <f t="shared" si="131"/>
        <v>46135</v>
      </c>
      <c r="M446" s="105">
        <f ca="1" t="shared" si="132"/>
        <v>-178</v>
      </c>
      <c r="N446" s="70"/>
      <c r="O446" s="70" t="s">
        <v>55</v>
      </c>
      <c r="P446" s="70" t="s">
        <v>38</v>
      </c>
      <c r="Q446" s="71" t="s">
        <v>1817</v>
      </c>
      <c r="R446" s="71" t="s">
        <v>28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1819</v>
      </c>
      <c r="Y446" s="104">
        <f t="shared" si="143"/>
        <v>46249</v>
      </c>
      <c r="Z446" s="105">
        <f ca="1" t="shared" si="144"/>
        <v>-64</v>
      </c>
      <c r="AA446" s="70"/>
      <c r="AB446" s="70" t="s">
        <v>55</v>
      </c>
      <c r="AC446" s="70" t="s">
        <v>38</v>
      </c>
      <c r="AD446" s="71" t="s">
        <v>1817</v>
      </c>
      <c r="AE446" s="71" t="s">
        <v>28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1820</v>
      </c>
      <c r="AL446" s="104">
        <f t="shared" si="145"/>
        <v>46337</v>
      </c>
      <c r="AM446" s="105">
        <f ca="1" t="shared" si="146"/>
        <v>24</v>
      </c>
      <c r="AN446" s="115"/>
      <c r="AO446" s="115"/>
      <c r="AP446" s="115"/>
      <c r="AQ446" s="93"/>
      <c r="AR446" s="93"/>
      <c r="AS446" s="94"/>
      <c r="AT446" s="95"/>
      <c r="AU446" s="114"/>
      <c r="AV446" s="117"/>
      <c r="AW446" s="115"/>
      <c r="AX446" s="106"/>
      <c r="AY446" s="104">
        <f t="shared" si="135"/>
        <v>0</v>
      </c>
      <c r="AZ446" s="105">
        <f ca="1" t="shared" si="136"/>
        <v>-46313</v>
      </c>
    </row>
    <row r="447" customHeight="1" spans="1:52">
      <c r="A447" s="70">
        <v>446</v>
      </c>
      <c r="B447" s="70" t="s">
        <v>55</v>
      </c>
      <c r="C447" s="70" t="s">
        <v>38</v>
      </c>
      <c r="D447" s="71" t="s">
        <v>1821</v>
      </c>
      <c r="E447" s="71" t="s">
        <v>1822</v>
      </c>
      <c r="F447" s="72"/>
      <c r="G447" s="73"/>
      <c r="H447" s="74" t="s">
        <v>16</v>
      </c>
      <c r="I447" s="165">
        <v>46045</v>
      </c>
      <c r="J447" s="70">
        <v>3</v>
      </c>
      <c r="K447" s="106" t="s">
        <v>1823</v>
      </c>
      <c r="L447" s="104">
        <f t="shared" si="131"/>
        <v>46135</v>
      </c>
      <c r="M447" s="105">
        <f ca="1" t="shared" si="132"/>
        <v>-178</v>
      </c>
      <c r="N447" s="70"/>
      <c r="O447" s="70" t="s">
        <v>55</v>
      </c>
      <c r="P447" s="70" t="s">
        <v>38</v>
      </c>
      <c r="Q447" s="71" t="s">
        <v>1821</v>
      </c>
      <c r="R447" s="71" t="s">
        <v>1822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1824</v>
      </c>
      <c r="Y447" s="104">
        <f t="shared" si="143"/>
        <v>46233</v>
      </c>
      <c r="Z447" s="105">
        <f ca="1" t="shared" si="144"/>
        <v>-80</v>
      </c>
      <c r="AA447" s="70"/>
      <c r="AB447" s="70" t="s">
        <v>55</v>
      </c>
      <c r="AC447" s="70" t="s">
        <v>38</v>
      </c>
      <c r="AD447" s="71" t="s">
        <v>1821</v>
      </c>
      <c r="AE447" s="71" t="s">
        <v>1822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1825</v>
      </c>
      <c r="AL447" s="104">
        <f t="shared" si="145"/>
        <v>46329</v>
      </c>
      <c r="AM447" s="105">
        <f ca="1" t="shared" si="146"/>
        <v>16</v>
      </c>
      <c r="AN447" s="115"/>
      <c r="AO447" s="70"/>
      <c r="AP447" s="70"/>
      <c r="AQ447" s="71"/>
      <c r="AR447" s="71"/>
      <c r="AS447" s="72"/>
      <c r="AT447" s="73"/>
      <c r="AU447" s="79"/>
      <c r="AV447" s="117"/>
      <c r="AW447" s="115"/>
      <c r="AX447" s="106"/>
      <c r="AY447" s="104">
        <f t="shared" si="135"/>
        <v>0</v>
      </c>
      <c r="AZ447" s="105">
        <f ca="1" t="shared" si="136"/>
        <v>-46313</v>
      </c>
    </row>
    <row r="448" customHeight="1" spans="1:52">
      <c r="A448" s="70">
        <v>447</v>
      </c>
      <c r="B448" s="70" t="s">
        <v>263</v>
      </c>
      <c r="C448" s="70" t="s">
        <v>264</v>
      </c>
      <c r="D448" s="71" t="s">
        <v>1826</v>
      </c>
      <c r="E448" s="71" t="s">
        <v>1827</v>
      </c>
      <c r="F448" s="72"/>
      <c r="G448" s="73"/>
      <c r="H448" s="151"/>
      <c r="I448" s="165">
        <v>46045</v>
      </c>
      <c r="J448" s="70">
        <v>3</v>
      </c>
      <c r="K448" s="106" t="s">
        <v>1828</v>
      </c>
      <c r="L448" s="104">
        <f t="shared" si="131"/>
        <v>46135</v>
      </c>
      <c r="M448" s="105">
        <f ca="1" t="shared" si="132"/>
        <v>-178</v>
      </c>
      <c r="N448" s="70"/>
      <c r="O448" s="70" t="s">
        <v>263</v>
      </c>
      <c r="P448" s="70" t="s">
        <v>264</v>
      </c>
      <c r="Q448" s="71" t="s">
        <v>1826</v>
      </c>
      <c r="R448" s="71" t="s">
        <v>1827</v>
      </c>
      <c r="S448" s="72"/>
      <c r="T448" s="73"/>
      <c r="U448" s="151"/>
      <c r="V448" s="102">
        <v>46153</v>
      </c>
      <c r="W448" s="70">
        <v>3</v>
      </c>
      <c r="X448" s="103" t="s">
        <v>1829</v>
      </c>
      <c r="Y448" s="104">
        <f t="shared" ref="Y448:Y460" si="147">EDATE(V448,W448)</f>
        <v>46245</v>
      </c>
      <c r="Z448" s="105">
        <f ca="1" t="shared" ref="Z448:Z460" si="148">Y448-TODAY()</f>
        <v>-68</v>
      </c>
      <c r="AA448" s="70"/>
      <c r="AB448" s="70" t="s">
        <v>263</v>
      </c>
      <c r="AC448" s="70" t="s">
        <v>264</v>
      </c>
      <c r="AD448" s="71" t="s">
        <v>1826</v>
      </c>
      <c r="AE448" s="71" t="s">
        <v>1827</v>
      </c>
      <c r="AF448" s="72"/>
      <c r="AG448" s="73"/>
      <c r="AH448" s="151"/>
      <c r="AI448" s="102">
        <v>46248</v>
      </c>
      <c r="AJ448" s="70">
        <v>3</v>
      </c>
      <c r="AK448" s="103" t="s">
        <v>1830</v>
      </c>
      <c r="AL448" s="104">
        <f t="shared" si="145"/>
        <v>46340</v>
      </c>
      <c r="AM448" s="105">
        <f ca="1" t="shared" si="146"/>
        <v>27</v>
      </c>
      <c r="AN448" s="115"/>
      <c r="AO448" s="70"/>
      <c r="AP448" s="70"/>
      <c r="AQ448" s="71"/>
      <c r="AR448" s="71"/>
      <c r="AS448" s="72"/>
      <c r="AT448" s="73"/>
      <c r="AU448" s="79"/>
      <c r="AV448" s="117"/>
      <c r="AW448" s="115"/>
      <c r="AX448" s="106"/>
      <c r="AY448" s="104">
        <f t="shared" si="135"/>
        <v>0</v>
      </c>
      <c r="AZ448" s="105">
        <f ca="1" t="shared" si="136"/>
        <v>-46313</v>
      </c>
    </row>
    <row r="449" customHeight="1" spans="1:52">
      <c r="A449" s="70">
        <v>448</v>
      </c>
      <c r="B449" s="70" t="s">
        <v>263</v>
      </c>
      <c r="C449" s="70" t="s">
        <v>264</v>
      </c>
      <c r="D449" s="71" t="s">
        <v>955</v>
      </c>
      <c r="E449" s="71" t="s">
        <v>764</v>
      </c>
      <c r="F449" s="72"/>
      <c r="G449" s="73"/>
      <c r="H449" s="151"/>
      <c r="I449" s="165">
        <v>46045</v>
      </c>
      <c r="J449" s="76" t="s">
        <v>767</v>
      </c>
      <c r="K449" s="106"/>
      <c r="L449" s="104" t="e">
        <f t="shared" si="131"/>
        <v>#VALUE!</v>
      </c>
      <c r="M449" s="105" t="e">
        <f ca="1" t="shared" si="132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147"/>
        <v>0</v>
      </c>
      <c r="Z449" s="105">
        <f ca="1" t="shared" si="148"/>
        <v>-46313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145"/>
        <v>0</v>
      </c>
      <c r="AM449" s="105">
        <f ca="1" t="shared" si="146"/>
        <v>-46313</v>
      </c>
      <c r="AN449" s="115"/>
      <c r="AO449" s="115"/>
      <c r="AP449" s="115"/>
      <c r="AQ449" s="93"/>
      <c r="AR449" s="93"/>
      <c r="AS449" s="94"/>
      <c r="AT449" s="95"/>
      <c r="AU449" s="79"/>
      <c r="AV449" s="117"/>
      <c r="AW449" s="115"/>
      <c r="AX449" s="106"/>
      <c r="AY449" s="104">
        <f t="shared" si="135"/>
        <v>0</v>
      </c>
      <c r="AZ449" s="105">
        <f ca="1" t="shared" si="136"/>
        <v>-46313</v>
      </c>
    </row>
    <row r="450" customHeight="1" spans="1:52">
      <c r="A450" s="70">
        <v>449</v>
      </c>
      <c r="B450" s="70" t="s">
        <v>685</v>
      </c>
      <c r="C450" s="70" t="s">
        <v>38</v>
      </c>
      <c r="D450" s="71" t="s">
        <v>1831</v>
      </c>
      <c r="E450" s="71" t="s">
        <v>40</v>
      </c>
      <c r="F450" s="72"/>
      <c r="G450" s="73"/>
      <c r="H450" s="79" t="s">
        <v>16</v>
      </c>
      <c r="I450" s="165">
        <v>46046</v>
      </c>
      <c r="J450" s="70">
        <v>3</v>
      </c>
      <c r="K450" s="106" t="s">
        <v>1832</v>
      </c>
      <c r="L450" s="104">
        <f t="shared" ref="L450:L513" si="149">EDATE(I450,J450)</f>
        <v>46136</v>
      </c>
      <c r="M450" s="105">
        <f ca="1" t="shared" ref="M450:M513" si="150">L450-TODAY()</f>
        <v>-177</v>
      </c>
      <c r="N450" s="70"/>
      <c r="O450" s="70" t="s">
        <v>685</v>
      </c>
      <c r="P450" s="70" t="s">
        <v>38</v>
      </c>
      <c r="Q450" s="71" t="s">
        <v>1831</v>
      </c>
      <c r="R450" s="71" t="s">
        <v>40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1833</v>
      </c>
      <c r="Y450" s="104">
        <f t="shared" si="147"/>
        <v>46229</v>
      </c>
      <c r="Z450" s="105">
        <f ca="1" t="shared" si="148"/>
        <v>-84</v>
      </c>
      <c r="AA450" s="70"/>
      <c r="AB450" s="70" t="s">
        <v>685</v>
      </c>
      <c r="AC450" s="70" t="s">
        <v>38</v>
      </c>
      <c r="AD450" s="71" t="s">
        <v>1831</v>
      </c>
      <c r="AE450" s="71" t="s">
        <v>40</v>
      </c>
      <c r="AF450" s="72"/>
      <c r="AG450" s="73"/>
      <c r="AH450" s="79" t="s">
        <v>16</v>
      </c>
      <c r="AI450" s="102">
        <v>46308</v>
      </c>
      <c r="AJ450" s="70">
        <v>3</v>
      </c>
      <c r="AK450" s="103"/>
      <c r="AL450" s="104">
        <f t="shared" si="145"/>
        <v>46400</v>
      </c>
      <c r="AM450" s="105">
        <f ca="1" t="shared" si="146"/>
        <v>87</v>
      </c>
      <c r="AN450" s="115"/>
      <c r="AO450" s="115"/>
      <c r="AP450" s="115"/>
      <c r="AQ450" s="93"/>
      <c r="AR450" s="93"/>
      <c r="AS450" s="94"/>
      <c r="AT450" s="95"/>
      <c r="AU450" s="79"/>
      <c r="AV450" s="117"/>
      <c r="AW450" s="115"/>
      <c r="AX450" s="106"/>
      <c r="AY450" s="104">
        <f t="shared" si="135"/>
        <v>0</v>
      </c>
      <c r="AZ450" s="105">
        <f ca="1" t="shared" si="136"/>
        <v>-46313</v>
      </c>
    </row>
    <row r="451" customHeight="1" spans="1:52">
      <c r="A451" s="70">
        <v>450</v>
      </c>
      <c r="B451" s="70" t="s">
        <v>12</v>
      </c>
      <c r="C451" s="70" t="s">
        <v>38</v>
      </c>
      <c r="D451" s="71" t="s">
        <v>1834</v>
      </c>
      <c r="E451" s="71" t="s">
        <v>69</v>
      </c>
      <c r="F451" s="72"/>
      <c r="G451" s="73"/>
      <c r="H451" s="165" t="s">
        <v>16</v>
      </c>
      <c r="I451" s="165">
        <v>46046</v>
      </c>
      <c r="J451" s="70">
        <v>3</v>
      </c>
      <c r="K451" s="106" t="s">
        <v>1835</v>
      </c>
      <c r="L451" s="104">
        <f t="shared" si="149"/>
        <v>46136</v>
      </c>
      <c r="M451" s="105">
        <f ca="1" t="shared" si="150"/>
        <v>-177</v>
      </c>
      <c r="N451" s="70"/>
      <c r="O451" s="70" t="s">
        <v>12</v>
      </c>
      <c r="P451" s="70" t="s">
        <v>38</v>
      </c>
      <c r="Q451" s="71" t="s">
        <v>1834</v>
      </c>
      <c r="R451" s="71" t="s">
        <v>69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1836</v>
      </c>
      <c r="Y451" s="104">
        <f t="shared" si="147"/>
        <v>46247</v>
      </c>
      <c r="Z451" s="105">
        <f ca="1" t="shared" si="148"/>
        <v>-66</v>
      </c>
      <c r="AA451" s="70"/>
      <c r="AB451" s="70" t="s">
        <v>12</v>
      </c>
      <c r="AC451" s="70" t="s">
        <v>38</v>
      </c>
      <c r="AD451" s="71" t="s">
        <v>1834</v>
      </c>
      <c r="AE451" s="71" t="s">
        <v>69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1837</v>
      </c>
      <c r="AL451" s="104">
        <f t="shared" si="145"/>
        <v>46330</v>
      </c>
      <c r="AM451" s="105">
        <f ca="1" t="shared" si="146"/>
        <v>17</v>
      </c>
      <c r="AN451" s="115"/>
      <c r="AO451" s="115"/>
      <c r="AP451" s="115"/>
      <c r="AQ451" s="93"/>
      <c r="AR451" s="93"/>
      <c r="AS451" s="94"/>
      <c r="AT451" s="95"/>
      <c r="AU451" s="79"/>
      <c r="AV451" s="117"/>
      <c r="AW451" s="115"/>
      <c r="AX451" s="106"/>
      <c r="AY451" s="104">
        <f t="shared" si="135"/>
        <v>0</v>
      </c>
      <c r="AZ451" s="105">
        <f ca="1" t="shared" si="136"/>
        <v>-46313</v>
      </c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1838</v>
      </c>
      <c r="E452" s="71" t="s">
        <v>76</v>
      </c>
      <c r="F452" s="72"/>
      <c r="G452" s="73"/>
      <c r="H452" s="79" t="s">
        <v>16</v>
      </c>
      <c r="I452" s="165">
        <v>46046</v>
      </c>
      <c r="J452" s="70">
        <v>3</v>
      </c>
      <c r="K452" s="106" t="s">
        <v>1839</v>
      </c>
      <c r="L452" s="104">
        <f t="shared" si="149"/>
        <v>46136</v>
      </c>
      <c r="M452" s="105">
        <f ca="1" t="shared" si="150"/>
        <v>-177</v>
      </c>
      <c r="N452" s="70"/>
      <c r="O452" s="70" t="s">
        <v>12</v>
      </c>
      <c r="P452" s="70" t="s">
        <v>13</v>
      </c>
      <c r="Q452" s="71" t="s">
        <v>1838</v>
      </c>
      <c r="R452" s="71" t="s">
        <v>76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1840</v>
      </c>
      <c r="Y452" s="104">
        <f t="shared" si="147"/>
        <v>46262</v>
      </c>
      <c r="Z452" s="105">
        <f ca="1" t="shared" si="148"/>
        <v>-51</v>
      </c>
      <c r="AA452" s="70"/>
      <c r="AB452" s="70" t="s">
        <v>12</v>
      </c>
      <c r="AC452" s="70" t="s">
        <v>13</v>
      </c>
      <c r="AD452" s="71" t="s">
        <v>1838</v>
      </c>
      <c r="AE452" s="71" t="s">
        <v>76</v>
      </c>
      <c r="AF452" s="72"/>
      <c r="AG452" s="73"/>
      <c r="AH452" s="79" t="s">
        <v>16</v>
      </c>
      <c r="AI452" s="102">
        <v>46266</v>
      </c>
      <c r="AJ452" s="70">
        <v>3</v>
      </c>
      <c r="AK452" s="103" t="s">
        <v>1841</v>
      </c>
      <c r="AL452" s="104">
        <f t="shared" si="145"/>
        <v>46357</v>
      </c>
      <c r="AM452" s="105">
        <f ca="1" t="shared" si="146"/>
        <v>44</v>
      </c>
      <c r="AN452" s="115"/>
      <c r="AO452" s="70"/>
      <c r="AP452" s="70"/>
      <c r="AQ452" s="71"/>
      <c r="AR452" s="71"/>
      <c r="AS452" s="72"/>
      <c r="AT452" s="73"/>
      <c r="AU452" s="79"/>
      <c r="AV452" s="117"/>
      <c r="AW452" s="115"/>
      <c r="AX452" s="106"/>
      <c r="AY452" s="104">
        <f t="shared" si="135"/>
        <v>0</v>
      </c>
      <c r="AZ452" s="105">
        <f ca="1" t="shared" si="136"/>
        <v>-46313</v>
      </c>
    </row>
    <row r="453" customHeight="1" spans="1:52">
      <c r="A453" s="70">
        <v>452</v>
      </c>
      <c r="B453" s="70" t="s">
        <v>229</v>
      </c>
      <c r="C453" s="70" t="s">
        <v>38</v>
      </c>
      <c r="D453" s="71" t="s">
        <v>1842</v>
      </c>
      <c r="E453" s="71" t="s">
        <v>912</v>
      </c>
      <c r="F453" s="72"/>
      <c r="G453" s="73"/>
      <c r="H453" s="151"/>
      <c r="I453" s="165">
        <v>46046</v>
      </c>
      <c r="J453" s="70">
        <v>3</v>
      </c>
      <c r="K453" s="106" t="s">
        <v>1843</v>
      </c>
      <c r="L453" s="104">
        <f t="shared" si="149"/>
        <v>46136</v>
      </c>
      <c r="M453" s="105">
        <f ca="1" t="shared" si="150"/>
        <v>-177</v>
      </c>
      <c r="N453" s="70"/>
      <c r="O453" s="70" t="s">
        <v>229</v>
      </c>
      <c r="P453" s="70" t="s">
        <v>38</v>
      </c>
      <c r="Q453" s="71" t="s">
        <v>1842</v>
      </c>
      <c r="R453" s="71" t="s">
        <v>912</v>
      </c>
      <c r="S453" s="72"/>
      <c r="T453" s="73"/>
      <c r="U453" s="151"/>
      <c r="V453" s="102">
        <v>46128</v>
      </c>
      <c r="W453" s="70">
        <v>3</v>
      </c>
      <c r="X453" s="103" t="s">
        <v>1844</v>
      </c>
      <c r="Y453" s="104">
        <f t="shared" si="147"/>
        <v>46219</v>
      </c>
      <c r="Z453" s="105">
        <f ca="1" t="shared" si="148"/>
        <v>-94</v>
      </c>
      <c r="AA453" s="70"/>
      <c r="AB453" s="70" t="s">
        <v>229</v>
      </c>
      <c r="AC453" s="70" t="s">
        <v>38</v>
      </c>
      <c r="AD453" s="71" t="s">
        <v>1842</v>
      </c>
      <c r="AE453" s="71" t="s">
        <v>912</v>
      </c>
      <c r="AF453" s="72"/>
      <c r="AG453" s="73"/>
      <c r="AH453" s="151"/>
      <c r="AI453" s="102">
        <v>46212</v>
      </c>
      <c r="AJ453" s="70">
        <v>3</v>
      </c>
      <c r="AK453" s="103" t="s">
        <v>1845</v>
      </c>
      <c r="AL453" s="104">
        <f t="shared" si="145"/>
        <v>46304</v>
      </c>
      <c r="AM453" s="105">
        <f ca="1" t="shared" si="146"/>
        <v>-9</v>
      </c>
      <c r="AN453" s="115"/>
      <c r="AO453" s="70" t="s">
        <v>229</v>
      </c>
      <c r="AP453" s="70" t="s">
        <v>38</v>
      </c>
      <c r="AQ453" s="71" t="s">
        <v>1842</v>
      </c>
      <c r="AR453" s="71" t="s">
        <v>912</v>
      </c>
      <c r="AS453" s="72"/>
      <c r="AT453" s="73"/>
      <c r="AU453" s="151"/>
      <c r="AV453" s="117">
        <v>46303</v>
      </c>
      <c r="AW453" s="115">
        <v>3</v>
      </c>
      <c r="AX453" s="106" t="s">
        <v>1846</v>
      </c>
      <c r="AY453" s="104">
        <f t="shared" si="135"/>
        <v>46395</v>
      </c>
      <c r="AZ453" s="105">
        <f ca="1" t="shared" si="136"/>
        <v>82</v>
      </c>
    </row>
    <row r="454" customHeight="1" spans="1:52">
      <c r="A454" s="70">
        <v>453</v>
      </c>
      <c r="B454" s="70" t="s">
        <v>229</v>
      </c>
      <c r="C454" s="70" t="s">
        <v>38</v>
      </c>
      <c r="D454" s="71" t="s">
        <v>1847</v>
      </c>
      <c r="E454" s="71" t="s">
        <v>40</v>
      </c>
      <c r="F454" s="72"/>
      <c r="G454" s="73"/>
      <c r="H454" s="79" t="s">
        <v>16</v>
      </c>
      <c r="I454" s="165">
        <v>46046</v>
      </c>
      <c r="J454" s="70">
        <v>3</v>
      </c>
      <c r="K454" s="106" t="s">
        <v>1848</v>
      </c>
      <c r="L454" s="104">
        <f t="shared" si="149"/>
        <v>46136</v>
      </c>
      <c r="M454" s="105">
        <f ca="1" t="shared" si="150"/>
        <v>-177</v>
      </c>
      <c r="N454" s="70"/>
      <c r="O454" s="70" t="s">
        <v>229</v>
      </c>
      <c r="P454" s="70" t="s">
        <v>38</v>
      </c>
      <c r="Q454" s="71" t="s">
        <v>1847</v>
      </c>
      <c r="R454" s="71" t="s">
        <v>40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1849</v>
      </c>
      <c r="Y454" s="104">
        <f t="shared" si="147"/>
        <v>46243</v>
      </c>
      <c r="Z454" s="105">
        <f ca="1" t="shared" si="148"/>
        <v>-70</v>
      </c>
      <c r="AA454" s="70"/>
      <c r="AB454" s="70" t="s">
        <v>229</v>
      </c>
      <c r="AC454" s="70" t="s">
        <v>38</v>
      </c>
      <c r="AD454" s="71" t="s">
        <v>1847</v>
      </c>
      <c r="AE454" s="71" t="s">
        <v>40</v>
      </c>
      <c r="AF454" s="72"/>
      <c r="AG454" s="73"/>
      <c r="AH454" s="79" t="s">
        <v>16</v>
      </c>
      <c r="AI454" s="102">
        <v>46248</v>
      </c>
      <c r="AJ454" s="70">
        <v>3</v>
      </c>
      <c r="AK454" s="103" t="s">
        <v>1850</v>
      </c>
      <c r="AL454" s="104">
        <f t="shared" si="145"/>
        <v>46340</v>
      </c>
      <c r="AM454" s="105">
        <f ca="1" t="shared" si="146"/>
        <v>27</v>
      </c>
      <c r="AN454" s="115"/>
      <c r="AO454" s="115"/>
      <c r="AP454" s="115"/>
      <c r="AQ454" s="93"/>
      <c r="AR454" s="93"/>
      <c r="AS454" s="94"/>
      <c r="AT454" s="95"/>
      <c r="AU454" s="79"/>
      <c r="AV454" s="117"/>
      <c r="AW454" s="115"/>
      <c r="AX454" s="106"/>
      <c r="AY454" s="104">
        <f t="shared" si="135"/>
        <v>0</v>
      </c>
      <c r="AZ454" s="105">
        <f ca="1" t="shared" si="136"/>
        <v>-46313</v>
      </c>
    </row>
    <row r="455" customHeight="1" spans="1:52">
      <c r="A455" s="70">
        <v>454</v>
      </c>
      <c r="B455" s="70" t="s">
        <v>134</v>
      </c>
      <c r="C455" s="70" t="s">
        <v>13</v>
      </c>
      <c r="D455" s="71" t="s">
        <v>1851</v>
      </c>
      <c r="E455" s="71" t="s">
        <v>45</v>
      </c>
      <c r="F455" s="72"/>
      <c r="G455" s="73"/>
      <c r="H455" s="79" t="s">
        <v>16</v>
      </c>
      <c r="I455" s="165">
        <v>46046</v>
      </c>
      <c r="J455" s="70">
        <v>3</v>
      </c>
      <c r="K455" s="106" t="s">
        <v>1852</v>
      </c>
      <c r="L455" s="104">
        <f t="shared" si="149"/>
        <v>46136</v>
      </c>
      <c r="M455" s="105">
        <f ca="1" t="shared" si="150"/>
        <v>-177</v>
      </c>
      <c r="N455" s="70"/>
      <c r="O455" s="70" t="s">
        <v>134</v>
      </c>
      <c r="P455" s="70" t="s">
        <v>13</v>
      </c>
      <c r="Q455" s="71" t="s">
        <v>1851</v>
      </c>
      <c r="R455" s="71" t="s">
        <v>45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1853</v>
      </c>
      <c r="Y455" s="104">
        <f t="shared" si="147"/>
        <v>46237</v>
      </c>
      <c r="Z455" s="105">
        <f ca="1" t="shared" si="148"/>
        <v>-76</v>
      </c>
      <c r="AA455" s="70"/>
      <c r="AB455" s="70" t="s">
        <v>134</v>
      </c>
      <c r="AC455" s="70" t="s">
        <v>13</v>
      </c>
      <c r="AD455" s="71" t="s">
        <v>1851</v>
      </c>
      <c r="AE455" s="71" t="s">
        <v>1854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1855</v>
      </c>
      <c r="AL455" s="104">
        <f t="shared" si="145"/>
        <v>46316</v>
      </c>
      <c r="AM455" s="105">
        <f ca="1" t="shared" si="146"/>
        <v>3</v>
      </c>
      <c r="AN455" s="115"/>
      <c r="AO455" s="115"/>
      <c r="AP455" s="115"/>
      <c r="AQ455" s="93"/>
      <c r="AR455" s="93"/>
      <c r="AS455" s="94"/>
      <c r="AT455" s="95"/>
      <c r="AU455" s="79"/>
      <c r="AV455" s="117"/>
      <c r="AW455" s="115"/>
      <c r="AX455" s="106"/>
      <c r="AY455" s="104">
        <f t="shared" si="135"/>
        <v>0</v>
      </c>
      <c r="AZ455" s="105">
        <f ca="1" t="shared" si="136"/>
        <v>-46313</v>
      </c>
    </row>
    <row r="456" customHeight="1" spans="1:52">
      <c r="A456" s="70">
        <v>455</v>
      </c>
      <c r="B456" s="70" t="s">
        <v>55</v>
      </c>
      <c r="C456" s="70" t="s">
        <v>13</v>
      </c>
      <c r="D456" s="71" t="s">
        <v>1856</v>
      </c>
      <c r="E456" s="71" t="s">
        <v>126</v>
      </c>
      <c r="F456" s="72"/>
      <c r="G456" s="73"/>
      <c r="H456" s="79" t="s">
        <v>16</v>
      </c>
      <c r="I456" s="165">
        <v>46046</v>
      </c>
      <c r="J456" s="70">
        <v>3</v>
      </c>
      <c r="K456" s="106" t="s">
        <v>1857</v>
      </c>
      <c r="L456" s="104">
        <f t="shared" si="149"/>
        <v>46136</v>
      </c>
      <c r="M456" s="105">
        <f ca="1" t="shared" si="150"/>
        <v>-177</v>
      </c>
      <c r="N456" s="70"/>
      <c r="O456" s="70" t="s">
        <v>55</v>
      </c>
      <c r="P456" s="70" t="s">
        <v>13</v>
      </c>
      <c r="Q456" s="71" t="s">
        <v>1856</v>
      </c>
      <c r="R456" s="71" t="s">
        <v>126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1858</v>
      </c>
      <c r="Y456" s="104">
        <f t="shared" si="147"/>
        <v>46241</v>
      </c>
      <c r="Z456" s="105">
        <f ca="1" t="shared" si="148"/>
        <v>-72</v>
      </c>
      <c r="AA456" s="70"/>
      <c r="AB456" s="70" t="s">
        <v>55</v>
      </c>
      <c r="AC456" s="70" t="s">
        <v>13</v>
      </c>
      <c r="AD456" s="71" t="s">
        <v>1856</v>
      </c>
      <c r="AE456" s="71" t="s">
        <v>126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1859</v>
      </c>
      <c r="AL456" s="104">
        <f t="shared" si="145"/>
        <v>46324</v>
      </c>
      <c r="AM456" s="105">
        <f ca="1" t="shared" si="146"/>
        <v>11</v>
      </c>
      <c r="AN456" s="115"/>
      <c r="AO456" s="115"/>
      <c r="AP456" s="115"/>
      <c r="AQ456" s="93"/>
      <c r="AR456" s="93"/>
      <c r="AS456" s="94"/>
      <c r="AT456" s="95"/>
      <c r="AU456" s="79"/>
      <c r="AV456" s="117"/>
      <c r="AW456" s="115"/>
      <c r="AX456" s="106"/>
      <c r="AY456" s="104">
        <f t="shared" si="135"/>
        <v>0</v>
      </c>
      <c r="AZ456" s="105">
        <f ca="1" t="shared" si="136"/>
        <v>-46313</v>
      </c>
    </row>
    <row r="457" customHeight="1" spans="1:52">
      <c r="A457" s="70">
        <v>456</v>
      </c>
      <c r="B457" s="70" t="s">
        <v>1860</v>
      </c>
      <c r="C457" s="70" t="s">
        <v>38</v>
      </c>
      <c r="D457" s="71" t="s">
        <v>1861</v>
      </c>
      <c r="E457" s="71" t="s">
        <v>332</v>
      </c>
      <c r="F457" s="72"/>
      <c r="G457" s="73"/>
      <c r="H457" s="75"/>
      <c r="I457" s="165">
        <v>46046</v>
      </c>
      <c r="J457" s="70">
        <v>3</v>
      </c>
      <c r="K457" s="106" t="s">
        <v>1862</v>
      </c>
      <c r="L457" s="104">
        <f t="shared" si="149"/>
        <v>46136</v>
      </c>
      <c r="M457" s="105">
        <f ca="1" t="shared" si="150"/>
        <v>-177</v>
      </c>
      <c r="N457" s="70"/>
      <c r="O457" s="70" t="s">
        <v>1860</v>
      </c>
      <c r="P457" s="70" t="s">
        <v>38</v>
      </c>
      <c r="Q457" s="71" t="s">
        <v>1861</v>
      </c>
      <c r="R457" s="71" t="s">
        <v>332</v>
      </c>
      <c r="S457" s="72"/>
      <c r="T457" s="73"/>
      <c r="U457" s="75"/>
      <c r="V457" s="102">
        <v>46145</v>
      </c>
      <c r="W457" s="70">
        <v>3</v>
      </c>
      <c r="X457" s="103" t="s">
        <v>1863</v>
      </c>
      <c r="Y457" s="104">
        <f t="shared" si="147"/>
        <v>46237</v>
      </c>
      <c r="Z457" s="105">
        <f ca="1" t="shared" si="148"/>
        <v>-76</v>
      </c>
      <c r="AA457" s="70"/>
      <c r="AB457" s="70" t="s">
        <v>1860</v>
      </c>
      <c r="AC457" s="70" t="s">
        <v>38</v>
      </c>
      <c r="AD457" s="71" t="s">
        <v>1861</v>
      </c>
      <c r="AE457" s="71" t="s">
        <v>332</v>
      </c>
      <c r="AF457" s="72"/>
      <c r="AG457" s="73"/>
      <c r="AH457" s="75"/>
      <c r="AI457" s="102">
        <v>46267</v>
      </c>
      <c r="AJ457" s="70">
        <v>3</v>
      </c>
      <c r="AK457" s="103" t="s">
        <v>1864</v>
      </c>
      <c r="AL457" s="104">
        <f t="shared" si="145"/>
        <v>46358</v>
      </c>
      <c r="AM457" s="105">
        <f ca="1" t="shared" si="146"/>
        <v>45</v>
      </c>
      <c r="AN457" s="115"/>
      <c r="AO457" s="70"/>
      <c r="AP457" s="70"/>
      <c r="AQ457" s="71"/>
      <c r="AR457" s="71"/>
      <c r="AS457" s="72"/>
      <c r="AT457" s="73"/>
      <c r="AU457" s="114"/>
      <c r="AV457" s="117"/>
      <c r="AW457" s="115"/>
      <c r="AX457" s="106"/>
      <c r="AY457" s="104">
        <f t="shared" ref="AY457:AY472" si="151">EDATE(AV457,AW457)</f>
        <v>0</v>
      </c>
      <c r="AZ457" s="105">
        <f ca="1" t="shared" ref="AZ457:AZ472" si="152">AY457-TODAY()</f>
        <v>-46313</v>
      </c>
    </row>
    <row r="458" customHeight="1" spans="1:52">
      <c r="A458" s="70">
        <v>457</v>
      </c>
      <c r="B458" s="70" t="s">
        <v>721</v>
      </c>
      <c r="C458" s="70" t="s">
        <v>38</v>
      </c>
      <c r="D458" s="71" t="s">
        <v>1865</v>
      </c>
      <c r="E458" s="71" t="s">
        <v>51</v>
      </c>
      <c r="F458" s="72"/>
      <c r="G458" s="73"/>
      <c r="H458" s="74" t="s">
        <v>16</v>
      </c>
      <c r="I458" s="165">
        <v>46046</v>
      </c>
      <c r="J458" s="70">
        <v>3</v>
      </c>
      <c r="K458" s="106" t="s">
        <v>1866</v>
      </c>
      <c r="L458" s="104">
        <f t="shared" si="149"/>
        <v>46136</v>
      </c>
      <c r="M458" s="105">
        <f ca="1" t="shared" si="150"/>
        <v>-177</v>
      </c>
      <c r="N458" s="70"/>
      <c r="O458" s="70" t="s">
        <v>721</v>
      </c>
      <c r="P458" s="70" t="s">
        <v>38</v>
      </c>
      <c r="Q458" s="71" t="s">
        <v>1865</v>
      </c>
      <c r="R458" s="71" t="s">
        <v>51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1867</v>
      </c>
      <c r="Y458" s="104">
        <f t="shared" si="147"/>
        <v>46248</v>
      </c>
      <c r="Z458" s="105">
        <f ca="1" t="shared" si="148"/>
        <v>-65</v>
      </c>
      <c r="AA458" s="70"/>
      <c r="AB458" s="70" t="s">
        <v>721</v>
      </c>
      <c r="AC458" s="70" t="s">
        <v>38</v>
      </c>
      <c r="AD458" s="71" t="s">
        <v>1865</v>
      </c>
      <c r="AE458" s="71" t="s">
        <v>51</v>
      </c>
      <c r="AF458" s="72"/>
      <c r="AG458" s="73"/>
      <c r="AH458" s="74" t="s">
        <v>16</v>
      </c>
      <c r="AI458" s="102">
        <v>46280</v>
      </c>
      <c r="AJ458" s="70">
        <v>3</v>
      </c>
      <c r="AK458" s="103" t="s">
        <v>1868</v>
      </c>
      <c r="AL458" s="104">
        <f t="shared" si="145"/>
        <v>46371</v>
      </c>
      <c r="AM458" s="105">
        <f ca="1" t="shared" si="146"/>
        <v>58</v>
      </c>
      <c r="AN458" s="115"/>
      <c r="AO458" s="115"/>
      <c r="AP458" s="115"/>
      <c r="AQ458" s="93"/>
      <c r="AR458" s="93"/>
      <c r="AS458" s="94"/>
      <c r="AT458" s="95"/>
      <c r="AU458" s="79"/>
      <c r="AV458" s="117"/>
      <c r="AW458" s="115"/>
      <c r="AX458" s="106"/>
      <c r="AY458" s="104">
        <f t="shared" si="151"/>
        <v>0</v>
      </c>
      <c r="AZ458" s="105">
        <f ca="1" t="shared" si="152"/>
        <v>-46313</v>
      </c>
    </row>
    <row r="459" customHeight="1" spans="1:52">
      <c r="A459" s="70">
        <v>458</v>
      </c>
      <c r="B459" s="70" t="s">
        <v>721</v>
      </c>
      <c r="C459" s="70" t="s">
        <v>13</v>
      </c>
      <c r="D459" s="71" t="s">
        <v>1869</v>
      </c>
      <c r="E459" s="71" t="s">
        <v>34</v>
      </c>
      <c r="F459" s="72"/>
      <c r="G459" s="73"/>
      <c r="H459" s="74" t="s">
        <v>16</v>
      </c>
      <c r="I459" s="165">
        <v>46046</v>
      </c>
      <c r="J459" s="70">
        <v>3</v>
      </c>
      <c r="K459" s="106" t="s">
        <v>1870</v>
      </c>
      <c r="L459" s="104">
        <f t="shared" si="149"/>
        <v>46136</v>
      </c>
      <c r="M459" s="105">
        <f ca="1" t="shared" si="150"/>
        <v>-177</v>
      </c>
      <c r="N459" s="70"/>
      <c r="O459" s="70" t="s">
        <v>721</v>
      </c>
      <c r="P459" s="70" t="s">
        <v>13</v>
      </c>
      <c r="Q459" s="71" t="s">
        <v>1869</v>
      </c>
      <c r="R459" s="71" t="s">
        <v>34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1871</v>
      </c>
      <c r="Y459" s="104">
        <f t="shared" si="147"/>
        <v>46244</v>
      </c>
      <c r="Z459" s="105">
        <f ca="1" t="shared" si="148"/>
        <v>-69</v>
      </c>
      <c r="AA459" s="70"/>
      <c r="AB459" s="70" t="s">
        <v>721</v>
      </c>
      <c r="AC459" s="70" t="s">
        <v>13</v>
      </c>
      <c r="AD459" s="71" t="s">
        <v>1869</v>
      </c>
      <c r="AE459" s="71" t="s">
        <v>34</v>
      </c>
      <c r="AF459" s="72"/>
      <c r="AG459" s="73"/>
      <c r="AH459" s="74" t="s">
        <v>16</v>
      </c>
      <c r="AI459" s="102">
        <v>46254</v>
      </c>
      <c r="AJ459" s="70">
        <v>3</v>
      </c>
      <c r="AK459" s="103" t="s">
        <v>1872</v>
      </c>
      <c r="AL459" s="104">
        <f t="shared" si="145"/>
        <v>46346</v>
      </c>
      <c r="AM459" s="105">
        <f ca="1" t="shared" si="146"/>
        <v>33</v>
      </c>
      <c r="AN459" s="115"/>
      <c r="AO459" s="70"/>
      <c r="AP459" s="70"/>
      <c r="AQ459" s="71"/>
      <c r="AR459" s="71"/>
      <c r="AS459" s="72"/>
      <c r="AT459" s="73"/>
      <c r="AU459" s="79"/>
      <c r="AV459" s="117"/>
      <c r="AW459" s="115"/>
      <c r="AX459" s="106"/>
      <c r="AY459" s="104">
        <f t="shared" si="151"/>
        <v>0</v>
      </c>
      <c r="AZ459" s="105">
        <f ca="1" t="shared" si="152"/>
        <v>-46313</v>
      </c>
    </row>
    <row r="460" customHeight="1" spans="1:52">
      <c r="A460" s="70">
        <v>459</v>
      </c>
      <c r="B460" s="70" t="s">
        <v>721</v>
      </c>
      <c r="C460" s="70" t="s">
        <v>38</v>
      </c>
      <c r="D460" s="71" t="s">
        <v>1873</v>
      </c>
      <c r="E460" s="71" t="s">
        <v>526</v>
      </c>
      <c r="F460" s="72"/>
      <c r="G460" s="73"/>
      <c r="H460" s="79" t="s">
        <v>16</v>
      </c>
      <c r="I460" s="165">
        <v>46046</v>
      </c>
      <c r="J460" s="70">
        <v>3</v>
      </c>
      <c r="K460" s="106" t="s">
        <v>1874</v>
      </c>
      <c r="L460" s="104">
        <f t="shared" si="149"/>
        <v>46136</v>
      </c>
      <c r="M460" s="105">
        <f ca="1" t="shared" si="150"/>
        <v>-177</v>
      </c>
      <c r="N460" s="70"/>
      <c r="O460" s="70" t="s">
        <v>721</v>
      </c>
      <c r="P460" s="70" t="s">
        <v>38</v>
      </c>
      <c r="Q460" s="71" t="s">
        <v>1873</v>
      </c>
      <c r="R460" s="71" t="s">
        <v>526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1875</v>
      </c>
      <c r="Y460" s="104">
        <f t="shared" si="147"/>
        <v>46240</v>
      </c>
      <c r="Z460" s="105">
        <f ca="1" t="shared" si="148"/>
        <v>-73</v>
      </c>
      <c r="AA460" s="70"/>
      <c r="AB460" s="70" t="s">
        <v>721</v>
      </c>
      <c r="AC460" s="70" t="s">
        <v>38</v>
      </c>
      <c r="AD460" s="71" t="s">
        <v>1873</v>
      </c>
      <c r="AE460" s="71" t="s">
        <v>526</v>
      </c>
      <c r="AF460" s="72"/>
      <c r="AG460" s="73"/>
      <c r="AH460" s="79" t="s">
        <v>16</v>
      </c>
      <c r="AI460" s="102">
        <v>46284</v>
      </c>
      <c r="AJ460" s="70">
        <v>3</v>
      </c>
      <c r="AK460" s="103" t="s">
        <v>1876</v>
      </c>
      <c r="AL460" s="104">
        <f t="shared" si="145"/>
        <v>46375</v>
      </c>
      <c r="AM460" s="105">
        <f ca="1" t="shared" si="146"/>
        <v>62</v>
      </c>
      <c r="AN460" s="115"/>
      <c r="AO460" s="115"/>
      <c r="AP460" s="115"/>
      <c r="AQ460" s="93"/>
      <c r="AR460" s="93"/>
      <c r="AS460" s="94"/>
      <c r="AT460" s="95"/>
      <c r="AU460" s="79"/>
      <c r="AV460" s="117"/>
      <c r="AW460" s="115"/>
      <c r="AX460" s="106"/>
      <c r="AY460" s="104">
        <f t="shared" si="151"/>
        <v>0</v>
      </c>
      <c r="AZ460" s="105">
        <f ca="1" t="shared" si="152"/>
        <v>-46313</v>
      </c>
    </row>
    <row r="461" customHeight="1" spans="1:52">
      <c r="A461" s="70">
        <v>460</v>
      </c>
      <c r="B461" s="70" t="s">
        <v>1877</v>
      </c>
      <c r="C461" s="70" t="s">
        <v>38</v>
      </c>
      <c r="D461" s="71" t="s">
        <v>1878</v>
      </c>
      <c r="E461" s="71" t="s">
        <v>189</v>
      </c>
      <c r="F461" s="72"/>
      <c r="G461" s="73"/>
      <c r="H461" s="74" t="s">
        <v>16</v>
      </c>
      <c r="I461" s="165">
        <v>46046</v>
      </c>
      <c r="J461" s="70">
        <v>3</v>
      </c>
      <c r="K461" s="106" t="s">
        <v>1879</v>
      </c>
      <c r="L461" s="104">
        <f t="shared" si="149"/>
        <v>46136</v>
      </c>
      <c r="M461" s="105">
        <f ca="1" t="shared" si="150"/>
        <v>-177</v>
      </c>
      <c r="N461" s="70"/>
      <c r="O461" s="70" t="s">
        <v>1877</v>
      </c>
      <c r="P461" s="70" t="s">
        <v>38</v>
      </c>
      <c r="Q461" s="71" t="s">
        <v>1878</v>
      </c>
      <c r="R461" s="71" t="s">
        <v>189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1880</v>
      </c>
      <c r="Y461" s="104">
        <f t="shared" ref="Y461:Y470" si="153">EDATE(V461,W461)</f>
        <v>46231</v>
      </c>
      <c r="Z461" s="105">
        <f ca="1" t="shared" ref="Z461:Z470" si="154">Y461-TODAY()</f>
        <v>-82</v>
      </c>
      <c r="AA461" s="70"/>
      <c r="AB461" s="70" t="s">
        <v>1877</v>
      </c>
      <c r="AC461" s="70" t="s">
        <v>38</v>
      </c>
      <c r="AD461" s="71" t="s">
        <v>1878</v>
      </c>
      <c r="AE461" s="71" t="s">
        <v>189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1881</v>
      </c>
      <c r="AL461" s="104">
        <f t="shared" si="145"/>
        <v>46328</v>
      </c>
      <c r="AM461" s="105">
        <f ca="1" t="shared" si="146"/>
        <v>15</v>
      </c>
      <c r="AN461" s="115"/>
      <c r="AO461" s="115"/>
      <c r="AP461" s="115"/>
      <c r="AQ461" s="93"/>
      <c r="AR461" s="93"/>
      <c r="AS461" s="94"/>
      <c r="AT461" s="95"/>
      <c r="AU461" s="79"/>
      <c r="AV461" s="117"/>
      <c r="AW461" s="115"/>
      <c r="AX461" s="106"/>
      <c r="AY461" s="104">
        <f t="shared" si="151"/>
        <v>0</v>
      </c>
      <c r="AZ461" s="105">
        <f ca="1" t="shared" si="152"/>
        <v>-46313</v>
      </c>
    </row>
    <row r="462" customHeight="1" spans="1:52">
      <c r="A462" s="70">
        <v>461</v>
      </c>
      <c r="B462" s="70" t="s">
        <v>1877</v>
      </c>
      <c r="C462" s="70" t="s">
        <v>38</v>
      </c>
      <c r="D462" s="71" t="s">
        <v>1882</v>
      </c>
      <c r="E462" s="71" t="s">
        <v>1531</v>
      </c>
      <c r="F462" s="72"/>
      <c r="G462" s="73"/>
      <c r="H462" s="74" t="s">
        <v>16</v>
      </c>
      <c r="I462" s="165">
        <v>46046</v>
      </c>
      <c r="J462" s="70">
        <v>3</v>
      </c>
      <c r="K462" s="106" t="s">
        <v>1883</v>
      </c>
      <c r="L462" s="104">
        <f t="shared" si="149"/>
        <v>46136</v>
      </c>
      <c r="M462" s="105">
        <f ca="1" t="shared" si="150"/>
        <v>-177</v>
      </c>
      <c r="N462" s="70"/>
      <c r="O462" s="70" t="s">
        <v>1877</v>
      </c>
      <c r="P462" s="70" t="s">
        <v>38</v>
      </c>
      <c r="Q462" s="71" t="s">
        <v>1882</v>
      </c>
      <c r="R462" s="71" t="s">
        <v>1531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1884</v>
      </c>
      <c r="Y462" s="104">
        <f t="shared" si="153"/>
        <v>46231</v>
      </c>
      <c r="Z462" s="105">
        <f ca="1" t="shared" si="154"/>
        <v>-82</v>
      </c>
      <c r="AA462" s="70"/>
      <c r="AB462" s="70" t="s">
        <v>1877</v>
      </c>
      <c r="AC462" s="70" t="s">
        <v>38</v>
      </c>
      <c r="AD462" s="71" t="s">
        <v>1882</v>
      </c>
      <c r="AE462" s="71" t="s">
        <v>1531</v>
      </c>
      <c r="AF462" s="72"/>
      <c r="AG462" s="73"/>
      <c r="AH462" s="74" t="s">
        <v>16</v>
      </c>
      <c r="AI462" s="102">
        <v>46251</v>
      </c>
      <c r="AJ462" s="70">
        <v>3</v>
      </c>
      <c r="AK462" s="103" t="s">
        <v>1885</v>
      </c>
      <c r="AL462" s="104">
        <f t="shared" si="145"/>
        <v>46343</v>
      </c>
      <c r="AM462" s="105">
        <f ca="1" t="shared" si="146"/>
        <v>30</v>
      </c>
      <c r="AN462" s="115"/>
      <c r="AO462" s="115"/>
      <c r="AP462" s="115"/>
      <c r="AQ462" s="93"/>
      <c r="AR462" s="93"/>
      <c r="AS462" s="94"/>
      <c r="AT462" s="95"/>
      <c r="AU462" s="79"/>
      <c r="AV462" s="117"/>
      <c r="AW462" s="115"/>
      <c r="AX462" s="106"/>
      <c r="AY462" s="104">
        <f t="shared" si="151"/>
        <v>0</v>
      </c>
      <c r="AZ462" s="105">
        <f ca="1" t="shared" si="152"/>
        <v>-46313</v>
      </c>
    </row>
    <row r="463" customHeight="1" spans="1:52">
      <c r="A463" s="70">
        <v>462</v>
      </c>
      <c r="B463" s="70" t="s">
        <v>1877</v>
      </c>
      <c r="C463" s="70" t="s">
        <v>38</v>
      </c>
      <c r="D463" s="71" t="s">
        <v>1886</v>
      </c>
      <c r="E463" s="71" t="s">
        <v>1526</v>
      </c>
      <c r="F463" s="72"/>
      <c r="G463" s="73"/>
      <c r="H463" s="74" t="s">
        <v>16</v>
      </c>
      <c r="I463" s="165">
        <v>46046</v>
      </c>
      <c r="J463" s="70">
        <v>3</v>
      </c>
      <c r="K463" s="106" t="s">
        <v>1887</v>
      </c>
      <c r="L463" s="104">
        <f t="shared" si="149"/>
        <v>46136</v>
      </c>
      <c r="M463" s="105">
        <f ca="1" t="shared" si="150"/>
        <v>-177</v>
      </c>
      <c r="N463" s="70"/>
      <c r="O463" s="70" t="s">
        <v>1877</v>
      </c>
      <c r="P463" s="70" t="s">
        <v>38</v>
      </c>
      <c r="Q463" s="71" t="s">
        <v>1886</v>
      </c>
      <c r="R463" s="71" t="s">
        <v>1526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1888</v>
      </c>
      <c r="Y463" s="104">
        <f t="shared" si="153"/>
        <v>46231</v>
      </c>
      <c r="Z463" s="105">
        <f ca="1" t="shared" si="154"/>
        <v>-82</v>
      </c>
      <c r="AA463" s="70"/>
      <c r="AB463" s="70" t="s">
        <v>1877</v>
      </c>
      <c r="AC463" s="70" t="s">
        <v>38</v>
      </c>
      <c r="AD463" s="71" t="s">
        <v>1886</v>
      </c>
      <c r="AE463" s="71" t="s">
        <v>1526</v>
      </c>
      <c r="AF463" s="72"/>
      <c r="AG463" s="73"/>
      <c r="AH463" s="74" t="s">
        <v>16</v>
      </c>
      <c r="AI463" s="102">
        <v>46251</v>
      </c>
      <c r="AJ463" s="70">
        <v>3</v>
      </c>
      <c r="AK463" s="103" t="s">
        <v>1889</v>
      </c>
      <c r="AL463" s="104">
        <f t="shared" si="145"/>
        <v>46343</v>
      </c>
      <c r="AM463" s="105">
        <f ca="1" t="shared" si="146"/>
        <v>30</v>
      </c>
      <c r="AN463" s="115"/>
      <c r="AO463" s="70"/>
      <c r="AP463" s="70"/>
      <c r="AQ463" s="71"/>
      <c r="AR463" s="71"/>
      <c r="AS463" s="72"/>
      <c r="AT463" s="73"/>
      <c r="AU463" s="79"/>
      <c r="AV463" s="117"/>
      <c r="AW463" s="115"/>
      <c r="AX463" s="106"/>
      <c r="AY463" s="104">
        <f t="shared" si="151"/>
        <v>0</v>
      </c>
      <c r="AZ463" s="105">
        <f ca="1" t="shared" si="152"/>
        <v>-46313</v>
      </c>
    </row>
    <row r="464" customHeight="1" spans="1:52">
      <c r="A464" s="70">
        <v>463</v>
      </c>
      <c r="B464" s="70" t="s">
        <v>1877</v>
      </c>
      <c r="C464" s="70" t="s">
        <v>13</v>
      </c>
      <c r="D464" s="71" t="s">
        <v>1890</v>
      </c>
      <c r="E464" s="71" t="s">
        <v>1891</v>
      </c>
      <c r="F464" s="72"/>
      <c r="G464" s="73"/>
      <c r="H464" s="74" t="s">
        <v>16</v>
      </c>
      <c r="I464" s="165">
        <v>46046</v>
      </c>
      <c r="J464" s="70">
        <v>3</v>
      </c>
      <c r="K464" s="106" t="s">
        <v>1892</v>
      </c>
      <c r="L464" s="104">
        <f t="shared" si="149"/>
        <v>46136</v>
      </c>
      <c r="M464" s="105">
        <f ca="1" t="shared" si="150"/>
        <v>-177</v>
      </c>
      <c r="N464" s="70"/>
      <c r="O464" s="70" t="s">
        <v>1877</v>
      </c>
      <c r="P464" s="70" t="s">
        <v>13</v>
      </c>
      <c r="Q464" s="71" t="s">
        <v>1890</v>
      </c>
      <c r="R464" s="71" t="s">
        <v>1891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1893</v>
      </c>
      <c r="Y464" s="104">
        <f t="shared" si="153"/>
        <v>46230</v>
      </c>
      <c r="Z464" s="105">
        <f ca="1" t="shared" si="154"/>
        <v>-83</v>
      </c>
      <c r="AA464" s="70"/>
      <c r="AB464" s="70" t="s">
        <v>1877</v>
      </c>
      <c r="AC464" s="70" t="s">
        <v>13</v>
      </c>
      <c r="AD464" s="71" t="s">
        <v>1890</v>
      </c>
      <c r="AE464" s="71" t="s">
        <v>1891</v>
      </c>
      <c r="AF464" s="72"/>
      <c r="AG464" s="73"/>
      <c r="AH464" s="74" t="s">
        <v>16</v>
      </c>
      <c r="AI464" s="102">
        <v>46250</v>
      </c>
      <c r="AJ464" s="70">
        <v>3</v>
      </c>
      <c r="AK464" s="103" t="s">
        <v>1894</v>
      </c>
      <c r="AL464" s="104">
        <f t="shared" si="145"/>
        <v>46342</v>
      </c>
      <c r="AM464" s="105">
        <f ca="1" t="shared" si="146"/>
        <v>29</v>
      </c>
      <c r="AN464" s="115"/>
      <c r="AO464" s="115"/>
      <c r="AP464" s="115"/>
      <c r="AQ464" s="93"/>
      <c r="AR464" s="93"/>
      <c r="AS464" s="94"/>
      <c r="AT464" s="95"/>
      <c r="AU464" s="79"/>
      <c r="AV464" s="117"/>
      <c r="AW464" s="115"/>
      <c r="AX464" s="106"/>
      <c r="AY464" s="104">
        <f t="shared" si="151"/>
        <v>0</v>
      </c>
      <c r="AZ464" s="105">
        <f ca="1" t="shared" si="152"/>
        <v>-46313</v>
      </c>
    </row>
    <row r="465" customHeight="1" spans="1:52">
      <c r="A465" s="70">
        <v>464</v>
      </c>
      <c r="B465" s="70" t="s">
        <v>1877</v>
      </c>
      <c r="C465" s="70" t="s">
        <v>13</v>
      </c>
      <c r="D465" s="71" t="s">
        <v>1895</v>
      </c>
      <c r="E465" s="71" t="s">
        <v>1896</v>
      </c>
      <c r="F465" s="72"/>
      <c r="G465" s="73"/>
      <c r="H465" s="74" t="s">
        <v>16</v>
      </c>
      <c r="I465" s="165">
        <v>46046</v>
      </c>
      <c r="J465" s="70">
        <v>3</v>
      </c>
      <c r="K465" s="106" t="s">
        <v>1897</v>
      </c>
      <c r="L465" s="104">
        <f t="shared" si="149"/>
        <v>46136</v>
      </c>
      <c r="M465" s="105">
        <f ca="1" t="shared" si="150"/>
        <v>-177</v>
      </c>
      <c r="N465" s="70"/>
      <c r="O465" s="70" t="s">
        <v>1877</v>
      </c>
      <c r="P465" s="70" t="s">
        <v>13</v>
      </c>
      <c r="Q465" s="71" t="s">
        <v>1895</v>
      </c>
      <c r="R465" s="71" t="s">
        <v>1896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1898</v>
      </c>
      <c r="Y465" s="104">
        <f t="shared" si="153"/>
        <v>46230</v>
      </c>
      <c r="Z465" s="105">
        <f ca="1" t="shared" si="154"/>
        <v>-83</v>
      </c>
      <c r="AA465" s="70"/>
      <c r="AB465" s="70" t="s">
        <v>1877</v>
      </c>
      <c r="AC465" s="70" t="s">
        <v>13</v>
      </c>
      <c r="AD465" s="71" t="s">
        <v>1895</v>
      </c>
      <c r="AE465" s="71" t="s">
        <v>1896</v>
      </c>
      <c r="AF465" s="72"/>
      <c r="AG465" s="73"/>
      <c r="AH465" s="74" t="s">
        <v>16</v>
      </c>
      <c r="AI465" s="102">
        <v>46250</v>
      </c>
      <c r="AJ465" s="70">
        <v>3</v>
      </c>
      <c r="AK465" s="103" t="s">
        <v>1899</v>
      </c>
      <c r="AL465" s="104">
        <f t="shared" ref="AL465:AL486" si="155">EDATE(AI465,AJ465)</f>
        <v>46342</v>
      </c>
      <c r="AM465" s="105">
        <f ca="1" t="shared" ref="AM465:AM486" si="156">AL465-TODAY()</f>
        <v>29</v>
      </c>
      <c r="AN465" s="115"/>
      <c r="AO465" s="115"/>
      <c r="AP465" s="115"/>
      <c r="AQ465" s="93"/>
      <c r="AR465" s="93"/>
      <c r="AS465" s="94"/>
      <c r="AT465" s="95"/>
      <c r="AU465" s="79"/>
      <c r="AV465" s="117"/>
      <c r="AW465" s="115"/>
      <c r="AX465" s="106"/>
      <c r="AY465" s="104">
        <f t="shared" si="151"/>
        <v>0</v>
      </c>
      <c r="AZ465" s="105">
        <f ca="1" t="shared" si="152"/>
        <v>-46313</v>
      </c>
    </row>
    <row r="466" customHeight="1" spans="1:52">
      <c r="A466" s="70">
        <v>465</v>
      </c>
      <c r="B466" s="70" t="s">
        <v>1877</v>
      </c>
      <c r="C466" s="70" t="s">
        <v>13</v>
      </c>
      <c r="D466" s="71" t="s">
        <v>1900</v>
      </c>
      <c r="E466" s="71" t="s">
        <v>28</v>
      </c>
      <c r="F466" s="72"/>
      <c r="G466" s="73"/>
      <c r="H466" s="74" t="s">
        <v>16</v>
      </c>
      <c r="I466" s="165">
        <v>46046</v>
      </c>
      <c r="J466" s="70">
        <v>3</v>
      </c>
      <c r="K466" s="106" t="s">
        <v>1901</v>
      </c>
      <c r="L466" s="104">
        <f t="shared" si="149"/>
        <v>46136</v>
      </c>
      <c r="M466" s="105">
        <f ca="1" t="shared" si="150"/>
        <v>-177</v>
      </c>
      <c r="N466" s="70"/>
      <c r="O466" s="70" t="s">
        <v>1877</v>
      </c>
      <c r="P466" s="70" t="s">
        <v>13</v>
      </c>
      <c r="Q466" s="71" t="s">
        <v>1900</v>
      </c>
      <c r="R466" s="71" t="s">
        <v>28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1902</v>
      </c>
      <c r="Y466" s="104">
        <f t="shared" si="153"/>
        <v>46230</v>
      </c>
      <c r="Z466" s="105">
        <f ca="1" t="shared" si="154"/>
        <v>-83</v>
      </c>
      <c r="AA466" s="70"/>
      <c r="AB466" s="70" t="s">
        <v>1877</v>
      </c>
      <c r="AC466" s="70" t="s">
        <v>13</v>
      </c>
      <c r="AD466" s="71" t="s">
        <v>1900</v>
      </c>
      <c r="AE466" s="71" t="s">
        <v>28</v>
      </c>
      <c r="AF466" s="72"/>
      <c r="AG466" s="73"/>
      <c r="AH466" s="74" t="s">
        <v>16</v>
      </c>
      <c r="AI466" s="102">
        <v>46250</v>
      </c>
      <c r="AJ466" s="70">
        <v>3</v>
      </c>
      <c r="AK466" s="103" t="s">
        <v>1903</v>
      </c>
      <c r="AL466" s="104">
        <f t="shared" si="155"/>
        <v>46342</v>
      </c>
      <c r="AM466" s="105">
        <f ca="1" t="shared" si="156"/>
        <v>29</v>
      </c>
      <c r="AN466" s="115"/>
      <c r="AO466" s="115"/>
      <c r="AP466" s="115"/>
      <c r="AQ466" s="93"/>
      <c r="AR466" s="93"/>
      <c r="AS466" s="94"/>
      <c r="AT466" s="95"/>
      <c r="AU466" s="79"/>
      <c r="AV466" s="117"/>
      <c r="AW466" s="115"/>
      <c r="AX466" s="106"/>
      <c r="AY466" s="104">
        <f t="shared" si="151"/>
        <v>0</v>
      </c>
      <c r="AZ466" s="105">
        <f ca="1" t="shared" si="152"/>
        <v>-46313</v>
      </c>
    </row>
    <row r="467" customHeight="1" spans="1:52">
      <c r="A467" s="70">
        <v>466</v>
      </c>
      <c r="B467" s="70" t="s">
        <v>1877</v>
      </c>
      <c r="C467" s="70" t="s">
        <v>13</v>
      </c>
      <c r="D467" s="71" t="s">
        <v>1904</v>
      </c>
      <c r="E467" s="71" t="s">
        <v>126</v>
      </c>
      <c r="F467" s="72"/>
      <c r="G467" s="73"/>
      <c r="H467" s="74" t="s">
        <v>16</v>
      </c>
      <c r="I467" s="165">
        <v>46046</v>
      </c>
      <c r="J467" s="70">
        <v>3</v>
      </c>
      <c r="K467" s="106" t="s">
        <v>1905</v>
      </c>
      <c r="L467" s="104">
        <f t="shared" si="149"/>
        <v>46136</v>
      </c>
      <c r="M467" s="105">
        <f ca="1" t="shared" si="150"/>
        <v>-177</v>
      </c>
      <c r="N467" s="70"/>
      <c r="O467" s="70" t="s">
        <v>1877</v>
      </c>
      <c r="P467" s="70" t="s">
        <v>13</v>
      </c>
      <c r="Q467" s="71" t="s">
        <v>1904</v>
      </c>
      <c r="R467" s="71" t="s">
        <v>126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1906</v>
      </c>
      <c r="Y467" s="104">
        <f t="shared" si="153"/>
        <v>46231</v>
      </c>
      <c r="Z467" s="105">
        <f ca="1" t="shared" si="154"/>
        <v>-82</v>
      </c>
      <c r="AA467" s="70"/>
      <c r="AB467" s="70" t="s">
        <v>1877</v>
      </c>
      <c r="AC467" s="70" t="s">
        <v>13</v>
      </c>
      <c r="AD467" s="71" t="s">
        <v>1904</v>
      </c>
      <c r="AE467" s="71" t="s">
        <v>126</v>
      </c>
      <c r="AF467" s="72"/>
      <c r="AG467" s="73"/>
      <c r="AH467" s="74" t="s">
        <v>16</v>
      </c>
      <c r="AI467" s="102">
        <v>46250</v>
      </c>
      <c r="AJ467" s="70">
        <v>3</v>
      </c>
      <c r="AK467" s="103" t="s">
        <v>1907</v>
      </c>
      <c r="AL467" s="104">
        <f t="shared" si="155"/>
        <v>46342</v>
      </c>
      <c r="AM467" s="105">
        <f ca="1" t="shared" si="156"/>
        <v>29</v>
      </c>
      <c r="AN467" s="115"/>
      <c r="AO467" s="70"/>
      <c r="AP467" s="70"/>
      <c r="AQ467" s="71"/>
      <c r="AR467" s="71"/>
      <c r="AS467" s="72"/>
      <c r="AT467" s="73"/>
      <c r="AU467" s="75"/>
      <c r="AV467" s="117"/>
      <c r="AW467" s="115"/>
      <c r="AX467" s="106"/>
      <c r="AY467" s="104">
        <f t="shared" si="151"/>
        <v>0</v>
      </c>
      <c r="AZ467" s="105">
        <f ca="1" t="shared" si="152"/>
        <v>-46313</v>
      </c>
    </row>
    <row r="468" customHeight="1" spans="1:52">
      <c r="A468" s="70">
        <v>467</v>
      </c>
      <c r="B468" s="70" t="s">
        <v>1908</v>
      </c>
      <c r="C468" s="70" t="s">
        <v>13</v>
      </c>
      <c r="D468" s="71" t="s">
        <v>1909</v>
      </c>
      <c r="E468" s="71" t="s">
        <v>1910</v>
      </c>
      <c r="F468" s="72"/>
      <c r="G468" s="73"/>
      <c r="H468" s="74" t="s">
        <v>16</v>
      </c>
      <c r="I468" s="165">
        <v>46046</v>
      </c>
      <c r="J468" s="70">
        <v>3</v>
      </c>
      <c r="K468" s="106" t="s">
        <v>1911</v>
      </c>
      <c r="L468" s="104">
        <f t="shared" si="149"/>
        <v>46136</v>
      </c>
      <c r="M468" s="105">
        <f ca="1" t="shared" si="150"/>
        <v>-177</v>
      </c>
      <c r="N468" s="70"/>
      <c r="O468" s="70" t="s">
        <v>1908</v>
      </c>
      <c r="P468" s="70" t="s">
        <v>13</v>
      </c>
      <c r="Q468" s="71" t="s">
        <v>1909</v>
      </c>
      <c r="R468" s="71" t="s">
        <v>1910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1912</v>
      </c>
      <c r="Y468" s="104">
        <f t="shared" si="153"/>
        <v>46216</v>
      </c>
      <c r="Z468" s="105">
        <f ca="1" t="shared" si="154"/>
        <v>-97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55"/>
        <v>0</v>
      </c>
      <c r="AM468" s="105">
        <f ca="1" t="shared" si="156"/>
        <v>-46313</v>
      </c>
      <c r="AN468" s="115"/>
      <c r="AO468" s="70"/>
      <c r="AP468" s="70"/>
      <c r="AQ468" s="71"/>
      <c r="AR468" s="71"/>
      <c r="AS468" s="72"/>
      <c r="AT468" s="73"/>
      <c r="AU468" s="75"/>
      <c r="AV468" s="117"/>
      <c r="AW468" s="115"/>
      <c r="AX468" s="106"/>
      <c r="AY468" s="104">
        <f t="shared" si="151"/>
        <v>0</v>
      </c>
      <c r="AZ468" s="105">
        <f ca="1" t="shared" si="152"/>
        <v>-46313</v>
      </c>
    </row>
    <row r="469" customHeight="1" spans="1:52">
      <c r="A469" s="70">
        <v>468</v>
      </c>
      <c r="B469" s="70" t="s">
        <v>1913</v>
      </c>
      <c r="C469" s="70" t="s">
        <v>38</v>
      </c>
      <c r="D469" s="71" t="s">
        <v>1914</v>
      </c>
      <c r="E469" s="71" t="s">
        <v>1915</v>
      </c>
      <c r="F469" s="72"/>
      <c r="G469" s="73"/>
      <c r="H469" s="79" t="s">
        <v>16</v>
      </c>
      <c r="I469" s="165">
        <v>46046</v>
      </c>
      <c r="J469" s="70">
        <v>3</v>
      </c>
      <c r="K469" s="106" t="s">
        <v>1916</v>
      </c>
      <c r="L469" s="104">
        <f t="shared" si="149"/>
        <v>46136</v>
      </c>
      <c r="M469" s="105">
        <f ca="1" t="shared" si="150"/>
        <v>-177</v>
      </c>
      <c r="N469" s="70"/>
      <c r="O469" s="70" t="s">
        <v>1913</v>
      </c>
      <c r="P469" s="70" t="s">
        <v>38</v>
      </c>
      <c r="Q469" s="71" t="s">
        <v>1914</v>
      </c>
      <c r="R469" s="71" t="s">
        <v>1915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1917</v>
      </c>
      <c r="Y469" s="104">
        <f t="shared" si="153"/>
        <v>46317</v>
      </c>
      <c r="Z469" s="105">
        <f ca="1" t="shared" si="154"/>
        <v>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55"/>
        <v>0</v>
      </c>
      <c r="AM469" s="105">
        <f ca="1" t="shared" si="156"/>
        <v>-46313</v>
      </c>
      <c r="AN469" s="115"/>
      <c r="AO469" s="115"/>
      <c r="AP469" s="115"/>
      <c r="AQ469" s="93"/>
      <c r="AR469" s="93"/>
      <c r="AS469" s="94"/>
      <c r="AT469" s="95"/>
      <c r="AU469" s="79"/>
      <c r="AV469" s="117"/>
      <c r="AW469" s="115"/>
      <c r="AX469" s="106"/>
      <c r="AY469" s="104">
        <f t="shared" si="151"/>
        <v>0</v>
      </c>
      <c r="AZ469" s="105">
        <f ca="1" t="shared" si="152"/>
        <v>-46313</v>
      </c>
    </row>
    <row r="470" customHeight="1" spans="1:52">
      <c r="A470" s="70">
        <v>469</v>
      </c>
      <c r="B470" s="70" t="s">
        <v>1918</v>
      </c>
      <c r="C470" s="70" t="s">
        <v>264</v>
      </c>
      <c r="D470" s="71" t="s">
        <v>955</v>
      </c>
      <c r="E470" s="71" t="s">
        <v>764</v>
      </c>
      <c r="F470" s="72"/>
      <c r="G470" s="73"/>
      <c r="H470" s="151"/>
      <c r="I470" s="165">
        <v>46046</v>
      </c>
      <c r="J470" s="70">
        <v>3</v>
      </c>
      <c r="K470" s="106" t="s">
        <v>1919</v>
      </c>
      <c r="L470" s="104">
        <f t="shared" si="149"/>
        <v>46136</v>
      </c>
      <c r="M470" s="105">
        <f ca="1" t="shared" si="150"/>
        <v>-177</v>
      </c>
      <c r="N470" s="70"/>
      <c r="O470" s="70" t="s">
        <v>1918</v>
      </c>
      <c r="P470" s="70" t="s">
        <v>264</v>
      </c>
      <c r="Q470" s="71" t="s">
        <v>955</v>
      </c>
      <c r="R470" s="71" t="s">
        <v>764</v>
      </c>
      <c r="S470" s="72"/>
      <c r="T470" s="73"/>
      <c r="U470" s="151"/>
      <c r="V470" s="102">
        <v>46139</v>
      </c>
      <c r="W470" s="70">
        <v>3</v>
      </c>
      <c r="X470" s="103" t="s">
        <v>1920</v>
      </c>
      <c r="Y470" s="104">
        <f t="shared" si="153"/>
        <v>46230</v>
      </c>
      <c r="Z470" s="105">
        <f ca="1" t="shared" si="154"/>
        <v>-83</v>
      </c>
      <c r="AA470" s="70"/>
      <c r="AB470" s="70" t="s">
        <v>1918</v>
      </c>
      <c r="AC470" s="70" t="s">
        <v>264</v>
      </c>
      <c r="AD470" s="71" t="s">
        <v>955</v>
      </c>
      <c r="AE470" s="71" t="s">
        <v>764</v>
      </c>
      <c r="AF470" s="72"/>
      <c r="AG470" s="73"/>
      <c r="AH470" s="151"/>
      <c r="AI470" s="102">
        <v>46226</v>
      </c>
      <c r="AJ470" s="70">
        <v>3</v>
      </c>
      <c r="AK470" s="103" t="s">
        <v>1921</v>
      </c>
      <c r="AL470" s="104">
        <f t="shared" si="155"/>
        <v>46318</v>
      </c>
      <c r="AM470" s="105">
        <f ca="1" t="shared" si="156"/>
        <v>5</v>
      </c>
      <c r="AN470" s="115"/>
      <c r="AO470" s="70"/>
      <c r="AP470" s="70"/>
      <c r="AQ470" s="71"/>
      <c r="AR470" s="71"/>
      <c r="AS470" s="72"/>
      <c r="AT470" s="73"/>
      <c r="AU470" s="79"/>
      <c r="AV470" s="117"/>
      <c r="AW470" s="115"/>
      <c r="AX470" s="106"/>
      <c r="AY470" s="104">
        <f t="shared" si="151"/>
        <v>0</v>
      </c>
      <c r="AZ470" s="105">
        <f ca="1" t="shared" si="152"/>
        <v>-46313</v>
      </c>
    </row>
    <row r="471" customHeight="1" spans="1:52">
      <c r="A471" s="70">
        <v>470</v>
      </c>
      <c r="B471" s="70" t="s">
        <v>644</v>
      </c>
      <c r="C471" s="70" t="s">
        <v>264</v>
      </c>
      <c r="D471" s="71" t="s">
        <v>265</v>
      </c>
      <c r="E471" s="71" t="s">
        <v>266</v>
      </c>
      <c r="F471" s="72"/>
      <c r="G471" s="73"/>
      <c r="H471" s="151"/>
      <c r="I471" s="165">
        <v>46046</v>
      </c>
      <c r="J471" s="165" t="s">
        <v>767</v>
      </c>
      <c r="K471" s="106"/>
      <c r="L471" s="104" t="e">
        <f t="shared" si="149"/>
        <v>#VALUE!</v>
      </c>
      <c r="M471" s="105" t="e">
        <f ca="1" t="shared" si="150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57">EDATE(V471,W471)</f>
        <v>0</v>
      </c>
      <c r="Z471" s="105">
        <f ca="1" t="shared" ref="Z469:Z494" si="158">Y471-TODAY()</f>
        <v>-46313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55"/>
        <v>0</v>
      </c>
      <c r="AM471" s="105">
        <f ca="1" t="shared" si="156"/>
        <v>-46313</v>
      </c>
      <c r="AN471" s="115"/>
      <c r="AO471" s="115"/>
      <c r="AP471" s="115"/>
      <c r="AQ471" s="93"/>
      <c r="AR471" s="93"/>
      <c r="AS471" s="94"/>
      <c r="AT471" s="95"/>
      <c r="AU471" s="79"/>
      <c r="AV471" s="117"/>
      <c r="AW471" s="115"/>
      <c r="AX471" s="106"/>
      <c r="AY471" s="104">
        <f t="shared" si="151"/>
        <v>0</v>
      </c>
      <c r="AZ471" s="105">
        <f ca="1" t="shared" si="152"/>
        <v>-46313</v>
      </c>
    </row>
    <row r="472" customHeight="1" spans="1:52">
      <c r="A472" s="70">
        <v>471</v>
      </c>
      <c r="B472" s="70" t="s">
        <v>644</v>
      </c>
      <c r="C472" s="70" t="s">
        <v>264</v>
      </c>
      <c r="D472" s="71" t="s">
        <v>1922</v>
      </c>
      <c r="E472" s="71" t="s">
        <v>266</v>
      </c>
      <c r="F472" s="72"/>
      <c r="G472" s="73"/>
      <c r="H472" s="151"/>
      <c r="I472" s="165">
        <v>46046</v>
      </c>
      <c r="J472" s="70">
        <v>3</v>
      </c>
      <c r="K472" s="106" t="s">
        <v>1923</v>
      </c>
      <c r="L472" s="104">
        <f t="shared" si="149"/>
        <v>46136</v>
      </c>
      <c r="M472" s="105">
        <f ca="1" t="shared" si="150"/>
        <v>-177</v>
      </c>
      <c r="N472" s="70"/>
      <c r="O472" s="70" t="s">
        <v>644</v>
      </c>
      <c r="P472" s="70" t="s">
        <v>264</v>
      </c>
      <c r="Q472" s="71" t="s">
        <v>1922</v>
      </c>
      <c r="R472" s="71" t="s">
        <v>266</v>
      </c>
      <c r="S472" s="72"/>
      <c r="T472" s="73"/>
      <c r="U472" s="151"/>
      <c r="V472" s="102">
        <v>46133</v>
      </c>
      <c r="W472" s="70">
        <v>3</v>
      </c>
      <c r="X472" s="103" t="s">
        <v>1924</v>
      </c>
      <c r="Y472" s="104">
        <f t="shared" si="157"/>
        <v>46224</v>
      </c>
      <c r="Z472" s="105">
        <f ca="1" t="shared" si="158"/>
        <v>-89</v>
      </c>
      <c r="AA472" s="70"/>
      <c r="AB472" s="70" t="s">
        <v>644</v>
      </c>
      <c r="AC472" s="70" t="s">
        <v>264</v>
      </c>
      <c r="AD472" s="71" t="s">
        <v>1922</v>
      </c>
      <c r="AE472" s="71" t="s">
        <v>266</v>
      </c>
      <c r="AF472" s="72"/>
      <c r="AG472" s="73"/>
      <c r="AH472" s="151"/>
      <c r="AI472" s="102">
        <v>46234</v>
      </c>
      <c r="AJ472" s="70">
        <v>3</v>
      </c>
      <c r="AK472" s="103" t="s">
        <v>1925</v>
      </c>
      <c r="AL472" s="104">
        <f t="shared" si="155"/>
        <v>46326</v>
      </c>
      <c r="AM472" s="105">
        <f ca="1" t="shared" si="156"/>
        <v>13</v>
      </c>
      <c r="AN472" s="115"/>
      <c r="AO472" s="115"/>
      <c r="AP472" s="115"/>
      <c r="AQ472" s="93"/>
      <c r="AR472" s="93"/>
      <c r="AS472" s="94"/>
      <c r="AT472" s="95"/>
      <c r="AU472" s="79"/>
      <c r="AV472" s="117"/>
      <c r="AW472" s="115"/>
      <c r="AX472" s="106"/>
      <c r="AY472" s="104">
        <f t="shared" si="151"/>
        <v>0</v>
      </c>
      <c r="AZ472" s="105">
        <f ca="1" t="shared" si="152"/>
        <v>-46313</v>
      </c>
    </row>
    <row r="473" customHeight="1" spans="1:52">
      <c r="A473" s="70">
        <v>472</v>
      </c>
      <c r="B473" s="70" t="s">
        <v>1926</v>
      </c>
      <c r="C473" s="70" t="s">
        <v>38</v>
      </c>
      <c r="D473" s="71" t="s">
        <v>1927</v>
      </c>
      <c r="E473" s="71" t="s">
        <v>1928</v>
      </c>
      <c r="F473" s="72"/>
      <c r="G473" s="73"/>
      <c r="H473" s="74" t="s">
        <v>16</v>
      </c>
      <c r="I473" s="165">
        <v>46046</v>
      </c>
      <c r="J473" s="70">
        <v>3</v>
      </c>
      <c r="K473" s="106" t="s">
        <v>1929</v>
      </c>
      <c r="L473" s="104">
        <f t="shared" si="149"/>
        <v>46136</v>
      </c>
      <c r="M473" s="105">
        <f ca="1" t="shared" si="150"/>
        <v>-177</v>
      </c>
      <c r="N473" s="70"/>
      <c r="O473" s="70" t="s">
        <v>1926</v>
      </c>
      <c r="P473" s="70" t="s">
        <v>38</v>
      </c>
      <c r="Q473" s="71" t="s">
        <v>1927</v>
      </c>
      <c r="R473" s="71" t="s">
        <v>1928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1930</v>
      </c>
      <c r="Y473" s="104">
        <f t="shared" si="157"/>
        <v>46225</v>
      </c>
      <c r="Z473" s="105">
        <f ca="1" t="shared" si="158"/>
        <v>-88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55"/>
        <v>0</v>
      </c>
      <c r="AM473" s="105">
        <f ca="1" t="shared" si="156"/>
        <v>-46313</v>
      </c>
      <c r="AN473" s="115"/>
      <c r="AO473" s="70"/>
      <c r="AP473" s="70"/>
      <c r="AQ473" s="71"/>
      <c r="AR473" s="71"/>
      <c r="AS473" s="72"/>
      <c r="AT473" s="73"/>
      <c r="AU473" s="79"/>
      <c r="AV473" s="117"/>
      <c r="AW473" s="115"/>
      <c r="AX473" s="106"/>
      <c r="AY473" s="104"/>
      <c r="AZ473" s="105"/>
    </row>
    <row r="474" customHeight="1" spans="1:52">
      <c r="A474" s="70">
        <v>473</v>
      </c>
      <c r="B474" s="70" t="s">
        <v>1147</v>
      </c>
      <c r="C474" s="70" t="s">
        <v>13</v>
      </c>
      <c r="D474" s="71" t="s">
        <v>1931</v>
      </c>
      <c r="E474" s="71" t="s">
        <v>1932</v>
      </c>
      <c r="F474" s="72"/>
      <c r="G474" s="73"/>
      <c r="H474" s="74" t="s">
        <v>16</v>
      </c>
      <c r="I474" s="165">
        <v>46046</v>
      </c>
      <c r="J474" s="70">
        <v>3</v>
      </c>
      <c r="K474" s="106" t="s">
        <v>1933</v>
      </c>
      <c r="L474" s="104">
        <f t="shared" si="149"/>
        <v>46136</v>
      </c>
      <c r="M474" s="105">
        <f ca="1" t="shared" si="150"/>
        <v>-177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57"/>
        <v>0</v>
      </c>
      <c r="Z474" s="105">
        <f ca="1" t="shared" si="158"/>
        <v>-46313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55"/>
        <v>0</v>
      </c>
      <c r="AM474" s="105">
        <f ca="1" t="shared" si="156"/>
        <v>-46313</v>
      </c>
      <c r="AN474" s="115"/>
      <c r="AO474" s="115"/>
      <c r="AP474" s="115"/>
      <c r="AQ474" s="93"/>
      <c r="AR474" s="93"/>
      <c r="AS474" s="94"/>
      <c r="AT474" s="95"/>
      <c r="AU474" s="79"/>
      <c r="AV474" s="117"/>
      <c r="AW474" s="115"/>
      <c r="AX474" s="106"/>
      <c r="AY474" s="104"/>
      <c r="AZ474" s="105"/>
    </row>
    <row r="475" customHeight="1" spans="1:52">
      <c r="A475" s="70">
        <v>474</v>
      </c>
      <c r="B475" s="70" t="s">
        <v>1147</v>
      </c>
      <c r="C475" s="70" t="s">
        <v>13</v>
      </c>
      <c r="D475" s="71" t="s">
        <v>1934</v>
      </c>
      <c r="E475" s="71" t="s">
        <v>1932</v>
      </c>
      <c r="F475" s="72"/>
      <c r="G475" s="73"/>
      <c r="H475" s="74" t="s">
        <v>16</v>
      </c>
      <c r="I475" s="165">
        <v>46046</v>
      </c>
      <c r="J475" s="70">
        <v>3</v>
      </c>
      <c r="K475" s="106" t="s">
        <v>1935</v>
      </c>
      <c r="L475" s="104">
        <f t="shared" si="149"/>
        <v>46136</v>
      </c>
      <c r="M475" s="105">
        <f ca="1" t="shared" si="150"/>
        <v>-177</v>
      </c>
      <c r="N475" s="70"/>
      <c r="O475" s="70" t="s">
        <v>1147</v>
      </c>
      <c r="P475" s="70" t="s">
        <v>13</v>
      </c>
      <c r="Q475" s="71" t="s">
        <v>1934</v>
      </c>
      <c r="R475" s="71" t="s">
        <v>1932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1936</v>
      </c>
      <c r="Y475" s="104">
        <f t="shared" si="157"/>
        <v>46230</v>
      </c>
      <c r="Z475" s="105">
        <f ca="1" t="shared" si="158"/>
        <v>-83</v>
      </c>
      <c r="AA475" s="70"/>
      <c r="AB475" s="70" t="s">
        <v>1147</v>
      </c>
      <c r="AC475" s="70" t="s">
        <v>13</v>
      </c>
      <c r="AD475" s="71" t="s">
        <v>1934</v>
      </c>
      <c r="AE475" s="71" t="s">
        <v>1932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1937</v>
      </c>
      <c r="AL475" s="104">
        <f t="shared" si="155"/>
        <v>46325</v>
      </c>
      <c r="AM475" s="105">
        <f ca="1" t="shared" si="156"/>
        <v>12</v>
      </c>
      <c r="AN475" s="115"/>
      <c r="AO475" s="115"/>
      <c r="AP475" s="115"/>
      <c r="AQ475" s="93"/>
      <c r="AR475" s="93"/>
      <c r="AS475" s="94"/>
      <c r="AT475" s="95"/>
      <c r="AU475" s="79"/>
      <c r="AV475" s="117"/>
      <c r="AW475" s="115"/>
      <c r="AX475" s="106"/>
      <c r="AY475" s="104"/>
      <c r="AZ475" s="105"/>
    </row>
    <row r="476" customHeight="1" spans="1:52">
      <c r="A476" s="70">
        <v>475</v>
      </c>
      <c r="B476" s="70" t="s">
        <v>1938</v>
      </c>
      <c r="C476" s="70" t="s">
        <v>374</v>
      </c>
      <c r="D476" s="71" t="s">
        <v>1939</v>
      </c>
      <c r="E476" s="71" t="s">
        <v>1940</v>
      </c>
      <c r="F476" s="72"/>
      <c r="G476" s="73"/>
      <c r="H476" s="74" t="s">
        <v>16</v>
      </c>
      <c r="I476" s="165">
        <v>46046</v>
      </c>
      <c r="J476" s="70">
        <v>3</v>
      </c>
      <c r="K476" s="106" t="s">
        <v>1941</v>
      </c>
      <c r="L476" s="104">
        <f t="shared" si="149"/>
        <v>46136</v>
      </c>
      <c r="M476" s="105">
        <f ca="1" t="shared" si="150"/>
        <v>-177</v>
      </c>
      <c r="N476" s="70"/>
      <c r="O476" s="70" t="s">
        <v>1938</v>
      </c>
      <c r="P476" s="70" t="s">
        <v>374</v>
      </c>
      <c r="Q476" s="71" t="s">
        <v>1939</v>
      </c>
      <c r="R476" s="71" t="s">
        <v>1940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1942</v>
      </c>
      <c r="Y476" s="104">
        <f t="shared" si="157"/>
        <v>46261</v>
      </c>
      <c r="Z476" s="105">
        <f ca="1" t="shared" si="158"/>
        <v>-52</v>
      </c>
      <c r="AA476" s="70"/>
      <c r="AB476" s="70" t="s">
        <v>1938</v>
      </c>
      <c r="AC476" s="70" t="s">
        <v>374</v>
      </c>
      <c r="AD476" s="71" t="s">
        <v>1939</v>
      </c>
      <c r="AE476" s="71" t="s">
        <v>1940</v>
      </c>
      <c r="AF476" s="72"/>
      <c r="AG476" s="73"/>
      <c r="AH476" s="74" t="s">
        <v>16</v>
      </c>
      <c r="AI476" s="102">
        <v>46302</v>
      </c>
      <c r="AJ476" s="70">
        <v>3</v>
      </c>
      <c r="AK476" s="103" t="s">
        <v>1943</v>
      </c>
      <c r="AL476" s="104">
        <f t="shared" si="155"/>
        <v>46394</v>
      </c>
      <c r="AM476" s="105">
        <f ca="1" t="shared" si="156"/>
        <v>81</v>
      </c>
      <c r="AN476" s="115"/>
      <c r="AO476" s="115"/>
      <c r="AP476" s="115"/>
      <c r="AQ476" s="93"/>
      <c r="AR476" s="93"/>
      <c r="AS476" s="94"/>
      <c r="AT476" s="95"/>
      <c r="AU476" s="79"/>
      <c r="AV476" s="117"/>
      <c r="AW476" s="115"/>
      <c r="AX476" s="106"/>
      <c r="AY476" s="104"/>
      <c r="AZ476" s="105"/>
    </row>
    <row r="477" customHeight="1" spans="1:52">
      <c r="A477" s="70">
        <v>476</v>
      </c>
      <c r="B477" s="70" t="s">
        <v>1944</v>
      </c>
      <c r="C477" s="70" t="s">
        <v>374</v>
      </c>
      <c r="D477" s="71" t="s">
        <v>1945</v>
      </c>
      <c r="E477" s="71" t="s">
        <v>1946</v>
      </c>
      <c r="F477" s="72"/>
      <c r="G477" s="73"/>
      <c r="H477" s="74" t="s">
        <v>16</v>
      </c>
      <c r="I477" s="165">
        <v>46046</v>
      </c>
      <c r="J477" s="70">
        <v>3</v>
      </c>
      <c r="K477" s="106" t="s">
        <v>1947</v>
      </c>
      <c r="L477" s="104">
        <f t="shared" si="149"/>
        <v>46136</v>
      </c>
      <c r="M477" s="105">
        <f ca="1" t="shared" si="150"/>
        <v>-177</v>
      </c>
      <c r="N477" s="70"/>
      <c r="O477" s="70" t="s">
        <v>1944</v>
      </c>
      <c r="P477" s="70" t="s">
        <v>374</v>
      </c>
      <c r="Q477" s="71" t="s">
        <v>1945</v>
      </c>
      <c r="R477" s="71" t="s">
        <v>1946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1948</v>
      </c>
      <c r="Y477" s="104">
        <f t="shared" si="157"/>
        <v>46222</v>
      </c>
      <c r="Z477" s="105">
        <f ca="1" t="shared" si="158"/>
        <v>-91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55"/>
        <v>0</v>
      </c>
      <c r="AM477" s="105">
        <f ca="1" t="shared" si="156"/>
        <v>-46313</v>
      </c>
      <c r="AN477" s="115"/>
      <c r="AO477" s="115"/>
      <c r="AP477" s="115"/>
      <c r="AQ477" s="93"/>
      <c r="AR477" s="93"/>
      <c r="AS477" s="94"/>
      <c r="AT477" s="95"/>
      <c r="AU477" s="79"/>
      <c r="AV477" s="117"/>
      <c r="AW477" s="115"/>
      <c r="AX477" s="106"/>
      <c r="AY477" s="104"/>
      <c r="AZ477" s="105"/>
    </row>
    <row r="478" customHeight="1" spans="1:52">
      <c r="A478" s="70">
        <v>477</v>
      </c>
      <c r="B478" s="70" t="s">
        <v>672</v>
      </c>
      <c r="C478" s="70" t="s">
        <v>374</v>
      </c>
      <c r="D478" s="71" t="s">
        <v>1949</v>
      </c>
      <c r="E478" s="71" t="s">
        <v>674</v>
      </c>
      <c r="F478" s="72"/>
      <c r="G478" s="73"/>
      <c r="H478" s="74" t="s">
        <v>16</v>
      </c>
      <c r="I478" s="165">
        <v>46046</v>
      </c>
      <c r="J478" s="70">
        <v>3</v>
      </c>
      <c r="K478" s="106" t="s">
        <v>1950</v>
      </c>
      <c r="L478" s="104">
        <f t="shared" si="149"/>
        <v>46136</v>
      </c>
      <c r="M478" s="105">
        <f ca="1" t="shared" si="150"/>
        <v>-177</v>
      </c>
      <c r="N478" s="70"/>
      <c r="O478" s="70" t="s">
        <v>672</v>
      </c>
      <c r="P478" s="70" t="s">
        <v>374</v>
      </c>
      <c r="Q478" s="71" t="s">
        <v>1949</v>
      </c>
      <c r="R478" s="71" t="s">
        <v>674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1951</v>
      </c>
      <c r="Y478" s="104">
        <f t="shared" si="157"/>
        <v>46221</v>
      </c>
      <c r="Z478" s="105">
        <f ca="1" t="shared" si="158"/>
        <v>-92</v>
      </c>
      <c r="AA478" s="70"/>
      <c r="AB478" s="70" t="s">
        <v>672</v>
      </c>
      <c r="AC478" s="70" t="s">
        <v>374</v>
      </c>
      <c r="AD478" s="71" t="s">
        <v>1949</v>
      </c>
      <c r="AE478" s="71" t="s">
        <v>674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1952</v>
      </c>
      <c r="AL478" s="104">
        <f t="shared" si="155"/>
        <v>46312</v>
      </c>
      <c r="AM478" s="105">
        <f ca="1" t="shared" si="156"/>
        <v>-1</v>
      </c>
      <c r="AN478" s="115"/>
      <c r="AO478" s="115"/>
      <c r="AP478" s="115"/>
      <c r="AQ478" s="93"/>
      <c r="AR478" s="93"/>
      <c r="AS478" s="94"/>
      <c r="AT478" s="95"/>
      <c r="AU478" s="79"/>
      <c r="AV478" s="117"/>
      <c r="AW478" s="115"/>
      <c r="AX478" s="106"/>
      <c r="AY478" s="104"/>
      <c r="AZ478" s="105"/>
    </row>
    <row r="479" customHeight="1" spans="1:52">
      <c r="A479" s="70">
        <v>478</v>
      </c>
      <c r="B479" s="70" t="s">
        <v>373</v>
      </c>
      <c r="C479" s="70" t="s">
        <v>374</v>
      </c>
      <c r="D479" s="71" t="s">
        <v>1953</v>
      </c>
      <c r="E479" s="71" t="s">
        <v>381</v>
      </c>
      <c r="F479" s="72"/>
      <c r="G479" s="73"/>
      <c r="H479" s="74" t="s">
        <v>16</v>
      </c>
      <c r="I479" s="165">
        <v>46046</v>
      </c>
      <c r="J479" s="70">
        <v>3</v>
      </c>
      <c r="K479" s="106" t="s">
        <v>1954</v>
      </c>
      <c r="L479" s="104">
        <f t="shared" si="149"/>
        <v>46136</v>
      </c>
      <c r="M479" s="105">
        <f ca="1" t="shared" si="150"/>
        <v>-177</v>
      </c>
      <c r="N479" s="70"/>
      <c r="O479" s="70" t="s">
        <v>373</v>
      </c>
      <c r="P479" s="70" t="s">
        <v>374</v>
      </c>
      <c r="Q479" s="71" t="s">
        <v>1953</v>
      </c>
      <c r="R479" s="71" t="s">
        <v>381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1955</v>
      </c>
      <c r="Y479" s="104">
        <f t="shared" si="157"/>
        <v>46228</v>
      </c>
      <c r="Z479" s="105">
        <f ca="1" t="shared" si="158"/>
        <v>-85</v>
      </c>
      <c r="AA479" s="70"/>
      <c r="AB479" s="70" t="s">
        <v>373</v>
      </c>
      <c r="AC479" s="70" t="s">
        <v>374</v>
      </c>
      <c r="AD479" s="71" t="s">
        <v>1953</v>
      </c>
      <c r="AE479" s="71" t="s">
        <v>381</v>
      </c>
      <c r="AF479" s="72"/>
      <c r="AG479" s="73"/>
      <c r="AH479" s="74" t="s">
        <v>16</v>
      </c>
      <c r="AI479" s="102">
        <v>46287</v>
      </c>
      <c r="AJ479" s="70">
        <v>3</v>
      </c>
      <c r="AK479" s="103" t="s">
        <v>1956</v>
      </c>
      <c r="AL479" s="104">
        <f t="shared" si="155"/>
        <v>46378</v>
      </c>
      <c r="AM479" s="105">
        <f ca="1" t="shared" si="156"/>
        <v>65</v>
      </c>
      <c r="AN479" s="115"/>
      <c r="AO479" s="70"/>
      <c r="AP479" s="70"/>
      <c r="AQ479" s="71"/>
      <c r="AR479" s="71"/>
      <c r="AS479" s="72"/>
      <c r="AT479" s="73"/>
      <c r="AU479" s="79"/>
      <c r="AV479" s="117"/>
      <c r="AW479" s="115"/>
      <c r="AX479" s="106"/>
      <c r="AY479" s="104"/>
      <c r="AZ479" s="105"/>
    </row>
    <row r="480" customHeight="1" spans="1:52">
      <c r="A480" s="70">
        <v>479</v>
      </c>
      <c r="B480" s="70" t="s">
        <v>373</v>
      </c>
      <c r="C480" s="70" t="s">
        <v>374</v>
      </c>
      <c r="D480" s="71" t="s">
        <v>1957</v>
      </c>
      <c r="E480" s="71" t="s">
        <v>376</v>
      </c>
      <c r="F480" s="72"/>
      <c r="G480" s="73"/>
      <c r="H480" s="75"/>
      <c r="I480" s="165">
        <v>46046</v>
      </c>
      <c r="J480" s="70">
        <v>3</v>
      </c>
      <c r="K480" s="106" t="s">
        <v>1958</v>
      </c>
      <c r="L480" s="104">
        <f t="shared" si="149"/>
        <v>46136</v>
      </c>
      <c r="M480" s="105">
        <f ca="1" t="shared" si="150"/>
        <v>-177</v>
      </c>
      <c r="N480" s="70"/>
      <c r="O480" s="70" t="s">
        <v>373</v>
      </c>
      <c r="P480" s="70" t="s">
        <v>374</v>
      </c>
      <c r="Q480" s="71" t="s">
        <v>1957</v>
      </c>
      <c r="R480" s="71" t="s">
        <v>376</v>
      </c>
      <c r="S480" s="72"/>
      <c r="T480" s="73"/>
      <c r="U480" s="75"/>
      <c r="V480" s="102">
        <v>46181</v>
      </c>
      <c r="W480" s="70">
        <v>3</v>
      </c>
      <c r="X480" s="103" t="s">
        <v>1959</v>
      </c>
      <c r="Y480" s="104">
        <f t="shared" si="157"/>
        <v>46273</v>
      </c>
      <c r="Z480" s="105">
        <f ca="1" t="shared" si="158"/>
        <v>-40</v>
      </c>
      <c r="AA480" s="70"/>
      <c r="AB480" s="70" t="s">
        <v>373</v>
      </c>
      <c r="AC480" s="70" t="s">
        <v>374</v>
      </c>
      <c r="AD480" s="71" t="s">
        <v>1957</v>
      </c>
      <c r="AE480" s="71" t="s">
        <v>376</v>
      </c>
      <c r="AF480" s="72"/>
      <c r="AG480" s="73"/>
      <c r="AH480" s="75"/>
      <c r="AI480" s="102">
        <v>46284</v>
      </c>
      <c r="AJ480" s="70">
        <v>3</v>
      </c>
      <c r="AK480" s="103" t="s">
        <v>1960</v>
      </c>
      <c r="AL480" s="104">
        <f t="shared" si="155"/>
        <v>46375</v>
      </c>
      <c r="AM480" s="105">
        <f ca="1" t="shared" si="156"/>
        <v>62</v>
      </c>
      <c r="AN480" s="115"/>
      <c r="AO480" s="115"/>
      <c r="AP480" s="115"/>
      <c r="AQ480" s="93"/>
      <c r="AR480" s="93"/>
      <c r="AS480" s="94"/>
      <c r="AT480" s="95"/>
      <c r="AU480" s="79"/>
      <c r="AV480" s="117"/>
      <c r="AW480" s="115"/>
      <c r="AX480" s="106"/>
      <c r="AY480" s="104"/>
      <c r="AZ480" s="105"/>
    </row>
    <row r="481" customHeight="1" spans="1:52">
      <c r="A481" s="70">
        <v>480</v>
      </c>
      <c r="B481" s="70" t="s">
        <v>373</v>
      </c>
      <c r="C481" s="70" t="s">
        <v>374</v>
      </c>
      <c r="D481" s="71" t="s">
        <v>1961</v>
      </c>
      <c r="E481" s="71" t="s">
        <v>376</v>
      </c>
      <c r="F481" s="72"/>
      <c r="G481" s="73"/>
      <c r="H481" s="75" t="s">
        <v>434</v>
      </c>
      <c r="I481" s="165">
        <v>46046</v>
      </c>
      <c r="J481" s="70">
        <v>3</v>
      </c>
      <c r="K481" s="106" t="s">
        <v>1962</v>
      </c>
      <c r="L481" s="104">
        <f t="shared" si="149"/>
        <v>46136</v>
      </c>
      <c r="M481" s="105">
        <f ca="1" t="shared" si="150"/>
        <v>-177</v>
      </c>
      <c r="N481" s="70"/>
      <c r="O481" s="70" t="s">
        <v>373</v>
      </c>
      <c r="P481" s="70" t="s">
        <v>374</v>
      </c>
      <c r="Q481" s="71" t="s">
        <v>1961</v>
      </c>
      <c r="R481" s="71" t="s">
        <v>376</v>
      </c>
      <c r="S481" s="72"/>
      <c r="T481" s="73"/>
      <c r="U481" s="75" t="s">
        <v>434</v>
      </c>
      <c r="V481" s="102">
        <v>46150</v>
      </c>
      <c r="W481" s="70">
        <v>3</v>
      </c>
      <c r="X481" s="103" t="s">
        <v>1963</v>
      </c>
      <c r="Y481" s="104">
        <f t="shared" si="157"/>
        <v>46242</v>
      </c>
      <c r="Z481" s="105">
        <f ca="1" t="shared" si="158"/>
        <v>-71</v>
      </c>
      <c r="AA481" s="70"/>
      <c r="AB481" s="70" t="s">
        <v>373</v>
      </c>
      <c r="AC481" s="70" t="s">
        <v>374</v>
      </c>
      <c r="AD481" s="71" t="s">
        <v>1961</v>
      </c>
      <c r="AE481" s="71" t="s">
        <v>376</v>
      </c>
      <c r="AF481" s="72"/>
      <c r="AG481" s="73"/>
      <c r="AH481" s="75" t="s">
        <v>434</v>
      </c>
      <c r="AI481" s="102">
        <v>46246</v>
      </c>
      <c r="AJ481" s="70">
        <v>3</v>
      </c>
      <c r="AK481" s="103" t="s">
        <v>1964</v>
      </c>
      <c r="AL481" s="104">
        <f t="shared" si="155"/>
        <v>46338</v>
      </c>
      <c r="AM481" s="105">
        <f ca="1" t="shared" si="156"/>
        <v>25</v>
      </c>
      <c r="AN481" s="115"/>
      <c r="AO481" s="115"/>
      <c r="AP481" s="115"/>
      <c r="AQ481" s="93"/>
      <c r="AR481" s="93"/>
      <c r="AS481" s="94"/>
      <c r="AT481" s="95"/>
      <c r="AU481" s="79"/>
      <c r="AV481" s="117"/>
      <c r="AW481" s="115"/>
      <c r="AX481" s="106"/>
      <c r="AY481" s="104"/>
      <c r="AZ481" s="105"/>
    </row>
    <row r="482" customHeight="1" spans="1:52">
      <c r="A482" s="70">
        <v>481</v>
      </c>
      <c r="B482" s="70" t="s">
        <v>373</v>
      </c>
      <c r="C482" s="70" t="s">
        <v>374</v>
      </c>
      <c r="D482" s="71" t="s">
        <v>1965</v>
      </c>
      <c r="E482" s="71" t="s">
        <v>376</v>
      </c>
      <c r="F482" s="72"/>
      <c r="G482" s="73"/>
      <c r="H482" s="79"/>
      <c r="I482" s="165">
        <v>46046</v>
      </c>
      <c r="J482" s="70">
        <v>3</v>
      </c>
      <c r="K482" s="106" t="s">
        <v>1966</v>
      </c>
      <c r="L482" s="104">
        <f t="shared" si="149"/>
        <v>46136</v>
      </c>
      <c r="M482" s="105">
        <f ca="1" t="shared" si="150"/>
        <v>-177</v>
      </c>
      <c r="N482" s="70"/>
      <c r="O482" s="70" t="s">
        <v>373</v>
      </c>
      <c r="P482" s="70" t="s">
        <v>374</v>
      </c>
      <c r="Q482" s="71" t="s">
        <v>1965</v>
      </c>
      <c r="R482" s="71" t="s">
        <v>376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1967</v>
      </c>
      <c r="Y482" s="104">
        <f t="shared" si="157"/>
        <v>46232</v>
      </c>
      <c r="Z482" s="105">
        <f ca="1" t="shared" si="158"/>
        <v>-81</v>
      </c>
      <c r="AA482" s="70"/>
      <c r="AB482" s="70" t="s">
        <v>373</v>
      </c>
      <c r="AC482" s="70" t="s">
        <v>374</v>
      </c>
      <c r="AD482" s="71" t="s">
        <v>1965</v>
      </c>
      <c r="AE482" s="71" t="s">
        <v>376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1968</v>
      </c>
      <c r="AL482" s="104">
        <f t="shared" si="155"/>
        <v>46338</v>
      </c>
      <c r="AM482" s="105">
        <f ca="1" t="shared" si="156"/>
        <v>25</v>
      </c>
      <c r="AN482" s="115"/>
      <c r="AO482" s="115"/>
      <c r="AP482" s="115"/>
      <c r="AQ482" s="93"/>
      <c r="AR482" s="93"/>
      <c r="AS482" s="94"/>
      <c r="AT482" s="95"/>
      <c r="AU482" s="79"/>
      <c r="AV482" s="117"/>
      <c r="AW482" s="115"/>
      <c r="AX482" s="106"/>
      <c r="AY482" s="104"/>
      <c r="AZ482" s="105"/>
    </row>
    <row r="483" customHeight="1" spans="1:52">
      <c r="A483" s="70">
        <v>482</v>
      </c>
      <c r="B483" s="70" t="s">
        <v>373</v>
      </c>
      <c r="C483" s="70" t="s">
        <v>374</v>
      </c>
      <c r="D483" s="71" t="s">
        <v>1969</v>
      </c>
      <c r="E483" s="71" t="s">
        <v>376</v>
      </c>
      <c r="F483" s="72"/>
      <c r="G483" s="73"/>
      <c r="H483" s="75"/>
      <c r="I483" s="165">
        <v>46046</v>
      </c>
      <c r="J483" s="70">
        <v>3</v>
      </c>
      <c r="K483" s="106" t="s">
        <v>1970</v>
      </c>
      <c r="L483" s="104">
        <f t="shared" si="149"/>
        <v>46136</v>
      </c>
      <c r="M483" s="105">
        <f ca="1" t="shared" si="150"/>
        <v>-177</v>
      </c>
      <c r="N483" s="70"/>
      <c r="O483" s="70" t="s">
        <v>373</v>
      </c>
      <c r="P483" s="70" t="s">
        <v>374</v>
      </c>
      <c r="Q483" s="71" t="s">
        <v>1969</v>
      </c>
      <c r="R483" s="71" t="s">
        <v>376</v>
      </c>
      <c r="S483" s="72"/>
      <c r="T483" s="73"/>
      <c r="U483" s="75"/>
      <c r="V483" s="102">
        <v>46137</v>
      </c>
      <c r="W483" s="70">
        <v>3</v>
      </c>
      <c r="X483" s="103" t="s">
        <v>1971</v>
      </c>
      <c r="Y483" s="104">
        <f t="shared" si="157"/>
        <v>46228</v>
      </c>
      <c r="Z483" s="105">
        <f ca="1" t="shared" si="158"/>
        <v>-85</v>
      </c>
      <c r="AA483" s="70"/>
      <c r="AB483" s="70" t="s">
        <v>373</v>
      </c>
      <c r="AC483" s="70" t="s">
        <v>374</v>
      </c>
      <c r="AD483" s="71" t="s">
        <v>1969</v>
      </c>
      <c r="AE483" s="71" t="s">
        <v>376</v>
      </c>
      <c r="AF483" s="72"/>
      <c r="AG483" s="73"/>
      <c r="AH483" s="75"/>
      <c r="AI483" s="102">
        <v>46287</v>
      </c>
      <c r="AJ483" s="70">
        <v>3</v>
      </c>
      <c r="AK483" s="103" t="s">
        <v>1972</v>
      </c>
      <c r="AL483" s="104">
        <f t="shared" si="155"/>
        <v>46378</v>
      </c>
      <c r="AM483" s="105">
        <f ca="1" t="shared" si="156"/>
        <v>65</v>
      </c>
      <c r="AN483" s="115"/>
      <c r="AO483" s="115"/>
      <c r="AP483" s="115"/>
      <c r="AQ483" s="93"/>
      <c r="AR483" s="93"/>
      <c r="AS483" s="94"/>
      <c r="AT483" s="95"/>
      <c r="AU483" s="79"/>
      <c r="AV483" s="117"/>
      <c r="AW483" s="115"/>
      <c r="AX483" s="106"/>
      <c r="AY483" s="104"/>
      <c r="AZ483" s="105"/>
    </row>
    <row r="484" customHeight="1" spans="1:52">
      <c r="A484" s="70">
        <v>483</v>
      </c>
      <c r="B484" s="70" t="s">
        <v>229</v>
      </c>
      <c r="C484" s="70" t="s">
        <v>38</v>
      </c>
      <c r="D484" s="71" t="s">
        <v>1973</v>
      </c>
      <c r="E484" s="71" t="s">
        <v>51</v>
      </c>
      <c r="F484" s="72"/>
      <c r="G484" s="73"/>
      <c r="H484" s="75"/>
      <c r="I484" s="165">
        <v>46047</v>
      </c>
      <c r="J484" s="70">
        <v>3</v>
      </c>
      <c r="K484" s="106" t="s">
        <v>1974</v>
      </c>
      <c r="L484" s="104">
        <f t="shared" si="149"/>
        <v>46137</v>
      </c>
      <c r="M484" s="105">
        <f ca="1" t="shared" si="150"/>
        <v>-176</v>
      </c>
      <c r="N484" s="70"/>
      <c r="O484" s="70" t="s">
        <v>229</v>
      </c>
      <c r="P484" s="70" t="s">
        <v>38</v>
      </c>
      <c r="Q484" s="71" t="s">
        <v>1973</v>
      </c>
      <c r="R484" s="71" t="s">
        <v>51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1975</v>
      </c>
      <c r="Y484" s="104">
        <f t="shared" si="157"/>
        <v>46245</v>
      </c>
      <c r="Z484" s="105">
        <f ca="1" t="shared" si="158"/>
        <v>-68</v>
      </c>
      <c r="AA484" s="70"/>
      <c r="AB484" s="70" t="s">
        <v>229</v>
      </c>
      <c r="AC484" s="70" t="s">
        <v>38</v>
      </c>
      <c r="AD484" s="71" t="s">
        <v>1973</v>
      </c>
      <c r="AE484" s="71" t="s">
        <v>51</v>
      </c>
      <c r="AF484" s="72"/>
      <c r="AG484" s="73"/>
      <c r="AH484" s="79" t="s">
        <v>16</v>
      </c>
      <c r="AI484" s="102">
        <v>46251</v>
      </c>
      <c r="AJ484" s="70">
        <v>3</v>
      </c>
      <c r="AK484" s="103" t="s">
        <v>1976</v>
      </c>
      <c r="AL484" s="104">
        <f t="shared" si="155"/>
        <v>46343</v>
      </c>
      <c r="AM484" s="105">
        <f ca="1" t="shared" si="156"/>
        <v>30</v>
      </c>
      <c r="AN484" s="115"/>
      <c r="AO484" s="115"/>
      <c r="AP484" s="115"/>
      <c r="AQ484" s="93"/>
      <c r="AR484" s="93"/>
      <c r="AS484" s="94"/>
      <c r="AT484" s="95"/>
      <c r="AU484" s="79"/>
      <c r="AV484" s="117"/>
      <c r="AW484" s="115"/>
      <c r="AX484" s="106"/>
      <c r="AY484" s="104"/>
      <c r="AZ484" s="105"/>
    </row>
    <row r="485" customHeight="1" spans="1:52">
      <c r="A485" s="70">
        <v>484</v>
      </c>
      <c r="B485" s="70" t="s">
        <v>229</v>
      </c>
      <c r="C485" s="70" t="s">
        <v>13</v>
      </c>
      <c r="D485" s="71" t="s">
        <v>1977</v>
      </c>
      <c r="E485" s="71" t="s">
        <v>1126</v>
      </c>
      <c r="F485" s="72"/>
      <c r="G485" s="73"/>
      <c r="H485" s="74" t="s">
        <v>16</v>
      </c>
      <c r="I485" s="165">
        <v>46047</v>
      </c>
      <c r="J485" s="70">
        <v>3</v>
      </c>
      <c r="K485" s="106" t="s">
        <v>1978</v>
      </c>
      <c r="L485" s="104">
        <f t="shared" si="149"/>
        <v>46137</v>
      </c>
      <c r="M485" s="105">
        <f ca="1" t="shared" si="150"/>
        <v>-176</v>
      </c>
      <c r="N485" s="70"/>
      <c r="O485" s="70" t="s">
        <v>229</v>
      </c>
      <c r="P485" s="70" t="s">
        <v>13</v>
      </c>
      <c r="Q485" s="71" t="s">
        <v>1977</v>
      </c>
      <c r="R485" s="71" t="s">
        <v>1126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1979</v>
      </c>
      <c r="Y485" s="104">
        <f t="shared" si="157"/>
        <v>46259</v>
      </c>
      <c r="Z485" s="105">
        <f ca="1" t="shared" si="158"/>
        <v>-54</v>
      </c>
      <c r="AA485" s="70"/>
      <c r="AB485" s="70" t="s">
        <v>229</v>
      </c>
      <c r="AC485" s="70" t="s">
        <v>13</v>
      </c>
      <c r="AD485" s="71" t="s">
        <v>1977</v>
      </c>
      <c r="AE485" s="71" t="s">
        <v>1126</v>
      </c>
      <c r="AF485" s="72"/>
      <c r="AG485" s="73"/>
      <c r="AH485" s="74" t="s">
        <v>16</v>
      </c>
      <c r="AI485" s="102">
        <v>46259</v>
      </c>
      <c r="AJ485" s="70">
        <v>3</v>
      </c>
      <c r="AK485" s="103" t="s">
        <v>1980</v>
      </c>
      <c r="AL485" s="104">
        <f t="shared" si="155"/>
        <v>46351</v>
      </c>
      <c r="AM485" s="105">
        <f ca="1" t="shared" si="156"/>
        <v>38</v>
      </c>
      <c r="AN485" s="115"/>
      <c r="AO485" s="115"/>
      <c r="AP485" s="115"/>
      <c r="AQ485" s="93"/>
      <c r="AR485" s="93"/>
      <c r="AS485" s="94"/>
      <c r="AT485" s="95"/>
      <c r="AU485" s="79"/>
      <c r="AV485" s="117"/>
      <c r="AW485" s="115"/>
      <c r="AX485" s="106"/>
      <c r="AY485" s="104"/>
      <c r="AZ485" s="105"/>
    </row>
    <row r="486" customHeight="1" spans="1:52">
      <c r="A486" s="70">
        <v>485</v>
      </c>
      <c r="B486" s="70" t="s">
        <v>224</v>
      </c>
      <c r="C486" s="70" t="s">
        <v>38</v>
      </c>
      <c r="D486" s="71" t="s">
        <v>1981</v>
      </c>
      <c r="E486" s="71" t="s">
        <v>316</v>
      </c>
      <c r="F486" s="72"/>
      <c r="G486" s="73"/>
      <c r="H486" s="75"/>
      <c r="I486" s="165">
        <v>46047</v>
      </c>
      <c r="J486" s="70">
        <v>3</v>
      </c>
      <c r="K486" s="106" t="s">
        <v>1982</v>
      </c>
      <c r="L486" s="104">
        <f t="shared" si="149"/>
        <v>46137</v>
      </c>
      <c r="M486" s="105">
        <f ca="1" t="shared" si="150"/>
        <v>-176</v>
      </c>
      <c r="N486" s="70"/>
      <c r="O486" s="70" t="s">
        <v>224</v>
      </c>
      <c r="P486" s="70" t="s">
        <v>38</v>
      </c>
      <c r="Q486" s="71" t="s">
        <v>1981</v>
      </c>
      <c r="R486" s="71" t="s">
        <v>316</v>
      </c>
      <c r="S486" s="72"/>
      <c r="T486" s="73"/>
      <c r="U486" s="75"/>
      <c r="V486" s="102">
        <v>46168</v>
      </c>
      <c r="W486" s="70">
        <v>3</v>
      </c>
      <c r="X486" s="103" t="s">
        <v>1983</v>
      </c>
      <c r="Y486" s="104">
        <f t="shared" si="157"/>
        <v>46260</v>
      </c>
      <c r="Z486" s="105">
        <f ca="1" t="shared" si="158"/>
        <v>-53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55"/>
        <v>0</v>
      </c>
      <c r="AM486" s="105">
        <f ca="1" t="shared" si="156"/>
        <v>-46313</v>
      </c>
      <c r="AN486" s="115"/>
      <c r="AO486" s="115"/>
      <c r="AP486" s="115"/>
      <c r="AQ486" s="93"/>
      <c r="AR486" s="93"/>
      <c r="AS486" s="94"/>
      <c r="AT486" s="95"/>
      <c r="AU486" s="79"/>
      <c r="AV486" s="117"/>
      <c r="AW486" s="115"/>
      <c r="AX486" s="106"/>
      <c r="AY486" s="104"/>
      <c r="AZ486" s="105"/>
    </row>
    <row r="487" customHeight="1" spans="1:52">
      <c r="A487" s="70">
        <v>486</v>
      </c>
      <c r="B487" s="70" t="s">
        <v>224</v>
      </c>
      <c r="C487" s="70" t="s">
        <v>38</v>
      </c>
      <c r="D487" s="71" t="s">
        <v>1984</v>
      </c>
      <c r="E487" s="71" t="s">
        <v>316</v>
      </c>
      <c r="F487" s="72"/>
      <c r="G487" s="73"/>
      <c r="H487" s="75"/>
      <c r="I487" s="165">
        <v>46047</v>
      </c>
      <c r="J487" s="70">
        <v>3</v>
      </c>
      <c r="K487" s="106" t="s">
        <v>1985</v>
      </c>
      <c r="L487" s="104">
        <f t="shared" si="149"/>
        <v>46137</v>
      </c>
      <c r="M487" s="105">
        <f ca="1" t="shared" si="150"/>
        <v>-176</v>
      </c>
      <c r="N487" s="70"/>
      <c r="O487" s="70" t="s">
        <v>224</v>
      </c>
      <c r="P487" s="70" t="s">
        <v>38</v>
      </c>
      <c r="Q487" s="71" t="s">
        <v>1984</v>
      </c>
      <c r="R487" s="71" t="s">
        <v>316</v>
      </c>
      <c r="S487" s="72"/>
      <c r="T487" s="73"/>
      <c r="U487" s="75"/>
      <c r="V487" s="102">
        <v>46149</v>
      </c>
      <c r="W487" s="70">
        <v>3</v>
      </c>
      <c r="X487" s="103" t="s">
        <v>1986</v>
      </c>
      <c r="Y487" s="104">
        <f t="shared" si="157"/>
        <v>46241</v>
      </c>
      <c r="Z487" s="105">
        <f ca="1" t="shared" si="158"/>
        <v>-72</v>
      </c>
      <c r="AA487" s="70"/>
      <c r="AB487" s="70" t="s">
        <v>224</v>
      </c>
      <c r="AC487" s="70" t="s">
        <v>38</v>
      </c>
      <c r="AD487" s="71" t="s">
        <v>1984</v>
      </c>
      <c r="AE487" s="71" t="s">
        <v>316</v>
      </c>
      <c r="AF487" s="72"/>
      <c r="AG487" s="73"/>
      <c r="AH487" s="75"/>
      <c r="AI487" s="102">
        <v>46306</v>
      </c>
      <c r="AJ487" s="70">
        <v>3</v>
      </c>
      <c r="AK487" s="103"/>
      <c r="AL487" s="104">
        <f t="shared" ref="AL487:AL498" si="159">EDATE(AI487,AJ487)</f>
        <v>46398</v>
      </c>
      <c r="AM487" s="105">
        <f ca="1" t="shared" ref="AM487:AM498" si="160">AL487-TODAY()</f>
        <v>85</v>
      </c>
      <c r="AN487" s="115"/>
      <c r="AO487" s="70"/>
      <c r="AP487" s="70"/>
      <c r="AQ487" s="71"/>
      <c r="AR487" s="71"/>
      <c r="AS487" s="72"/>
      <c r="AT487" s="73"/>
      <c r="AU487" s="74"/>
      <c r="AV487" s="117"/>
      <c r="AW487" s="115"/>
      <c r="AX487" s="106"/>
      <c r="AY487" s="104"/>
      <c r="AZ487" s="105"/>
    </row>
    <row r="488" customHeight="1" spans="1:52">
      <c r="A488" s="70">
        <v>487</v>
      </c>
      <c r="B488" s="70" t="s">
        <v>224</v>
      </c>
      <c r="C488" s="70" t="s">
        <v>38</v>
      </c>
      <c r="D488" s="71" t="s">
        <v>1987</v>
      </c>
      <c r="E488" s="71" t="s">
        <v>316</v>
      </c>
      <c r="F488" s="72"/>
      <c r="G488" s="73"/>
      <c r="H488" s="75"/>
      <c r="I488" s="165">
        <v>46047</v>
      </c>
      <c r="J488" s="70">
        <v>3</v>
      </c>
      <c r="K488" s="106" t="s">
        <v>1988</v>
      </c>
      <c r="L488" s="104">
        <f t="shared" si="149"/>
        <v>46137</v>
      </c>
      <c r="M488" s="105">
        <f ca="1" t="shared" si="150"/>
        <v>-176</v>
      </c>
      <c r="N488" s="70"/>
      <c r="O488" s="70" t="s">
        <v>224</v>
      </c>
      <c r="P488" s="70" t="s">
        <v>38</v>
      </c>
      <c r="Q488" s="71" t="s">
        <v>1987</v>
      </c>
      <c r="R488" s="71" t="s">
        <v>316</v>
      </c>
      <c r="S488" s="72"/>
      <c r="T488" s="73"/>
      <c r="U488" s="75"/>
      <c r="V488" s="102">
        <v>46137</v>
      </c>
      <c r="W488" s="70">
        <v>3</v>
      </c>
      <c r="X488" s="103" t="s">
        <v>1989</v>
      </c>
      <c r="Y488" s="104">
        <f t="shared" si="157"/>
        <v>46228</v>
      </c>
      <c r="Z488" s="105">
        <f ca="1" t="shared" si="158"/>
        <v>-85</v>
      </c>
      <c r="AA488" s="70"/>
      <c r="AB488" s="70" t="s">
        <v>224</v>
      </c>
      <c r="AC488" s="70" t="s">
        <v>38</v>
      </c>
      <c r="AD488" s="71" t="s">
        <v>1987</v>
      </c>
      <c r="AE488" s="71" t="s">
        <v>316</v>
      </c>
      <c r="AF488" s="72"/>
      <c r="AG488" s="73"/>
      <c r="AH488" s="75"/>
      <c r="AI488" s="102">
        <v>46254</v>
      </c>
      <c r="AJ488" s="70">
        <v>3</v>
      </c>
      <c r="AK488" s="103" t="s">
        <v>1990</v>
      </c>
      <c r="AL488" s="104">
        <f t="shared" si="159"/>
        <v>46346</v>
      </c>
      <c r="AM488" s="105">
        <f ca="1" t="shared" si="160"/>
        <v>33</v>
      </c>
      <c r="AN488" s="115"/>
      <c r="AO488" s="115"/>
      <c r="AP488" s="115"/>
      <c r="AQ488" s="93"/>
      <c r="AR488" s="93"/>
      <c r="AS488" s="94"/>
      <c r="AT488" s="95"/>
      <c r="AU488" s="79"/>
      <c r="AV488" s="117"/>
      <c r="AW488" s="115"/>
      <c r="AX488" s="106"/>
      <c r="AY488" s="104"/>
      <c r="AZ488" s="105"/>
    </row>
    <row r="489" customHeight="1" spans="1:52">
      <c r="A489" s="70">
        <v>488</v>
      </c>
      <c r="B489" s="70" t="s">
        <v>1393</v>
      </c>
      <c r="C489" s="70" t="s">
        <v>38</v>
      </c>
      <c r="D489" s="71" t="s">
        <v>1991</v>
      </c>
      <c r="E489" s="71" t="s">
        <v>1992</v>
      </c>
      <c r="F489" s="72"/>
      <c r="G489" s="73"/>
      <c r="H489" s="75"/>
      <c r="I489" s="165">
        <v>46047</v>
      </c>
      <c r="J489" s="70">
        <v>3</v>
      </c>
      <c r="K489" s="106" t="s">
        <v>1993</v>
      </c>
      <c r="L489" s="104">
        <f t="shared" si="149"/>
        <v>46137</v>
      </c>
      <c r="M489" s="105">
        <f ca="1" t="shared" si="150"/>
        <v>-176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57"/>
        <v>0</v>
      </c>
      <c r="Z489" s="105">
        <f ca="1" t="shared" si="158"/>
        <v>-46313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59"/>
        <v>0</v>
      </c>
      <c r="AM489" s="105">
        <f ca="1" t="shared" si="160"/>
        <v>-46313</v>
      </c>
      <c r="AN489" s="115"/>
      <c r="AO489" s="70"/>
      <c r="AP489" s="70"/>
      <c r="AQ489" s="71"/>
      <c r="AR489" s="71"/>
      <c r="AS489" s="72"/>
      <c r="AT489" s="73"/>
      <c r="AU489" s="75"/>
      <c r="AV489" s="117"/>
      <c r="AW489" s="115"/>
      <c r="AX489" s="106"/>
      <c r="AY489" s="104"/>
      <c r="AZ489" s="105"/>
    </row>
    <row r="490" customHeight="1" spans="1:52">
      <c r="A490" s="70">
        <v>489</v>
      </c>
      <c r="B490" s="70" t="s">
        <v>1393</v>
      </c>
      <c r="C490" s="70" t="s">
        <v>38</v>
      </c>
      <c r="D490" s="71" t="s">
        <v>1994</v>
      </c>
      <c r="E490" s="71" t="s">
        <v>1618</v>
      </c>
      <c r="F490" s="72"/>
      <c r="G490" s="73"/>
      <c r="H490" s="75"/>
      <c r="I490" s="165">
        <v>46047</v>
      </c>
      <c r="J490" s="70">
        <v>3</v>
      </c>
      <c r="K490" s="106" t="s">
        <v>1995</v>
      </c>
      <c r="L490" s="104">
        <f t="shared" si="149"/>
        <v>46137</v>
      </c>
      <c r="M490" s="105">
        <f ca="1" t="shared" si="150"/>
        <v>-176</v>
      </c>
      <c r="N490" s="70"/>
      <c r="O490" s="70" t="s">
        <v>1393</v>
      </c>
      <c r="P490" s="70" t="s">
        <v>38</v>
      </c>
      <c r="Q490" s="71" t="s">
        <v>1994</v>
      </c>
      <c r="R490" s="71" t="s">
        <v>1618</v>
      </c>
      <c r="S490" s="72"/>
      <c r="T490" s="73"/>
      <c r="U490" s="75"/>
      <c r="V490" s="102">
        <v>46150</v>
      </c>
      <c r="W490" s="70">
        <v>3</v>
      </c>
      <c r="X490" s="103" t="s">
        <v>1996</v>
      </c>
      <c r="Y490" s="104">
        <f t="shared" si="157"/>
        <v>46242</v>
      </c>
      <c r="Z490" s="105">
        <f ca="1" t="shared" si="158"/>
        <v>-71</v>
      </c>
      <c r="AA490" s="70"/>
      <c r="AB490" s="70" t="s">
        <v>1393</v>
      </c>
      <c r="AC490" s="70" t="s">
        <v>38</v>
      </c>
      <c r="AD490" s="71" t="s">
        <v>1994</v>
      </c>
      <c r="AE490" s="71" t="s">
        <v>1618</v>
      </c>
      <c r="AF490" s="72"/>
      <c r="AG490" s="73"/>
      <c r="AH490" s="75"/>
      <c r="AI490" s="102">
        <v>46244</v>
      </c>
      <c r="AJ490" s="70">
        <v>3</v>
      </c>
      <c r="AK490" s="103" t="s">
        <v>1997</v>
      </c>
      <c r="AL490" s="104">
        <f t="shared" si="159"/>
        <v>46336</v>
      </c>
      <c r="AM490" s="105">
        <f ca="1" t="shared" si="160"/>
        <v>23</v>
      </c>
      <c r="AN490" s="115"/>
      <c r="AO490" s="70"/>
      <c r="AP490" s="70"/>
      <c r="AQ490" s="71"/>
      <c r="AR490" s="71"/>
      <c r="AS490" s="72"/>
      <c r="AT490" s="73"/>
      <c r="AU490" s="75"/>
      <c r="AV490" s="117"/>
      <c r="AW490" s="115"/>
      <c r="AX490" s="106"/>
      <c r="AY490" s="104"/>
      <c r="AZ490" s="105"/>
    </row>
    <row r="491" customHeight="1" spans="1:52">
      <c r="A491" s="70">
        <v>490</v>
      </c>
      <c r="B491" s="70" t="s">
        <v>570</v>
      </c>
      <c r="C491" s="70" t="s">
        <v>38</v>
      </c>
      <c r="D491" s="71" t="s">
        <v>1998</v>
      </c>
      <c r="E491" s="71" t="s">
        <v>189</v>
      </c>
      <c r="F491" s="72"/>
      <c r="G491" s="73"/>
      <c r="H491" s="79" t="s">
        <v>16</v>
      </c>
      <c r="I491" s="165">
        <v>46047</v>
      </c>
      <c r="J491" s="70">
        <v>3</v>
      </c>
      <c r="K491" s="106" t="s">
        <v>1999</v>
      </c>
      <c r="L491" s="104">
        <f t="shared" si="149"/>
        <v>46137</v>
      </c>
      <c r="M491" s="105">
        <f ca="1" t="shared" si="150"/>
        <v>-176</v>
      </c>
      <c r="N491" s="70"/>
      <c r="O491" s="70" t="s">
        <v>570</v>
      </c>
      <c r="P491" s="70" t="s">
        <v>38</v>
      </c>
      <c r="Q491" s="71" t="s">
        <v>1998</v>
      </c>
      <c r="R491" s="71" t="s">
        <v>189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2000</v>
      </c>
      <c r="Y491" s="104">
        <f t="shared" si="157"/>
        <v>46224</v>
      </c>
      <c r="Z491" s="105">
        <f ca="1" t="shared" si="158"/>
        <v>-89</v>
      </c>
      <c r="AA491" s="70"/>
      <c r="AB491" s="70" t="s">
        <v>570</v>
      </c>
      <c r="AC491" s="70" t="s">
        <v>38</v>
      </c>
      <c r="AD491" s="71" t="s">
        <v>1998</v>
      </c>
      <c r="AE491" s="71" t="s">
        <v>189</v>
      </c>
      <c r="AF491" s="72"/>
      <c r="AG491" s="73"/>
      <c r="AH491" s="79" t="s">
        <v>16</v>
      </c>
      <c r="AI491" s="102">
        <v>46258</v>
      </c>
      <c r="AJ491" s="70">
        <v>3</v>
      </c>
      <c r="AK491" s="103" t="s">
        <v>2001</v>
      </c>
      <c r="AL491" s="104">
        <f t="shared" si="159"/>
        <v>46350</v>
      </c>
      <c r="AM491" s="105">
        <f ca="1" t="shared" si="160"/>
        <v>37</v>
      </c>
      <c r="AN491" s="115"/>
      <c r="AO491" s="115"/>
      <c r="AP491" s="115"/>
      <c r="AQ491" s="93"/>
      <c r="AR491" s="93"/>
      <c r="AS491" s="94"/>
      <c r="AT491" s="95"/>
      <c r="AU491" s="79"/>
      <c r="AV491" s="117"/>
      <c r="AW491" s="115"/>
      <c r="AX491" s="106"/>
      <c r="AY491" s="104"/>
      <c r="AZ491" s="105"/>
    </row>
    <row r="492" customHeight="1" spans="1:52">
      <c r="A492" s="70">
        <v>491</v>
      </c>
      <c r="B492" s="70" t="s">
        <v>482</v>
      </c>
      <c r="C492" s="70" t="s">
        <v>13</v>
      </c>
      <c r="D492" s="70" t="s">
        <v>2002</v>
      </c>
      <c r="E492" s="71" t="s">
        <v>388</v>
      </c>
      <c r="F492" s="72"/>
      <c r="G492" s="73"/>
      <c r="H492" s="79" t="s">
        <v>16</v>
      </c>
      <c r="I492" s="165">
        <v>46047</v>
      </c>
      <c r="J492" s="70">
        <v>3</v>
      </c>
      <c r="K492" s="106" t="s">
        <v>2003</v>
      </c>
      <c r="L492" s="104">
        <f t="shared" si="149"/>
        <v>46137</v>
      </c>
      <c r="M492" s="105">
        <f ca="1" t="shared" si="150"/>
        <v>-176</v>
      </c>
      <c r="N492" s="70"/>
      <c r="O492" s="70" t="s">
        <v>482</v>
      </c>
      <c r="P492" s="70" t="s">
        <v>13</v>
      </c>
      <c r="Q492" s="70" t="s">
        <v>2002</v>
      </c>
      <c r="R492" s="71" t="s">
        <v>388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2004</v>
      </c>
      <c r="Y492" s="104">
        <f t="shared" si="157"/>
        <v>46229</v>
      </c>
      <c r="Z492" s="105">
        <f ca="1" t="shared" si="158"/>
        <v>-84</v>
      </c>
      <c r="AA492" s="70"/>
      <c r="AB492" s="70" t="s">
        <v>482</v>
      </c>
      <c r="AC492" s="70" t="s">
        <v>13</v>
      </c>
      <c r="AD492" s="70" t="s">
        <v>2002</v>
      </c>
      <c r="AE492" s="71" t="s">
        <v>388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2005</v>
      </c>
      <c r="AL492" s="104">
        <f t="shared" si="159"/>
        <v>46317</v>
      </c>
      <c r="AM492" s="105">
        <f ca="1" t="shared" si="160"/>
        <v>4</v>
      </c>
      <c r="AN492" s="115"/>
      <c r="AO492" s="115"/>
      <c r="AP492" s="115"/>
      <c r="AQ492" s="115"/>
      <c r="AR492" s="93"/>
      <c r="AS492" s="94"/>
      <c r="AT492" s="95"/>
      <c r="AU492" s="79"/>
      <c r="AV492" s="117"/>
      <c r="AW492" s="115"/>
      <c r="AX492" s="106"/>
      <c r="AY492" s="104"/>
      <c r="AZ492" s="105"/>
    </row>
    <row r="493" customHeight="1" spans="1:52">
      <c r="A493" s="70">
        <v>492</v>
      </c>
      <c r="B493" s="70" t="s">
        <v>482</v>
      </c>
      <c r="C493" s="70" t="s">
        <v>13</v>
      </c>
      <c r="D493" s="71" t="s">
        <v>2006</v>
      </c>
      <c r="E493" s="71" t="s">
        <v>34</v>
      </c>
      <c r="F493" s="72"/>
      <c r="G493" s="73"/>
      <c r="H493" s="75" t="s">
        <v>434</v>
      </c>
      <c r="I493" s="165">
        <v>46047</v>
      </c>
      <c r="J493" s="70">
        <v>3</v>
      </c>
      <c r="K493" s="106" t="s">
        <v>2007</v>
      </c>
      <c r="L493" s="104">
        <f t="shared" si="149"/>
        <v>46137</v>
      </c>
      <c r="M493" s="105">
        <f ca="1" t="shared" si="150"/>
        <v>-176</v>
      </c>
      <c r="N493" s="70"/>
      <c r="O493" s="70" t="s">
        <v>482</v>
      </c>
      <c r="P493" s="70" t="s">
        <v>13</v>
      </c>
      <c r="Q493" s="71" t="s">
        <v>2006</v>
      </c>
      <c r="R493" s="71" t="s">
        <v>34</v>
      </c>
      <c r="S493" s="72"/>
      <c r="T493" s="73"/>
      <c r="U493" s="75" t="s">
        <v>434</v>
      </c>
      <c r="V493" s="102">
        <v>46138</v>
      </c>
      <c r="W493" s="70">
        <v>3</v>
      </c>
      <c r="X493" s="103" t="s">
        <v>2008</v>
      </c>
      <c r="Y493" s="104">
        <f t="shared" si="157"/>
        <v>46229</v>
      </c>
      <c r="Z493" s="105">
        <f ca="1" t="shared" si="158"/>
        <v>-84</v>
      </c>
      <c r="AA493" s="70"/>
      <c r="AB493" s="70" t="s">
        <v>482</v>
      </c>
      <c r="AC493" s="70" t="s">
        <v>13</v>
      </c>
      <c r="AD493" s="71" t="s">
        <v>2006</v>
      </c>
      <c r="AE493" s="71" t="s">
        <v>34</v>
      </c>
      <c r="AF493" s="72"/>
      <c r="AG493" s="73"/>
      <c r="AH493" s="75" t="s">
        <v>434</v>
      </c>
      <c r="AI493" s="102">
        <v>46232</v>
      </c>
      <c r="AJ493" s="70">
        <v>3</v>
      </c>
      <c r="AK493" s="103" t="s">
        <v>2009</v>
      </c>
      <c r="AL493" s="104">
        <f t="shared" si="159"/>
        <v>46324</v>
      </c>
      <c r="AM493" s="105">
        <f ca="1" t="shared" si="160"/>
        <v>11</v>
      </c>
      <c r="AN493" s="115"/>
      <c r="AO493" s="115"/>
      <c r="AP493" s="115"/>
      <c r="AQ493" s="93"/>
      <c r="AR493" s="93"/>
      <c r="AS493" s="94"/>
      <c r="AT493" s="95"/>
      <c r="AU493" s="79"/>
      <c r="AV493" s="117"/>
      <c r="AW493" s="115"/>
      <c r="AX493" s="106"/>
      <c r="AY493" s="104"/>
      <c r="AZ493" s="105"/>
    </row>
    <row r="494" customHeight="1" spans="1:52">
      <c r="A494" s="70">
        <v>493</v>
      </c>
      <c r="B494" s="70" t="s">
        <v>164</v>
      </c>
      <c r="C494" s="70" t="s">
        <v>38</v>
      </c>
      <c r="D494" s="71" t="s">
        <v>2010</v>
      </c>
      <c r="E494" s="71" t="s">
        <v>189</v>
      </c>
      <c r="F494" s="72"/>
      <c r="G494" s="73"/>
      <c r="H494" s="75"/>
      <c r="I494" s="165">
        <v>46047</v>
      </c>
      <c r="J494" s="70">
        <v>3</v>
      </c>
      <c r="K494" s="106" t="s">
        <v>2011</v>
      </c>
      <c r="L494" s="104">
        <f t="shared" si="149"/>
        <v>46137</v>
      </c>
      <c r="M494" s="105">
        <f ca="1" t="shared" si="150"/>
        <v>-176</v>
      </c>
      <c r="N494" s="70"/>
      <c r="O494" s="70" t="s">
        <v>164</v>
      </c>
      <c r="P494" s="70" t="s">
        <v>38</v>
      </c>
      <c r="Q494" s="71" t="s">
        <v>2010</v>
      </c>
      <c r="R494" s="71" t="s">
        <v>189</v>
      </c>
      <c r="S494" s="72"/>
      <c r="T494" s="73"/>
      <c r="U494" s="75"/>
      <c r="V494" s="102">
        <v>46137</v>
      </c>
      <c r="W494" s="70">
        <v>3</v>
      </c>
      <c r="X494" s="103" t="s">
        <v>2012</v>
      </c>
      <c r="Y494" s="104">
        <f t="shared" si="157"/>
        <v>46228</v>
      </c>
      <c r="Z494" s="105">
        <f ca="1" t="shared" si="158"/>
        <v>-85</v>
      </c>
      <c r="AA494" s="70"/>
      <c r="AB494" s="70" t="s">
        <v>164</v>
      </c>
      <c r="AC494" s="70" t="s">
        <v>38</v>
      </c>
      <c r="AD494" s="71" t="s">
        <v>2010</v>
      </c>
      <c r="AE494" s="71" t="s">
        <v>189</v>
      </c>
      <c r="AF494" s="72"/>
      <c r="AG494" s="73"/>
      <c r="AH494" s="75"/>
      <c r="AI494" s="102">
        <v>46236</v>
      </c>
      <c r="AJ494" s="70">
        <v>3</v>
      </c>
      <c r="AK494" s="103" t="s">
        <v>2013</v>
      </c>
      <c r="AL494" s="104">
        <f t="shared" si="159"/>
        <v>46328</v>
      </c>
      <c r="AM494" s="105">
        <f ca="1" t="shared" si="160"/>
        <v>15</v>
      </c>
      <c r="AN494" s="115"/>
      <c r="AO494" s="70"/>
      <c r="AP494" s="70"/>
      <c r="AQ494" s="71"/>
      <c r="AR494" s="71"/>
      <c r="AS494" s="72"/>
      <c r="AT494" s="73"/>
      <c r="AU494" s="74"/>
      <c r="AV494" s="117"/>
      <c r="AW494" s="115"/>
      <c r="AX494" s="106"/>
      <c r="AY494" s="104"/>
      <c r="AZ494" s="105"/>
    </row>
    <row r="495" customHeight="1" spans="1:52">
      <c r="A495" s="70">
        <v>494</v>
      </c>
      <c r="B495" s="70" t="s">
        <v>164</v>
      </c>
      <c r="C495" s="70" t="s">
        <v>38</v>
      </c>
      <c r="D495" s="71" t="s">
        <v>2014</v>
      </c>
      <c r="E495" s="71" t="s">
        <v>189</v>
      </c>
      <c r="F495" s="72"/>
      <c r="G495" s="73"/>
      <c r="H495" s="75"/>
      <c r="I495" s="165">
        <v>46047</v>
      </c>
      <c r="J495" s="70">
        <v>3</v>
      </c>
      <c r="K495" s="106" t="s">
        <v>2015</v>
      </c>
      <c r="L495" s="104">
        <f t="shared" si="149"/>
        <v>46137</v>
      </c>
      <c r="M495" s="105">
        <f ca="1" t="shared" si="150"/>
        <v>-176</v>
      </c>
      <c r="N495" s="70"/>
      <c r="O495" s="70" t="s">
        <v>164</v>
      </c>
      <c r="P495" s="70" t="s">
        <v>38</v>
      </c>
      <c r="Q495" s="71" t="s">
        <v>2014</v>
      </c>
      <c r="R495" s="71" t="s">
        <v>189</v>
      </c>
      <c r="S495" s="72"/>
      <c r="T495" s="73"/>
      <c r="U495" s="75"/>
      <c r="V495" s="102">
        <v>46150</v>
      </c>
      <c r="W495" s="70">
        <v>3</v>
      </c>
      <c r="X495" s="103" t="s">
        <v>2016</v>
      </c>
      <c r="Y495" s="104">
        <f t="shared" ref="Y495:Y511" si="161">EDATE(V495,W495)</f>
        <v>46242</v>
      </c>
      <c r="Z495" s="105">
        <f ca="1" t="shared" ref="Z495:Z511" si="162">Y495-TODAY()</f>
        <v>-71</v>
      </c>
      <c r="AA495" s="70"/>
      <c r="AB495" s="70" t="s">
        <v>164</v>
      </c>
      <c r="AC495" s="70" t="s">
        <v>38</v>
      </c>
      <c r="AD495" s="71" t="s">
        <v>2014</v>
      </c>
      <c r="AE495" s="71" t="s">
        <v>189</v>
      </c>
      <c r="AF495" s="72"/>
      <c r="AG495" s="73"/>
      <c r="AH495" s="75"/>
      <c r="AI495" s="102">
        <v>46253</v>
      </c>
      <c r="AJ495" s="70">
        <v>3</v>
      </c>
      <c r="AK495" s="103" t="s">
        <v>2017</v>
      </c>
      <c r="AL495" s="104">
        <f t="shared" si="159"/>
        <v>46345</v>
      </c>
      <c r="AM495" s="105">
        <f ca="1" t="shared" si="160"/>
        <v>32</v>
      </c>
      <c r="AN495" s="115"/>
      <c r="AO495" s="115"/>
      <c r="AP495" s="115"/>
      <c r="AQ495" s="93"/>
      <c r="AR495" s="93"/>
      <c r="AS495" s="94"/>
      <c r="AT495" s="95"/>
      <c r="AU495" s="79"/>
      <c r="AV495" s="117"/>
      <c r="AW495" s="115"/>
      <c r="AX495" s="106"/>
      <c r="AY495" s="104"/>
      <c r="AZ495" s="105"/>
    </row>
    <row r="496" customHeight="1" spans="1:52">
      <c r="A496" s="70">
        <v>495</v>
      </c>
      <c r="B496" s="70" t="s">
        <v>164</v>
      </c>
      <c r="C496" s="70" t="s">
        <v>13</v>
      </c>
      <c r="D496" s="71" t="s">
        <v>2018</v>
      </c>
      <c r="E496" s="71" t="s">
        <v>45</v>
      </c>
      <c r="F496" s="72"/>
      <c r="G496" s="73"/>
      <c r="H496" s="75"/>
      <c r="I496" s="165">
        <v>46047</v>
      </c>
      <c r="J496" s="70">
        <v>3</v>
      </c>
      <c r="K496" s="106" t="s">
        <v>2019</v>
      </c>
      <c r="L496" s="104">
        <f t="shared" si="149"/>
        <v>46137</v>
      </c>
      <c r="M496" s="105">
        <f ca="1" t="shared" si="150"/>
        <v>-176</v>
      </c>
      <c r="N496" s="70"/>
      <c r="O496" s="70" t="s">
        <v>164</v>
      </c>
      <c r="P496" s="70" t="s">
        <v>13</v>
      </c>
      <c r="Q496" s="71" t="s">
        <v>2018</v>
      </c>
      <c r="R496" s="71" t="s">
        <v>45</v>
      </c>
      <c r="S496" s="72"/>
      <c r="T496" s="73"/>
      <c r="U496" s="75"/>
      <c r="V496" s="102">
        <v>46136</v>
      </c>
      <c r="W496" s="70">
        <v>3</v>
      </c>
      <c r="X496" s="103" t="s">
        <v>2020</v>
      </c>
      <c r="Y496" s="104">
        <f t="shared" si="161"/>
        <v>46227</v>
      </c>
      <c r="Z496" s="105">
        <f ca="1" t="shared" si="162"/>
        <v>-86</v>
      </c>
      <c r="AA496" s="70"/>
      <c r="AB496" s="70" t="s">
        <v>164</v>
      </c>
      <c r="AC496" s="70" t="s">
        <v>13</v>
      </c>
      <c r="AD496" s="71" t="s">
        <v>2018</v>
      </c>
      <c r="AE496" s="71" t="s">
        <v>45</v>
      </c>
      <c r="AF496" s="72"/>
      <c r="AG496" s="73"/>
      <c r="AH496" s="75"/>
      <c r="AI496" s="102">
        <v>46236</v>
      </c>
      <c r="AJ496" s="70">
        <v>3</v>
      </c>
      <c r="AK496" s="103" t="s">
        <v>2021</v>
      </c>
      <c r="AL496" s="104">
        <f t="shared" si="159"/>
        <v>46328</v>
      </c>
      <c r="AM496" s="105">
        <f ca="1" t="shared" si="160"/>
        <v>15</v>
      </c>
      <c r="AN496" s="115"/>
      <c r="AO496" s="115"/>
      <c r="AP496" s="115"/>
      <c r="AQ496" s="93"/>
      <c r="AR496" s="93"/>
      <c r="AS496" s="94"/>
      <c r="AT496" s="95"/>
      <c r="AU496" s="79"/>
      <c r="AV496" s="117"/>
      <c r="AW496" s="115"/>
      <c r="AX496" s="106"/>
      <c r="AY496" s="104"/>
      <c r="AZ496" s="105"/>
    </row>
    <row r="497" customHeight="1" spans="1:52">
      <c r="A497" s="70">
        <v>496</v>
      </c>
      <c r="B497" s="70" t="s">
        <v>164</v>
      </c>
      <c r="C497" s="70" t="s">
        <v>13</v>
      </c>
      <c r="D497" s="71" t="s">
        <v>2022</v>
      </c>
      <c r="E497" s="71" t="s">
        <v>45</v>
      </c>
      <c r="F497" s="72"/>
      <c r="G497" s="73"/>
      <c r="H497" s="75"/>
      <c r="I497" s="165">
        <v>46047</v>
      </c>
      <c r="J497" s="70">
        <v>3</v>
      </c>
      <c r="K497" s="106" t="s">
        <v>2023</v>
      </c>
      <c r="L497" s="104">
        <f t="shared" si="149"/>
        <v>46137</v>
      </c>
      <c r="M497" s="105">
        <f ca="1" t="shared" si="150"/>
        <v>-176</v>
      </c>
      <c r="N497" s="70"/>
      <c r="O497" s="70" t="s">
        <v>164</v>
      </c>
      <c r="P497" s="70" t="s">
        <v>13</v>
      </c>
      <c r="Q497" s="71" t="s">
        <v>2022</v>
      </c>
      <c r="R497" s="71" t="s">
        <v>45</v>
      </c>
      <c r="S497" s="72"/>
      <c r="T497" s="73"/>
      <c r="U497" s="75"/>
      <c r="V497" s="102">
        <v>46186</v>
      </c>
      <c r="W497" s="70">
        <v>3</v>
      </c>
      <c r="X497" s="103" t="s">
        <v>2024</v>
      </c>
      <c r="Y497" s="104">
        <f t="shared" si="161"/>
        <v>46278</v>
      </c>
      <c r="Z497" s="105">
        <f ca="1" t="shared" si="162"/>
        <v>-35</v>
      </c>
      <c r="AA497" s="70"/>
      <c r="AB497" s="70"/>
      <c r="AC497" s="70"/>
      <c r="AD497" s="71"/>
      <c r="AE497" s="71"/>
      <c r="AF497" s="72"/>
      <c r="AG497" s="73"/>
      <c r="AH497" s="119"/>
      <c r="AI497" s="102"/>
      <c r="AJ497" s="70"/>
      <c r="AK497" s="103"/>
      <c r="AL497" s="104">
        <f t="shared" si="159"/>
        <v>0</v>
      </c>
      <c r="AM497" s="105">
        <f ca="1" t="shared" si="160"/>
        <v>-46313</v>
      </c>
      <c r="AN497" s="115"/>
      <c r="AO497" s="115"/>
      <c r="AP497" s="115"/>
      <c r="AQ497" s="93"/>
      <c r="AR497" s="93"/>
      <c r="AS497" s="94"/>
      <c r="AT497" s="95"/>
      <c r="AU497" s="119"/>
      <c r="AV497" s="117"/>
      <c r="AW497" s="115"/>
      <c r="AX497" s="106"/>
      <c r="AY497" s="104"/>
      <c r="AZ497" s="105"/>
    </row>
    <row r="498" customHeight="1" spans="1:52">
      <c r="A498" s="70">
        <v>497</v>
      </c>
      <c r="B498" s="70" t="s">
        <v>143</v>
      </c>
      <c r="C498" s="70" t="s">
        <v>13</v>
      </c>
      <c r="D498" s="71" t="s">
        <v>2025</v>
      </c>
      <c r="E498" s="71" t="s">
        <v>126</v>
      </c>
      <c r="F498" s="72"/>
      <c r="G498" s="73"/>
      <c r="H498" s="74" t="s">
        <v>16</v>
      </c>
      <c r="I498" s="165">
        <v>46047</v>
      </c>
      <c r="J498" s="70">
        <v>3</v>
      </c>
      <c r="K498" s="106" t="s">
        <v>2026</v>
      </c>
      <c r="L498" s="104">
        <f t="shared" si="149"/>
        <v>46137</v>
      </c>
      <c r="M498" s="105">
        <f ca="1" t="shared" si="150"/>
        <v>-176</v>
      </c>
      <c r="N498" s="70"/>
      <c r="O498" s="70" t="s">
        <v>143</v>
      </c>
      <c r="P498" s="70" t="s">
        <v>13</v>
      </c>
      <c r="Q498" s="71" t="s">
        <v>2025</v>
      </c>
      <c r="R498" s="71" t="s">
        <v>126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2027</v>
      </c>
      <c r="Y498" s="104">
        <f t="shared" si="161"/>
        <v>46248</v>
      </c>
      <c r="Z498" s="105">
        <f ca="1" t="shared" si="162"/>
        <v>-65</v>
      </c>
      <c r="AA498" s="70"/>
      <c r="AB498" s="70"/>
      <c r="AC498" s="70"/>
      <c r="AD498" s="71"/>
      <c r="AE498" s="71"/>
      <c r="AF498" s="72"/>
      <c r="AG498" s="73"/>
      <c r="AH498" s="119"/>
      <c r="AI498" s="102"/>
      <c r="AJ498" s="70"/>
      <c r="AK498" s="103"/>
      <c r="AL498" s="104">
        <f t="shared" si="159"/>
        <v>0</v>
      </c>
      <c r="AM498" s="105">
        <f ca="1" t="shared" si="160"/>
        <v>-46313</v>
      </c>
      <c r="AN498" s="115"/>
      <c r="AO498" s="115"/>
      <c r="AP498" s="115"/>
      <c r="AQ498" s="93"/>
      <c r="AR498" s="93"/>
      <c r="AS498" s="94"/>
      <c r="AT498" s="95"/>
      <c r="AU498" s="119"/>
      <c r="AV498" s="117"/>
      <c r="AW498" s="115"/>
      <c r="AX498" s="106"/>
      <c r="AY498" s="104"/>
      <c r="AZ498" s="105"/>
    </row>
    <row r="499" customHeight="1" spans="1:52">
      <c r="A499" s="70">
        <v>498</v>
      </c>
      <c r="B499" s="70" t="s">
        <v>143</v>
      </c>
      <c r="C499" s="70" t="s">
        <v>13</v>
      </c>
      <c r="D499" s="71" t="s">
        <v>2028</v>
      </c>
      <c r="E499" s="71" t="s">
        <v>126</v>
      </c>
      <c r="F499" s="72"/>
      <c r="G499" s="73"/>
      <c r="H499" s="74" t="s">
        <v>16</v>
      </c>
      <c r="I499" s="165">
        <v>46047</v>
      </c>
      <c r="J499" s="70">
        <v>3</v>
      </c>
      <c r="K499" s="106" t="s">
        <v>2029</v>
      </c>
      <c r="L499" s="104">
        <f t="shared" si="149"/>
        <v>46137</v>
      </c>
      <c r="M499" s="105">
        <f ca="1" t="shared" si="150"/>
        <v>-176</v>
      </c>
      <c r="N499" s="70"/>
      <c r="O499" s="70" t="s">
        <v>143</v>
      </c>
      <c r="P499" s="70" t="s">
        <v>13</v>
      </c>
      <c r="Q499" s="71" t="s">
        <v>2028</v>
      </c>
      <c r="R499" s="71" t="s">
        <v>126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2030</v>
      </c>
      <c r="Y499" s="104">
        <f t="shared" si="161"/>
        <v>46248</v>
      </c>
      <c r="Z499" s="105">
        <f ca="1" t="shared" si="162"/>
        <v>-65</v>
      </c>
      <c r="AA499" s="70"/>
      <c r="AB499" s="70"/>
      <c r="AC499" s="70"/>
      <c r="AD499" s="71"/>
      <c r="AE499" s="71"/>
      <c r="AF499" s="72"/>
      <c r="AG499" s="73"/>
      <c r="AH499" s="119"/>
      <c r="AI499" s="102"/>
      <c r="AJ499" s="70"/>
      <c r="AK499" s="103"/>
      <c r="AL499" s="104">
        <f t="shared" ref="AL497:AL543" si="163">EDATE(AI499,AJ499)</f>
        <v>0</v>
      </c>
      <c r="AM499" s="105">
        <f ca="1" t="shared" ref="AM497:AM543" si="164">AL499-TODAY()</f>
        <v>-46313</v>
      </c>
      <c r="AN499" s="115"/>
      <c r="AO499" s="70"/>
      <c r="AP499" s="70"/>
      <c r="AQ499" s="71"/>
      <c r="AR499" s="71"/>
      <c r="AS499" s="72"/>
      <c r="AT499" s="73"/>
      <c r="AU499" s="196"/>
      <c r="AV499" s="117"/>
      <c r="AW499" s="115"/>
      <c r="AX499" s="106"/>
      <c r="AY499" s="104"/>
      <c r="AZ499" s="105"/>
    </row>
    <row r="500" customHeight="1" spans="1:52">
      <c r="A500" s="70">
        <v>499</v>
      </c>
      <c r="B500" s="70" t="s">
        <v>270</v>
      </c>
      <c r="C500" s="70" t="s">
        <v>264</v>
      </c>
      <c r="D500" s="71" t="s">
        <v>367</v>
      </c>
      <c r="E500" s="71" t="s">
        <v>368</v>
      </c>
      <c r="F500" s="72"/>
      <c r="G500" s="73"/>
      <c r="H500" s="75"/>
      <c r="I500" s="165">
        <v>46047</v>
      </c>
      <c r="J500" s="79" t="s">
        <v>767</v>
      </c>
      <c r="K500" s="106"/>
      <c r="L500" s="104" t="e">
        <f t="shared" si="149"/>
        <v>#VALUE!</v>
      </c>
      <c r="M500" s="105" t="e">
        <f ca="1" t="shared" si="150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61"/>
        <v>0</v>
      </c>
      <c r="Z500" s="105">
        <f ca="1" t="shared" si="162"/>
        <v>-46313</v>
      </c>
      <c r="AA500" s="70"/>
      <c r="AB500" s="70"/>
      <c r="AC500" s="70"/>
      <c r="AD500" s="71"/>
      <c r="AE500" s="71"/>
      <c r="AF500" s="72"/>
      <c r="AG500" s="73"/>
      <c r="AH500" s="119"/>
      <c r="AI500" s="102"/>
      <c r="AJ500" s="70"/>
      <c r="AK500" s="103"/>
      <c r="AL500" s="104">
        <f t="shared" si="163"/>
        <v>0</v>
      </c>
      <c r="AM500" s="105">
        <f ca="1" t="shared" si="164"/>
        <v>-46313</v>
      </c>
      <c r="AN500" s="115"/>
      <c r="AO500" s="70"/>
      <c r="AP500" s="70"/>
      <c r="AQ500" s="71"/>
      <c r="AR500" s="71"/>
      <c r="AS500" s="72"/>
      <c r="AT500" s="73"/>
      <c r="AU500" s="196"/>
      <c r="AV500" s="117"/>
      <c r="AW500" s="115"/>
      <c r="AX500" s="106"/>
      <c r="AY500" s="104"/>
      <c r="AZ500" s="105"/>
    </row>
    <row r="501" customHeight="1" spans="1:52">
      <c r="A501" s="70">
        <v>500</v>
      </c>
      <c r="B501" s="70" t="s">
        <v>685</v>
      </c>
      <c r="C501" s="70" t="s">
        <v>13</v>
      </c>
      <c r="D501" s="71" t="s">
        <v>2031</v>
      </c>
      <c r="E501" s="71" t="s">
        <v>126</v>
      </c>
      <c r="F501" s="72"/>
      <c r="G501" s="73"/>
      <c r="H501" s="75"/>
      <c r="I501" s="102">
        <v>46048</v>
      </c>
      <c r="J501" s="70">
        <v>3</v>
      </c>
      <c r="K501" s="106" t="s">
        <v>2032</v>
      </c>
      <c r="L501" s="104">
        <f t="shared" si="149"/>
        <v>46138</v>
      </c>
      <c r="M501" s="105">
        <f ca="1" t="shared" si="150"/>
        <v>-175</v>
      </c>
      <c r="N501" s="70"/>
      <c r="O501" s="70" t="s">
        <v>685</v>
      </c>
      <c r="P501" s="70" t="s">
        <v>13</v>
      </c>
      <c r="Q501" s="71" t="s">
        <v>2031</v>
      </c>
      <c r="R501" s="71" t="s">
        <v>126</v>
      </c>
      <c r="S501" s="72"/>
      <c r="T501" s="73"/>
      <c r="U501" s="75"/>
      <c r="V501" s="102">
        <v>46157</v>
      </c>
      <c r="W501" s="70">
        <v>3</v>
      </c>
      <c r="X501" s="103" t="s">
        <v>2033</v>
      </c>
      <c r="Y501" s="104">
        <f t="shared" si="161"/>
        <v>46249</v>
      </c>
      <c r="Z501" s="105">
        <f ca="1" t="shared" si="162"/>
        <v>-64</v>
      </c>
      <c r="AA501" s="70"/>
      <c r="AB501" s="70" t="s">
        <v>685</v>
      </c>
      <c r="AC501" s="70" t="s">
        <v>13</v>
      </c>
      <c r="AD501" s="71" t="s">
        <v>2031</v>
      </c>
      <c r="AE501" s="71" t="s">
        <v>126</v>
      </c>
      <c r="AF501" s="72"/>
      <c r="AG501" s="73"/>
      <c r="AH501" s="75"/>
      <c r="AI501" s="102">
        <v>46234</v>
      </c>
      <c r="AJ501" s="70">
        <v>3</v>
      </c>
      <c r="AK501" s="103" t="s">
        <v>2034</v>
      </c>
      <c r="AL501" s="104">
        <f t="shared" si="163"/>
        <v>46326</v>
      </c>
      <c r="AM501" s="105">
        <f ca="1" t="shared" si="164"/>
        <v>13</v>
      </c>
      <c r="AN501" s="115"/>
      <c r="AO501" s="115"/>
      <c r="AP501" s="115"/>
      <c r="AQ501" s="93"/>
      <c r="AR501" s="93"/>
      <c r="AS501" s="94"/>
      <c r="AT501" s="95"/>
      <c r="AU501" s="79"/>
      <c r="AV501" s="117"/>
      <c r="AW501" s="115"/>
      <c r="AX501" s="106"/>
      <c r="AY501" s="104"/>
      <c r="AZ501" s="105"/>
    </row>
    <row r="502" customHeight="1" spans="1:52">
      <c r="A502" s="70">
        <v>501</v>
      </c>
      <c r="B502" s="70" t="s">
        <v>685</v>
      </c>
      <c r="C502" s="70" t="s">
        <v>13</v>
      </c>
      <c r="D502" s="71" t="s">
        <v>2035</v>
      </c>
      <c r="E502" s="71" t="s">
        <v>34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2036</v>
      </c>
      <c r="L502" s="104">
        <f t="shared" si="149"/>
        <v>46138</v>
      </c>
      <c r="M502" s="105">
        <f ca="1" t="shared" si="150"/>
        <v>-175</v>
      </c>
      <c r="N502" s="70"/>
      <c r="O502" s="70" t="s">
        <v>685</v>
      </c>
      <c r="P502" s="70" t="s">
        <v>13</v>
      </c>
      <c r="Q502" s="71" t="s">
        <v>2035</v>
      </c>
      <c r="R502" s="71" t="s">
        <v>34</v>
      </c>
      <c r="S502" s="72"/>
      <c r="T502" s="73"/>
      <c r="U502" s="75"/>
      <c r="V502" s="102">
        <v>46223</v>
      </c>
      <c r="W502" s="70">
        <v>3</v>
      </c>
      <c r="X502" s="103" t="s">
        <v>2037</v>
      </c>
      <c r="Y502" s="104">
        <f t="shared" si="161"/>
        <v>46315</v>
      </c>
      <c r="Z502" s="105">
        <f ca="1" t="shared" si="162"/>
        <v>2</v>
      </c>
      <c r="AA502" s="70"/>
      <c r="AB502" s="70" t="s">
        <v>685</v>
      </c>
      <c r="AC502" s="70" t="s">
        <v>13</v>
      </c>
      <c r="AD502" s="71" t="s">
        <v>2035</v>
      </c>
      <c r="AE502" s="71" t="s">
        <v>34</v>
      </c>
      <c r="AF502" s="72"/>
      <c r="AG502" s="73"/>
      <c r="AH502" s="75"/>
      <c r="AI502" s="102">
        <v>46308</v>
      </c>
      <c r="AJ502" s="70">
        <v>3</v>
      </c>
      <c r="AK502" s="103"/>
      <c r="AL502" s="104">
        <f t="shared" si="163"/>
        <v>46400</v>
      </c>
      <c r="AM502" s="105">
        <f ca="1" t="shared" si="164"/>
        <v>87</v>
      </c>
      <c r="AN502" s="115"/>
      <c r="AO502" s="115"/>
      <c r="AP502" s="115"/>
      <c r="AQ502" s="93"/>
      <c r="AR502" s="93"/>
      <c r="AS502" s="94"/>
      <c r="AT502" s="95"/>
      <c r="AU502" s="79"/>
      <c r="AV502" s="117"/>
      <c r="AW502" s="115"/>
      <c r="AX502" s="106"/>
      <c r="AY502" s="104"/>
      <c r="AZ502" s="105"/>
    </row>
    <row r="503" customHeight="1" spans="1:52">
      <c r="A503" s="70">
        <v>502</v>
      </c>
      <c r="B503" s="70" t="s">
        <v>229</v>
      </c>
      <c r="C503" s="70" t="s">
        <v>38</v>
      </c>
      <c r="D503" s="71" t="s">
        <v>2038</v>
      </c>
      <c r="E503" s="71" t="s">
        <v>1627</v>
      </c>
      <c r="F503" s="72"/>
      <c r="G503" s="73"/>
      <c r="H503" s="75"/>
      <c r="I503" s="102">
        <v>46048</v>
      </c>
      <c r="J503" s="70">
        <v>3</v>
      </c>
      <c r="K503" s="106" t="s">
        <v>2039</v>
      </c>
      <c r="L503" s="104">
        <f t="shared" si="149"/>
        <v>46138</v>
      </c>
      <c r="M503" s="105">
        <f ca="1" t="shared" si="150"/>
        <v>-175</v>
      </c>
      <c r="N503" s="70"/>
      <c r="O503" s="70" t="s">
        <v>229</v>
      </c>
      <c r="P503" s="70" t="s">
        <v>38</v>
      </c>
      <c r="Q503" s="71" t="s">
        <v>2038</v>
      </c>
      <c r="R503" s="71" t="s">
        <v>1627</v>
      </c>
      <c r="S503" s="72"/>
      <c r="T503" s="73"/>
      <c r="U503" s="75"/>
      <c r="V503" s="102">
        <v>46158</v>
      </c>
      <c r="W503" s="70">
        <v>3</v>
      </c>
      <c r="X503" s="103" t="s">
        <v>2040</v>
      </c>
      <c r="Y503" s="104">
        <f t="shared" si="161"/>
        <v>46250</v>
      </c>
      <c r="Z503" s="105">
        <f ca="1" t="shared" si="162"/>
        <v>-63</v>
      </c>
      <c r="AA503" s="70"/>
      <c r="AB503" s="70" t="s">
        <v>229</v>
      </c>
      <c r="AC503" s="70" t="s">
        <v>38</v>
      </c>
      <c r="AD503" s="71" t="s">
        <v>2038</v>
      </c>
      <c r="AE503" s="71" t="s">
        <v>1627</v>
      </c>
      <c r="AF503" s="72"/>
      <c r="AG503" s="73"/>
      <c r="AH503" s="75"/>
      <c r="AI503" s="102">
        <v>46264</v>
      </c>
      <c r="AJ503" s="70">
        <v>3</v>
      </c>
      <c r="AK503" s="103" t="s">
        <v>2041</v>
      </c>
      <c r="AL503" s="104">
        <f t="shared" si="163"/>
        <v>46356</v>
      </c>
      <c r="AM503" s="105">
        <f ca="1" t="shared" si="164"/>
        <v>43</v>
      </c>
      <c r="AN503" s="115"/>
      <c r="AO503" s="115"/>
      <c r="AP503" s="115"/>
      <c r="AQ503" s="93"/>
      <c r="AR503" s="93"/>
      <c r="AS503" s="94"/>
      <c r="AT503" s="95"/>
      <c r="AU503" s="79"/>
      <c r="AV503" s="117"/>
      <c r="AW503" s="115"/>
      <c r="AX503" s="106"/>
      <c r="AY503" s="104"/>
      <c r="AZ503" s="105"/>
    </row>
    <row r="504" customHeight="1" spans="1:52">
      <c r="A504" s="70">
        <v>503</v>
      </c>
      <c r="B504" s="70" t="s">
        <v>55</v>
      </c>
      <c r="C504" s="70" t="s">
        <v>13</v>
      </c>
      <c r="D504" s="71" t="s">
        <v>2042</v>
      </c>
      <c r="E504" s="71" t="s">
        <v>34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2043</v>
      </c>
      <c r="L504" s="104">
        <f t="shared" si="149"/>
        <v>46138</v>
      </c>
      <c r="M504" s="105">
        <f ca="1" t="shared" si="150"/>
        <v>-175</v>
      </c>
      <c r="N504" s="70"/>
      <c r="O504" s="70" t="s">
        <v>55</v>
      </c>
      <c r="P504" s="70" t="s">
        <v>13</v>
      </c>
      <c r="Q504" s="71" t="s">
        <v>2042</v>
      </c>
      <c r="R504" s="71" t="s">
        <v>34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2044</v>
      </c>
      <c r="Y504" s="104">
        <f t="shared" si="161"/>
        <v>46229</v>
      </c>
      <c r="Z504" s="105">
        <f ca="1" t="shared" si="162"/>
        <v>-84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63"/>
        <v>0</v>
      </c>
      <c r="AM504" s="105">
        <f ca="1" t="shared" si="164"/>
        <v>-46313</v>
      </c>
      <c r="AN504" s="115"/>
      <c r="AO504" s="115"/>
      <c r="AP504" s="115"/>
      <c r="AQ504" s="93"/>
      <c r="AR504" s="93"/>
      <c r="AS504" s="94"/>
      <c r="AT504" s="95"/>
      <c r="AU504" s="79"/>
      <c r="AV504" s="117"/>
      <c r="AW504" s="115"/>
      <c r="AX504" s="106"/>
      <c r="AY504" s="104"/>
      <c r="AZ504" s="105"/>
    </row>
    <row r="505" customHeight="1" spans="1:52">
      <c r="A505" s="70">
        <v>504</v>
      </c>
      <c r="B505" s="70" t="s">
        <v>570</v>
      </c>
      <c r="C505" s="70" t="s">
        <v>38</v>
      </c>
      <c r="D505" s="71" t="s">
        <v>2045</v>
      </c>
      <c r="E505" s="71" t="s">
        <v>189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2046</v>
      </c>
      <c r="L505" s="104">
        <f t="shared" si="149"/>
        <v>46138</v>
      </c>
      <c r="M505" s="105">
        <f ca="1" t="shared" si="150"/>
        <v>-175</v>
      </c>
      <c r="N505" s="70"/>
      <c r="O505" s="70" t="s">
        <v>570</v>
      </c>
      <c r="P505" s="70" t="s">
        <v>38</v>
      </c>
      <c r="Q505" s="71" t="s">
        <v>2045</v>
      </c>
      <c r="R505" s="71" t="s">
        <v>189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2047</v>
      </c>
      <c r="Y505" s="104">
        <f t="shared" si="161"/>
        <v>46247</v>
      </c>
      <c r="Z505" s="105">
        <f ca="1" t="shared" si="162"/>
        <v>-66</v>
      </c>
      <c r="AA505" s="70"/>
      <c r="AB505" s="70" t="s">
        <v>570</v>
      </c>
      <c r="AC505" s="70" t="s">
        <v>38</v>
      </c>
      <c r="AD505" s="71" t="s">
        <v>2045</v>
      </c>
      <c r="AE505" s="71" t="s">
        <v>189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2048</v>
      </c>
      <c r="AL505" s="104">
        <f t="shared" si="163"/>
        <v>46338</v>
      </c>
      <c r="AM505" s="105">
        <f ca="1" t="shared" si="164"/>
        <v>25</v>
      </c>
      <c r="AN505" s="115"/>
      <c r="AO505" s="115"/>
      <c r="AP505" s="115"/>
      <c r="AQ505" s="93"/>
      <c r="AR505" s="93"/>
      <c r="AS505" s="94"/>
      <c r="AT505" s="95"/>
      <c r="AU505" s="79"/>
      <c r="AV505" s="117"/>
      <c r="AW505" s="115"/>
      <c r="AX505" s="106"/>
      <c r="AY505" s="104"/>
      <c r="AZ505" s="105"/>
    </row>
    <row r="506" customHeight="1" spans="1:52">
      <c r="A506" s="70">
        <v>505</v>
      </c>
      <c r="B506" s="70" t="s">
        <v>2049</v>
      </c>
      <c r="C506" s="70" t="s">
        <v>38</v>
      </c>
      <c r="D506" s="71" t="s">
        <v>2050</v>
      </c>
      <c r="E506" s="71" t="s">
        <v>332</v>
      </c>
      <c r="F506" s="72"/>
      <c r="G506" s="73"/>
      <c r="H506" s="75"/>
      <c r="I506" s="102">
        <v>46048</v>
      </c>
      <c r="J506" s="70">
        <v>3</v>
      </c>
      <c r="K506" s="106" t="s">
        <v>2051</v>
      </c>
      <c r="L506" s="104">
        <f t="shared" si="149"/>
        <v>46138</v>
      </c>
      <c r="M506" s="105">
        <f ca="1" t="shared" si="150"/>
        <v>-175</v>
      </c>
      <c r="N506" s="70"/>
      <c r="O506" s="70" t="s">
        <v>2049</v>
      </c>
      <c r="P506" s="70" t="s">
        <v>38</v>
      </c>
      <c r="Q506" s="71" t="s">
        <v>2050</v>
      </c>
      <c r="R506" s="71" t="s">
        <v>332</v>
      </c>
      <c r="S506" s="72"/>
      <c r="T506" s="73"/>
      <c r="U506" s="75"/>
      <c r="V506" s="102">
        <v>46141</v>
      </c>
      <c r="W506" s="70">
        <v>3</v>
      </c>
      <c r="X506" s="103" t="s">
        <v>2052</v>
      </c>
      <c r="Y506" s="104">
        <f t="shared" si="161"/>
        <v>46232</v>
      </c>
      <c r="Z506" s="105">
        <f ca="1" t="shared" si="162"/>
        <v>-81</v>
      </c>
      <c r="AA506" s="70"/>
      <c r="AB506" s="70" t="s">
        <v>2049</v>
      </c>
      <c r="AC506" s="70" t="s">
        <v>38</v>
      </c>
      <c r="AD506" s="71" t="s">
        <v>2050</v>
      </c>
      <c r="AE506" s="71" t="s">
        <v>332</v>
      </c>
      <c r="AF506" s="72"/>
      <c r="AG506" s="73"/>
      <c r="AH506" s="75"/>
      <c r="AI506" s="102">
        <v>46275</v>
      </c>
      <c r="AJ506" s="70">
        <v>3</v>
      </c>
      <c r="AK506" s="103" t="s">
        <v>2053</v>
      </c>
      <c r="AL506" s="104">
        <f t="shared" si="163"/>
        <v>46366</v>
      </c>
      <c r="AM506" s="105">
        <f ca="1" t="shared" si="164"/>
        <v>53</v>
      </c>
      <c r="AN506" s="115"/>
      <c r="AO506" s="115"/>
      <c r="AP506" s="115"/>
      <c r="AQ506" s="93"/>
      <c r="AR506" s="93"/>
      <c r="AS506" s="94"/>
      <c r="AT506" s="95"/>
      <c r="AU506" s="79"/>
      <c r="AV506" s="117"/>
      <c r="AW506" s="115"/>
      <c r="AX506" s="106"/>
      <c r="AY506" s="104"/>
      <c r="AZ506" s="105"/>
    </row>
    <row r="507" customHeight="1" spans="1:52">
      <c r="A507" s="70">
        <v>506</v>
      </c>
      <c r="B507" s="70" t="s">
        <v>2054</v>
      </c>
      <c r="C507" s="70" t="s">
        <v>13</v>
      </c>
      <c r="D507" s="71" t="s">
        <v>2055</v>
      </c>
      <c r="E507" s="71" t="s">
        <v>2056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2057</v>
      </c>
      <c r="L507" s="104">
        <f t="shared" si="149"/>
        <v>46138</v>
      </c>
      <c r="M507" s="105">
        <f ca="1" t="shared" si="150"/>
        <v>-175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61"/>
        <v>0</v>
      </c>
      <c r="Z507" s="105">
        <f ca="1" t="shared" si="162"/>
        <v>-46313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63"/>
        <v>0</v>
      </c>
      <c r="AM507" s="105">
        <f ca="1" t="shared" si="164"/>
        <v>-46313</v>
      </c>
      <c r="AN507" s="115"/>
      <c r="AO507" s="115"/>
      <c r="AP507" s="115"/>
      <c r="AQ507" s="93"/>
      <c r="AR507" s="93"/>
      <c r="AS507" s="94"/>
      <c r="AT507" s="95"/>
      <c r="AU507" s="79"/>
      <c r="AV507" s="117"/>
      <c r="AW507" s="115"/>
      <c r="AX507" s="106"/>
      <c r="AY507" s="104"/>
      <c r="AZ507" s="105"/>
    </row>
    <row r="508" customHeight="1" spans="1:52">
      <c r="A508" s="70">
        <v>507</v>
      </c>
      <c r="B508" s="70" t="s">
        <v>2058</v>
      </c>
      <c r="C508" s="70" t="s">
        <v>264</v>
      </c>
      <c r="D508" s="71" t="s">
        <v>2059</v>
      </c>
      <c r="E508" s="71" t="s">
        <v>870</v>
      </c>
      <c r="F508" s="72"/>
      <c r="G508" s="73"/>
      <c r="H508" s="75"/>
      <c r="I508" s="102">
        <v>46048</v>
      </c>
      <c r="J508" s="70">
        <v>3</v>
      </c>
      <c r="K508" s="106" t="s">
        <v>2060</v>
      </c>
      <c r="L508" s="104">
        <f t="shared" si="149"/>
        <v>46138</v>
      </c>
      <c r="M508" s="105">
        <f ca="1" t="shared" si="150"/>
        <v>-175</v>
      </c>
      <c r="N508" s="70"/>
      <c r="O508" s="70" t="s">
        <v>2058</v>
      </c>
      <c r="P508" s="70" t="s">
        <v>264</v>
      </c>
      <c r="Q508" s="71" t="s">
        <v>2059</v>
      </c>
      <c r="R508" s="71" t="s">
        <v>870</v>
      </c>
      <c r="S508" s="72"/>
      <c r="T508" s="73"/>
      <c r="U508" s="75"/>
      <c r="V508" s="102">
        <v>46142</v>
      </c>
      <c r="W508" s="70">
        <v>3</v>
      </c>
      <c r="X508" s="103" t="s">
        <v>2061</v>
      </c>
      <c r="Y508" s="104">
        <f t="shared" si="161"/>
        <v>46233</v>
      </c>
      <c r="Z508" s="105">
        <f ca="1" t="shared" si="162"/>
        <v>-80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63"/>
        <v>0</v>
      </c>
      <c r="AM508" s="105">
        <f ca="1" t="shared" si="164"/>
        <v>-46313</v>
      </c>
      <c r="AN508" s="115"/>
      <c r="AO508" s="115"/>
      <c r="AP508" s="115"/>
      <c r="AQ508" s="93"/>
      <c r="AR508" s="93"/>
      <c r="AS508" s="94"/>
      <c r="AT508" s="95"/>
      <c r="AU508" s="79"/>
      <c r="AV508" s="117"/>
      <c r="AW508" s="115"/>
      <c r="AX508" s="106"/>
      <c r="AY508" s="104"/>
      <c r="AZ508" s="105"/>
    </row>
    <row r="509" customHeight="1" spans="1:52">
      <c r="A509" s="70">
        <v>508</v>
      </c>
      <c r="B509" s="70" t="s">
        <v>281</v>
      </c>
      <c r="C509" s="70" t="s">
        <v>264</v>
      </c>
      <c r="D509" s="71" t="s">
        <v>2062</v>
      </c>
      <c r="E509" s="71" t="s">
        <v>364</v>
      </c>
      <c r="F509" s="72"/>
      <c r="G509" s="73"/>
      <c r="H509" s="75"/>
      <c r="I509" s="102">
        <v>46048</v>
      </c>
      <c r="J509" s="70">
        <v>3</v>
      </c>
      <c r="K509" s="106" t="s">
        <v>2063</v>
      </c>
      <c r="L509" s="104">
        <f t="shared" si="149"/>
        <v>46138</v>
      </c>
      <c r="M509" s="105">
        <f ca="1" t="shared" si="150"/>
        <v>-175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61"/>
        <v>0</v>
      </c>
      <c r="Z509" s="105">
        <f ca="1" t="shared" si="162"/>
        <v>-46313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63"/>
        <v>0</v>
      </c>
      <c r="AM509" s="105">
        <f ca="1" t="shared" si="164"/>
        <v>-46313</v>
      </c>
      <c r="AN509" s="115"/>
      <c r="AO509" s="115"/>
      <c r="AP509" s="115"/>
      <c r="AQ509" s="93"/>
      <c r="AR509" s="93"/>
      <c r="AS509" s="94"/>
      <c r="AT509" s="95"/>
      <c r="AU509" s="79"/>
      <c r="AV509" s="117"/>
      <c r="AW509" s="115"/>
      <c r="AX509" s="106"/>
      <c r="AY509" s="104">
        <f t="shared" ref="AY509:AY516" si="165">EDATE(AV509,AW509)</f>
        <v>0</v>
      </c>
      <c r="AZ509" s="105">
        <f ca="1" t="shared" ref="AZ509:AZ516" si="166">AY509-TODAY()</f>
        <v>-46313</v>
      </c>
    </row>
    <row r="510" customHeight="1" spans="1:52">
      <c r="A510" s="70">
        <v>509</v>
      </c>
      <c r="B510" s="70" t="s">
        <v>1234</v>
      </c>
      <c r="C510" s="70" t="s">
        <v>264</v>
      </c>
      <c r="D510" s="71" t="s">
        <v>2064</v>
      </c>
      <c r="E510" s="71" t="s">
        <v>2065</v>
      </c>
      <c r="F510" s="72"/>
      <c r="G510" s="73"/>
      <c r="H510" s="75"/>
      <c r="I510" s="102">
        <v>46048</v>
      </c>
      <c r="J510" s="70">
        <v>3</v>
      </c>
      <c r="K510" s="106" t="s">
        <v>2066</v>
      </c>
      <c r="L510" s="104">
        <f t="shared" si="149"/>
        <v>46138</v>
      </c>
      <c r="M510" s="105">
        <f ca="1" t="shared" si="150"/>
        <v>-175</v>
      </c>
      <c r="N510" s="70"/>
      <c r="O510" s="70" t="s">
        <v>1234</v>
      </c>
      <c r="P510" s="70" t="s">
        <v>264</v>
      </c>
      <c r="Q510" s="71" t="s">
        <v>2064</v>
      </c>
      <c r="R510" s="71" t="s">
        <v>2065</v>
      </c>
      <c r="S510" s="72"/>
      <c r="T510" s="73"/>
      <c r="U510" s="75"/>
      <c r="V510" s="102">
        <v>46257</v>
      </c>
      <c r="W510" s="70">
        <v>3</v>
      </c>
      <c r="X510" s="103" t="s">
        <v>2067</v>
      </c>
      <c r="Y510" s="104">
        <f t="shared" si="161"/>
        <v>46349</v>
      </c>
      <c r="Z510" s="105">
        <f ca="1" t="shared" si="162"/>
        <v>36</v>
      </c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63"/>
        <v>0</v>
      </c>
      <c r="AM510" s="105">
        <f ca="1" t="shared" si="164"/>
        <v>-46313</v>
      </c>
      <c r="AN510" s="115"/>
      <c r="AO510" s="115"/>
      <c r="AP510" s="115"/>
      <c r="AQ510" s="93"/>
      <c r="AR510" s="93"/>
      <c r="AS510" s="94"/>
      <c r="AT510" s="95"/>
      <c r="AU510" s="79"/>
      <c r="AV510" s="117"/>
      <c r="AW510" s="115"/>
      <c r="AX510" s="106"/>
      <c r="AY510" s="104">
        <f t="shared" si="165"/>
        <v>0</v>
      </c>
      <c r="AZ510" s="105">
        <f ca="1" t="shared" si="166"/>
        <v>-46313</v>
      </c>
    </row>
    <row r="511" customHeight="1" spans="1:52">
      <c r="A511" s="70">
        <v>510</v>
      </c>
      <c r="B511" s="70" t="s">
        <v>281</v>
      </c>
      <c r="C511" s="70" t="s">
        <v>264</v>
      </c>
      <c r="D511" s="71" t="s">
        <v>2068</v>
      </c>
      <c r="E511" s="71" t="s">
        <v>2069</v>
      </c>
      <c r="F511" s="72"/>
      <c r="G511" s="73"/>
      <c r="H511" s="75"/>
      <c r="I511" s="102">
        <v>46048</v>
      </c>
      <c r="J511" s="70">
        <v>3</v>
      </c>
      <c r="K511" s="106" t="s">
        <v>2070</v>
      </c>
      <c r="L511" s="104">
        <f t="shared" si="149"/>
        <v>46138</v>
      </c>
      <c r="M511" s="105">
        <f ca="1" t="shared" si="150"/>
        <v>-175</v>
      </c>
      <c r="N511" s="70"/>
      <c r="O511" s="70" t="s">
        <v>281</v>
      </c>
      <c r="P511" s="70" t="s">
        <v>264</v>
      </c>
      <c r="Q511" s="71" t="s">
        <v>2068</v>
      </c>
      <c r="R511" s="71" t="s">
        <v>2069</v>
      </c>
      <c r="S511" s="72"/>
      <c r="T511" s="73"/>
      <c r="U511" s="75"/>
      <c r="V511" s="102">
        <v>46142</v>
      </c>
      <c r="W511" s="70">
        <v>3</v>
      </c>
      <c r="X511" s="103" t="s">
        <v>2071</v>
      </c>
      <c r="Y511" s="104">
        <f t="shared" si="161"/>
        <v>46233</v>
      </c>
      <c r="Z511" s="105">
        <f ca="1" t="shared" si="162"/>
        <v>-80</v>
      </c>
      <c r="AA511" s="70"/>
      <c r="AB511" s="70" t="s">
        <v>281</v>
      </c>
      <c r="AC511" s="70" t="s">
        <v>264</v>
      </c>
      <c r="AD511" s="71" t="s">
        <v>2068</v>
      </c>
      <c r="AE511" s="71" t="s">
        <v>2069</v>
      </c>
      <c r="AF511" s="72"/>
      <c r="AG511" s="73"/>
      <c r="AH511" s="75"/>
      <c r="AI511" s="102">
        <v>46249</v>
      </c>
      <c r="AJ511" s="70">
        <v>3</v>
      </c>
      <c r="AK511" s="103" t="s">
        <v>2072</v>
      </c>
      <c r="AL511" s="104">
        <f t="shared" si="163"/>
        <v>46341</v>
      </c>
      <c r="AM511" s="105">
        <f ca="1" t="shared" si="164"/>
        <v>28</v>
      </c>
      <c r="AN511" s="115"/>
      <c r="AO511" s="115"/>
      <c r="AP511" s="115"/>
      <c r="AQ511" s="93"/>
      <c r="AR511" s="93"/>
      <c r="AS511" s="94"/>
      <c r="AT511" s="95"/>
      <c r="AU511" s="79"/>
      <c r="AV511" s="117"/>
      <c r="AW511" s="115"/>
      <c r="AX511" s="106"/>
      <c r="AY511" s="104">
        <f t="shared" si="165"/>
        <v>0</v>
      </c>
      <c r="AZ511" s="105">
        <f ca="1" t="shared" si="166"/>
        <v>-46313</v>
      </c>
    </row>
    <row r="512" customHeight="1" spans="1:52">
      <c r="A512" s="70">
        <v>511</v>
      </c>
      <c r="B512" s="70" t="s">
        <v>281</v>
      </c>
      <c r="C512" s="70" t="s">
        <v>264</v>
      </c>
      <c r="D512" s="71" t="s">
        <v>1229</v>
      </c>
      <c r="E512" s="71" t="s">
        <v>364</v>
      </c>
      <c r="F512" s="72"/>
      <c r="G512" s="73"/>
      <c r="H512" s="157"/>
      <c r="I512" s="102">
        <v>46048</v>
      </c>
      <c r="J512" s="102" t="s">
        <v>767</v>
      </c>
      <c r="K512" s="106"/>
      <c r="L512" s="104" t="e">
        <f t="shared" si="149"/>
        <v>#VALUE!</v>
      </c>
      <c r="M512" s="105" t="e">
        <f ca="1" t="shared" si="150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ref="Y511:Y521" si="167">EDATE(V512,W512)</f>
        <v>0</v>
      </c>
      <c r="Z512" s="105">
        <f ca="1" t="shared" ref="Z511:Z521" si="168">Y512-TODAY()</f>
        <v>-46313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63"/>
        <v>0</v>
      </c>
      <c r="AM512" s="105">
        <f ca="1" t="shared" si="164"/>
        <v>-46313</v>
      </c>
      <c r="AN512" s="115"/>
      <c r="AO512" s="115"/>
      <c r="AP512" s="115"/>
      <c r="AQ512" s="93"/>
      <c r="AR512" s="93"/>
      <c r="AS512" s="94"/>
      <c r="AT512" s="95"/>
      <c r="AU512" s="79"/>
      <c r="AV512" s="117"/>
      <c r="AW512" s="115"/>
      <c r="AX512" s="106"/>
      <c r="AY512" s="104">
        <f t="shared" si="165"/>
        <v>0</v>
      </c>
      <c r="AZ512" s="105">
        <f ca="1" t="shared" si="166"/>
        <v>-46313</v>
      </c>
    </row>
    <row r="513" customHeight="1" spans="1:52">
      <c r="A513" s="70">
        <v>512</v>
      </c>
      <c r="B513" s="70" t="s">
        <v>2073</v>
      </c>
      <c r="C513" s="70" t="s">
        <v>13</v>
      </c>
      <c r="D513" s="71" t="s">
        <v>2074</v>
      </c>
      <c r="E513" s="71" t="s">
        <v>2075</v>
      </c>
      <c r="F513" s="72"/>
      <c r="G513" s="72"/>
      <c r="H513" s="156" t="s">
        <v>16</v>
      </c>
      <c r="I513" s="102">
        <v>46048</v>
      </c>
      <c r="J513" s="70">
        <v>3</v>
      </c>
      <c r="K513" s="129" t="s">
        <v>2076</v>
      </c>
      <c r="L513" s="104">
        <f t="shared" si="149"/>
        <v>46138</v>
      </c>
      <c r="M513" s="105">
        <f ca="1" t="shared" si="150"/>
        <v>-175</v>
      </c>
      <c r="N513" s="70"/>
      <c r="O513" s="70" t="s">
        <v>2073</v>
      </c>
      <c r="P513" s="70" t="s">
        <v>13</v>
      </c>
      <c r="Q513" s="71" t="s">
        <v>2074</v>
      </c>
      <c r="R513" s="71" t="s">
        <v>2075</v>
      </c>
      <c r="S513" s="72"/>
      <c r="T513" s="72"/>
      <c r="U513" s="157"/>
      <c r="V513" s="102">
        <v>46233</v>
      </c>
      <c r="W513" s="70">
        <v>3</v>
      </c>
      <c r="X513" s="103" t="s">
        <v>2077</v>
      </c>
      <c r="Y513" s="104">
        <f t="shared" si="167"/>
        <v>46325</v>
      </c>
      <c r="Z513" s="105">
        <f ca="1" t="shared" si="168"/>
        <v>12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63"/>
        <v>0</v>
      </c>
      <c r="AM513" s="105">
        <f ca="1" t="shared" si="164"/>
        <v>-46313</v>
      </c>
      <c r="AN513" s="115"/>
      <c r="AO513" s="115"/>
      <c r="AP513" s="115"/>
      <c r="AQ513" s="93"/>
      <c r="AR513" s="93"/>
      <c r="AS513" s="94"/>
      <c r="AT513" s="95"/>
      <c r="AU513" s="79"/>
      <c r="AV513" s="117"/>
      <c r="AW513" s="115"/>
      <c r="AX513" s="106"/>
      <c r="AY513" s="104">
        <f t="shared" si="165"/>
        <v>0</v>
      </c>
      <c r="AZ513" s="105">
        <f ca="1" t="shared" si="166"/>
        <v>-46313</v>
      </c>
    </row>
    <row r="514" customHeight="1" spans="1:52">
      <c r="A514" s="70">
        <v>513</v>
      </c>
      <c r="B514" s="70" t="s">
        <v>782</v>
      </c>
      <c r="C514" s="70" t="s">
        <v>374</v>
      </c>
      <c r="D514" s="71" t="s">
        <v>2078</v>
      </c>
      <c r="E514" s="71" t="s">
        <v>2079</v>
      </c>
      <c r="F514" s="72"/>
      <c r="G514" s="72"/>
      <c r="H514" s="156" t="s">
        <v>16</v>
      </c>
      <c r="I514" s="102">
        <v>46048</v>
      </c>
      <c r="J514" s="70">
        <v>3</v>
      </c>
      <c r="K514" s="129" t="s">
        <v>2080</v>
      </c>
      <c r="L514" s="104">
        <f t="shared" ref="L514:L577" si="169">EDATE(I514,J514)</f>
        <v>46138</v>
      </c>
      <c r="M514" s="105">
        <f ca="1" t="shared" ref="M514:M577" si="170">L514-TODAY()</f>
        <v>-175</v>
      </c>
      <c r="N514" s="70"/>
      <c r="O514" s="70" t="s">
        <v>782</v>
      </c>
      <c r="P514" s="70" t="s">
        <v>374</v>
      </c>
      <c r="Q514" s="71" t="s">
        <v>2078</v>
      </c>
      <c r="R514" s="71" t="s">
        <v>2079</v>
      </c>
      <c r="S514" s="72"/>
      <c r="T514" s="72"/>
      <c r="U514" s="156" t="s">
        <v>16</v>
      </c>
      <c r="V514" s="102">
        <v>46256</v>
      </c>
      <c r="W514" s="70">
        <v>3</v>
      </c>
      <c r="X514" s="103" t="s">
        <v>2081</v>
      </c>
      <c r="Y514" s="104">
        <f t="shared" si="167"/>
        <v>46348</v>
      </c>
      <c r="Z514" s="105">
        <f ca="1" t="shared" si="168"/>
        <v>35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63"/>
        <v>0</v>
      </c>
      <c r="AM514" s="105">
        <f ca="1" t="shared" si="164"/>
        <v>-46313</v>
      </c>
      <c r="AN514" s="115"/>
      <c r="AO514" s="115"/>
      <c r="AP514" s="115"/>
      <c r="AQ514" s="93"/>
      <c r="AR514" s="93"/>
      <c r="AS514" s="94"/>
      <c r="AT514" s="95"/>
      <c r="AU514" s="79"/>
      <c r="AV514" s="117"/>
      <c r="AW514" s="115"/>
      <c r="AX514" s="106"/>
      <c r="AY514" s="104">
        <f t="shared" si="165"/>
        <v>0</v>
      </c>
      <c r="AZ514" s="105">
        <f ca="1" t="shared" si="166"/>
        <v>-46313</v>
      </c>
    </row>
    <row r="515" customHeight="1" spans="1:52">
      <c r="A515" s="70">
        <v>514</v>
      </c>
      <c r="B515" s="70" t="s">
        <v>561</v>
      </c>
      <c r="C515" s="70" t="s">
        <v>374</v>
      </c>
      <c r="D515" s="71" t="s">
        <v>2082</v>
      </c>
      <c r="E515" s="71" t="s">
        <v>888</v>
      </c>
      <c r="F515" s="72"/>
      <c r="G515" s="72"/>
      <c r="H515" s="156" t="s">
        <v>16</v>
      </c>
      <c r="I515" s="102">
        <v>46048</v>
      </c>
      <c r="J515" s="70">
        <v>3</v>
      </c>
      <c r="K515" s="129" t="s">
        <v>2083</v>
      </c>
      <c r="L515" s="104">
        <f t="shared" si="169"/>
        <v>46138</v>
      </c>
      <c r="M515" s="105">
        <f ca="1" t="shared" si="170"/>
        <v>-175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67"/>
        <v>0</v>
      </c>
      <c r="Z515" s="105">
        <f ca="1" t="shared" si="168"/>
        <v>-46313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63"/>
        <v>0</v>
      </c>
      <c r="AM515" s="105">
        <f ca="1" t="shared" si="164"/>
        <v>-46313</v>
      </c>
      <c r="AN515" s="115"/>
      <c r="AO515" s="115"/>
      <c r="AP515" s="115"/>
      <c r="AQ515" s="93"/>
      <c r="AR515" s="93"/>
      <c r="AS515" s="94"/>
      <c r="AT515" s="95"/>
      <c r="AU515" s="79"/>
      <c r="AV515" s="117"/>
      <c r="AW515" s="115"/>
      <c r="AX515" s="106"/>
      <c r="AY515" s="104">
        <f t="shared" si="165"/>
        <v>0</v>
      </c>
      <c r="AZ515" s="105">
        <f ca="1" t="shared" si="166"/>
        <v>-46313</v>
      </c>
    </row>
    <row r="516" customHeight="1" spans="1:52">
      <c r="A516" s="70">
        <v>515</v>
      </c>
      <c r="B516" s="70" t="s">
        <v>561</v>
      </c>
      <c r="C516" s="70" t="s">
        <v>374</v>
      </c>
      <c r="D516" s="71" t="s">
        <v>2084</v>
      </c>
      <c r="E516" s="71" t="s">
        <v>888</v>
      </c>
      <c r="F516" s="72"/>
      <c r="G516" s="72"/>
      <c r="H516" s="156" t="s">
        <v>16</v>
      </c>
      <c r="I516" s="102">
        <v>46048</v>
      </c>
      <c r="J516" s="70">
        <v>3</v>
      </c>
      <c r="K516" s="129" t="s">
        <v>2085</v>
      </c>
      <c r="L516" s="104">
        <f t="shared" si="169"/>
        <v>46138</v>
      </c>
      <c r="M516" s="105">
        <f ca="1" t="shared" si="170"/>
        <v>-175</v>
      </c>
      <c r="N516" s="70"/>
      <c r="O516" s="70" t="s">
        <v>561</v>
      </c>
      <c r="P516" s="70" t="s">
        <v>374</v>
      </c>
      <c r="Q516" s="71" t="s">
        <v>2084</v>
      </c>
      <c r="R516" s="71" t="s">
        <v>888</v>
      </c>
      <c r="S516" s="72"/>
      <c r="T516" s="72"/>
      <c r="U516" s="156" t="s">
        <v>16</v>
      </c>
      <c r="V516" s="102">
        <v>46241</v>
      </c>
      <c r="W516" s="70">
        <v>3</v>
      </c>
      <c r="X516" s="103" t="s">
        <v>2086</v>
      </c>
      <c r="Y516" s="104">
        <f t="shared" si="167"/>
        <v>46333</v>
      </c>
      <c r="Z516" s="105">
        <f ca="1" t="shared" si="168"/>
        <v>20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63"/>
        <v>0</v>
      </c>
      <c r="AM516" s="105">
        <f ca="1" t="shared" si="164"/>
        <v>-46313</v>
      </c>
      <c r="AN516" s="115"/>
      <c r="AO516" s="70"/>
      <c r="AP516" s="70"/>
      <c r="AQ516" s="71"/>
      <c r="AR516" s="71"/>
      <c r="AS516" s="72"/>
      <c r="AT516" s="73"/>
      <c r="AU516" s="79"/>
      <c r="AV516" s="117"/>
      <c r="AW516" s="115"/>
      <c r="AX516" s="106"/>
      <c r="AY516" s="104">
        <f t="shared" si="165"/>
        <v>0</v>
      </c>
      <c r="AZ516" s="105">
        <f ca="1" t="shared" si="166"/>
        <v>-46313</v>
      </c>
    </row>
    <row r="517" customHeight="1" spans="1:52">
      <c r="A517" s="70">
        <v>516</v>
      </c>
      <c r="B517" s="70" t="s">
        <v>229</v>
      </c>
      <c r="C517" s="70" t="s">
        <v>13</v>
      </c>
      <c r="D517" s="71" t="s">
        <v>2087</v>
      </c>
      <c r="E517" s="71" t="s">
        <v>2088</v>
      </c>
      <c r="F517" s="72"/>
      <c r="G517" s="73"/>
      <c r="H517" s="75"/>
      <c r="I517" s="102">
        <v>46049</v>
      </c>
      <c r="J517" s="70">
        <v>3</v>
      </c>
      <c r="K517" s="106" t="s">
        <v>2089</v>
      </c>
      <c r="L517" s="104">
        <f t="shared" si="169"/>
        <v>46139</v>
      </c>
      <c r="M517" s="105">
        <f ca="1" t="shared" si="170"/>
        <v>-174</v>
      </c>
      <c r="N517" s="70"/>
      <c r="O517" s="70" t="s">
        <v>229</v>
      </c>
      <c r="P517" s="70" t="s">
        <v>13</v>
      </c>
      <c r="Q517" s="71" t="s">
        <v>2087</v>
      </c>
      <c r="R517" s="71" t="s">
        <v>2088</v>
      </c>
      <c r="S517" s="72"/>
      <c r="T517" s="73"/>
      <c r="U517" s="75"/>
      <c r="V517" s="102">
        <v>46158</v>
      </c>
      <c r="W517" s="70">
        <v>3</v>
      </c>
      <c r="X517" s="103" t="s">
        <v>2090</v>
      </c>
      <c r="Y517" s="104">
        <f t="shared" si="167"/>
        <v>46250</v>
      </c>
      <c r="Z517" s="105">
        <f ca="1" t="shared" si="168"/>
        <v>-63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63"/>
        <v>0</v>
      </c>
      <c r="AM517" s="105">
        <f ca="1" t="shared" si="164"/>
        <v>-46313</v>
      </c>
      <c r="AN517" s="115"/>
      <c r="AO517" s="115"/>
      <c r="AP517" s="115"/>
      <c r="AQ517" s="93"/>
      <c r="AR517" s="93"/>
      <c r="AS517" s="94"/>
      <c r="AT517" s="95"/>
      <c r="AU517" s="79"/>
      <c r="AV517" s="117"/>
      <c r="AW517" s="115"/>
      <c r="AX517" s="106"/>
      <c r="AY517" s="104"/>
      <c r="AZ517" s="105"/>
    </row>
    <row r="518" customHeight="1" spans="1:52">
      <c r="A518" s="70">
        <v>517</v>
      </c>
      <c r="B518" s="70" t="s">
        <v>229</v>
      </c>
      <c r="C518" s="70" t="s">
        <v>38</v>
      </c>
      <c r="D518" s="71" t="s">
        <v>2091</v>
      </c>
      <c r="E518" s="71" t="s">
        <v>189</v>
      </c>
      <c r="F518" s="72"/>
      <c r="G518" s="73"/>
      <c r="H518" s="75"/>
      <c r="I518" s="102">
        <v>46049</v>
      </c>
      <c r="J518" s="70">
        <v>3</v>
      </c>
      <c r="K518" s="106" t="s">
        <v>2092</v>
      </c>
      <c r="L518" s="104">
        <f t="shared" si="169"/>
        <v>46139</v>
      </c>
      <c r="M518" s="105">
        <f ca="1" t="shared" si="170"/>
        <v>-174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67"/>
        <v>0</v>
      </c>
      <c r="Z518" s="105">
        <f ca="1" t="shared" si="168"/>
        <v>-46313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63"/>
        <v>0</v>
      </c>
      <c r="AM518" s="105">
        <f ca="1" t="shared" si="164"/>
        <v>-46313</v>
      </c>
      <c r="AN518" s="115"/>
      <c r="AO518" s="115"/>
      <c r="AP518" s="115"/>
      <c r="AQ518" s="93"/>
      <c r="AR518" s="93"/>
      <c r="AS518" s="94"/>
      <c r="AT518" s="95"/>
      <c r="AU518" s="79"/>
      <c r="AV518" s="117"/>
      <c r="AW518" s="115"/>
      <c r="AX518" s="106"/>
      <c r="AY518" s="104">
        <f t="shared" ref="AY518:AY533" si="171">EDATE(AV518,AW518)</f>
        <v>0</v>
      </c>
      <c r="AZ518" s="105">
        <f ca="1" t="shared" ref="AZ518:AZ533" si="172">AY518-TODAY()</f>
        <v>-46313</v>
      </c>
    </row>
    <row r="519" customHeight="1" spans="1:52">
      <c r="A519" s="70">
        <v>518</v>
      </c>
      <c r="B519" s="70" t="s">
        <v>229</v>
      </c>
      <c r="C519" s="70" t="s">
        <v>13</v>
      </c>
      <c r="D519" s="71" t="s">
        <v>2093</v>
      </c>
      <c r="E519" s="71" t="s">
        <v>136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2094</v>
      </c>
      <c r="L519" s="104">
        <f t="shared" si="169"/>
        <v>46139</v>
      </c>
      <c r="M519" s="105">
        <f ca="1" t="shared" si="170"/>
        <v>-174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67"/>
        <v>0</v>
      </c>
      <c r="Z519" s="105">
        <f ca="1" t="shared" si="168"/>
        <v>-46313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63"/>
        <v>0</v>
      </c>
      <c r="AM519" s="105">
        <f ca="1" t="shared" si="164"/>
        <v>-46313</v>
      </c>
      <c r="AN519" s="115"/>
      <c r="AO519" s="70"/>
      <c r="AP519" s="70"/>
      <c r="AQ519" s="71"/>
      <c r="AR519" s="71"/>
      <c r="AS519" s="72"/>
      <c r="AT519" s="73"/>
      <c r="AU519" s="151"/>
      <c r="AV519" s="117"/>
      <c r="AW519" s="115"/>
      <c r="AX519" s="106"/>
      <c r="AY519" s="104">
        <f t="shared" si="171"/>
        <v>0</v>
      </c>
      <c r="AZ519" s="105">
        <f ca="1" t="shared" si="172"/>
        <v>-46313</v>
      </c>
    </row>
    <row r="520" customHeight="1" spans="1:52">
      <c r="A520" s="70">
        <v>519</v>
      </c>
      <c r="B520" s="70" t="s">
        <v>55</v>
      </c>
      <c r="C520" s="70" t="s">
        <v>13</v>
      </c>
      <c r="D520" s="71" t="s">
        <v>2095</v>
      </c>
      <c r="E520" s="71" t="s">
        <v>126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2096</v>
      </c>
      <c r="L520" s="104">
        <f t="shared" si="169"/>
        <v>46139</v>
      </c>
      <c r="M520" s="105">
        <f ca="1" t="shared" si="170"/>
        <v>-174</v>
      </c>
      <c r="N520" s="70"/>
      <c r="O520" s="70" t="s">
        <v>55</v>
      </c>
      <c r="P520" s="70" t="s">
        <v>13</v>
      </c>
      <c r="Q520" s="71" t="s">
        <v>2095</v>
      </c>
      <c r="R520" s="71" t="s">
        <v>126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2097</v>
      </c>
      <c r="Y520" s="104">
        <f t="shared" si="167"/>
        <v>46243</v>
      </c>
      <c r="Z520" s="105">
        <f ca="1" t="shared" si="168"/>
        <v>-70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63"/>
        <v>0</v>
      </c>
      <c r="AM520" s="105">
        <f ca="1" t="shared" si="164"/>
        <v>-46313</v>
      </c>
      <c r="AN520" s="115"/>
      <c r="AO520" s="70"/>
      <c r="AP520" s="70"/>
      <c r="AQ520" s="71"/>
      <c r="AR520" s="71"/>
      <c r="AS520" s="72"/>
      <c r="AT520" s="73"/>
      <c r="AU520" s="151"/>
      <c r="AV520" s="117"/>
      <c r="AW520" s="115"/>
      <c r="AX520" s="106"/>
      <c r="AY520" s="104">
        <f t="shared" si="171"/>
        <v>0</v>
      </c>
      <c r="AZ520" s="105">
        <f ca="1" t="shared" si="172"/>
        <v>-46313</v>
      </c>
    </row>
    <row r="521" customHeight="1" spans="1:52">
      <c r="A521" s="70">
        <v>520</v>
      </c>
      <c r="B521" s="70" t="s">
        <v>357</v>
      </c>
      <c r="C521" s="70" t="s">
        <v>13</v>
      </c>
      <c r="D521" s="71" t="s">
        <v>2098</v>
      </c>
      <c r="E521" s="71" t="s">
        <v>126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2099</v>
      </c>
      <c r="L521" s="104">
        <f t="shared" si="169"/>
        <v>46139</v>
      </c>
      <c r="M521" s="105">
        <f ca="1" t="shared" si="170"/>
        <v>-174</v>
      </c>
      <c r="N521" s="70"/>
      <c r="O521" s="70" t="s">
        <v>2100</v>
      </c>
      <c r="P521" s="70" t="s">
        <v>13</v>
      </c>
      <c r="Q521" s="71" t="s">
        <v>2098</v>
      </c>
      <c r="R521" s="71" t="s">
        <v>126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2101</v>
      </c>
      <c r="Y521" s="104">
        <f t="shared" si="167"/>
        <v>46223</v>
      </c>
      <c r="Z521" s="105">
        <f ca="1" t="shared" si="168"/>
        <v>-90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63"/>
        <v>0</v>
      </c>
      <c r="AM521" s="105">
        <f ca="1" t="shared" si="164"/>
        <v>-46313</v>
      </c>
      <c r="AN521" s="115"/>
      <c r="AO521" s="70"/>
      <c r="AP521" s="70"/>
      <c r="AQ521" s="71"/>
      <c r="AR521" s="71"/>
      <c r="AS521" s="72"/>
      <c r="AT521" s="73"/>
      <c r="AU521" s="75"/>
      <c r="AV521" s="117"/>
      <c r="AW521" s="115"/>
      <c r="AX521" s="106"/>
      <c r="AY521" s="104">
        <f t="shared" si="171"/>
        <v>0</v>
      </c>
      <c r="AZ521" s="105">
        <f ca="1" t="shared" si="172"/>
        <v>-46313</v>
      </c>
    </row>
    <row r="522" customHeight="1" spans="1:52">
      <c r="A522" s="70">
        <v>521</v>
      </c>
      <c r="B522" s="70" t="s">
        <v>357</v>
      </c>
      <c r="C522" s="70" t="s">
        <v>13</v>
      </c>
      <c r="D522" s="71" t="s">
        <v>2102</v>
      </c>
      <c r="E522" s="71" t="s">
        <v>126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2103</v>
      </c>
      <c r="L522" s="104">
        <f t="shared" si="169"/>
        <v>46139</v>
      </c>
      <c r="M522" s="105">
        <f ca="1" t="shared" si="170"/>
        <v>-174</v>
      </c>
      <c r="N522" s="70"/>
      <c r="O522" s="70" t="s">
        <v>12</v>
      </c>
      <c r="P522" s="70" t="s">
        <v>13</v>
      </c>
      <c r="Q522" s="71" t="s">
        <v>2102</v>
      </c>
      <c r="R522" s="71" t="s">
        <v>126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2104</v>
      </c>
      <c r="Y522" s="104">
        <f t="shared" ref="Y521:Y524" si="173">EDATE(V522,W522)</f>
        <v>46300</v>
      </c>
      <c r="Z522" s="105">
        <f ca="1" t="shared" ref="Z521:Z524" si="174">Y522-TODAY()</f>
        <v>-13</v>
      </c>
      <c r="AA522" s="70"/>
      <c r="AB522" s="70" t="s">
        <v>12</v>
      </c>
      <c r="AC522" s="70" t="s">
        <v>13</v>
      </c>
      <c r="AD522" s="71" t="s">
        <v>2102</v>
      </c>
      <c r="AE522" s="71" t="s">
        <v>126</v>
      </c>
      <c r="AF522" s="72"/>
      <c r="AG522" s="73"/>
      <c r="AH522" s="79" t="s">
        <v>16</v>
      </c>
      <c r="AI522" s="102">
        <v>46292</v>
      </c>
      <c r="AJ522" s="70">
        <v>3</v>
      </c>
      <c r="AK522" s="103" t="s">
        <v>2105</v>
      </c>
      <c r="AL522" s="104">
        <f t="shared" si="163"/>
        <v>46383</v>
      </c>
      <c r="AM522" s="105">
        <f ca="1" t="shared" si="164"/>
        <v>70</v>
      </c>
      <c r="AN522" s="115"/>
      <c r="AO522" s="70"/>
      <c r="AP522" s="70"/>
      <c r="AQ522" s="71"/>
      <c r="AR522" s="71"/>
      <c r="AS522" s="72"/>
      <c r="AT522" s="73"/>
      <c r="AU522" s="75"/>
      <c r="AV522" s="117"/>
      <c r="AW522" s="115"/>
      <c r="AX522" s="106"/>
      <c r="AY522" s="104">
        <f t="shared" si="171"/>
        <v>0</v>
      </c>
      <c r="AZ522" s="105">
        <f ca="1" t="shared" si="172"/>
        <v>-46313</v>
      </c>
    </row>
    <row r="523" customHeight="1" spans="1:52">
      <c r="A523" s="70">
        <v>522</v>
      </c>
      <c r="B523" s="70" t="s">
        <v>134</v>
      </c>
      <c r="C523" s="70" t="s">
        <v>13</v>
      </c>
      <c r="D523" s="71" t="s">
        <v>2106</v>
      </c>
      <c r="E523" s="71" t="s">
        <v>1688</v>
      </c>
      <c r="F523" s="72"/>
      <c r="G523" s="73"/>
      <c r="H523" s="151" t="s">
        <v>434</v>
      </c>
      <c r="I523" s="102">
        <v>46049</v>
      </c>
      <c r="J523" s="70">
        <v>3</v>
      </c>
      <c r="K523" s="106" t="s">
        <v>2107</v>
      </c>
      <c r="L523" s="104">
        <f t="shared" si="169"/>
        <v>46139</v>
      </c>
      <c r="M523" s="105">
        <f ca="1" t="shared" si="170"/>
        <v>-174</v>
      </c>
      <c r="N523" s="70"/>
      <c r="O523" s="70" t="s">
        <v>134</v>
      </c>
      <c r="P523" s="70" t="s">
        <v>13</v>
      </c>
      <c r="Q523" s="71" t="s">
        <v>2106</v>
      </c>
      <c r="R523" s="71" t="s">
        <v>1688</v>
      </c>
      <c r="S523" s="72"/>
      <c r="T523" s="73"/>
      <c r="U523" s="151" t="s">
        <v>434</v>
      </c>
      <c r="V523" s="102">
        <v>46129</v>
      </c>
      <c r="W523" s="70">
        <v>3</v>
      </c>
      <c r="X523" s="103" t="s">
        <v>2108</v>
      </c>
      <c r="Y523" s="104">
        <f t="shared" si="173"/>
        <v>46220</v>
      </c>
      <c r="Z523" s="105">
        <f ca="1" t="shared" si="174"/>
        <v>-93</v>
      </c>
      <c r="AA523" s="70"/>
      <c r="AB523" s="70" t="s">
        <v>134</v>
      </c>
      <c r="AC523" s="70" t="s">
        <v>13</v>
      </c>
      <c r="AD523" s="71" t="s">
        <v>2106</v>
      </c>
      <c r="AE523" s="71" t="s">
        <v>1688</v>
      </c>
      <c r="AF523" s="72"/>
      <c r="AG523" s="73"/>
      <c r="AH523" s="151" t="s">
        <v>434</v>
      </c>
      <c r="AI523" s="102">
        <v>46217</v>
      </c>
      <c r="AJ523" s="70">
        <v>3</v>
      </c>
      <c r="AK523" s="103" t="s">
        <v>2109</v>
      </c>
      <c r="AL523" s="104">
        <f t="shared" si="163"/>
        <v>46309</v>
      </c>
      <c r="AM523" s="105">
        <f ca="1" t="shared" si="164"/>
        <v>-4</v>
      </c>
      <c r="AN523" s="115"/>
      <c r="AO523" s="115"/>
      <c r="AP523" s="115"/>
      <c r="AQ523" s="93"/>
      <c r="AR523" s="93"/>
      <c r="AS523" s="94"/>
      <c r="AT523" s="95"/>
      <c r="AU523" s="79"/>
      <c r="AV523" s="117"/>
      <c r="AW523" s="115"/>
      <c r="AX523" s="106"/>
      <c r="AY523" s="104">
        <f t="shared" si="171"/>
        <v>0</v>
      </c>
      <c r="AZ523" s="105">
        <f ca="1" t="shared" si="172"/>
        <v>-46313</v>
      </c>
    </row>
    <row r="524" customHeight="1" spans="1:52">
      <c r="A524" s="70">
        <v>523</v>
      </c>
      <c r="B524" s="70" t="s">
        <v>134</v>
      </c>
      <c r="C524" s="70" t="s">
        <v>13</v>
      </c>
      <c r="D524" s="71" t="s">
        <v>2110</v>
      </c>
      <c r="E524" s="71" t="s">
        <v>2111</v>
      </c>
      <c r="F524" s="72"/>
      <c r="G524" s="73"/>
      <c r="H524" s="151" t="s">
        <v>434</v>
      </c>
      <c r="I524" s="102">
        <v>46049</v>
      </c>
      <c r="J524" s="70">
        <v>3</v>
      </c>
      <c r="K524" s="106" t="s">
        <v>2112</v>
      </c>
      <c r="L524" s="104">
        <f t="shared" si="169"/>
        <v>46139</v>
      </c>
      <c r="M524" s="105">
        <f ca="1" t="shared" si="170"/>
        <v>-174</v>
      </c>
      <c r="N524" s="70"/>
      <c r="O524" s="70" t="s">
        <v>134</v>
      </c>
      <c r="P524" s="70" t="s">
        <v>13</v>
      </c>
      <c r="Q524" s="71" t="s">
        <v>2110</v>
      </c>
      <c r="R524" s="71" t="s">
        <v>2111</v>
      </c>
      <c r="S524" s="72"/>
      <c r="T524" s="73"/>
      <c r="U524" s="151" t="s">
        <v>434</v>
      </c>
      <c r="V524" s="102">
        <v>46129</v>
      </c>
      <c r="W524" s="70">
        <v>3</v>
      </c>
      <c r="X524" s="103" t="s">
        <v>2113</v>
      </c>
      <c r="Y524" s="104">
        <f t="shared" si="173"/>
        <v>46220</v>
      </c>
      <c r="Z524" s="105">
        <f ca="1" t="shared" si="174"/>
        <v>-93</v>
      </c>
      <c r="AA524" s="70"/>
      <c r="AB524" s="70" t="s">
        <v>134</v>
      </c>
      <c r="AC524" s="70" t="s">
        <v>13</v>
      </c>
      <c r="AD524" s="71" t="s">
        <v>2110</v>
      </c>
      <c r="AE524" s="71" t="s">
        <v>2111</v>
      </c>
      <c r="AF524" s="72"/>
      <c r="AG524" s="73"/>
      <c r="AH524" s="151" t="s">
        <v>434</v>
      </c>
      <c r="AI524" s="102">
        <v>46217</v>
      </c>
      <c r="AJ524" s="70">
        <v>3</v>
      </c>
      <c r="AK524" s="103" t="s">
        <v>2114</v>
      </c>
      <c r="AL524" s="104">
        <f t="shared" si="163"/>
        <v>46309</v>
      </c>
      <c r="AM524" s="105">
        <f ca="1" t="shared" si="164"/>
        <v>-4</v>
      </c>
      <c r="AN524" s="115"/>
      <c r="AO524" s="70"/>
      <c r="AP524" s="70"/>
      <c r="AQ524" s="71"/>
      <c r="AR524" s="71"/>
      <c r="AS524" s="72"/>
      <c r="AT524" s="73"/>
      <c r="AU524" s="75"/>
      <c r="AV524" s="117"/>
      <c r="AW524" s="115"/>
      <c r="AX524" s="106"/>
      <c r="AY524" s="104">
        <f t="shared" si="171"/>
        <v>0</v>
      </c>
      <c r="AZ524" s="105">
        <f ca="1" t="shared" si="172"/>
        <v>-46313</v>
      </c>
    </row>
    <row r="525" customHeight="1" spans="1:52">
      <c r="A525" s="70">
        <v>524</v>
      </c>
      <c r="B525" s="70" t="s">
        <v>134</v>
      </c>
      <c r="C525" s="70" t="s">
        <v>13</v>
      </c>
      <c r="D525" s="71" t="s">
        <v>2115</v>
      </c>
      <c r="E525" s="71" t="s">
        <v>2116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2117</v>
      </c>
      <c r="L525" s="104">
        <f t="shared" si="169"/>
        <v>46139</v>
      </c>
      <c r="M525" s="105">
        <f ca="1" t="shared" si="170"/>
        <v>-174</v>
      </c>
      <c r="N525" s="70"/>
      <c r="O525" s="70" t="s">
        <v>134</v>
      </c>
      <c r="P525" s="70" t="s">
        <v>13</v>
      </c>
      <c r="Q525" s="71" t="s">
        <v>2115</v>
      </c>
      <c r="R525" s="71" t="s">
        <v>2116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2118</v>
      </c>
      <c r="Y525" s="104">
        <f t="shared" ref="Y525:Y533" si="175">EDATE(V525,W525)</f>
        <v>46224</v>
      </c>
      <c r="Z525" s="105">
        <f ca="1" t="shared" ref="Z525:Z533" si="176">Y525-TODAY()</f>
        <v>-89</v>
      </c>
      <c r="AA525" s="70"/>
      <c r="AB525" s="70" t="s">
        <v>134</v>
      </c>
      <c r="AC525" s="70" t="s">
        <v>13</v>
      </c>
      <c r="AD525" s="71" t="s">
        <v>2115</v>
      </c>
      <c r="AE525" s="71" t="s">
        <v>2116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2119</v>
      </c>
      <c r="AL525" s="104">
        <f t="shared" si="163"/>
        <v>46320</v>
      </c>
      <c r="AM525" s="105">
        <f ca="1" t="shared" si="164"/>
        <v>7</v>
      </c>
      <c r="AN525" s="115"/>
      <c r="AO525" s="115"/>
      <c r="AP525" s="115"/>
      <c r="AQ525" s="93"/>
      <c r="AR525" s="93"/>
      <c r="AS525" s="94"/>
      <c r="AT525" s="95"/>
      <c r="AU525" s="79"/>
      <c r="AV525" s="117"/>
      <c r="AW525" s="115"/>
      <c r="AX525" s="106"/>
      <c r="AY525" s="104">
        <f t="shared" si="171"/>
        <v>0</v>
      </c>
      <c r="AZ525" s="105">
        <f ca="1" t="shared" si="172"/>
        <v>-46313</v>
      </c>
    </row>
    <row r="526" customHeight="1" spans="1:52">
      <c r="A526" s="70">
        <v>525</v>
      </c>
      <c r="B526" s="70" t="s">
        <v>2120</v>
      </c>
      <c r="C526" s="70" t="s">
        <v>38</v>
      </c>
      <c r="D526" s="71" t="s">
        <v>2121</v>
      </c>
      <c r="E526" s="71" t="s">
        <v>2122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2123</v>
      </c>
      <c r="L526" s="104">
        <f t="shared" si="169"/>
        <v>46139</v>
      </c>
      <c r="M526" s="105">
        <f ca="1" t="shared" si="170"/>
        <v>-174</v>
      </c>
      <c r="N526" s="70"/>
      <c r="O526" s="70" t="s">
        <v>2120</v>
      </c>
      <c r="P526" s="70" t="s">
        <v>38</v>
      </c>
      <c r="Q526" s="71" t="s">
        <v>2121</v>
      </c>
      <c r="R526" s="71" t="s">
        <v>2122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2124</v>
      </c>
      <c r="Y526" s="104">
        <f t="shared" si="175"/>
        <v>46224</v>
      </c>
      <c r="Z526" s="105">
        <f ca="1" t="shared" si="176"/>
        <v>-89</v>
      </c>
      <c r="AA526" s="70"/>
      <c r="AB526" s="70" t="s">
        <v>2120</v>
      </c>
      <c r="AC526" s="70" t="s">
        <v>38</v>
      </c>
      <c r="AD526" s="71" t="s">
        <v>2121</v>
      </c>
      <c r="AE526" s="71" t="s">
        <v>2122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2125</v>
      </c>
      <c r="AL526" s="104">
        <f t="shared" si="163"/>
        <v>46309</v>
      </c>
      <c r="AM526" s="105">
        <f ca="1" t="shared" si="164"/>
        <v>-4</v>
      </c>
      <c r="AN526" s="115"/>
      <c r="AO526" s="115"/>
      <c r="AP526" s="115"/>
      <c r="AQ526" s="93"/>
      <c r="AR526" s="93"/>
      <c r="AS526" s="94"/>
      <c r="AT526" s="95"/>
      <c r="AU526" s="79"/>
      <c r="AV526" s="117"/>
      <c r="AW526" s="115"/>
      <c r="AX526" s="106"/>
      <c r="AY526" s="104">
        <f t="shared" si="171"/>
        <v>0</v>
      </c>
      <c r="AZ526" s="105">
        <f ca="1" t="shared" si="172"/>
        <v>-46313</v>
      </c>
    </row>
    <row r="527" customHeight="1" spans="1:52">
      <c r="A527" s="70">
        <v>526</v>
      </c>
      <c r="B527" s="70" t="s">
        <v>570</v>
      </c>
      <c r="C527" s="70" t="s">
        <v>13</v>
      </c>
      <c r="D527" s="71" t="s">
        <v>2126</v>
      </c>
      <c r="E527" s="71" t="s">
        <v>45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2127</v>
      </c>
      <c r="L527" s="104">
        <f t="shared" si="169"/>
        <v>46139</v>
      </c>
      <c r="M527" s="105">
        <f ca="1" t="shared" si="170"/>
        <v>-174</v>
      </c>
      <c r="N527" s="70"/>
      <c r="O527" s="70" t="s">
        <v>570</v>
      </c>
      <c r="P527" s="70" t="s">
        <v>13</v>
      </c>
      <c r="Q527" s="71" t="s">
        <v>2126</v>
      </c>
      <c r="R527" s="71" t="s">
        <v>45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2128</v>
      </c>
      <c r="Y527" s="104">
        <f t="shared" si="175"/>
        <v>46247</v>
      </c>
      <c r="Z527" s="105">
        <f ca="1" t="shared" si="176"/>
        <v>-66</v>
      </c>
      <c r="AA527" s="70"/>
      <c r="AB527" s="70" t="s">
        <v>570</v>
      </c>
      <c r="AC527" s="70" t="s">
        <v>13</v>
      </c>
      <c r="AD527" s="71" t="s">
        <v>2126</v>
      </c>
      <c r="AE527" s="71" t="s">
        <v>45</v>
      </c>
      <c r="AF527" s="72"/>
      <c r="AG527" s="73"/>
      <c r="AH527" s="74" t="s">
        <v>16</v>
      </c>
      <c r="AI527" s="102">
        <v>46264</v>
      </c>
      <c r="AJ527" s="70">
        <v>3</v>
      </c>
      <c r="AK527" s="103" t="s">
        <v>2129</v>
      </c>
      <c r="AL527" s="104">
        <f t="shared" si="163"/>
        <v>46356</v>
      </c>
      <c r="AM527" s="105">
        <f ca="1" t="shared" si="164"/>
        <v>43</v>
      </c>
      <c r="AN527" s="115"/>
      <c r="AO527" s="70"/>
      <c r="AP527" s="70"/>
      <c r="AQ527" s="71"/>
      <c r="AR527" s="71"/>
      <c r="AS527" s="72"/>
      <c r="AT527" s="73"/>
      <c r="AU527" s="79"/>
      <c r="AV527" s="117"/>
      <c r="AW527" s="115"/>
      <c r="AX527" s="106"/>
      <c r="AY527" s="104">
        <f t="shared" si="171"/>
        <v>0</v>
      </c>
      <c r="AZ527" s="105">
        <f ca="1" t="shared" si="172"/>
        <v>-46313</v>
      </c>
    </row>
    <row r="528" customHeight="1" spans="1:52">
      <c r="A528" s="70">
        <v>527</v>
      </c>
      <c r="B528" s="70" t="s">
        <v>169</v>
      </c>
      <c r="C528" s="70" t="s">
        <v>38</v>
      </c>
      <c r="D528" s="71" t="s">
        <v>170</v>
      </c>
      <c r="E528" s="71" t="s">
        <v>171</v>
      </c>
      <c r="F528" s="72"/>
      <c r="G528" s="73"/>
      <c r="H528" s="75"/>
      <c r="I528" s="102">
        <v>46049</v>
      </c>
      <c r="J528" s="102" t="s">
        <v>767</v>
      </c>
      <c r="K528" s="106"/>
      <c r="L528" s="104" t="e">
        <f t="shared" si="169"/>
        <v>#VALUE!</v>
      </c>
      <c r="M528" s="105" t="e">
        <f ca="1" t="shared" si="170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75"/>
        <v>0</v>
      </c>
      <c r="Z528" s="105">
        <f ca="1" t="shared" si="176"/>
        <v>-46313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63"/>
        <v>0</v>
      </c>
      <c r="AM528" s="105">
        <f ca="1" t="shared" si="164"/>
        <v>-46313</v>
      </c>
      <c r="AN528" s="115"/>
      <c r="AO528" s="115"/>
      <c r="AP528" s="115"/>
      <c r="AQ528" s="93"/>
      <c r="AR528" s="93"/>
      <c r="AS528" s="94"/>
      <c r="AT528" s="95"/>
      <c r="AU528" s="79"/>
      <c r="AV528" s="117"/>
      <c r="AW528" s="115"/>
      <c r="AX528" s="106"/>
      <c r="AY528" s="104">
        <f t="shared" si="171"/>
        <v>0</v>
      </c>
      <c r="AZ528" s="105">
        <f ca="1" t="shared" si="172"/>
        <v>-46313</v>
      </c>
    </row>
    <row r="529" customHeight="1" spans="1:52">
      <c r="A529" s="70">
        <v>528</v>
      </c>
      <c r="B529" s="70" t="s">
        <v>2130</v>
      </c>
      <c r="C529" s="70" t="s">
        <v>13</v>
      </c>
      <c r="D529" s="71" t="s">
        <v>2131</v>
      </c>
      <c r="E529" s="71" t="s">
        <v>2132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2133</v>
      </c>
      <c r="L529" s="104">
        <f t="shared" si="169"/>
        <v>46139</v>
      </c>
      <c r="M529" s="105">
        <f ca="1" t="shared" si="170"/>
        <v>-174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75"/>
        <v>0</v>
      </c>
      <c r="Z529" s="105">
        <f ca="1" t="shared" si="176"/>
        <v>-46313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63"/>
        <v>0</v>
      </c>
      <c r="AM529" s="105">
        <f ca="1" t="shared" si="164"/>
        <v>-46313</v>
      </c>
      <c r="AN529" s="115"/>
      <c r="AO529" s="115"/>
      <c r="AP529" s="115"/>
      <c r="AQ529" s="93"/>
      <c r="AR529" s="93"/>
      <c r="AS529" s="94"/>
      <c r="AT529" s="95"/>
      <c r="AU529" s="79"/>
      <c r="AV529" s="117"/>
      <c r="AW529" s="115"/>
      <c r="AX529" s="106"/>
      <c r="AY529" s="104">
        <f t="shared" si="171"/>
        <v>0</v>
      </c>
      <c r="AZ529" s="105">
        <f ca="1" t="shared" si="172"/>
        <v>-46313</v>
      </c>
    </row>
    <row r="530" customHeight="1" spans="1:52">
      <c r="A530" s="70">
        <v>529</v>
      </c>
      <c r="B530" s="70" t="s">
        <v>2130</v>
      </c>
      <c r="C530" s="70" t="s">
        <v>13</v>
      </c>
      <c r="D530" s="71" t="s">
        <v>2134</v>
      </c>
      <c r="E530" s="71" t="s">
        <v>2132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2135</v>
      </c>
      <c r="L530" s="104">
        <f t="shared" si="169"/>
        <v>46139</v>
      </c>
      <c r="M530" s="105">
        <f ca="1" t="shared" si="170"/>
        <v>-174</v>
      </c>
      <c r="N530" s="70"/>
      <c r="O530" s="70" t="s">
        <v>2130</v>
      </c>
      <c r="P530" s="70" t="s">
        <v>13</v>
      </c>
      <c r="Q530" s="71" t="s">
        <v>2134</v>
      </c>
      <c r="R530" s="71" t="s">
        <v>2132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2136</v>
      </c>
      <c r="Y530" s="104">
        <f t="shared" si="175"/>
        <v>46232</v>
      </c>
      <c r="Z530" s="105">
        <f ca="1" t="shared" si="176"/>
        <v>-81</v>
      </c>
      <c r="AA530" s="70"/>
      <c r="AB530" s="70" t="s">
        <v>2130</v>
      </c>
      <c r="AC530" s="70" t="s">
        <v>13</v>
      </c>
      <c r="AD530" s="71" t="s">
        <v>2134</v>
      </c>
      <c r="AE530" s="71" t="s">
        <v>2132</v>
      </c>
      <c r="AF530" s="72"/>
      <c r="AG530" s="73"/>
      <c r="AH530" s="74" t="s">
        <v>16</v>
      </c>
      <c r="AI530" s="102">
        <v>46261</v>
      </c>
      <c r="AJ530" s="70">
        <v>3</v>
      </c>
      <c r="AK530" s="103" t="s">
        <v>2137</v>
      </c>
      <c r="AL530" s="104">
        <f t="shared" si="163"/>
        <v>46353</v>
      </c>
      <c r="AM530" s="105">
        <f ca="1" t="shared" si="164"/>
        <v>40</v>
      </c>
      <c r="AN530" s="115"/>
      <c r="AO530" s="115"/>
      <c r="AP530" s="115"/>
      <c r="AQ530" s="93"/>
      <c r="AR530" s="93"/>
      <c r="AS530" s="94"/>
      <c r="AT530" s="95"/>
      <c r="AU530" s="79"/>
      <c r="AV530" s="117"/>
      <c r="AW530" s="115"/>
      <c r="AX530" s="106"/>
      <c r="AY530" s="104">
        <f t="shared" si="171"/>
        <v>0</v>
      </c>
      <c r="AZ530" s="105">
        <f ca="1" t="shared" si="172"/>
        <v>-46313</v>
      </c>
    </row>
    <row r="531" customHeight="1" spans="1:52">
      <c r="A531" s="70">
        <v>530</v>
      </c>
      <c r="B531" s="70" t="s">
        <v>555</v>
      </c>
      <c r="C531" s="70" t="s">
        <v>374</v>
      </c>
      <c r="D531" s="71" t="s">
        <v>2138</v>
      </c>
      <c r="E531" s="71" t="s">
        <v>1029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2139</v>
      </c>
      <c r="L531" s="104">
        <f t="shared" si="169"/>
        <v>46139</v>
      </c>
      <c r="M531" s="105">
        <f ca="1" t="shared" si="170"/>
        <v>-174</v>
      </c>
      <c r="N531" s="70"/>
      <c r="O531" s="70" t="s">
        <v>555</v>
      </c>
      <c r="P531" s="70" t="s">
        <v>374</v>
      </c>
      <c r="Q531" s="71" t="s">
        <v>2138</v>
      </c>
      <c r="R531" s="71" t="s">
        <v>1029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2140</v>
      </c>
      <c r="Y531" s="104">
        <f t="shared" si="175"/>
        <v>46252</v>
      </c>
      <c r="Z531" s="105">
        <f ca="1" t="shared" si="176"/>
        <v>-61</v>
      </c>
      <c r="AA531" s="70"/>
      <c r="AB531" s="70" t="s">
        <v>555</v>
      </c>
      <c r="AC531" s="70" t="s">
        <v>374</v>
      </c>
      <c r="AD531" s="71" t="s">
        <v>2138</v>
      </c>
      <c r="AE531" s="71" t="s">
        <v>1029</v>
      </c>
      <c r="AF531" s="72"/>
      <c r="AG531" s="73"/>
      <c r="AH531" s="74" t="s">
        <v>16</v>
      </c>
      <c r="AI531" s="102">
        <v>46302</v>
      </c>
      <c r="AJ531" s="70">
        <v>3</v>
      </c>
      <c r="AK531" s="103" t="s">
        <v>2141</v>
      </c>
      <c r="AL531" s="104">
        <f t="shared" si="163"/>
        <v>46394</v>
      </c>
      <c r="AM531" s="105">
        <f ca="1" t="shared" si="164"/>
        <v>81</v>
      </c>
      <c r="AN531" s="115"/>
      <c r="AO531" s="115"/>
      <c r="AP531" s="115"/>
      <c r="AQ531" s="93"/>
      <c r="AR531" s="93"/>
      <c r="AS531" s="94"/>
      <c r="AT531" s="95"/>
      <c r="AU531" s="79"/>
      <c r="AV531" s="117"/>
      <c r="AW531" s="115"/>
      <c r="AX531" s="106"/>
      <c r="AY531" s="104">
        <f t="shared" si="171"/>
        <v>0</v>
      </c>
      <c r="AZ531" s="105">
        <f ca="1" t="shared" si="172"/>
        <v>-46313</v>
      </c>
    </row>
    <row r="532" customHeight="1" spans="1:52">
      <c r="A532" s="70">
        <v>531</v>
      </c>
      <c r="B532" s="70" t="s">
        <v>1027</v>
      </c>
      <c r="C532" s="70" t="s">
        <v>374</v>
      </c>
      <c r="D532" s="71" t="s">
        <v>2142</v>
      </c>
      <c r="E532" s="71" t="s">
        <v>1029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2143</v>
      </c>
      <c r="L532" s="104">
        <f t="shared" si="169"/>
        <v>46139</v>
      </c>
      <c r="M532" s="105">
        <f ca="1" t="shared" si="170"/>
        <v>-174</v>
      </c>
      <c r="N532" s="70"/>
      <c r="O532" s="70" t="s">
        <v>1027</v>
      </c>
      <c r="P532" s="70" t="s">
        <v>374</v>
      </c>
      <c r="Q532" s="71" t="s">
        <v>2142</v>
      </c>
      <c r="R532" s="71" t="s">
        <v>1029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2144</v>
      </c>
      <c r="Y532" s="104">
        <f t="shared" si="175"/>
        <v>46226</v>
      </c>
      <c r="Z532" s="105">
        <f ca="1" t="shared" si="176"/>
        <v>-87</v>
      </c>
      <c r="AA532" s="70"/>
      <c r="AB532" s="70" t="s">
        <v>1027</v>
      </c>
      <c r="AC532" s="70" t="s">
        <v>374</v>
      </c>
      <c r="AD532" s="71" t="s">
        <v>2142</v>
      </c>
      <c r="AE532" s="71" t="s">
        <v>1029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2145</v>
      </c>
      <c r="AL532" s="104">
        <f t="shared" si="163"/>
        <v>46319</v>
      </c>
      <c r="AM532" s="105">
        <f ca="1" t="shared" si="164"/>
        <v>6</v>
      </c>
      <c r="AN532" s="115"/>
      <c r="AO532" s="70" t="s">
        <v>1027</v>
      </c>
      <c r="AP532" s="70" t="s">
        <v>374</v>
      </c>
      <c r="AQ532" s="71" t="s">
        <v>2142</v>
      </c>
      <c r="AR532" s="71" t="s">
        <v>1029</v>
      </c>
      <c r="AS532" s="72"/>
      <c r="AT532" s="73"/>
      <c r="AU532" s="74" t="s">
        <v>16</v>
      </c>
      <c r="AV532" s="117">
        <v>46311</v>
      </c>
      <c r="AW532" s="115">
        <v>3</v>
      </c>
      <c r="AX532" s="106"/>
      <c r="AY532" s="104">
        <f t="shared" si="171"/>
        <v>46403</v>
      </c>
      <c r="AZ532" s="105">
        <f ca="1" t="shared" si="172"/>
        <v>90</v>
      </c>
    </row>
    <row r="533" customHeight="1" spans="1:52">
      <c r="A533" s="70">
        <v>532</v>
      </c>
      <c r="B533" s="70" t="s">
        <v>555</v>
      </c>
      <c r="C533" s="70" t="s">
        <v>374</v>
      </c>
      <c r="D533" s="71" t="s">
        <v>2146</v>
      </c>
      <c r="E533" s="71" t="s">
        <v>883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2147</v>
      </c>
      <c r="L533" s="104">
        <f t="shared" si="169"/>
        <v>46139</v>
      </c>
      <c r="M533" s="105">
        <f ca="1" t="shared" si="170"/>
        <v>-174</v>
      </c>
      <c r="N533" s="70"/>
      <c r="O533" s="70" t="s">
        <v>555</v>
      </c>
      <c r="P533" s="70" t="s">
        <v>374</v>
      </c>
      <c r="Q533" s="71" t="s">
        <v>2146</v>
      </c>
      <c r="R533" s="71" t="s">
        <v>883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2148</v>
      </c>
      <c r="Y533" s="104">
        <f t="shared" si="175"/>
        <v>46252</v>
      </c>
      <c r="Z533" s="105">
        <f ca="1" t="shared" si="176"/>
        <v>-61</v>
      </c>
      <c r="AA533" s="70"/>
      <c r="AB533" s="70" t="s">
        <v>555</v>
      </c>
      <c r="AC533" s="70" t="s">
        <v>374</v>
      </c>
      <c r="AD533" s="71" t="s">
        <v>2146</v>
      </c>
      <c r="AE533" s="71" t="s">
        <v>883</v>
      </c>
      <c r="AF533" s="72"/>
      <c r="AG533" s="73"/>
      <c r="AH533" s="74" t="s">
        <v>16</v>
      </c>
      <c r="AI533" s="102">
        <v>46279</v>
      </c>
      <c r="AJ533" s="70">
        <v>3</v>
      </c>
      <c r="AK533" s="103" t="s">
        <v>2149</v>
      </c>
      <c r="AL533" s="104">
        <f t="shared" si="163"/>
        <v>46370</v>
      </c>
      <c r="AM533" s="105">
        <f ca="1" t="shared" si="164"/>
        <v>57</v>
      </c>
      <c r="AN533" s="115"/>
      <c r="AO533" s="115"/>
      <c r="AP533" s="115"/>
      <c r="AQ533" s="93"/>
      <c r="AR533" s="93"/>
      <c r="AS533" s="94"/>
      <c r="AT533" s="95"/>
      <c r="AU533" s="79"/>
      <c r="AV533" s="117"/>
      <c r="AW533" s="115"/>
      <c r="AX533" s="106"/>
      <c r="AY533" s="104">
        <f t="shared" si="171"/>
        <v>0</v>
      </c>
      <c r="AZ533" s="105">
        <f ca="1" t="shared" si="172"/>
        <v>-46313</v>
      </c>
    </row>
    <row r="534" customHeight="1" spans="1:52">
      <c r="A534" s="70">
        <v>533</v>
      </c>
      <c r="B534" s="70" t="s">
        <v>570</v>
      </c>
      <c r="C534" s="70" t="s">
        <v>13</v>
      </c>
      <c r="D534" s="71" t="s">
        <v>2150</v>
      </c>
      <c r="E534" s="71" t="s">
        <v>40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2151</v>
      </c>
      <c r="L534" s="104">
        <f t="shared" si="169"/>
        <v>46140</v>
      </c>
      <c r="M534" s="105">
        <f ca="1" t="shared" si="170"/>
        <v>-173</v>
      </c>
      <c r="N534" s="70"/>
      <c r="O534" s="70" t="s">
        <v>570</v>
      </c>
      <c r="P534" s="70" t="s">
        <v>13</v>
      </c>
      <c r="Q534" s="71" t="s">
        <v>2150</v>
      </c>
      <c r="R534" s="71" t="s">
        <v>40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2152</v>
      </c>
      <c r="Y534" s="104">
        <f t="shared" ref="Y534:Y560" si="177">EDATE(V534,W534)</f>
        <v>46257</v>
      </c>
      <c r="Z534" s="105">
        <f ca="1" t="shared" ref="Z534:Z560" si="178">Y534-TODAY()</f>
        <v>-56</v>
      </c>
      <c r="AA534" s="70"/>
      <c r="AB534" s="70" t="s">
        <v>570</v>
      </c>
      <c r="AC534" s="70" t="s">
        <v>13</v>
      </c>
      <c r="AD534" s="71" t="s">
        <v>2150</v>
      </c>
      <c r="AE534" s="71" t="s">
        <v>40</v>
      </c>
      <c r="AF534" s="72"/>
      <c r="AG534" s="73"/>
      <c r="AH534" s="74" t="s">
        <v>16</v>
      </c>
      <c r="AI534" s="102">
        <v>46270</v>
      </c>
      <c r="AJ534" s="70">
        <v>3</v>
      </c>
      <c r="AK534" s="103" t="s">
        <v>2153</v>
      </c>
      <c r="AL534" s="104">
        <f t="shared" si="163"/>
        <v>46361</v>
      </c>
      <c r="AM534" s="105">
        <f ca="1" t="shared" si="164"/>
        <v>48</v>
      </c>
      <c r="AN534" s="115"/>
      <c r="AO534" s="115"/>
      <c r="AP534" s="115"/>
      <c r="AQ534" s="93"/>
      <c r="AR534" s="93"/>
      <c r="AS534" s="94"/>
      <c r="AT534" s="95"/>
      <c r="AU534" s="79"/>
      <c r="AV534" s="117"/>
      <c r="AW534" s="115"/>
      <c r="AX534" s="106"/>
      <c r="AY534" s="104"/>
      <c r="AZ534" s="105"/>
    </row>
    <row r="535" customHeight="1" spans="1:52">
      <c r="A535" s="70">
        <v>534</v>
      </c>
      <c r="B535" s="70" t="s">
        <v>570</v>
      </c>
      <c r="C535" s="70" t="s">
        <v>38</v>
      </c>
      <c r="D535" s="71" t="s">
        <v>2154</v>
      </c>
      <c r="E535" s="71" t="s">
        <v>189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2155</v>
      </c>
      <c r="L535" s="104">
        <f t="shared" si="169"/>
        <v>46140</v>
      </c>
      <c r="M535" s="105">
        <f ca="1" t="shared" si="170"/>
        <v>-173</v>
      </c>
      <c r="N535" s="70"/>
      <c r="O535" s="70" t="s">
        <v>570</v>
      </c>
      <c r="P535" s="70" t="s">
        <v>38</v>
      </c>
      <c r="Q535" s="71" t="s">
        <v>2154</v>
      </c>
      <c r="R535" s="71" t="s">
        <v>189</v>
      </c>
      <c r="S535" s="72"/>
      <c r="T535" s="73"/>
      <c r="U535" s="74" t="s">
        <v>16</v>
      </c>
      <c r="V535" s="102">
        <v>46293</v>
      </c>
      <c r="W535" s="70">
        <v>3</v>
      </c>
      <c r="X535" s="103" t="s">
        <v>2156</v>
      </c>
      <c r="Y535" s="104">
        <f t="shared" si="177"/>
        <v>46384</v>
      </c>
      <c r="Z535" s="105">
        <f ca="1" t="shared" si="178"/>
        <v>71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63"/>
        <v>0</v>
      </c>
      <c r="AM535" s="105">
        <f ca="1" t="shared" si="164"/>
        <v>-46313</v>
      </c>
      <c r="AN535" s="115"/>
      <c r="AO535" s="70"/>
      <c r="AP535" s="70"/>
      <c r="AQ535" s="71"/>
      <c r="AR535" s="71"/>
      <c r="AS535" s="72"/>
      <c r="AT535" s="73"/>
      <c r="AU535" s="79"/>
      <c r="AV535" s="117"/>
      <c r="AW535" s="115"/>
      <c r="AX535" s="106"/>
      <c r="AY535" s="104">
        <f t="shared" ref="AY535:AY560" si="179">EDATE(AV535,AW535)</f>
        <v>0</v>
      </c>
      <c r="AZ535" s="105">
        <f ca="1" t="shared" ref="AZ535:AZ560" si="180">AY535-TODAY()</f>
        <v>-46313</v>
      </c>
    </row>
    <row r="536" customHeight="1" spans="1:52">
      <c r="A536" s="70">
        <v>535</v>
      </c>
      <c r="B536" s="70" t="s">
        <v>229</v>
      </c>
      <c r="C536" s="70" t="s">
        <v>13</v>
      </c>
      <c r="D536" s="71" t="s">
        <v>2157</v>
      </c>
      <c r="E536" s="71" t="s">
        <v>989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2158</v>
      </c>
      <c r="L536" s="104">
        <f t="shared" si="169"/>
        <v>46140</v>
      </c>
      <c r="M536" s="105">
        <f ca="1" t="shared" si="170"/>
        <v>-173</v>
      </c>
      <c r="N536" s="70"/>
      <c r="O536" s="70" t="s">
        <v>229</v>
      </c>
      <c r="P536" s="70" t="s">
        <v>13</v>
      </c>
      <c r="Q536" s="71" t="s">
        <v>2157</v>
      </c>
      <c r="R536" s="71" t="s">
        <v>989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2159</v>
      </c>
      <c r="Y536" s="104">
        <f t="shared" si="177"/>
        <v>46243</v>
      </c>
      <c r="Z536" s="105">
        <f ca="1" t="shared" si="178"/>
        <v>-70</v>
      </c>
      <c r="AA536" s="70"/>
      <c r="AB536" s="70" t="s">
        <v>229</v>
      </c>
      <c r="AC536" s="70" t="s">
        <v>13</v>
      </c>
      <c r="AD536" s="71" t="s">
        <v>2157</v>
      </c>
      <c r="AE536" s="71" t="s">
        <v>989</v>
      </c>
      <c r="AF536" s="72"/>
      <c r="AG536" s="73"/>
      <c r="AH536" s="74" t="s">
        <v>16</v>
      </c>
      <c r="AI536" s="102">
        <v>46266</v>
      </c>
      <c r="AJ536" s="70">
        <v>3</v>
      </c>
      <c r="AK536" s="103" t="s">
        <v>2160</v>
      </c>
      <c r="AL536" s="104">
        <f t="shared" si="163"/>
        <v>46357</v>
      </c>
      <c r="AM536" s="105">
        <f ca="1" t="shared" si="164"/>
        <v>44</v>
      </c>
      <c r="AN536" s="115"/>
      <c r="AO536" s="115"/>
      <c r="AP536" s="115"/>
      <c r="AQ536" s="93"/>
      <c r="AR536" s="93"/>
      <c r="AS536" s="94"/>
      <c r="AT536" s="95"/>
      <c r="AU536" s="79"/>
      <c r="AV536" s="117"/>
      <c r="AW536" s="115"/>
      <c r="AX536" s="106"/>
      <c r="AY536" s="104">
        <f t="shared" si="179"/>
        <v>0</v>
      </c>
      <c r="AZ536" s="105">
        <f ca="1" t="shared" si="180"/>
        <v>-46313</v>
      </c>
    </row>
    <row r="537" customHeight="1" spans="1:52">
      <c r="A537" s="70">
        <v>536</v>
      </c>
      <c r="B537" s="70" t="s">
        <v>229</v>
      </c>
      <c r="C537" s="70" t="s">
        <v>13</v>
      </c>
      <c r="D537" s="71" t="s">
        <v>2161</v>
      </c>
      <c r="E537" s="71" t="s">
        <v>2162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2163</v>
      </c>
      <c r="L537" s="104">
        <f t="shared" si="169"/>
        <v>46140</v>
      </c>
      <c r="M537" s="105">
        <f ca="1" t="shared" si="170"/>
        <v>-173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77"/>
        <v>0</v>
      </c>
      <c r="Z537" s="105">
        <f ca="1" t="shared" si="178"/>
        <v>-46313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63"/>
        <v>0</v>
      </c>
      <c r="AM537" s="105">
        <f ca="1" t="shared" si="164"/>
        <v>-46313</v>
      </c>
      <c r="AN537" s="115"/>
      <c r="AO537" s="115"/>
      <c r="AP537" s="115"/>
      <c r="AQ537" s="93"/>
      <c r="AR537" s="93"/>
      <c r="AS537" s="94"/>
      <c r="AT537" s="95"/>
      <c r="AU537" s="79"/>
      <c r="AV537" s="117"/>
      <c r="AW537" s="115"/>
      <c r="AX537" s="106"/>
      <c r="AY537" s="104">
        <f t="shared" si="179"/>
        <v>0</v>
      </c>
      <c r="AZ537" s="105">
        <f ca="1" t="shared" si="180"/>
        <v>-46313</v>
      </c>
    </row>
    <row r="538" customHeight="1" spans="1:52">
      <c r="A538" s="70">
        <v>537</v>
      </c>
      <c r="B538" s="70" t="s">
        <v>229</v>
      </c>
      <c r="C538" s="70" t="s">
        <v>38</v>
      </c>
      <c r="D538" s="71" t="s">
        <v>2164</v>
      </c>
      <c r="E538" s="71" t="s">
        <v>820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2165</v>
      </c>
      <c r="L538" s="104">
        <f t="shared" si="169"/>
        <v>46140</v>
      </c>
      <c r="M538" s="105">
        <f ca="1" t="shared" si="170"/>
        <v>-173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77"/>
        <v>0</v>
      </c>
      <c r="Z538" s="105">
        <f ca="1" t="shared" si="178"/>
        <v>-46313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63"/>
        <v>0</v>
      </c>
      <c r="AM538" s="105">
        <f ca="1" t="shared" si="164"/>
        <v>-46313</v>
      </c>
      <c r="AN538" s="115"/>
      <c r="AO538" s="115"/>
      <c r="AP538" s="115"/>
      <c r="AQ538" s="93"/>
      <c r="AR538" s="93"/>
      <c r="AS538" s="94"/>
      <c r="AT538" s="95"/>
      <c r="AU538" s="79"/>
      <c r="AV538" s="117"/>
      <c r="AW538" s="115"/>
      <c r="AX538" s="106"/>
      <c r="AY538" s="104">
        <f t="shared" si="179"/>
        <v>0</v>
      </c>
      <c r="AZ538" s="105">
        <f ca="1" t="shared" si="180"/>
        <v>-46313</v>
      </c>
    </row>
    <row r="539" customHeight="1" spans="1:52">
      <c r="A539" s="70">
        <v>538</v>
      </c>
      <c r="B539" s="70" t="s">
        <v>229</v>
      </c>
      <c r="C539" s="70" t="s">
        <v>38</v>
      </c>
      <c r="D539" s="71" t="s">
        <v>2166</v>
      </c>
      <c r="E539" s="71" t="s">
        <v>69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2167</v>
      </c>
      <c r="L539" s="104">
        <f t="shared" si="169"/>
        <v>46140</v>
      </c>
      <c r="M539" s="105">
        <f ca="1" t="shared" si="170"/>
        <v>-173</v>
      </c>
      <c r="N539" s="70"/>
      <c r="O539" s="70" t="s">
        <v>229</v>
      </c>
      <c r="P539" s="70" t="s">
        <v>38</v>
      </c>
      <c r="Q539" s="71" t="s">
        <v>2166</v>
      </c>
      <c r="R539" s="71" t="s">
        <v>69</v>
      </c>
      <c r="S539" s="72"/>
      <c r="T539" s="73"/>
      <c r="U539" s="75"/>
      <c r="V539" s="102">
        <v>46197</v>
      </c>
      <c r="W539" s="70">
        <v>3</v>
      </c>
      <c r="X539" s="103" t="s">
        <v>2168</v>
      </c>
      <c r="Y539" s="104">
        <f t="shared" si="177"/>
        <v>46289</v>
      </c>
      <c r="Z539" s="105">
        <f ca="1" t="shared" si="178"/>
        <v>-24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63"/>
        <v>0</v>
      </c>
      <c r="AM539" s="105">
        <f ca="1" t="shared" si="164"/>
        <v>-46313</v>
      </c>
      <c r="AN539" s="115"/>
      <c r="AO539" s="70"/>
      <c r="AP539" s="70"/>
      <c r="AQ539" s="71"/>
      <c r="AR539" s="71"/>
      <c r="AS539" s="72"/>
      <c r="AT539" s="73"/>
      <c r="AU539" s="79"/>
      <c r="AV539" s="117"/>
      <c r="AW539" s="115"/>
      <c r="AX539" s="106"/>
      <c r="AY539" s="104">
        <f t="shared" si="179"/>
        <v>0</v>
      </c>
      <c r="AZ539" s="105">
        <f ca="1" t="shared" si="180"/>
        <v>-46313</v>
      </c>
    </row>
    <row r="540" customHeight="1" spans="1:52">
      <c r="A540" s="70">
        <v>539</v>
      </c>
      <c r="B540" s="70" t="s">
        <v>229</v>
      </c>
      <c r="C540" s="70" t="s">
        <v>13</v>
      </c>
      <c r="D540" s="71" t="s">
        <v>2169</v>
      </c>
      <c r="E540" s="71" t="s">
        <v>34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2170</v>
      </c>
      <c r="L540" s="104">
        <f t="shared" si="169"/>
        <v>46140</v>
      </c>
      <c r="M540" s="105">
        <f ca="1" t="shared" si="170"/>
        <v>-173</v>
      </c>
      <c r="N540" s="70"/>
      <c r="O540" s="70" t="s">
        <v>229</v>
      </c>
      <c r="P540" s="70" t="s">
        <v>13</v>
      </c>
      <c r="Q540" s="71" t="s">
        <v>2169</v>
      </c>
      <c r="R540" s="71" t="s">
        <v>34</v>
      </c>
      <c r="S540" s="72"/>
      <c r="T540" s="73"/>
      <c r="U540" s="75"/>
      <c r="V540" s="102">
        <v>46207</v>
      </c>
      <c r="W540" s="70">
        <v>3</v>
      </c>
      <c r="X540" s="103" t="s">
        <v>2171</v>
      </c>
      <c r="Y540" s="104">
        <f t="shared" si="177"/>
        <v>46299</v>
      </c>
      <c r="Z540" s="105">
        <f ca="1" t="shared" si="178"/>
        <v>-14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63"/>
        <v>0</v>
      </c>
      <c r="AM540" s="105">
        <f ca="1" t="shared" si="164"/>
        <v>-46313</v>
      </c>
      <c r="AN540" s="115"/>
      <c r="AO540" s="115"/>
      <c r="AP540" s="115"/>
      <c r="AQ540" s="93"/>
      <c r="AR540" s="93"/>
      <c r="AS540" s="94"/>
      <c r="AT540" s="95"/>
      <c r="AU540" s="79"/>
      <c r="AV540" s="117"/>
      <c r="AW540" s="115"/>
      <c r="AX540" s="106"/>
      <c r="AY540" s="104">
        <f t="shared" si="179"/>
        <v>0</v>
      </c>
      <c r="AZ540" s="105">
        <f ca="1" t="shared" si="180"/>
        <v>-46313</v>
      </c>
    </row>
    <row r="541" customHeight="1" spans="1:52">
      <c r="A541" s="70">
        <v>540</v>
      </c>
      <c r="B541" s="70" t="s">
        <v>229</v>
      </c>
      <c r="C541" s="70" t="s">
        <v>13</v>
      </c>
      <c r="D541" s="71" t="s">
        <v>2172</v>
      </c>
      <c r="E541" s="71" t="s">
        <v>113</v>
      </c>
      <c r="F541" s="72"/>
      <c r="G541" s="73"/>
      <c r="H541" s="75"/>
      <c r="I541" s="102">
        <v>46050</v>
      </c>
      <c r="J541" s="70">
        <v>3</v>
      </c>
      <c r="K541" s="106" t="s">
        <v>2173</v>
      </c>
      <c r="L541" s="104">
        <f t="shared" si="169"/>
        <v>46140</v>
      </c>
      <c r="M541" s="105">
        <f ca="1" t="shared" si="170"/>
        <v>-173</v>
      </c>
      <c r="N541" s="70"/>
      <c r="O541" s="70" t="s">
        <v>229</v>
      </c>
      <c r="P541" s="70" t="s">
        <v>13</v>
      </c>
      <c r="Q541" s="71" t="s">
        <v>2172</v>
      </c>
      <c r="R541" s="71" t="s">
        <v>113</v>
      </c>
      <c r="S541" s="72"/>
      <c r="T541" s="73"/>
      <c r="U541" s="75"/>
      <c r="V541" s="102">
        <v>46269</v>
      </c>
      <c r="W541" s="70">
        <v>3</v>
      </c>
      <c r="X541" s="103" t="s">
        <v>2174</v>
      </c>
      <c r="Y541" s="104">
        <f t="shared" si="177"/>
        <v>46360</v>
      </c>
      <c r="Z541" s="105">
        <f ca="1" t="shared" si="178"/>
        <v>47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63"/>
        <v>0</v>
      </c>
      <c r="AM541" s="105">
        <f ca="1" t="shared" si="164"/>
        <v>-46313</v>
      </c>
      <c r="AN541" s="115"/>
      <c r="AO541" s="70"/>
      <c r="AP541" s="70"/>
      <c r="AQ541" s="71"/>
      <c r="AR541" s="71"/>
      <c r="AS541" s="72"/>
      <c r="AT541" s="73"/>
      <c r="AU541" s="79"/>
      <c r="AV541" s="117"/>
      <c r="AW541" s="115"/>
      <c r="AX541" s="106"/>
      <c r="AY541" s="104">
        <f t="shared" si="179"/>
        <v>0</v>
      </c>
      <c r="AZ541" s="105">
        <f ca="1" t="shared" si="180"/>
        <v>-46313</v>
      </c>
    </row>
    <row r="542" customHeight="1" spans="1:52">
      <c r="A542" s="70">
        <v>541</v>
      </c>
      <c r="B542" s="70" t="s">
        <v>134</v>
      </c>
      <c r="C542" s="70" t="s">
        <v>38</v>
      </c>
      <c r="D542" s="71" t="s">
        <v>2175</v>
      </c>
      <c r="E542" s="71" t="s">
        <v>189</v>
      </c>
      <c r="F542" s="72"/>
      <c r="G542" s="73"/>
      <c r="H542" s="75"/>
      <c r="I542" s="102">
        <v>46050</v>
      </c>
      <c r="J542" s="70">
        <v>3</v>
      </c>
      <c r="K542" s="106" t="s">
        <v>2176</v>
      </c>
      <c r="L542" s="104">
        <f t="shared" si="169"/>
        <v>46140</v>
      </c>
      <c r="M542" s="105">
        <f ca="1" t="shared" si="170"/>
        <v>-173</v>
      </c>
      <c r="N542" s="70"/>
      <c r="O542" s="70" t="s">
        <v>134</v>
      </c>
      <c r="P542" s="70" t="s">
        <v>38</v>
      </c>
      <c r="Q542" s="71" t="s">
        <v>2175</v>
      </c>
      <c r="R542" s="71" t="s">
        <v>189</v>
      </c>
      <c r="S542" s="72"/>
      <c r="T542" s="73"/>
      <c r="U542" s="75"/>
      <c r="V542" s="102">
        <v>46146</v>
      </c>
      <c r="W542" s="70">
        <v>3</v>
      </c>
      <c r="X542" s="103" t="s">
        <v>2177</v>
      </c>
      <c r="Y542" s="104">
        <f t="shared" si="177"/>
        <v>46238</v>
      </c>
      <c r="Z542" s="105">
        <f ca="1" t="shared" si="178"/>
        <v>-75</v>
      </c>
      <c r="AA542" s="70"/>
      <c r="AB542" s="70" t="s">
        <v>134</v>
      </c>
      <c r="AC542" s="70" t="s">
        <v>38</v>
      </c>
      <c r="AD542" s="71" t="s">
        <v>2175</v>
      </c>
      <c r="AE542" s="71" t="s">
        <v>189</v>
      </c>
      <c r="AF542" s="72"/>
      <c r="AG542" s="73"/>
      <c r="AH542" s="75"/>
      <c r="AI542" s="102">
        <v>46261</v>
      </c>
      <c r="AJ542" s="70">
        <v>3</v>
      </c>
      <c r="AK542" s="103" t="s">
        <v>2178</v>
      </c>
      <c r="AL542" s="104">
        <f t="shared" si="163"/>
        <v>46353</v>
      </c>
      <c r="AM542" s="105">
        <f ca="1" t="shared" si="164"/>
        <v>40</v>
      </c>
      <c r="AN542" s="115"/>
      <c r="AO542" s="70"/>
      <c r="AP542" s="70"/>
      <c r="AQ542" s="71"/>
      <c r="AR542" s="71"/>
      <c r="AS542" s="72"/>
      <c r="AT542" s="73"/>
      <c r="AU542" s="79"/>
      <c r="AV542" s="117"/>
      <c r="AW542" s="115"/>
      <c r="AX542" s="106"/>
      <c r="AY542" s="104">
        <f t="shared" si="179"/>
        <v>0</v>
      </c>
      <c r="AZ542" s="105">
        <f ca="1" t="shared" si="180"/>
        <v>-46313</v>
      </c>
    </row>
    <row r="543" customHeight="1" spans="1:52">
      <c r="A543" s="70">
        <v>542</v>
      </c>
      <c r="B543" s="70" t="s">
        <v>134</v>
      </c>
      <c r="C543" s="70" t="s">
        <v>38</v>
      </c>
      <c r="D543" s="71" t="s">
        <v>2179</v>
      </c>
      <c r="E543" s="71" t="s">
        <v>51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2180</v>
      </c>
      <c r="L543" s="104">
        <f t="shared" si="169"/>
        <v>46140</v>
      </c>
      <c r="M543" s="105">
        <f ca="1" t="shared" si="170"/>
        <v>-173</v>
      </c>
      <c r="N543" s="70"/>
      <c r="O543" s="70" t="s">
        <v>134</v>
      </c>
      <c r="P543" s="70" t="s">
        <v>38</v>
      </c>
      <c r="Q543" s="71" t="s">
        <v>2179</v>
      </c>
      <c r="R543" s="71" t="s">
        <v>51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2181</v>
      </c>
      <c r="Y543" s="104">
        <f t="shared" si="177"/>
        <v>46242</v>
      </c>
      <c r="Z543" s="105">
        <f ca="1" t="shared" si="178"/>
        <v>-71</v>
      </c>
      <c r="AA543" s="70"/>
      <c r="AB543" s="70" t="s">
        <v>134</v>
      </c>
      <c r="AC543" s="70" t="s">
        <v>38</v>
      </c>
      <c r="AD543" s="71" t="s">
        <v>2179</v>
      </c>
      <c r="AE543" s="71" t="s">
        <v>51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2182</v>
      </c>
      <c r="AL543" s="104">
        <f t="shared" si="163"/>
        <v>46326</v>
      </c>
      <c r="AM543" s="105">
        <f ca="1" t="shared" si="164"/>
        <v>13</v>
      </c>
      <c r="AN543" s="115"/>
      <c r="AO543" s="115"/>
      <c r="AP543" s="115"/>
      <c r="AQ543" s="93"/>
      <c r="AR543" s="93"/>
      <c r="AS543" s="94"/>
      <c r="AT543" s="95"/>
      <c r="AU543" s="79"/>
      <c r="AV543" s="117"/>
      <c r="AW543" s="115"/>
      <c r="AX543" s="106"/>
      <c r="AY543" s="104">
        <f t="shared" si="179"/>
        <v>0</v>
      </c>
      <c r="AZ543" s="105">
        <f ca="1" t="shared" si="180"/>
        <v>-46313</v>
      </c>
    </row>
    <row r="544" customHeight="1" spans="1:52">
      <c r="A544" s="70">
        <v>543</v>
      </c>
      <c r="B544" s="70" t="s">
        <v>1220</v>
      </c>
      <c r="C544" s="70" t="s">
        <v>38</v>
      </c>
      <c r="D544" s="71" t="s">
        <v>2183</v>
      </c>
      <c r="E544" s="71" t="s">
        <v>735</v>
      </c>
      <c r="F544" s="72"/>
      <c r="G544" s="73"/>
      <c r="H544" s="75"/>
      <c r="I544" s="102">
        <v>46050</v>
      </c>
      <c r="J544" s="70">
        <v>3</v>
      </c>
      <c r="K544" s="106" t="s">
        <v>2184</v>
      </c>
      <c r="L544" s="104">
        <f t="shared" si="169"/>
        <v>46140</v>
      </c>
      <c r="M544" s="105">
        <f ca="1" t="shared" si="170"/>
        <v>-173</v>
      </c>
      <c r="N544" s="70"/>
      <c r="O544" s="70" t="s">
        <v>1220</v>
      </c>
      <c r="P544" s="70" t="s">
        <v>38</v>
      </c>
      <c r="Q544" s="71" t="s">
        <v>2183</v>
      </c>
      <c r="R544" s="71" t="s">
        <v>735</v>
      </c>
      <c r="S544" s="72"/>
      <c r="T544" s="73"/>
      <c r="U544" s="75"/>
      <c r="V544" s="102">
        <v>46136</v>
      </c>
      <c r="W544" s="70">
        <v>3</v>
      </c>
      <c r="X544" s="103" t="s">
        <v>2185</v>
      </c>
      <c r="Y544" s="104">
        <f t="shared" si="177"/>
        <v>46227</v>
      </c>
      <c r="Z544" s="105">
        <f ca="1" t="shared" si="178"/>
        <v>-86</v>
      </c>
      <c r="AA544" s="70"/>
      <c r="AB544" s="70" t="s">
        <v>1220</v>
      </c>
      <c r="AC544" s="70" t="s">
        <v>38</v>
      </c>
      <c r="AD544" s="71" t="s">
        <v>2183</v>
      </c>
      <c r="AE544" s="71" t="s">
        <v>735</v>
      </c>
      <c r="AF544" s="72"/>
      <c r="AG544" s="73"/>
      <c r="AH544" s="75"/>
      <c r="AI544" s="102">
        <v>46293</v>
      </c>
      <c r="AJ544" s="70">
        <v>3</v>
      </c>
      <c r="AK544" s="103" t="s">
        <v>2186</v>
      </c>
      <c r="AL544" s="104">
        <f t="shared" ref="AL543:AL557" si="181">EDATE(AI544,AJ544)</f>
        <v>46384</v>
      </c>
      <c r="AM544" s="105">
        <f ca="1" t="shared" ref="AM543:AM557" si="182">AL544-TODAY()</f>
        <v>71</v>
      </c>
      <c r="AN544" s="115"/>
      <c r="AO544" s="115"/>
      <c r="AP544" s="115"/>
      <c r="AQ544" s="93"/>
      <c r="AR544" s="93"/>
      <c r="AS544" s="94"/>
      <c r="AT544" s="95"/>
      <c r="AU544" s="79"/>
      <c r="AV544" s="117"/>
      <c r="AW544" s="115"/>
      <c r="AX544" s="106"/>
      <c r="AY544" s="104">
        <f t="shared" si="179"/>
        <v>0</v>
      </c>
      <c r="AZ544" s="105">
        <f ca="1" t="shared" si="180"/>
        <v>-46313</v>
      </c>
    </row>
    <row r="545" customHeight="1" spans="1:52">
      <c r="A545" s="70">
        <v>544</v>
      </c>
      <c r="B545" s="70" t="s">
        <v>2187</v>
      </c>
      <c r="C545" s="70" t="s">
        <v>38</v>
      </c>
      <c r="D545" s="71" t="s">
        <v>2188</v>
      </c>
      <c r="E545" s="71" t="s">
        <v>1928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2189</v>
      </c>
      <c r="L545" s="104">
        <f t="shared" si="169"/>
        <v>46140</v>
      </c>
      <c r="M545" s="105">
        <f ca="1" t="shared" si="170"/>
        <v>-173</v>
      </c>
      <c r="N545" s="70"/>
      <c r="O545" s="70" t="s">
        <v>2187</v>
      </c>
      <c r="P545" s="70" t="s">
        <v>38</v>
      </c>
      <c r="Q545" s="71" t="s">
        <v>2188</v>
      </c>
      <c r="R545" s="71" t="s">
        <v>1928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2190</v>
      </c>
      <c r="Y545" s="104">
        <f t="shared" si="177"/>
        <v>46225</v>
      </c>
      <c r="Z545" s="105">
        <f ca="1" t="shared" si="178"/>
        <v>-88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81"/>
        <v>0</v>
      </c>
      <c r="AM545" s="105">
        <f ca="1" t="shared" si="182"/>
        <v>-46313</v>
      </c>
      <c r="AN545" s="115"/>
      <c r="AO545" s="115"/>
      <c r="AP545" s="115"/>
      <c r="AQ545" s="93"/>
      <c r="AR545" s="93"/>
      <c r="AS545" s="94"/>
      <c r="AT545" s="95"/>
      <c r="AU545" s="79"/>
      <c r="AV545" s="117"/>
      <c r="AW545" s="115"/>
      <c r="AX545" s="106"/>
      <c r="AY545" s="104">
        <f t="shared" si="179"/>
        <v>0</v>
      </c>
      <c r="AZ545" s="105">
        <f ca="1" t="shared" si="180"/>
        <v>-46313</v>
      </c>
    </row>
    <row r="546" customHeight="1" spans="1:52">
      <c r="A546" s="70">
        <v>545</v>
      </c>
      <c r="B546" s="70" t="s">
        <v>2191</v>
      </c>
      <c r="C546" s="70" t="s">
        <v>38</v>
      </c>
      <c r="D546" s="71" t="s">
        <v>2192</v>
      </c>
      <c r="E546" s="71" t="s">
        <v>2193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2194</v>
      </c>
      <c r="L546" s="104">
        <f t="shared" si="169"/>
        <v>46140</v>
      </c>
      <c r="M546" s="105">
        <f ca="1" t="shared" si="170"/>
        <v>-173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77"/>
        <v>0</v>
      </c>
      <c r="Z546" s="105">
        <f ca="1" t="shared" si="178"/>
        <v>-46313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81"/>
        <v>0</v>
      </c>
      <c r="AM546" s="105">
        <f ca="1" t="shared" si="182"/>
        <v>-46313</v>
      </c>
      <c r="AN546" s="115"/>
      <c r="AO546" s="115"/>
      <c r="AP546" s="115"/>
      <c r="AQ546" s="93"/>
      <c r="AR546" s="93"/>
      <c r="AS546" s="94"/>
      <c r="AT546" s="95"/>
      <c r="AU546" s="79"/>
      <c r="AV546" s="117"/>
      <c r="AW546" s="115"/>
      <c r="AX546" s="106"/>
      <c r="AY546" s="104">
        <f t="shared" si="179"/>
        <v>0</v>
      </c>
      <c r="AZ546" s="105">
        <f ca="1" t="shared" si="180"/>
        <v>-46313</v>
      </c>
    </row>
    <row r="547" customHeight="1" spans="1:52">
      <c r="A547" s="70">
        <v>546</v>
      </c>
      <c r="B547" s="70" t="s">
        <v>2195</v>
      </c>
      <c r="C547" s="70" t="s">
        <v>38</v>
      </c>
      <c r="D547" s="71" t="s">
        <v>2196</v>
      </c>
      <c r="E547" s="71" t="s">
        <v>2197</v>
      </c>
      <c r="F547" s="72"/>
      <c r="G547" s="73"/>
      <c r="H547" s="75"/>
      <c r="I547" s="102">
        <v>46050</v>
      </c>
      <c r="J547" s="70">
        <v>3</v>
      </c>
      <c r="K547" s="106" t="s">
        <v>2198</v>
      </c>
      <c r="L547" s="104">
        <f t="shared" si="169"/>
        <v>46140</v>
      </c>
      <c r="M547" s="105">
        <f ca="1" t="shared" si="170"/>
        <v>-173</v>
      </c>
      <c r="N547" s="70"/>
      <c r="O547" s="70" t="s">
        <v>2195</v>
      </c>
      <c r="P547" s="70" t="s">
        <v>38</v>
      </c>
      <c r="Q547" s="71" t="s">
        <v>2196</v>
      </c>
      <c r="R547" s="71" t="s">
        <v>2197</v>
      </c>
      <c r="S547" s="72"/>
      <c r="T547" s="73"/>
      <c r="U547" s="75"/>
      <c r="V547" s="102">
        <v>46141</v>
      </c>
      <c r="W547" s="70">
        <v>3</v>
      </c>
      <c r="X547" s="103" t="s">
        <v>2199</v>
      </c>
      <c r="Y547" s="104">
        <f t="shared" si="177"/>
        <v>46232</v>
      </c>
      <c r="Z547" s="105">
        <f ca="1" t="shared" si="178"/>
        <v>-81</v>
      </c>
      <c r="AA547" s="70"/>
      <c r="AB547" s="70" t="s">
        <v>2195</v>
      </c>
      <c r="AC547" s="70" t="s">
        <v>38</v>
      </c>
      <c r="AD547" s="71" t="s">
        <v>2196</v>
      </c>
      <c r="AE547" s="71" t="s">
        <v>2197</v>
      </c>
      <c r="AF547" s="72"/>
      <c r="AG547" s="73"/>
      <c r="AH547" s="75"/>
      <c r="AI547" s="102">
        <v>46287</v>
      </c>
      <c r="AJ547" s="70">
        <v>3</v>
      </c>
      <c r="AK547" s="103" t="s">
        <v>2200</v>
      </c>
      <c r="AL547" s="104">
        <f t="shared" si="181"/>
        <v>46378</v>
      </c>
      <c r="AM547" s="105">
        <f ca="1" t="shared" si="182"/>
        <v>65</v>
      </c>
      <c r="AN547" s="115"/>
      <c r="AO547" s="115"/>
      <c r="AP547" s="115"/>
      <c r="AQ547" s="93"/>
      <c r="AR547" s="93"/>
      <c r="AS547" s="94"/>
      <c r="AT547" s="95"/>
      <c r="AU547" s="79"/>
      <c r="AV547" s="117"/>
      <c r="AW547" s="115"/>
      <c r="AX547" s="106"/>
      <c r="AY547" s="104">
        <f t="shared" si="179"/>
        <v>0</v>
      </c>
      <c r="AZ547" s="105">
        <f ca="1" t="shared" si="180"/>
        <v>-46313</v>
      </c>
    </row>
    <row r="548" customHeight="1" spans="1:52">
      <c r="A548" s="70">
        <v>547</v>
      </c>
      <c r="B548" s="70" t="s">
        <v>2195</v>
      </c>
      <c r="C548" s="70" t="s">
        <v>38</v>
      </c>
      <c r="D548" s="71" t="s">
        <v>2201</v>
      </c>
      <c r="E548" s="71" t="s">
        <v>2197</v>
      </c>
      <c r="F548" s="72"/>
      <c r="G548" s="73"/>
      <c r="H548" s="75"/>
      <c r="I548" s="102">
        <v>46050</v>
      </c>
      <c r="J548" s="70">
        <v>3</v>
      </c>
      <c r="K548" s="106" t="s">
        <v>2202</v>
      </c>
      <c r="L548" s="104">
        <f t="shared" si="169"/>
        <v>46140</v>
      </c>
      <c r="M548" s="105">
        <f ca="1" t="shared" si="170"/>
        <v>-173</v>
      </c>
      <c r="N548" s="70"/>
      <c r="O548" s="70" t="s">
        <v>2195</v>
      </c>
      <c r="P548" s="70" t="s">
        <v>38</v>
      </c>
      <c r="Q548" s="71" t="s">
        <v>2201</v>
      </c>
      <c r="R548" s="71" t="s">
        <v>2197</v>
      </c>
      <c r="S548" s="72"/>
      <c r="T548" s="73"/>
      <c r="U548" s="75"/>
      <c r="V548" s="102">
        <v>46203</v>
      </c>
      <c r="W548" s="70">
        <v>3</v>
      </c>
      <c r="X548" s="103" t="s">
        <v>2203</v>
      </c>
      <c r="Y548" s="104">
        <f t="shared" si="177"/>
        <v>46295</v>
      </c>
      <c r="Z548" s="105">
        <f ca="1" t="shared" si="178"/>
        <v>-18</v>
      </c>
      <c r="AA548" s="70"/>
      <c r="AB548" s="70" t="s">
        <v>2195</v>
      </c>
      <c r="AC548" s="70" t="s">
        <v>38</v>
      </c>
      <c r="AD548" s="71" t="s">
        <v>2201</v>
      </c>
      <c r="AE548" s="71" t="s">
        <v>2197</v>
      </c>
      <c r="AF548" s="72"/>
      <c r="AG548" s="73"/>
      <c r="AH548" s="75"/>
      <c r="AI548" s="102">
        <v>46287</v>
      </c>
      <c r="AJ548" s="70">
        <v>3</v>
      </c>
      <c r="AK548" s="103" t="s">
        <v>2204</v>
      </c>
      <c r="AL548" s="104">
        <f t="shared" si="181"/>
        <v>46378</v>
      </c>
      <c r="AM548" s="105">
        <f ca="1" t="shared" si="182"/>
        <v>65</v>
      </c>
      <c r="AN548" s="115"/>
      <c r="AO548" s="115"/>
      <c r="AP548" s="115"/>
      <c r="AQ548" s="93"/>
      <c r="AR548" s="93"/>
      <c r="AS548" s="94"/>
      <c r="AT548" s="95"/>
      <c r="AU548" s="79"/>
      <c r="AV548" s="117"/>
      <c r="AW548" s="115"/>
      <c r="AX548" s="106"/>
      <c r="AY548" s="104">
        <f t="shared" si="179"/>
        <v>0</v>
      </c>
      <c r="AZ548" s="105">
        <f ca="1" t="shared" si="180"/>
        <v>-46313</v>
      </c>
    </row>
    <row r="549" customHeight="1" spans="1:52">
      <c r="A549" s="70">
        <v>548</v>
      </c>
      <c r="B549" s="70" t="s">
        <v>2205</v>
      </c>
      <c r="C549" s="70" t="s">
        <v>264</v>
      </c>
      <c r="D549" s="71" t="s">
        <v>955</v>
      </c>
      <c r="E549" s="71" t="s">
        <v>764</v>
      </c>
      <c r="F549" s="72"/>
      <c r="G549" s="73"/>
      <c r="H549" s="75"/>
      <c r="I549" s="102">
        <v>46050</v>
      </c>
      <c r="J549" s="70">
        <v>3</v>
      </c>
      <c r="K549" s="106" t="s">
        <v>2206</v>
      </c>
      <c r="L549" s="104">
        <f t="shared" si="169"/>
        <v>46140</v>
      </c>
      <c r="M549" s="105">
        <f ca="1" t="shared" si="170"/>
        <v>-173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77"/>
        <v>0</v>
      </c>
      <c r="Z549" s="105">
        <f ca="1" t="shared" si="178"/>
        <v>-46313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81"/>
        <v>0</v>
      </c>
      <c r="AM549" s="105">
        <f ca="1" t="shared" si="182"/>
        <v>-46313</v>
      </c>
      <c r="AN549" s="115"/>
      <c r="AO549" s="115"/>
      <c r="AP549" s="115"/>
      <c r="AQ549" s="93"/>
      <c r="AR549" s="93"/>
      <c r="AS549" s="94"/>
      <c r="AT549" s="95"/>
      <c r="AU549" s="79"/>
      <c r="AV549" s="117"/>
      <c r="AW549" s="115"/>
      <c r="AX549" s="106"/>
      <c r="AY549" s="104">
        <f t="shared" si="179"/>
        <v>0</v>
      </c>
      <c r="AZ549" s="105">
        <f ca="1" t="shared" si="180"/>
        <v>-46313</v>
      </c>
    </row>
    <row r="550" customHeight="1" spans="1:52">
      <c r="A550" s="70">
        <v>549</v>
      </c>
      <c r="B550" s="70" t="s">
        <v>2205</v>
      </c>
      <c r="C550" s="70" t="s">
        <v>264</v>
      </c>
      <c r="D550" s="71" t="s">
        <v>265</v>
      </c>
      <c r="E550" s="71" t="s">
        <v>266</v>
      </c>
      <c r="F550" s="72"/>
      <c r="G550" s="73"/>
      <c r="H550" s="75"/>
      <c r="I550" s="102">
        <v>46050</v>
      </c>
      <c r="J550" s="70">
        <v>3</v>
      </c>
      <c r="K550" s="106" t="s">
        <v>2207</v>
      </c>
      <c r="L550" s="104">
        <f t="shared" si="169"/>
        <v>46140</v>
      </c>
      <c r="M550" s="105">
        <f ca="1" t="shared" si="170"/>
        <v>-173</v>
      </c>
      <c r="N550" s="70"/>
      <c r="O550" s="70" t="s">
        <v>2205</v>
      </c>
      <c r="P550" s="70" t="s">
        <v>264</v>
      </c>
      <c r="Q550" s="71" t="s">
        <v>265</v>
      </c>
      <c r="R550" s="71" t="s">
        <v>266</v>
      </c>
      <c r="S550" s="72"/>
      <c r="T550" s="73"/>
      <c r="U550" s="75"/>
      <c r="V550" s="102">
        <v>46181</v>
      </c>
      <c r="W550" s="70">
        <v>3</v>
      </c>
      <c r="X550" s="103" t="s">
        <v>2208</v>
      </c>
      <c r="Y550" s="104">
        <f t="shared" si="177"/>
        <v>46273</v>
      </c>
      <c r="Z550" s="105">
        <f ca="1" t="shared" si="178"/>
        <v>-40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81"/>
        <v>0</v>
      </c>
      <c r="AM550" s="105">
        <f ca="1" t="shared" si="182"/>
        <v>-46313</v>
      </c>
      <c r="AN550" s="115"/>
      <c r="AO550" s="115"/>
      <c r="AP550" s="115"/>
      <c r="AQ550" s="93"/>
      <c r="AR550" s="93"/>
      <c r="AS550" s="94"/>
      <c r="AT550" s="95"/>
      <c r="AU550" s="79"/>
      <c r="AV550" s="117"/>
      <c r="AW550" s="115"/>
      <c r="AX550" s="106"/>
      <c r="AY550" s="104">
        <f t="shared" si="179"/>
        <v>0</v>
      </c>
      <c r="AZ550" s="105">
        <f ca="1" t="shared" si="180"/>
        <v>-46313</v>
      </c>
    </row>
    <row r="551" customHeight="1" spans="1:52">
      <c r="A551" s="70">
        <v>550</v>
      </c>
      <c r="B551" s="70" t="s">
        <v>263</v>
      </c>
      <c r="C551" s="70" t="s">
        <v>264</v>
      </c>
      <c r="D551" s="71" t="s">
        <v>265</v>
      </c>
      <c r="E551" s="71" t="s">
        <v>266</v>
      </c>
      <c r="F551" s="72"/>
      <c r="G551" s="73"/>
      <c r="H551" s="75"/>
      <c r="I551" s="102">
        <v>46050</v>
      </c>
      <c r="J551" s="102" t="s">
        <v>767</v>
      </c>
      <c r="K551" s="106"/>
      <c r="L551" s="104" t="e">
        <f t="shared" si="169"/>
        <v>#VALUE!</v>
      </c>
      <c r="M551" s="105" t="e">
        <f ca="1" t="shared" si="170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77"/>
        <v>0</v>
      </c>
      <c r="Z551" s="105">
        <f ca="1" t="shared" si="178"/>
        <v>-46313</v>
      </c>
      <c r="AA551" s="70"/>
      <c r="AB551" s="197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81"/>
        <v>0</v>
      </c>
      <c r="AM551" s="105">
        <f ca="1" t="shared" si="182"/>
        <v>-46313</v>
      </c>
      <c r="AN551" s="115"/>
      <c r="AO551" s="197"/>
      <c r="AP551" s="115"/>
      <c r="AQ551" s="93"/>
      <c r="AR551" s="93"/>
      <c r="AS551" s="94"/>
      <c r="AT551" s="95"/>
      <c r="AU551" s="79"/>
      <c r="AV551" s="117"/>
      <c r="AW551" s="115"/>
      <c r="AX551" s="106"/>
      <c r="AY551" s="104">
        <f t="shared" si="179"/>
        <v>0</v>
      </c>
      <c r="AZ551" s="105">
        <f ca="1" t="shared" si="180"/>
        <v>-46313</v>
      </c>
    </row>
    <row r="552" customHeight="1" spans="1:52">
      <c r="A552" s="70">
        <v>551</v>
      </c>
      <c r="B552" s="70" t="s">
        <v>270</v>
      </c>
      <c r="C552" s="70" t="s">
        <v>264</v>
      </c>
      <c r="D552" s="71" t="s">
        <v>958</v>
      </c>
      <c r="E552" s="71" t="s">
        <v>1232</v>
      </c>
      <c r="F552" s="72"/>
      <c r="G552" s="73"/>
      <c r="H552" s="75"/>
      <c r="I552" s="102">
        <v>46050</v>
      </c>
      <c r="J552" s="102" t="s">
        <v>767</v>
      </c>
      <c r="K552" s="106"/>
      <c r="L552" s="104" t="e">
        <f t="shared" si="169"/>
        <v>#VALUE!</v>
      </c>
      <c r="M552" s="105" t="e">
        <f ca="1" t="shared" si="170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77"/>
        <v>0</v>
      </c>
      <c r="Z552" s="105">
        <f ca="1" t="shared" si="178"/>
        <v>-46313</v>
      </c>
      <c r="AA552" s="70"/>
      <c r="AB552" s="197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81"/>
        <v>0</v>
      </c>
      <c r="AM552" s="105">
        <f ca="1" t="shared" si="182"/>
        <v>-46313</v>
      </c>
      <c r="AN552" s="115"/>
      <c r="AO552" s="197"/>
      <c r="AP552" s="115"/>
      <c r="AQ552" s="93"/>
      <c r="AR552" s="93"/>
      <c r="AS552" s="94"/>
      <c r="AT552" s="95"/>
      <c r="AU552" s="79"/>
      <c r="AV552" s="117"/>
      <c r="AW552" s="115"/>
      <c r="AX552" s="106"/>
      <c r="AY552" s="104">
        <f t="shared" si="179"/>
        <v>0</v>
      </c>
      <c r="AZ552" s="105">
        <f ca="1" t="shared" si="180"/>
        <v>-46313</v>
      </c>
    </row>
    <row r="553" customHeight="1" spans="1:52">
      <c r="A553" s="70">
        <v>552</v>
      </c>
      <c r="B553" s="70" t="s">
        <v>270</v>
      </c>
      <c r="C553" s="70" t="s">
        <v>264</v>
      </c>
      <c r="D553" s="71" t="s">
        <v>276</v>
      </c>
      <c r="E553" s="71" t="s">
        <v>277</v>
      </c>
      <c r="F553" s="72"/>
      <c r="G553" s="73"/>
      <c r="H553" s="75"/>
      <c r="I553" s="102">
        <v>46050</v>
      </c>
      <c r="J553" s="102" t="s">
        <v>767</v>
      </c>
      <c r="K553" s="106"/>
      <c r="L553" s="104" t="e">
        <f t="shared" si="169"/>
        <v>#VALUE!</v>
      </c>
      <c r="M553" s="105" t="e">
        <f ca="1" t="shared" si="170"/>
        <v>#VALUE!</v>
      </c>
      <c r="N553" s="70"/>
      <c r="O553" s="70"/>
      <c r="P553" s="70"/>
      <c r="Q553" s="71"/>
      <c r="R553" s="71"/>
      <c r="S553" s="72"/>
      <c r="T553" s="73"/>
      <c r="U553" s="146"/>
      <c r="V553" s="102"/>
      <c r="W553" s="70"/>
      <c r="X553" s="103"/>
      <c r="Y553" s="104">
        <f t="shared" si="177"/>
        <v>0</v>
      </c>
      <c r="Z553" s="105">
        <f ca="1" t="shared" si="178"/>
        <v>-46313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81"/>
        <v>0</v>
      </c>
      <c r="AM553" s="105">
        <f ca="1" t="shared" si="182"/>
        <v>-46313</v>
      </c>
      <c r="AN553" s="115"/>
      <c r="AO553" s="115"/>
      <c r="AP553" s="115"/>
      <c r="AQ553" s="93"/>
      <c r="AR553" s="93"/>
      <c r="AS553" s="94"/>
      <c r="AT553" s="95"/>
      <c r="AU553" s="146"/>
      <c r="AV553" s="117"/>
      <c r="AW553" s="115"/>
      <c r="AX553" s="106"/>
      <c r="AY553" s="104">
        <f t="shared" si="179"/>
        <v>0</v>
      </c>
      <c r="AZ553" s="105">
        <f ca="1" t="shared" si="180"/>
        <v>-46313</v>
      </c>
    </row>
    <row r="554" customHeight="1" spans="1:52">
      <c r="A554" s="70">
        <v>553</v>
      </c>
      <c r="B554" s="70" t="s">
        <v>229</v>
      </c>
      <c r="C554" s="70" t="s">
        <v>13</v>
      </c>
      <c r="D554" s="71" t="s">
        <v>2209</v>
      </c>
      <c r="E554" s="71" t="s">
        <v>393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2210</v>
      </c>
      <c r="L554" s="104">
        <f t="shared" si="169"/>
        <v>46141</v>
      </c>
      <c r="M554" s="105">
        <f ca="1" t="shared" si="170"/>
        <v>-172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77"/>
        <v>0</v>
      </c>
      <c r="Z554" s="105">
        <f ca="1" t="shared" si="178"/>
        <v>-46313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81"/>
        <v>0</v>
      </c>
      <c r="AM554" s="105">
        <f ca="1" t="shared" si="182"/>
        <v>-46313</v>
      </c>
      <c r="AN554" s="115"/>
      <c r="AO554" s="70"/>
      <c r="AP554" s="70"/>
      <c r="AQ554" s="71"/>
      <c r="AR554" s="71"/>
      <c r="AS554" s="72"/>
      <c r="AT554" s="73"/>
      <c r="AU554" s="75"/>
      <c r="AV554" s="117"/>
      <c r="AW554" s="115"/>
      <c r="AX554" s="106"/>
      <c r="AY554" s="104">
        <f t="shared" si="179"/>
        <v>0</v>
      </c>
      <c r="AZ554" s="105">
        <f ca="1" t="shared" si="180"/>
        <v>-46313</v>
      </c>
    </row>
    <row r="555" customHeight="1" spans="1:52">
      <c r="A555" s="70">
        <v>554</v>
      </c>
      <c r="B555" s="70" t="s">
        <v>229</v>
      </c>
      <c r="C555" s="70" t="s">
        <v>13</v>
      </c>
      <c r="D555" s="71" t="s">
        <v>2211</v>
      </c>
      <c r="E555" s="71" t="s">
        <v>126</v>
      </c>
      <c r="F555" s="72"/>
      <c r="G555" s="73"/>
      <c r="H555" s="75"/>
      <c r="I555" s="102">
        <v>46051</v>
      </c>
      <c r="J555" s="70">
        <v>3</v>
      </c>
      <c r="K555" s="106" t="s">
        <v>2212</v>
      </c>
      <c r="L555" s="104">
        <f t="shared" si="169"/>
        <v>46141</v>
      </c>
      <c r="M555" s="105">
        <f ca="1" t="shared" si="170"/>
        <v>-172</v>
      </c>
      <c r="N555" s="70"/>
      <c r="O555" s="70" t="s">
        <v>229</v>
      </c>
      <c r="P555" s="70" t="s">
        <v>13</v>
      </c>
      <c r="Q555" s="71" t="s">
        <v>2211</v>
      </c>
      <c r="R555" s="71" t="s">
        <v>126</v>
      </c>
      <c r="S555" s="72"/>
      <c r="T555" s="73"/>
      <c r="U555" s="75"/>
      <c r="V555" s="102">
        <v>46248</v>
      </c>
      <c r="W555" s="70">
        <v>3</v>
      </c>
      <c r="X555" s="103" t="s">
        <v>2213</v>
      </c>
      <c r="Y555" s="104">
        <f t="shared" si="177"/>
        <v>46340</v>
      </c>
      <c r="Z555" s="105">
        <f ca="1" t="shared" si="178"/>
        <v>27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81"/>
        <v>0</v>
      </c>
      <c r="AM555" s="105">
        <f ca="1" t="shared" si="182"/>
        <v>-46313</v>
      </c>
      <c r="AN555" s="115"/>
      <c r="AO555" s="115"/>
      <c r="AP555" s="115"/>
      <c r="AQ555" s="93"/>
      <c r="AR555" s="93"/>
      <c r="AS555" s="94"/>
      <c r="AT555" s="95"/>
      <c r="AU555" s="79"/>
      <c r="AV555" s="117"/>
      <c r="AW555" s="115"/>
      <c r="AX555" s="106"/>
      <c r="AY555" s="104">
        <f t="shared" si="179"/>
        <v>0</v>
      </c>
      <c r="AZ555" s="105">
        <f ca="1" t="shared" si="180"/>
        <v>-46313</v>
      </c>
    </row>
    <row r="556" customHeight="1" spans="1:52">
      <c r="A556" s="70">
        <v>555</v>
      </c>
      <c r="B556" s="70" t="s">
        <v>751</v>
      </c>
      <c r="C556" s="70" t="s">
        <v>38</v>
      </c>
      <c r="D556" s="71" t="s">
        <v>2214</v>
      </c>
      <c r="E556" s="71" t="s">
        <v>69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2215</v>
      </c>
      <c r="L556" s="104">
        <f t="shared" si="169"/>
        <v>46141</v>
      </c>
      <c r="M556" s="105">
        <f ca="1" t="shared" si="170"/>
        <v>-172</v>
      </c>
      <c r="N556" s="70"/>
      <c r="O556" s="70" t="s">
        <v>751</v>
      </c>
      <c r="P556" s="70" t="s">
        <v>38</v>
      </c>
      <c r="Q556" s="71" t="s">
        <v>2214</v>
      </c>
      <c r="R556" s="71" t="s">
        <v>69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2216</v>
      </c>
      <c r="Y556" s="104">
        <f t="shared" si="177"/>
        <v>46264</v>
      </c>
      <c r="Z556" s="105">
        <f ca="1" t="shared" si="178"/>
        <v>-49</v>
      </c>
      <c r="AA556" s="105"/>
      <c r="AB556" s="70" t="s">
        <v>751</v>
      </c>
      <c r="AC556" s="70" t="s">
        <v>38</v>
      </c>
      <c r="AD556" s="71" t="s">
        <v>2214</v>
      </c>
      <c r="AE556" s="71" t="s">
        <v>69</v>
      </c>
      <c r="AF556" s="72"/>
      <c r="AG556" s="73"/>
      <c r="AH556" s="74" t="s">
        <v>16</v>
      </c>
      <c r="AI556" s="102">
        <v>46308</v>
      </c>
      <c r="AJ556" s="70">
        <v>3</v>
      </c>
      <c r="AK556" s="103"/>
      <c r="AL556" s="104">
        <f t="shared" si="181"/>
        <v>46400</v>
      </c>
      <c r="AM556" s="105">
        <f ca="1" t="shared" si="182"/>
        <v>87</v>
      </c>
      <c r="AN556" s="115"/>
      <c r="AO556" s="115"/>
      <c r="AP556" s="115"/>
      <c r="AQ556" s="93"/>
      <c r="AR556" s="93"/>
      <c r="AS556" s="94"/>
      <c r="AT556" s="95"/>
      <c r="AU556" s="79"/>
      <c r="AV556" s="117"/>
      <c r="AW556" s="115"/>
      <c r="AX556" s="106"/>
      <c r="AY556" s="104">
        <f t="shared" si="179"/>
        <v>0</v>
      </c>
      <c r="AZ556" s="105">
        <f ca="1" t="shared" si="180"/>
        <v>-46313</v>
      </c>
    </row>
    <row r="557" customHeight="1" spans="1:52">
      <c r="A557" s="70">
        <v>556</v>
      </c>
      <c r="B557" s="70" t="s">
        <v>751</v>
      </c>
      <c r="C557" s="70" t="s">
        <v>13</v>
      </c>
      <c r="D557" s="71" t="s">
        <v>2217</v>
      </c>
      <c r="E557" s="71" t="s">
        <v>126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2218</v>
      </c>
      <c r="L557" s="104">
        <f t="shared" si="169"/>
        <v>46141</v>
      </c>
      <c r="M557" s="105">
        <f ca="1" t="shared" si="170"/>
        <v>-172</v>
      </c>
      <c r="N557" s="70"/>
      <c r="O557" s="70" t="s">
        <v>751</v>
      </c>
      <c r="P557" s="70" t="s">
        <v>13</v>
      </c>
      <c r="Q557" s="71" t="s">
        <v>2217</v>
      </c>
      <c r="R557" s="71" t="s">
        <v>126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2219</v>
      </c>
      <c r="Y557" s="104">
        <f t="shared" si="177"/>
        <v>46239</v>
      </c>
      <c r="Z557" s="105">
        <f ca="1" t="shared" si="178"/>
        <v>-74</v>
      </c>
      <c r="AA557" s="105"/>
      <c r="AB557" s="70" t="s">
        <v>751</v>
      </c>
      <c r="AC557" s="70" t="s">
        <v>13</v>
      </c>
      <c r="AD557" s="71" t="s">
        <v>2217</v>
      </c>
      <c r="AE557" s="71" t="s">
        <v>126</v>
      </c>
      <c r="AF557" s="72"/>
      <c r="AG557" s="73"/>
      <c r="AH557" s="74" t="s">
        <v>16</v>
      </c>
      <c r="AI557" s="102">
        <v>46247</v>
      </c>
      <c r="AJ557" s="70">
        <v>3</v>
      </c>
      <c r="AK557" s="103" t="s">
        <v>2220</v>
      </c>
      <c r="AL557" s="104">
        <f t="shared" si="181"/>
        <v>46339</v>
      </c>
      <c r="AM557" s="105">
        <f ca="1" t="shared" si="182"/>
        <v>26</v>
      </c>
      <c r="AN557" s="115"/>
      <c r="AO557" s="115"/>
      <c r="AP557" s="115"/>
      <c r="AQ557" s="93"/>
      <c r="AR557" s="93"/>
      <c r="AS557" s="94"/>
      <c r="AT557" s="95"/>
      <c r="AU557" s="79"/>
      <c r="AV557" s="117"/>
      <c r="AW557" s="115"/>
      <c r="AX557" s="106"/>
      <c r="AY557" s="104">
        <f t="shared" si="179"/>
        <v>0</v>
      </c>
      <c r="AZ557" s="105">
        <f ca="1" t="shared" si="180"/>
        <v>-46313</v>
      </c>
    </row>
    <row r="558" customHeight="1" spans="1:52">
      <c r="A558" s="70">
        <v>557</v>
      </c>
      <c r="B558" s="70" t="s">
        <v>134</v>
      </c>
      <c r="C558" s="70" t="s">
        <v>38</v>
      </c>
      <c r="D558" s="71" t="s">
        <v>2221</v>
      </c>
      <c r="E558" s="71" t="s">
        <v>28</v>
      </c>
      <c r="F558" s="72"/>
      <c r="G558" s="73"/>
      <c r="H558" s="75"/>
      <c r="I558" s="102">
        <v>46051</v>
      </c>
      <c r="J558" s="70">
        <v>3</v>
      </c>
      <c r="K558" s="106" t="s">
        <v>2222</v>
      </c>
      <c r="L558" s="104">
        <f t="shared" si="169"/>
        <v>46141</v>
      </c>
      <c r="M558" s="105">
        <f ca="1" t="shared" si="170"/>
        <v>-172</v>
      </c>
      <c r="N558" s="70"/>
      <c r="O558" s="70" t="s">
        <v>134</v>
      </c>
      <c r="P558" s="70" t="s">
        <v>38</v>
      </c>
      <c r="Q558" s="71" t="s">
        <v>2221</v>
      </c>
      <c r="R558" s="71" t="s">
        <v>28</v>
      </c>
      <c r="S558" s="72"/>
      <c r="T558" s="73"/>
      <c r="U558" s="75"/>
      <c r="V558" s="102">
        <v>46134</v>
      </c>
      <c r="W558" s="70">
        <v>3</v>
      </c>
      <c r="X558" s="103" t="s">
        <v>2223</v>
      </c>
      <c r="Y558" s="104">
        <f t="shared" si="177"/>
        <v>46225</v>
      </c>
      <c r="Z558" s="105">
        <f ca="1" t="shared" si="178"/>
        <v>-88</v>
      </c>
      <c r="AA558" s="70"/>
      <c r="AB558" s="70" t="s">
        <v>134</v>
      </c>
      <c r="AC558" s="70" t="s">
        <v>38</v>
      </c>
      <c r="AD558" s="71" t="s">
        <v>2221</v>
      </c>
      <c r="AE558" s="71" t="s">
        <v>28</v>
      </c>
      <c r="AF558" s="72"/>
      <c r="AG558" s="73"/>
      <c r="AH558" s="75"/>
      <c r="AI558" s="102">
        <v>46222</v>
      </c>
      <c r="AJ558" s="70">
        <v>3</v>
      </c>
      <c r="AK558" s="103" t="s">
        <v>2224</v>
      </c>
      <c r="AL558" s="104">
        <f t="shared" ref="AL556:AL561" si="183">EDATE(AI558,AJ558)</f>
        <v>46314</v>
      </c>
      <c r="AM558" s="105">
        <f ca="1" t="shared" ref="AM556:AM561" si="184">AL558-TODAY()</f>
        <v>1</v>
      </c>
      <c r="AN558" s="115"/>
      <c r="AO558" s="70" t="s">
        <v>134</v>
      </c>
      <c r="AP558" s="70" t="s">
        <v>38</v>
      </c>
      <c r="AQ558" s="71" t="s">
        <v>2221</v>
      </c>
      <c r="AR558" s="71" t="s">
        <v>28</v>
      </c>
      <c r="AS558" s="72"/>
      <c r="AT558" s="73"/>
      <c r="AU558" s="75"/>
      <c r="AV558" s="117">
        <v>46307</v>
      </c>
      <c r="AW558" s="115">
        <v>3</v>
      </c>
      <c r="AX558" s="106"/>
      <c r="AY558" s="104">
        <f t="shared" si="179"/>
        <v>46399</v>
      </c>
      <c r="AZ558" s="105">
        <f ca="1" t="shared" si="180"/>
        <v>86</v>
      </c>
    </row>
    <row r="559" customHeight="1" spans="1:52">
      <c r="A559" s="70">
        <v>558</v>
      </c>
      <c r="B559" s="70" t="s">
        <v>134</v>
      </c>
      <c r="C559" s="70" t="s">
        <v>13</v>
      </c>
      <c r="D559" s="71" t="s">
        <v>2225</v>
      </c>
      <c r="E559" s="71" t="s">
        <v>2226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2227</v>
      </c>
      <c r="L559" s="104">
        <f t="shared" si="169"/>
        <v>46141</v>
      </c>
      <c r="M559" s="105">
        <f ca="1" t="shared" si="170"/>
        <v>-172</v>
      </c>
      <c r="N559" s="70"/>
      <c r="O559" s="70" t="s">
        <v>134</v>
      </c>
      <c r="P559" s="70" t="s">
        <v>13</v>
      </c>
      <c r="Q559" s="71" t="s">
        <v>2225</v>
      </c>
      <c r="R559" s="71" t="s">
        <v>2226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2228</v>
      </c>
      <c r="Y559" s="104">
        <f t="shared" si="177"/>
        <v>46223</v>
      </c>
      <c r="Z559" s="105">
        <f ca="1" t="shared" si="178"/>
        <v>-90</v>
      </c>
      <c r="AA559" s="70"/>
      <c r="AB559" s="70" t="s">
        <v>134</v>
      </c>
      <c r="AC559" s="70" t="s">
        <v>13</v>
      </c>
      <c r="AD559" s="71" t="s">
        <v>2225</v>
      </c>
      <c r="AE559" s="71" t="s">
        <v>2226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2229</v>
      </c>
      <c r="AL559" s="104">
        <f t="shared" si="183"/>
        <v>46313</v>
      </c>
      <c r="AM559" s="105">
        <f ca="1" t="shared" si="184"/>
        <v>0</v>
      </c>
      <c r="AN559" s="115"/>
      <c r="AO559" s="115"/>
      <c r="AP559" s="115"/>
      <c r="AQ559" s="93"/>
      <c r="AR559" s="93"/>
      <c r="AS559" s="94"/>
      <c r="AT559" s="95"/>
      <c r="AU559" s="79"/>
      <c r="AV559" s="117"/>
      <c r="AW559" s="115"/>
      <c r="AX559" s="106"/>
      <c r="AY559" s="104">
        <f t="shared" si="179"/>
        <v>0</v>
      </c>
      <c r="AZ559" s="105">
        <f ca="1" t="shared" si="180"/>
        <v>-46313</v>
      </c>
    </row>
    <row r="560" customHeight="1" spans="1:52">
      <c r="A560" s="70">
        <v>559</v>
      </c>
      <c r="B560" s="70" t="s">
        <v>134</v>
      </c>
      <c r="C560" s="70" t="s">
        <v>13</v>
      </c>
      <c r="D560" s="71" t="s">
        <v>2230</v>
      </c>
      <c r="E560" s="71" t="s">
        <v>136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2231</v>
      </c>
      <c r="L560" s="104">
        <f t="shared" si="169"/>
        <v>46141</v>
      </c>
      <c r="M560" s="105">
        <f ca="1" t="shared" si="170"/>
        <v>-172</v>
      </c>
      <c r="N560" s="70"/>
      <c r="O560" s="70" t="s">
        <v>134</v>
      </c>
      <c r="P560" s="70" t="s">
        <v>13</v>
      </c>
      <c r="Q560" s="71" t="s">
        <v>2230</v>
      </c>
      <c r="R560" s="71" t="s">
        <v>136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2232</v>
      </c>
      <c r="Y560" s="104">
        <f t="shared" si="177"/>
        <v>46295</v>
      </c>
      <c r="Z560" s="105">
        <f ca="1" t="shared" si="178"/>
        <v>-18</v>
      </c>
      <c r="AA560" s="70"/>
      <c r="AB560" s="70" t="s">
        <v>134</v>
      </c>
      <c r="AC560" s="70" t="s">
        <v>13</v>
      </c>
      <c r="AD560" s="71" t="s">
        <v>2230</v>
      </c>
      <c r="AE560" s="71" t="s">
        <v>136</v>
      </c>
      <c r="AF560" s="72"/>
      <c r="AG560" s="73"/>
      <c r="AH560" s="114" t="s">
        <v>16</v>
      </c>
      <c r="AI560" s="102">
        <v>46299</v>
      </c>
      <c r="AJ560" s="70">
        <v>3</v>
      </c>
      <c r="AK560" s="103" t="s">
        <v>2233</v>
      </c>
      <c r="AL560" s="104">
        <f t="shared" si="183"/>
        <v>46391</v>
      </c>
      <c r="AM560" s="105">
        <f ca="1" t="shared" si="184"/>
        <v>78</v>
      </c>
      <c r="AN560" s="115"/>
      <c r="AO560" s="70"/>
      <c r="AP560" s="70"/>
      <c r="AQ560" s="71"/>
      <c r="AR560" s="71"/>
      <c r="AS560" s="72"/>
      <c r="AT560" s="73"/>
      <c r="AU560" s="79"/>
      <c r="AV560" s="117"/>
      <c r="AW560" s="115"/>
      <c r="AX560" s="106"/>
      <c r="AY560" s="104">
        <f t="shared" si="179"/>
        <v>0</v>
      </c>
      <c r="AZ560" s="105">
        <f ca="1" t="shared" si="180"/>
        <v>-46313</v>
      </c>
    </row>
    <row r="561" customHeight="1" spans="1:52">
      <c r="A561" s="70">
        <v>560</v>
      </c>
      <c r="B561" s="70" t="s">
        <v>134</v>
      </c>
      <c r="C561" s="70" t="s">
        <v>13</v>
      </c>
      <c r="D561" s="71" t="s">
        <v>2234</v>
      </c>
      <c r="E561" s="71" t="s">
        <v>136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2235</v>
      </c>
      <c r="L561" s="104">
        <f t="shared" si="169"/>
        <v>46141</v>
      </c>
      <c r="M561" s="105">
        <f ca="1" t="shared" si="170"/>
        <v>-172</v>
      </c>
      <c r="N561" s="70"/>
      <c r="O561" s="70" t="s">
        <v>134</v>
      </c>
      <c r="P561" s="70" t="s">
        <v>13</v>
      </c>
      <c r="Q561" s="71" t="s">
        <v>2234</v>
      </c>
      <c r="R561" s="71" t="s">
        <v>136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2236</v>
      </c>
      <c r="Y561" s="104">
        <f t="shared" ref="Y561:Y564" si="185">EDATE(V561,W561)</f>
        <v>46266</v>
      </c>
      <c r="Z561" s="105">
        <f ca="1" t="shared" ref="Z561:Z564" si="186">Y561-TODAY()</f>
        <v>-47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83"/>
        <v>0</v>
      </c>
      <c r="AM561" s="105">
        <f ca="1" t="shared" si="184"/>
        <v>-46313</v>
      </c>
      <c r="AN561" s="115"/>
      <c r="AO561" s="115"/>
      <c r="AP561" s="115"/>
      <c r="AQ561" s="93"/>
      <c r="AR561" s="93"/>
      <c r="AS561" s="94"/>
      <c r="AT561" s="95"/>
      <c r="AU561" s="79"/>
      <c r="AV561" s="117"/>
      <c r="AW561" s="115"/>
      <c r="AX561" s="106"/>
      <c r="AY561" s="104"/>
      <c r="AZ561" s="105"/>
    </row>
    <row r="562" customHeight="1" spans="1:52">
      <c r="A562" s="70">
        <v>561</v>
      </c>
      <c r="B562" s="70" t="s">
        <v>134</v>
      </c>
      <c r="C562" s="70" t="s">
        <v>13</v>
      </c>
      <c r="D562" s="71" t="s">
        <v>2237</v>
      </c>
      <c r="E562" s="71" t="s">
        <v>933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2238</v>
      </c>
      <c r="L562" s="104">
        <f t="shared" si="169"/>
        <v>46141</v>
      </c>
      <c r="M562" s="105">
        <f ca="1" t="shared" si="170"/>
        <v>-172</v>
      </c>
      <c r="N562" s="70"/>
      <c r="O562" s="70" t="s">
        <v>134</v>
      </c>
      <c r="P562" s="70" t="s">
        <v>13</v>
      </c>
      <c r="Q562" s="71" t="s">
        <v>2237</v>
      </c>
      <c r="R562" s="71" t="s">
        <v>933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2239</v>
      </c>
      <c r="Y562" s="104">
        <f t="shared" si="185"/>
        <v>46223</v>
      </c>
      <c r="Z562" s="105">
        <f ca="1" t="shared" si="186"/>
        <v>-90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87">EDATE(AI562,AJ562)</f>
        <v>0</v>
      </c>
      <c r="AM562" s="105">
        <f ca="1" t="shared" ref="AM559:AM571" si="188">AL562-TODAY()</f>
        <v>-46313</v>
      </c>
      <c r="AN562" s="115"/>
      <c r="AO562" s="115"/>
      <c r="AP562" s="115"/>
      <c r="AQ562" s="93"/>
      <c r="AR562" s="93"/>
      <c r="AS562" s="94"/>
      <c r="AT562" s="95"/>
      <c r="AU562" s="79"/>
      <c r="AV562" s="117"/>
      <c r="AW562" s="115"/>
      <c r="AX562" s="106"/>
      <c r="AY562" s="104"/>
      <c r="AZ562" s="105"/>
    </row>
    <row r="563" customHeight="1" spans="1:52">
      <c r="A563" s="70">
        <v>562</v>
      </c>
      <c r="B563" s="70" t="s">
        <v>1918</v>
      </c>
      <c r="C563" s="70" t="s">
        <v>264</v>
      </c>
      <c r="D563" s="71" t="s">
        <v>955</v>
      </c>
      <c r="E563" s="71" t="s">
        <v>764</v>
      </c>
      <c r="F563" s="72"/>
      <c r="G563" s="73"/>
      <c r="H563" s="151"/>
      <c r="I563" s="102">
        <v>46051</v>
      </c>
      <c r="J563" s="102" t="s">
        <v>767</v>
      </c>
      <c r="K563" s="106"/>
      <c r="L563" s="104" t="e">
        <f t="shared" si="169"/>
        <v>#VALUE!</v>
      </c>
      <c r="M563" s="105" t="e">
        <f ca="1" t="shared" si="170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85"/>
        <v>0</v>
      </c>
      <c r="Z563" s="105">
        <f ca="1" t="shared" si="186"/>
        <v>-46313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87"/>
        <v>0</v>
      </c>
      <c r="AM563" s="105">
        <f ca="1" t="shared" si="188"/>
        <v>-46313</v>
      </c>
      <c r="AN563" s="115"/>
      <c r="AO563" s="115"/>
      <c r="AP563" s="115"/>
      <c r="AQ563" s="93"/>
      <c r="AR563" s="93"/>
      <c r="AS563" s="94"/>
      <c r="AT563" s="95"/>
      <c r="AU563" s="79"/>
      <c r="AV563" s="117"/>
      <c r="AW563" s="115"/>
      <c r="AX563" s="106"/>
      <c r="AY563" s="104"/>
      <c r="AZ563" s="105"/>
    </row>
    <row r="564" customHeight="1" spans="1:52">
      <c r="A564" s="70">
        <v>563</v>
      </c>
      <c r="B564" s="70" t="s">
        <v>782</v>
      </c>
      <c r="C564" s="70" t="s">
        <v>374</v>
      </c>
      <c r="D564" s="71" t="s">
        <v>2240</v>
      </c>
      <c r="E564" s="71" t="s">
        <v>2241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2242</v>
      </c>
      <c r="L564" s="104">
        <f t="shared" si="169"/>
        <v>46141</v>
      </c>
      <c r="M564" s="105">
        <f ca="1" t="shared" si="170"/>
        <v>-172</v>
      </c>
      <c r="N564" s="70"/>
      <c r="O564" s="70" t="s">
        <v>782</v>
      </c>
      <c r="P564" s="70" t="s">
        <v>374</v>
      </c>
      <c r="Q564" s="71" t="s">
        <v>2240</v>
      </c>
      <c r="R564" s="71" t="s">
        <v>2241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2243</v>
      </c>
      <c r="Y564" s="104">
        <f t="shared" si="185"/>
        <v>46244</v>
      </c>
      <c r="Z564" s="105">
        <f ca="1" t="shared" si="186"/>
        <v>-69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87"/>
        <v>0</v>
      </c>
      <c r="AM564" s="105">
        <f ca="1" t="shared" si="188"/>
        <v>-46313</v>
      </c>
      <c r="AN564" s="115"/>
      <c r="AO564" s="70"/>
      <c r="AP564" s="70"/>
      <c r="AQ564" s="71"/>
      <c r="AR564" s="71"/>
      <c r="AS564" s="72"/>
      <c r="AT564" s="73"/>
      <c r="AU564" s="79"/>
      <c r="AV564" s="117"/>
      <c r="AW564" s="115"/>
      <c r="AX564" s="106"/>
      <c r="AY564" s="104"/>
      <c r="AZ564" s="105"/>
    </row>
    <row r="565" customHeight="1" spans="1:52">
      <c r="A565" s="70">
        <v>564</v>
      </c>
      <c r="B565" s="70" t="s">
        <v>798</v>
      </c>
      <c r="C565" s="70" t="s">
        <v>374</v>
      </c>
      <c r="D565" s="71" t="s">
        <v>2244</v>
      </c>
      <c r="E565" s="71" t="s">
        <v>2245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2246</v>
      </c>
      <c r="L565" s="104">
        <f t="shared" si="169"/>
        <v>46141</v>
      </c>
      <c r="M565" s="105">
        <f ca="1" t="shared" si="170"/>
        <v>-172</v>
      </c>
      <c r="N565" s="70"/>
      <c r="O565" s="70" t="s">
        <v>798</v>
      </c>
      <c r="P565" s="70" t="s">
        <v>374</v>
      </c>
      <c r="Q565" s="71" t="s">
        <v>2244</v>
      </c>
      <c r="R565" s="71" t="s">
        <v>2245</v>
      </c>
      <c r="S565" s="72"/>
      <c r="T565" s="73"/>
      <c r="U565" s="151"/>
      <c r="V565" s="102">
        <v>46131</v>
      </c>
      <c r="W565" s="70">
        <v>3</v>
      </c>
      <c r="X565" s="103" t="s">
        <v>2247</v>
      </c>
      <c r="Y565" s="104">
        <f t="shared" ref="Y565:Y573" si="189">EDATE(V565,W565)</f>
        <v>46222</v>
      </c>
      <c r="Z565" s="105">
        <f ca="1" t="shared" ref="Z565:Z573" si="190">Y565-TODAY()</f>
        <v>-91</v>
      </c>
      <c r="AA565" s="70"/>
      <c r="AB565" s="70" t="s">
        <v>798</v>
      </c>
      <c r="AC565" s="70" t="s">
        <v>374</v>
      </c>
      <c r="AD565" s="71" t="s">
        <v>2244</v>
      </c>
      <c r="AE565" s="71" t="s">
        <v>2245</v>
      </c>
      <c r="AF565" s="72"/>
      <c r="AG565" s="73"/>
      <c r="AH565" s="151"/>
      <c r="AI565" s="102">
        <v>46284</v>
      </c>
      <c r="AJ565" s="70">
        <v>3</v>
      </c>
      <c r="AK565" s="103"/>
      <c r="AL565" s="104">
        <f t="shared" si="187"/>
        <v>46375</v>
      </c>
      <c r="AM565" s="105">
        <f ca="1" t="shared" si="188"/>
        <v>62</v>
      </c>
      <c r="AN565" s="115"/>
      <c r="AO565" s="115"/>
      <c r="AP565" s="115"/>
      <c r="AQ565" s="93"/>
      <c r="AR565" s="93"/>
      <c r="AS565" s="94"/>
      <c r="AT565" s="95"/>
      <c r="AU565" s="79"/>
      <c r="AV565" s="117"/>
      <c r="AW565" s="115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2248</v>
      </c>
      <c r="E566" s="71" t="s">
        <v>1891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2249</v>
      </c>
      <c r="L566" s="104">
        <f t="shared" si="169"/>
        <v>46142</v>
      </c>
      <c r="M566" s="105">
        <f ca="1" t="shared" si="170"/>
        <v>-171</v>
      </c>
      <c r="N566" s="70"/>
      <c r="O566" s="70" t="s">
        <v>357</v>
      </c>
      <c r="P566" s="70" t="s">
        <v>13</v>
      </c>
      <c r="Q566" s="71" t="s">
        <v>2248</v>
      </c>
      <c r="R566" s="71" t="s">
        <v>1891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2250</v>
      </c>
      <c r="Y566" s="104">
        <f t="shared" si="189"/>
        <v>46239</v>
      </c>
      <c r="Z566" s="105">
        <f ca="1" t="shared" si="190"/>
        <v>-74</v>
      </c>
      <c r="AA566" s="70"/>
      <c r="AB566" s="70" t="s">
        <v>357</v>
      </c>
      <c r="AC566" s="70" t="s">
        <v>13</v>
      </c>
      <c r="AD566" s="71" t="s">
        <v>2248</v>
      </c>
      <c r="AE566" s="71" t="s">
        <v>1891</v>
      </c>
      <c r="AF566" s="72"/>
      <c r="AG566" s="73"/>
      <c r="AH566" s="114" t="s">
        <v>16</v>
      </c>
      <c r="AI566" s="102">
        <v>46253</v>
      </c>
      <c r="AJ566" s="70">
        <v>3</v>
      </c>
      <c r="AK566" s="103" t="s">
        <v>2251</v>
      </c>
      <c r="AL566" s="104">
        <f t="shared" si="187"/>
        <v>46345</v>
      </c>
      <c r="AM566" s="105">
        <f ca="1" t="shared" si="188"/>
        <v>32</v>
      </c>
      <c r="AN566" s="115"/>
      <c r="AO566" s="115"/>
      <c r="AP566" s="115"/>
      <c r="AQ566" s="93"/>
      <c r="AR566" s="93"/>
      <c r="AS566" s="94"/>
      <c r="AT566" s="95"/>
      <c r="AU566" s="79"/>
      <c r="AV566" s="117"/>
      <c r="AW566" s="115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38</v>
      </c>
      <c r="D567" s="71" t="s">
        <v>2252</v>
      </c>
      <c r="E567" s="71" t="s">
        <v>51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2253</v>
      </c>
      <c r="L567" s="104">
        <f t="shared" si="169"/>
        <v>46142</v>
      </c>
      <c r="M567" s="105">
        <f ca="1" t="shared" si="170"/>
        <v>-171</v>
      </c>
      <c r="N567" s="70"/>
      <c r="O567" s="70" t="s">
        <v>12</v>
      </c>
      <c r="P567" s="70" t="s">
        <v>38</v>
      </c>
      <c r="Q567" s="71" t="s">
        <v>2252</v>
      </c>
      <c r="R567" s="71" t="s">
        <v>51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2254</v>
      </c>
      <c r="Y567" s="104">
        <f t="shared" si="189"/>
        <v>46224</v>
      </c>
      <c r="Z567" s="105">
        <f ca="1" t="shared" si="190"/>
        <v>-89</v>
      </c>
      <c r="AA567" s="70"/>
      <c r="AB567" s="70" t="s">
        <v>12</v>
      </c>
      <c r="AC567" s="70" t="s">
        <v>38</v>
      </c>
      <c r="AD567" s="71" t="s">
        <v>2252</v>
      </c>
      <c r="AE567" s="71" t="s">
        <v>51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2255</v>
      </c>
      <c r="AL567" s="104">
        <f t="shared" si="187"/>
        <v>46304</v>
      </c>
      <c r="AM567" s="105">
        <f ca="1" t="shared" si="188"/>
        <v>-9</v>
      </c>
      <c r="AN567" s="115"/>
      <c r="AO567" s="70" t="s">
        <v>12</v>
      </c>
      <c r="AP567" s="70" t="s">
        <v>38</v>
      </c>
      <c r="AQ567" s="71" t="s">
        <v>2252</v>
      </c>
      <c r="AR567" s="71" t="s">
        <v>51</v>
      </c>
      <c r="AS567" s="72"/>
      <c r="AT567" s="73"/>
      <c r="AU567" s="114" t="s">
        <v>16</v>
      </c>
      <c r="AV567" s="117">
        <v>46299</v>
      </c>
      <c r="AW567" s="115">
        <v>3</v>
      </c>
      <c r="AX567" s="106" t="s">
        <v>2256</v>
      </c>
      <c r="AY567" s="104">
        <f t="shared" ref="AY567:AY603" si="191">EDATE(AV567,AW567)</f>
        <v>46391</v>
      </c>
      <c r="AZ567" s="105">
        <f ca="1" t="shared" ref="AZ567:AZ603" si="192">AY567-TODAY()</f>
        <v>78</v>
      </c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2257</v>
      </c>
      <c r="E568" s="71" t="s">
        <v>76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2258</v>
      </c>
      <c r="L568" s="104">
        <f t="shared" si="169"/>
        <v>46142</v>
      </c>
      <c r="M568" s="105">
        <f ca="1" t="shared" si="170"/>
        <v>-171</v>
      </c>
      <c r="N568" s="70"/>
      <c r="O568" s="70" t="s">
        <v>12</v>
      </c>
      <c r="P568" s="70" t="s">
        <v>13</v>
      </c>
      <c r="Q568" s="71" t="s">
        <v>2257</v>
      </c>
      <c r="R568" s="71" t="s">
        <v>76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2259</v>
      </c>
      <c r="Y568" s="104">
        <f t="shared" si="189"/>
        <v>46242</v>
      </c>
      <c r="Z568" s="105">
        <f ca="1" t="shared" si="190"/>
        <v>-71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87"/>
        <v>0</v>
      </c>
      <c r="AM568" s="105">
        <f ca="1" t="shared" si="188"/>
        <v>-46313</v>
      </c>
      <c r="AN568" s="115"/>
      <c r="AO568" s="115"/>
      <c r="AP568" s="115"/>
      <c r="AQ568" s="93"/>
      <c r="AR568" s="93"/>
      <c r="AS568" s="94"/>
      <c r="AT568" s="95"/>
      <c r="AU568" s="79"/>
      <c r="AV568" s="117"/>
      <c r="AW568" s="115"/>
      <c r="AX568" s="106"/>
      <c r="AY568" s="104">
        <f t="shared" si="191"/>
        <v>0</v>
      </c>
      <c r="AZ568" s="105">
        <f ca="1" t="shared" si="192"/>
        <v>-46313</v>
      </c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2260</v>
      </c>
      <c r="E569" s="71" t="s">
        <v>126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2261</v>
      </c>
      <c r="L569" s="104">
        <f t="shared" si="169"/>
        <v>46142</v>
      </c>
      <c r="M569" s="105">
        <f ca="1" t="shared" si="170"/>
        <v>-171</v>
      </c>
      <c r="N569" s="70"/>
      <c r="O569" s="70" t="s">
        <v>12</v>
      </c>
      <c r="P569" s="70" t="s">
        <v>13</v>
      </c>
      <c r="Q569" s="71" t="s">
        <v>2260</v>
      </c>
      <c r="R569" s="71" t="s">
        <v>126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2262</v>
      </c>
      <c r="Y569" s="104">
        <f t="shared" si="189"/>
        <v>46232</v>
      </c>
      <c r="Z569" s="105">
        <f ca="1" t="shared" si="190"/>
        <v>-81</v>
      </c>
      <c r="AA569" s="70"/>
      <c r="AB569" s="70" t="s">
        <v>12</v>
      </c>
      <c r="AC569" s="70" t="s">
        <v>13</v>
      </c>
      <c r="AD569" s="71" t="s">
        <v>2260</v>
      </c>
      <c r="AE569" s="71" t="s">
        <v>126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2263</v>
      </c>
      <c r="AL569" s="104">
        <f t="shared" si="187"/>
        <v>46314</v>
      </c>
      <c r="AM569" s="105">
        <f ca="1" t="shared" si="188"/>
        <v>1</v>
      </c>
      <c r="AN569" s="115"/>
      <c r="AO569" s="115"/>
      <c r="AP569" s="115"/>
      <c r="AQ569" s="93"/>
      <c r="AR569" s="93"/>
      <c r="AS569" s="94"/>
      <c r="AT569" s="95"/>
      <c r="AU569" s="79"/>
      <c r="AV569" s="117"/>
      <c r="AW569" s="115"/>
      <c r="AX569" s="106"/>
      <c r="AY569" s="104">
        <f t="shared" si="191"/>
        <v>0</v>
      </c>
      <c r="AZ569" s="105">
        <f ca="1" t="shared" si="192"/>
        <v>-46313</v>
      </c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2264</v>
      </c>
      <c r="E570" s="71" t="s">
        <v>126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2265</v>
      </c>
      <c r="L570" s="104">
        <f t="shared" si="169"/>
        <v>46142</v>
      </c>
      <c r="M570" s="105">
        <f ca="1" t="shared" si="170"/>
        <v>-171</v>
      </c>
      <c r="N570" s="70"/>
      <c r="O570" s="70" t="s">
        <v>12</v>
      </c>
      <c r="P570" s="70" t="s">
        <v>13</v>
      </c>
      <c r="Q570" s="71" t="s">
        <v>2264</v>
      </c>
      <c r="R570" s="71" t="s">
        <v>126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2266</v>
      </c>
      <c r="Y570" s="104">
        <f t="shared" si="189"/>
        <v>46229</v>
      </c>
      <c r="Z570" s="105">
        <f ca="1" t="shared" si="190"/>
        <v>-84</v>
      </c>
      <c r="AA570" s="70"/>
      <c r="AB570" s="70" t="s">
        <v>12</v>
      </c>
      <c r="AC570" s="70" t="s">
        <v>13</v>
      </c>
      <c r="AD570" s="71" t="s">
        <v>2264</v>
      </c>
      <c r="AE570" s="71" t="s">
        <v>126</v>
      </c>
      <c r="AF570" s="72"/>
      <c r="AG570" s="73"/>
      <c r="AH570" s="114" t="s">
        <v>16</v>
      </c>
      <c r="AI570" s="102">
        <v>46305</v>
      </c>
      <c r="AJ570" s="70">
        <v>3</v>
      </c>
      <c r="AK570" s="103"/>
      <c r="AL570" s="104">
        <f t="shared" si="187"/>
        <v>46397</v>
      </c>
      <c r="AM570" s="105">
        <f ca="1" t="shared" si="188"/>
        <v>84</v>
      </c>
      <c r="AN570" s="115"/>
      <c r="AO570" s="115"/>
      <c r="AP570" s="115"/>
      <c r="AQ570" s="93"/>
      <c r="AR570" s="93"/>
      <c r="AS570" s="94"/>
      <c r="AT570" s="95"/>
      <c r="AU570" s="79"/>
      <c r="AV570" s="117"/>
      <c r="AW570" s="115"/>
      <c r="AX570" s="106"/>
      <c r="AY570" s="104">
        <f t="shared" si="191"/>
        <v>0</v>
      </c>
      <c r="AZ570" s="105">
        <f ca="1" t="shared" si="192"/>
        <v>-46313</v>
      </c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2267</v>
      </c>
      <c r="E571" s="71" t="s">
        <v>76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2268</v>
      </c>
      <c r="L571" s="104">
        <f t="shared" si="169"/>
        <v>46142</v>
      </c>
      <c r="M571" s="105">
        <f ca="1" t="shared" si="170"/>
        <v>-171</v>
      </c>
      <c r="N571" s="70"/>
      <c r="O571" s="70" t="s">
        <v>694</v>
      </c>
      <c r="P571" s="70" t="s">
        <v>13</v>
      </c>
      <c r="Q571" s="71" t="s">
        <v>2267</v>
      </c>
      <c r="R571" s="71" t="s">
        <v>76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2269</v>
      </c>
      <c r="Y571" s="104">
        <f t="shared" si="189"/>
        <v>46254</v>
      </c>
      <c r="Z571" s="105">
        <f ca="1" t="shared" si="190"/>
        <v>-59</v>
      </c>
      <c r="AA571" s="70"/>
      <c r="AB571" s="70" t="s">
        <v>12</v>
      </c>
      <c r="AC571" s="70" t="s">
        <v>13</v>
      </c>
      <c r="AD571" s="71" t="s">
        <v>2267</v>
      </c>
      <c r="AE571" s="71" t="s">
        <v>76</v>
      </c>
      <c r="AF571" s="72"/>
      <c r="AG571" s="73"/>
      <c r="AH571" s="114" t="s">
        <v>16</v>
      </c>
      <c r="AI571" s="102">
        <v>46256</v>
      </c>
      <c r="AJ571" s="70">
        <v>3</v>
      </c>
      <c r="AK571" s="103" t="s">
        <v>2270</v>
      </c>
      <c r="AL571" s="104">
        <f t="shared" si="187"/>
        <v>46348</v>
      </c>
      <c r="AM571" s="105">
        <f ca="1" t="shared" si="188"/>
        <v>35</v>
      </c>
      <c r="AN571" s="115"/>
      <c r="AO571" s="115"/>
      <c r="AP571" s="115"/>
      <c r="AQ571" s="93"/>
      <c r="AR571" s="93"/>
      <c r="AS571" s="94"/>
      <c r="AT571" s="95"/>
      <c r="AU571" s="79"/>
      <c r="AV571" s="117"/>
      <c r="AW571" s="115"/>
      <c r="AX571" s="106"/>
      <c r="AY571" s="104">
        <f t="shared" si="191"/>
        <v>0</v>
      </c>
      <c r="AZ571" s="105">
        <f ca="1" t="shared" si="192"/>
        <v>-46313</v>
      </c>
    </row>
    <row r="572" customHeight="1" spans="1:52">
      <c r="A572" s="70">
        <v>571</v>
      </c>
      <c r="B572" s="70" t="s">
        <v>229</v>
      </c>
      <c r="C572" s="70" t="s">
        <v>13</v>
      </c>
      <c r="D572" s="71" t="s">
        <v>2271</v>
      </c>
      <c r="E572" s="71" t="s">
        <v>136</v>
      </c>
      <c r="F572" s="72"/>
      <c r="G572" s="73"/>
      <c r="H572" s="75"/>
      <c r="I572" s="102">
        <v>46052</v>
      </c>
      <c r="J572" s="70">
        <v>3</v>
      </c>
      <c r="K572" s="106" t="s">
        <v>2272</v>
      </c>
      <c r="L572" s="104">
        <f t="shared" si="169"/>
        <v>46142</v>
      </c>
      <c r="M572" s="105">
        <f ca="1" t="shared" si="170"/>
        <v>-171</v>
      </c>
      <c r="N572" s="70"/>
      <c r="O572" s="70" t="s">
        <v>229</v>
      </c>
      <c r="P572" s="70" t="s">
        <v>13</v>
      </c>
      <c r="Q572" s="71" t="s">
        <v>2271</v>
      </c>
      <c r="R572" s="71" t="s">
        <v>136</v>
      </c>
      <c r="S572" s="72"/>
      <c r="T572" s="73"/>
      <c r="U572" s="75"/>
      <c r="V572" s="102">
        <v>46248</v>
      </c>
      <c r="W572" s="70">
        <v>3</v>
      </c>
      <c r="X572" s="103" t="s">
        <v>2273</v>
      </c>
      <c r="Y572" s="104">
        <f t="shared" si="189"/>
        <v>46340</v>
      </c>
      <c r="Z572" s="105">
        <f ca="1" t="shared" si="190"/>
        <v>27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93">EDATE(AI572,AJ572)</f>
        <v>0</v>
      </c>
      <c r="AM572" s="105">
        <f ca="1" t="shared" ref="AM567:AM592" si="194">AL572-TODAY()</f>
        <v>-46313</v>
      </c>
      <c r="AN572" s="115"/>
      <c r="AO572" s="115"/>
      <c r="AP572" s="115"/>
      <c r="AQ572" s="93"/>
      <c r="AR572" s="93"/>
      <c r="AS572" s="94"/>
      <c r="AT572" s="95"/>
      <c r="AU572" s="79"/>
      <c r="AV572" s="117"/>
      <c r="AW572" s="115"/>
      <c r="AX572" s="106"/>
      <c r="AY572" s="104">
        <f t="shared" si="191"/>
        <v>0</v>
      </c>
      <c r="AZ572" s="105">
        <f ca="1" t="shared" si="192"/>
        <v>-46313</v>
      </c>
    </row>
    <row r="573" customHeight="1" spans="1:52">
      <c r="A573" s="70">
        <v>572</v>
      </c>
      <c r="B573" s="70" t="s">
        <v>229</v>
      </c>
      <c r="C573" s="70" t="s">
        <v>13</v>
      </c>
      <c r="D573" s="71" t="s">
        <v>2274</v>
      </c>
      <c r="E573" s="71" t="s">
        <v>76</v>
      </c>
      <c r="F573" s="72"/>
      <c r="G573" s="73"/>
      <c r="H573" s="75"/>
      <c r="I573" s="102">
        <v>46052</v>
      </c>
      <c r="J573" s="70">
        <v>3</v>
      </c>
      <c r="K573" s="106" t="s">
        <v>2275</v>
      </c>
      <c r="L573" s="104">
        <f t="shared" si="169"/>
        <v>46142</v>
      </c>
      <c r="M573" s="105">
        <f ca="1" t="shared" si="170"/>
        <v>-171</v>
      </c>
      <c r="N573" s="70"/>
      <c r="O573" s="70" t="s">
        <v>229</v>
      </c>
      <c r="P573" s="70" t="s">
        <v>13</v>
      </c>
      <c r="Q573" s="71" t="s">
        <v>2274</v>
      </c>
      <c r="R573" s="71" t="s">
        <v>76</v>
      </c>
      <c r="S573" s="72"/>
      <c r="T573" s="73"/>
      <c r="U573" s="75"/>
      <c r="V573" s="102">
        <v>46266</v>
      </c>
      <c r="W573" s="70">
        <v>3</v>
      </c>
      <c r="X573" s="103" t="s">
        <v>2276</v>
      </c>
      <c r="Y573" s="104">
        <f t="shared" si="189"/>
        <v>46357</v>
      </c>
      <c r="Z573" s="105">
        <f ca="1" t="shared" si="190"/>
        <v>44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93"/>
        <v>0</v>
      </c>
      <c r="AM573" s="105">
        <f ca="1" t="shared" si="194"/>
        <v>-46313</v>
      </c>
      <c r="AN573" s="115"/>
      <c r="AO573" s="115"/>
      <c r="AP573" s="115"/>
      <c r="AQ573" s="93"/>
      <c r="AR573" s="93"/>
      <c r="AS573" s="94"/>
      <c r="AT573" s="95"/>
      <c r="AU573" s="79"/>
      <c r="AV573" s="117"/>
      <c r="AW573" s="115"/>
      <c r="AX573" s="106"/>
      <c r="AY573" s="104">
        <f t="shared" si="191"/>
        <v>0</v>
      </c>
      <c r="AZ573" s="105">
        <f ca="1" t="shared" si="192"/>
        <v>-46313</v>
      </c>
    </row>
    <row r="574" customHeight="1" spans="1:52">
      <c r="A574" s="70">
        <v>573</v>
      </c>
      <c r="B574" s="70" t="s">
        <v>229</v>
      </c>
      <c r="C574" s="70" t="s">
        <v>13</v>
      </c>
      <c r="D574" s="71" t="s">
        <v>2277</v>
      </c>
      <c r="E574" s="71" t="s">
        <v>34</v>
      </c>
      <c r="F574" s="72"/>
      <c r="G574" s="73"/>
      <c r="H574" s="75"/>
      <c r="I574" s="102">
        <v>46052</v>
      </c>
      <c r="J574" s="70">
        <v>3</v>
      </c>
      <c r="K574" s="106" t="s">
        <v>2278</v>
      </c>
      <c r="L574" s="104">
        <f t="shared" si="169"/>
        <v>46142</v>
      </c>
      <c r="M574" s="105">
        <f ca="1" t="shared" si="170"/>
        <v>-171</v>
      </c>
      <c r="N574" s="70"/>
      <c r="O574" s="70" t="s">
        <v>229</v>
      </c>
      <c r="P574" s="70" t="s">
        <v>13</v>
      </c>
      <c r="Q574" s="71" t="s">
        <v>2277</v>
      </c>
      <c r="R574" s="71" t="s">
        <v>34</v>
      </c>
      <c r="S574" s="72"/>
      <c r="T574" s="73"/>
      <c r="U574" s="75"/>
      <c r="V574" s="102">
        <v>46152</v>
      </c>
      <c r="W574" s="70">
        <v>3</v>
      </c>
      <c r="X574" s="103" t="s">
        <v>518</v>
      </c>
      <c r="Y574" s="104">
        <f t="shared" ref="Y574:Y579" si="195">EDATE(V574,W574)</f>
        <v>46244</v>
      </c>
      <c r="Z574" s="105">
        <f ca="1" t="shared" ref="Z574:Z579" si="196">Y574-TODAY()</f>
        <v>-69</v>
      </c>
      <c r="AA574" s="70"/>
      <c r="AB574" s="70" t="s">
        <v>229</v>
      </c>
      <c r="AC574" s="70" t="s">
        <v>13</v>
      </c>
      <c r="AD574" s="71" t="s">
        <v>2277</v>
      </c>
      <c r="AE574" s="71" t="s">
        <v>34</v>
      </c>
      <c r="AF574" s="72"/>
      <c r="AG574" s="73"/>
      <c r="AH574" s="75"/>
      <c r="AI574" s="102">
        <v>46256</v>
      </c>
      <c r="AJ574" s="70">
        <v>3</v>
      </c>
      <c r="AK574" s="103" t="s">
        <v>2279</v>
      </c>
      <c r="AL574" s="104">
        <f t="shared" si="193"/>
        <v>46348</v>
      </c>
      <c r="AM574" s="105">
        <f ca="1" t="shared" si="194"/>
        <v>35</v>
      </c>
      <c r="AN574" s="115"/>
      <c r="AO574" s="115"/>
      <c r="AP574" s="115"/>
      <c r="AQ574" s="93"/>
      <c r="AR574" s="93"/>
      <c r="AS574" s="94"/>
      <c r="AT574" s="95"/>
      <c r="AU574" s="79"/>
      <c r="AV574" s="117"/>
      <c r="AW574" s="115"/>
      <c r="AX574" s="106"/>
      <c r="AY574" s="104">
        <f t="shared" si="191"/>
        <v>0</v>
      </c>
      <c r="AZ574" s="105">
        <f ca="1" t="shared" si="192"/>
        <v>-46313</v>
      </c>
    </row>
    <row r="575" customHeight="1" spans="1:52">
      <c r="A575" s="70">
        <v>574</v>
      </c>
      <c r="B575" s="70" t="s">
        <v>229</v>
      </c>
      <c r="C575" s="70" t="s">
        <v>38</v>
      </c>
      <c r="D575" s="71" t="s">
        <v>2280</v>
      </c>
      <c r="E575" s="71" t="s">
        <v>69</v>
      </c>
      <c r="F575" s="72"/>
      <c r="G575" s="73"/>
      <c r="H575" s="75"/>
      <c r="I575" s="102">
        <v>46052</v>
      </c>
      <c r="J575" s="70">
        <v>3</v>
      </c>
      <c r="K575" s="106" t="s">
        <v>2281</v>
      </c>
      <c r="L575" s="104">
        <f t="shared" si="169"/>
        <v>46142</v>
      </c>
      <c r="M575" s="105">
        <f ca="1" t="shared" si="170"/>
        <v>-171</v>
      </c>
      <c r="N575" s="70"/>
      <c r="O575" s="70" t="s">
        <v>229</v>
      </c>
      <c r="P575" s="70" t="s">
        <v>38</v>
      </c>
      <c r="Q575" s="71" t="s">
        <v>2280</v>
      </c>
      <c r="R575" s="71" t="s">
        <v>69</v>
      </c>
      <c r="S575" s="72"/>
      <c r="T575" s="73"/>
      <c r="U575" s="75"/>
      <c r="V575" s="102">
        <v>46155</v>
      </c>
      <c r="W575" s="70">
        <v>3</v>
      </c>
      <c r="X575" s="103" t="s">
        <v>2282</v>
      </c>
      <c r="Y575" s="104">
        <f t="shared" si="195"/>
        <v>46247</v>
      </c>
      <c r="Z575" s="105">
        <f ca="1" t="shared" si="196"/>
        <v>-66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93"/>
        <v>0</v>
      </c>
      <c r="AM575" s="105">
        <f ca="1" t="shared" si="194"/>
        <v>-46313</v>
      </c>
      <c r="AN575" s="115"/>
      <c r="AO575" s="115"/>
      <c r="AP575" s="115"/>
      <c r="AQ575" s="93"/>
      <c r="AR575" s="93"/>
      <c r="AS575" s="94"/>
      <c r="AT575" s="95"/>
      <c r="AU575" s="79"/>
      <c r="AV575" s="117"/>
      <c r="AW575" s="115"/>
      <c r="AX575" s="106"/>
      <c r="AY575" s="104">
        <f t="shared" si="191"/>
        <v>0</v>
      </c>
      <c r="AZ575" s="105">
        <f ca="1" t="shared" si="192"/>
        <v>-46313</v>
      </c>
    </row>
    <row r="576" customHeight="1" spans="1:52">
      <c r="A576" s="70">
        <v>575</v>
      </c>
      <c r="B576" s="70" t="s">
        <v>134</v>
      </c>
      <c r="C576" s="70" t="s">
        <v>38</v>
      </c>
      <c r="D576" s="71" t="s">
        <v>2283</v>
      </c>
      <c r="E576" s="71" t="s">
        <v>28</v>
      </c>
      <c r="F576" s="72"/>
      <c r="G576" s="73"/>
      <c r="H576" s="75"/>
      <c r="I576" s="102">
        <v>46052</v>
      </c>
      <c r="J576" s="70">
        <v>3</v>
      </c>
      <c r="K576" s="106" t="s">
        <v>2284</v>
      </c>
      <c r="L576" s="104">
        <f t="shared" si="169"/>
        <v>46142</v>
      </c>
      <c r="M576" s="105">
        <f ca="1" t="shared" si="170"/>
        <v>-171</v>
      </c>
      <c r="N576" s="70"/>
      <c r="O576" s="70" t="s">
        <v>134</v>
      </c>
      <c r="P576" s="70" t="s">
        <v>38</v>
      </c>
      <c r="Q576" s="71" t="s">
        <v>2283</v>
      </c>
      <c r="R576" s="71" t="s">
        <v>28</v>
      </c>
      <c r="S576" s="72"/>
      <c r="T576" s="73"/>
      <c r="U576" s="75"/>
      <c r="V576" s="102">
        <v>46146</v>
      </c>
      <c r="W576" s="70">
        <v>3</v>
      </c>
      <c r="X576" s="103" t="s">
        <v>2285</v>
      </c>
      <c r="Y576" s="104">
        <f t="shared" si="195"/>
        <v>46238</v>
      </c>
      <c r="Z576" s="105">
        <f ca="1" t="shared" si="196"/>
        <v>-75</v>
      </c>
      <c r="AA576" s="70"/>
      <c r="AB576" s="70" t="s">
        <v>134</v>
      </c>
      <c r="AC576" s="70" t="s">
        <v>38</v>
      </c>
      <c r="AD576" s="71" t="s">
        <v>2283</v>
      </c>
      <c r="AE576" s="71" t="s">
        <v>28</v>
      </c>
      <c r="AF576" s="72"/>
      <c r="AG576" s="73"/>
      <c r="AH576" s="75"/>
      <c r="AI576" s="102">
        <v>46268</v>
      </c>
      <c r="AJ576" s="70">
        <v>3</v>
      </c>
      <c r="AK576" s="103" t="s">
        <v>2286</v>
      </c>
      <c r="AL576" s="104">
        <f t="shared" si="193"/>
        <v>46359</v>
      </c>
      <c r="AM576" s="105">
        <f ca="1" t="shared" si="194"/>
        <v>46</v>
      </c>
      <c r="AN576" s="115"/>
      <c r="AO576" s="115"/>
      <c r="AP576" s="115"/>
      <c r="AQ576" s="93"/>
      <c r="AR576" s="93"/>
      <c r="AS576" s="94"/>
      <c r="AT576" s="95"/>
      <c r="AU576" s="79"/>
      <c r="AV576" s="117"/>
      <c r="AW576" s="115"/>
      <c r="AX576" s="106"/>
      <c r="AY576" s="104">
        <f t="shared" si="191"/>
        <v>0</v>
      </c>
      <c r="AZ576" s="105">
        <f ca="1" t="shared" si="192"/>
        <v>-46313</v>
      </c>
    </row>
    <row r="577" customHeight="1" spans="1:52">
      <c r="A577" s="70">
        <v>576</v>
      </c>
      <c r="B577" s="70" t="s">
        <v>134</v>
      </c>
      <c r="C577" s="70" t="s">
        <v>38</v>
      </c>
      <c r="D577" s="71" t="s">
        <v>2287</v>
      </c>
      <c r="E577" s="71" t="s">
        <v>189</v>
      </c>
      <c r="F577" s="72"/>
      <c r="G577" s="73"/>
      <c r="H577" s="75"/>
      <c r="I577" s="102">
        <v>46052</v>
      </c>
      <c r="J577" s="70">
        <v>3</v>
      </c>
      <c r="K577" s="106" t="s">
        <v>2288</v>
      </c>
      <c r="L577" s="104">
        <f t="shared" si="169"/>
        <v>46142</v>
      </c>
      <c r="M577" s="105">
        <f ca="1" t="shared" si="170"/>
        <v>-171</v>
      </c>
      <c r="N577" s="70"/>
      <c r="O577" s="70" t="s">
        <v>134</v>
      </c>
      <c r="P577" s="70" t="s">
        <v>38</v>
      </c>
      <c r="Q577" s="71" t="s">
        <v>2287</v>
      </c>
      <c r="R577" s="71" t="s">
        <v>189</v>
      </c>
      <c r="S577" s="72"/>
      <c r="T577" s="73"/>
      <c r="U577" s="75"/>
      <c r="V577" s="102">
        <v>46146</v>
      </c>
      <c r="W577" s="70">
        <v>3</v>
      </c>
      <c r="X577" s="103" t="s">
        <v>2289</v>
      </c>
      <c r="Y577" s="104">
        <f t="shared" si="195"/>
        <v>46238</v>
      </c>
      <c r="Z577" s="105">
        <f ca="1" t="shared" si="196"/>
        <v>-75</v>
      </c>
      <c r="AA577" s="70"/>
      <c r="AB577" s="70" t="s">
        <v>134</v>
      </c>
      <c r="AC577" s="70" t="s">
        <v>38</v>
      </c>
      <c r="AD577" s="71" t="s">
        <v>2287</v>
      </c>
      <c r="AE577" s="71" t="s">
        <v>189</v>
      </c>
      <c r="AF577" s="72"/>
      <c r="AG577" s="73"/>
      <c r="AH577" s="75"/>
      <c r="AI577" s="102">
        <v>46227</v>
      </c>
      <c r="AJ577" s="70">
        <v>3</v>
      </c>
      <c r="AK577" s="103" t="s">
        <v>2290</v>
      </c>
      <c r="AL577" s="104">
        <f t="shared" si="193"/>
        <v>46319</v>
      </c>
      <c r="AM577" s="105">
        <f ca="1" t="shared" si="194"/>
        <v>6</v>
      </c>
      <c r="AN577" s="115"/>
      <c r="AO577" s="70"/>
      <c r="AP577" s="70"/>
      <c r="AQ577" s="71"/>
      <c r="AR577" s="71"/>
      <c r="AS577" s="72"/>
      <c r="AT577" s="73"/>
      <c r="AU577" s="79"/>
      <c r="AV577" s="117"/>
      <c r="AW577" s="115"/>
      <c r="AX577" s="106"/>
      <c r="AY577" s="104">
        <f t="shared" si="191"/>
        <v>0</v>
      </c>
      <c r="AZ577" s="105">
        <f ca="1" t="shared" si="192"/>
        <v>-46313</v>
      </c>
    </row>
    <row r="578" customHeight="1" spans="1:52">
      <c r="A578" s="70">
        <v>577</v>
      </c>
      <c r="B578" s="70" t="s">
        <v>134</v>
      </c>
      <c r="C578" s="70" t="s">
        <v>38</v>
      </c>
      <c r="D578" s="71" t="s">
        <v>2291</v>
      </c>
      <c r="E578" s="71" t="s">
        <v>145</v>
      </c>
      <c r="F578" s="72"/>
      <c r="G578" s="73"/>
      <c r="H578" s="75"/>
      <c r="I578" s="102">
        <v>46052</v>
      </c>
      <c r="J578" s="70">
        <v>3</v>
      </c>
      <c r="K578" s="106" t="s">
        <v>2292</v>
      </c>
      <c r="L578" s="104">
        <f t="shared" ref="L578:L605" si="197">EDATE(I578,J578)</f>
        <v>46142</v>
      </c>
      <c r="M578" s="105">
        <f ca="1" t="shared" ref="M578:M605" si="198">L578-TODAY()</f>
        <v>-171</v>
      </c>
      <c r="N578" s="70"/>
      <c r="O578" s="70" t="s">
        <v>134</v>
      </c>
      <c r="P578" s="70" t="s">
        <v>38</v>
      </c>
      <c r="Q578" s="71" t="s">
        <v>2291</v>
      </c>
      <c r="R578" s="71" t="s">
        <v>145</v>
      </c>
      <c r="S578" s="72"/>
      <c r="T578" s="73"/>
      <c r="U578" s="75"/>
      <c r="V578" s="102">
        <v>46134</v>
      </c>
      <c r="W578" s="70">
        <v>3</v>
      </c>
      <c r="X578" s="103" t="s">
        <v>2293</v>
      </c>
      <c r="Y578" s="104">
        <f t="shared" si="195"/>
        <v>46225</v>
      </c>
      <c r="Z578" s="105">
        <f ca="1" t="shared" si="196"/>
        <v>-88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93"/>
        <v>0</v>
      </c>
      <c r="AM578" s="105">
        <f ca="1" t="shared" si="194"/>
        <v>-46313</v>
      </c>
      <c r="AN578" s="115"/>
      <c r="AO578" s="115"/>
      <c r="AP578" s="115"/>
      <c r="AQ578" s="93"/>
      <c r="AR578" s="93"/>
      <c r="AS578" s="94"/>
      <c r="AT578" s="95"/>
      <c r="AU578" s="79"/>
      <c r="AV578" s="117"/>
      <c r="AW578" s="115"/>
      <c r="AX578" s="106"/>
      <c r="AY578" s="104">
        <f t="shared" si="191"/>
        <v>0</v>
      </c>
      <c r="AZ578" s="105">
        <f ca="1" t="shared" si="192"/>
        <v>-46313</v>
      </c>
    </row>
    <row r="579" customHeight="1" spans="1:52">
      <c r="A579" s="70">
        <v>578</v>
      </c>
      <c r="B579" s="70" t="s">
        <v>134</v>
      </c>
      <c r="C579" s="70" t="s">
        <v>13</v>
      </c>
      <c r="D579" s="71" t="s">
        <v>2294</v>
      </c>
      <c r="E579" s="71" t="s">
        <v>76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2295</v>
      </c>
      <c r="L579" s="104">
        <f t="shared" si="197"/>
        <v>46142</v>
      </c>
      <c r="M579" s="105">
        <f ca="1" t="shared" si="198"/>
        <v>-171</v>
      </c>
      <c r="N579" s="70"/>
      <c r="O579" s="70" t="s">
        <v>134</v>
      </c>
      <c r="P579" s="70" t="s">
        <v>13</v>
      </c>
      <c r="Q579" s="71" t="s">
        <v>2294</v>
      </c>
      <c r="R579" s="71" t="s">
        <v>76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2296</v>
      </c>
      <c r="Y579" s="104">
        <f t="shared" si="195"/>
        <v>46289</v>
      </c>
      <c r="Z579" s="105">
        <f ca="1" t="shared" si="196"/>
        <v>-24</v>
      </c>
      <c r="AA579" s="70"/>
      <c r="AB579" s="70" t="s">
        <v>134</v>
      </c>
      <c r="AC579" s="70" t="s">
        <v>13</v>
      </c>
      <c r="AD579" s="71" t="s">
        <v>2294</v>
      </c>
      <c r="AE579" s="71" t="s">
        <v>76</v>
      </c>
      <c r="AF579" s="72"/>
      <c r="AG579" s="73"/>
      <c r="AH579" s="114" t="s">
        <v>16</v>
      </c>
      <c r="AI579" s="102">
        <v>46281</v>
      </c>
      <c r="AJ579" s="70">
        <v>3</v>
      </c>
      <c r="AK579" s="103" t="s">
        <v>2297</v>
      </c>
      <c r="AL579" s="104">
        <f t="shared" si="193"/>
        <v>46372</v>
      </c>
      <c r="AM579" s="105">
        <f ca="1" t="shared" si="194"/>
        <v>59</v>
      </c>
      <c r="AN579" s="115"/>
      <c r="AO579" s="70"/>
      <c r="AP579" s="70"/>
      <c r="AQ579" s="71"/>
      <c r="AR579" s="71"/>
      <c r="AS579" s="72"/>
      <c r="AT579" s="73"/>
      <c r="AU579" s="75"/>
      <c r="AV579" s="117"/>
      <c r="AW579" s="115"/>
      <c r="AX579" s="106"/>
      <c r="AY579" s="104">
        <f t="shared" si="191"/>
        <v>0</v>
      </c>
      <c r="AZ579" s="105">
        <f ca="1" t="shared" si="192"/>
        <v>-46313</v>
      </c>
    </row>
    <row r="580" customHeight="1" spans="1:52">
      <c r="A580" s="70">
        <v>579</v>
      </c>
      <c r="B580" s="70" t="s">
        <v>270</v>
      </c>
      <c r="C580" s="70" t="s">
        <v>264</v>
      </c>
      <c r="D580" s="71" t="s">
        <v>1580</v>
      </c>
      <c r="E580" s="71" t="s">
        <v>1707</v>
      </c>
      <c r="F580" s="72"/>
      <c r="G580" s="73"/>
      <c r="H580" s="151"/>
      <c r="I580" s="102">
        <v>46052</v>
      </c>
      <c r="J580" s="102" t="s">
        <v>767</v>
      </c>
      <c r="K580" s="106"/>
      <c r="L580" s="104" t="e">
        <f t="shared" si="197"/>
        <v>#VALUE!</v>
      </c>
      <c r="M580" s="105" t="e">
        <f ca="1" t="shared" si="198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99">EDATE(V580,W580)</f>
        <v>0</v>
      </c>
      <c r="Z580" s="105">
        <f ca="1" t="shared" ref="Z578:Z588" si="200">Y580-TODAY()</f>
        <v>-46313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93"/>
        <v>0</v>
      </c>
      <c r="AM580" s="105">
        <f ca="1" t="shared" si="194"/>
        <v>-46313</v>
      </c>
      <c r="AN580" s="115"/>
      <c r="AO580" s="115"/>
      <c r="AP580" s="115"/>
      <c r="AQ580" s="93"/>
      <c r="AR580" s="93"/>
      <c r="AS580" s="94"/>
      <c r="AT580" s="95"/>
      <c r="AU580" s="79"/>
      <c r="AV580" s="117"/>
      <c r="AW580" s="115"/>
      <c r="AX580" s="106"/>
      <c r="AY580" s="104">
        <f t="shared" si="191"/>
        <v>0</v>
      </c>
      <c r="AZ580" s="105">
        <f ca="1" t="shared" si="192"/>
        <v>-46313</v>
      </c>
    </row>
    <row r="581" customHeight="1" spans="1:52">
      <c r="A581" s="70">
        <v>580</v>
      </c>
      <c r="B581" s="70" t="s">
        <v>270</v>
      </c>
      <c r="C581" s="70" t="s">
        <v>264</v>
      </c>
      <c r="D581" s="71" t="s">
        <v>271</v>
      </c>
      <c r="E581" s="71" t="s">
        <v>272</v>
      </c>
      <c r="F581" s="72"/>
      <c r="G581" s="73"/>
      <c r="H581" s="151"/>
      <c r="I581" s="102">
        <v>46052</v>
      </c>
      <c r="J581" s="102" t="s">
        <v>767</v>
      </c>
      <c r="K581" s="106"/>
      <c r="L581" s="104" t="e">
        <f t="shared" si="197"/>
        <v>#VALUE!</v>
      </c>
      <c r="M581" s="105" t="e">
        <f ca="1" t="shared" si="198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99"/>
        <v>0</v>
      </c>
      <c r="Z581" s="105">
        <f ca="1" t="shared" si="200"/>
        <v>-46313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93"/>
        <v>0</v>
      </c>
      <c r="AM581" s="105">
        <f ca="1" t="shared" si="194"/>
        <v>-46313</v>
      </c>
      <c r="AN581" s="115"/>
      <c r="AO581" s="70"/>
      <c r="AP581" s="70"/>
      <c r="AQ581" s="71"/>
      <c r="AR581" s="71"/>
      <c r="AS581" s="72"/>
      <c r="AT581" s="73"/>
      <c r="AU581" s="79"/>
      <c r="AV581" s="117"/>
      <c r="AW581" s="115"/>
      <c r="AX581" s="106"/>
      <c r="AY581" s="104">
        <f t="shared" si="191"/>
        <v>0</v>
      </c>
      <c r="AZ581" s="105">
        <f ca="1" t="shared" si="192"/>
        <v>-46313</v>
      </c>
    </row>
    <row r="582" customHeight="1" spans="1:52">
      <c r="A582" s="70">
        <v>581</v>
      </c>
      <c r="B582" s="70" t="s">
        <v>270</v>
      </c>
      <c r="C582" s="70" t="s">
        <v>264</v>
      </c>
      <c r="D582" s="71" t="s">
        <v>367</v>
      </c>
      <c r="E582" s="71" t="s">
        <v>368</v>
      </c>
      <c r="F582" s="72"/>
      <c r="G582" s="73"/>
      <c r="H582" s="151"/>
      <c r="I582" s="102">
        <v>46052</v>
      </c>
      <c r="J582" s="102" t="s">
        <v>767</v>
      </c>
      <c r="K582" s="106"/>
      <c r="L582" s="104" t="e">
        <f t="shared" si="197"/>
        <v>#VALUE!</v>
      </c>
      <c r="M582" s="105" t="e">
        <f ca="1" t="shared" si="198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99"/>
        <v>0</v>
      </c>
      <c r="Z582" s="105">
        <f ca="1" t="shared" si="200"/>
        <v>-46313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93"/>
        <v>0</v>
      </c>
      <c r="AM582" s="105">
        <f ca="1" t="shared" si="194"/>
        <v>-46313</v>
      </c>
      <c r="AN582" s="115"/>
      <c r="AO582" s="115"/>
      <c r="AP582" s="115"/>
      <c r="AQ582" s="93"/>
      <c r="AR582" s="93"/>
      <c r="AS582" s="94"/>
      <c r="AT582" s="95"/>
      <c r="AU582" s="79"/>
      <c r="AV582" s="117"/>
      <c r="AW582" s="115"/>
      <c r="AX582" s="106"/>
      <c r="AY582" s="104">
        <f t="shared" si="191"/>
        <v>0</v>
      </c>
      <c r="AZ582" s="105">
        <f ca="1" t="shared" si="192"/>
        <v>-46313</v>
      </c>
    </row>
    <row r="583" customHeight="1" spans="1:52">
      <c r="A583" s="70">
        <v>582</v>
      </c>
      <c r="B583" s="70" t="s">
        <v>782</v>
      </c>
      <c r="C583" s="70" t="s">
        <v>374</v>
      </c>
      <c r="D583" s="71" t="s">
        <v>2298</v>
      </c>
      <c r="E583" s="71" t="s">
        <v>778</v>
      </c>
      <c r="F583" s="72"/>
      <c r="G583" s="73"/>
      <c r="H583" s="151"/>
      <c r="I583" s="102">
        <v>46052</v>
      </c>
      <c r="J583" s="70">
        <v>3</v>
      </c>
      <c r="K583" s="106" t="s">
        <v>2299</v>
      </c>
      <c r="L583" s="104">
        <f t="shared" si="197"/>
        <v>46142</v>
      </c>
      <c r="M583" s="105">
        <f ca="1" t="shared" si="198"/>
        <v>-171</v>
      </c>
      <c r="N583" s="70"/>
      <c r="O583" s="70" t="s">
        <v>782</v>
      </c>
      <c r="P583" s="70" t="s">
        <v>374</v>
      </c>
      <c r="Q583" s="71" t="s">
        <v>2298</v>
      </c>
      <c r="R583" s="71" t="s">
        <v>778</v>
      </c>
      <c r="S583" s="72"/>
      <c r="T583" s="73"/>
      <c r="U583" s="151"/>
      <c r="V583" s="102">
        <v>46308</v>
      </c>
      <c r="W583" s="70">
        <v>3</v>
      </c>
      <c r="X583" s="103"/>
      <c r="Y583" s="104">
        <f t="shared" si="199"/>
        <v>46400</v>
      </c>
      <c r="Z583" s="105">
        <f ca="1" t="shared" si="200"/>
        <v>87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93"/>
        <v>0</v>
      </c>
      <c r="AM583" s="105">
        <f ca="1" t="shared" si="194"/>
        <v>-46313</v>
      </c>
      <c r="AN583" s="115"/>
      <c r="AO583" s="115"/>
      <c r="AP583" s="115"/>
      <c r="AQ583" s="93"/>
      <c r="AR583" s="93"/>
      <c r="AS583" s="94"/>
      <c r="AT583" s="95"/>
      <c r="AU583" s="79"/>
      <c r="AV583" s="117"/>
      <c r="AW583" s="115"/>
      <c r="AX583" s="106"/>
      <c r="AY583" s="104">
        <f t="shared" si="191"/>
        <v>0</v>
      </c>
      <c r="AZ583" s="105">
        <f ca="1" t="shared" si="192"/>
        <v>-46313</v>
      </c>
    </row>
    <row r="584" customHeight="1" spans="1:52">
      <c r="A584" s="70">
        <v>583</v>
      </c>
      <c r="B584" s="70" t="s">
        <v>776</v>
      </c>
      <c r="C584" s="70" t="s">
        <v>374</v>
      </c>
      <c r="D584" s="71" t="s">
        <v>2300</v>
      </c>
      <c r="E584" s="71" t="s">
        <v>778</v>
      </c>
      <c r="F584" s="72"/>
      <c r="G584" s="73"/>
      <c r="H584" s="151"/>
      <c r="I584" s="102">
        <v>46052</v>
      </c>
      <c r="J584" s="70">
        <v>3</v>
      </c>
      <c r="K584" s="106" t="s">
        <v>2301</v>
      </c>
      <c r="L584" s="104">
        <f t="shared" si="197"/>
        <v>46142</v>
      </c>
      <c r="M584" s="105">
        <f ca="1" t="shared" si="198"/>
        <v>-171</v>
      </c>
      <c r="N584" s="70"/>
      <c r="O584" s="70" t="s">
        <v>776</v>
      </c>
      <c r="P584" s="70" t="s">
        <v>374</v>
      </c>
      <c r="Q584" s="71" t="s">
        <v>2300</v>
      </c>
      <c r="R584" s="71" t="s">
        <v>778</v>
      </c>
      <c r="S584" s="72"/>
      <c r="T584" s="73"/>
      <c r="U584" s="151"/>
      <c r="V584" s="102">
        <v>46185</v>
      </c>
      <c r="W584" s="70">
        <v>3</v>
      </c>
      <c r="X584" s="103" t="s">
        <v>2302</v>
      </c>
      <c r="Y584" s="104">
        <f t="shared" si="199"/>
        <v>46277</v>
      </c>
      <c r="Z584" s="105">
        <f ca="1" t="shared" si="200"/>
        <v>-36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93"/>
        <v>0</v>
      </c>
      <c r="AM584" s="105">
        <f ca="1" t="shared" si="194"/>
        <v>-46313</v>
      </c>
      <c r="AN584" s="115"/>
      <c r="AO584" s="115"/>
      <c r="AP584" s="115"/>
      <c r="AQ584" s="93"/>
      <c r="AR584" s="93"/>
      <c r="AS584" s="94"/>
      <c r="AT584" s="95"/>
      <c r="AU584" s="79"/>
      <c r="AV584" s="117"/>
      <c r="AW584" s="115"/>
      <c r="AX584" s="106"/>
      <c r="AY584" s="104">
        <f t="shared" si="191"/>
        <v>0</v>
      </c>
      <c r="AZ584" s="105">
        <f ca="1" t="shared" si="192"/>
        <v>-46313</v>
      </c>
    </row>
    <row r="585" customHeight="1" spans="1:52">
      <c r="A585" s="70">
        <v>584</v>
      </c>
      <c r="B585" s="70" t="s">
        <v>776</v>
      </c>
      <c r="C585" s="70" t="s">
        <v>374</v>
      </c>
      <c r="D585" s="71" t="s">
        <v>2303</v>
      </c>
      <c r="E585" s="71" t="s">
        <v>548</v>
      </c>
      <c r="F585" s="72"/>
      <c r="G585" s="73"/>
      <c r="H585" s="151"/>
      <c r="I585" s="102">
        <v>46052</v>
      </c>
      <c r="J585" s="70">
        <v>3</v>
      </c>
      <c r="K585" s="106" t="s">
        <v>2304</v>
      </c>
      <c r="L585" s="104">
        <f t="shared" si="197"/>
        <v>46142</v>
      </c>
      <c r="M585" s="105">
        <f ca="1" t="shared" si="198"/>
        <v>-171</v>
      </c>
      <c r="N585" s="70"/>
      <c r="O585" s="70" t="s">
        <v>776</v>
      </c>
      <c r="P585" s="70" t="s">
        <v>374</v>
      </c>
      <c r="Q585" s="71" t="s">
        <v>2303</v>
      </c>
      <c r="R585" s="71" t="s">
        <v>548</v>
      </c>
      <c r="S585" s="72"/>
      <c r="T585" s="73"/>
      <c r="U585" s="151"/>
      <c r="V585" s="102">
        <v>46151</v>
      </c>
      <c r="W585" s="70">
        <v>3</v>
      </c>
      <c r="X585" s="103" t="s">
        <v>2305</v>
      </c>
      <c r="Y585" s="104">
        <f t="shared" si="199"/>
        <v>46243</v>
      </c>
      <c r="Z585" s="105">
        <f ca="1" t="shared" si="200"/>
        <v>-70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93"/>
        <v>0</v>
      </c>
      <c r="AM585" s="105">
        <f ca="1" t="shared" si="194"/>
        <v>-46313</v>
      </c>
      <c r="AN585" s="115"/>
      <c r="AO585" s="115"/>
      <c r="AP585" s="115"/>
      <c r="AQ585" s="93"/>
      <c r="AR585" s="93"/>
      <c r="AS585" s="94"/>
      <c r="AT585" s="95"/>
      <c r="AU585" s="79"/>
      <c r="AV585" s="117"/>
      <c r="AW585" s="115"/>
      <c r="AX585" s="106"/>
      <c r="AY585" s="104">
        <f t="shared" si="191"/>
        <v>0</v>
      </c>
      <c r="AZ585" s="105">
        <f ca="1" t="shared" si="192"/>
        <v>-46313</v>
      </c>
    </row>
    <row r="586" customHeight="1" spans="1:52">
      <c r="A586" s="70">
        <v>585</v>
      </c>
      <c r="B586" s="70" t="s">
        <v>561</v>
      </c>
      <c r="C586" s="70" t="s">
        <v>374</v>
      </c>
      <c r="D586" s="71" t="s">
        <v>2306</v>
      </c>
      <c r="E586" s="71" t="s">
        <v>568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2307</v>
      </c>
      <c r="L586" s="104">
        <f t="shared" si="197"/>
        <v>46142</v>
      </c>
      <c r="M586" s="105">
        <f ca="1" t="shared" si="198"/>
        <v>-171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99"/>
        <v>0</v>
      </c>
      <c r="Z586" s="105">
        <f ca="1" t="shared" si="200"/>
        <v>-46313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93"/>
        <v>0</v>
      </c>
      <c r="AM586" s="105">
        <f ca="1" t="shared" si="194"/>
        <v>-46313</v>
      </c>
      <c r="AN586" s="115"/>
      <c r="AO586" s="115"/>
      <c r="AP586" s="115"/>
      <c r="AQ586" s="93"/>
      <c r="AR586" s="93"/>
      <c r="AS586" s="94"/>
      <c r="AT586" s="95"/>
      <c r="AU586" s="79"/>
      <c r="AV586" s="117"/>
      <c r="AW586" s="115"/>
      <c r="AX586" s="106"/>
      <c r="AY586" s="104">
        <f t="shared" si="191"/>
        <v>0</v>
      </c>
      <c r="AZ586" s="105">
        <f ca="1" t="shared" si="192"/>
        <v>-46313</v>
      </c>
    </row>
    <row r="587" customHeight="1" spans="1:52">
      <c r="A587" s="70">
        <v>586</v>
      </c>
      <c r="B587" s="70" t="s">
        <v>881</v>
      </c>
      <c r="C587" s="70" t="s">
        <v>374</v>
      </c>
      <c r="D587" s="71" t="s">
        <v>2308</v>
      </c>
      <c r="E587" s="71" t="s">
        <v>883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2309</v>
      </c>
      <c r="L587" s="104">
        <f t="shared" si="197"/>
        <v>46142</v>
      </c>
      <c r="M587" s="105">
        <f ca="1" t="shared" si="198"/>
        <v>-171</v>
      </c>
      <c r="N587" s="70"/>
      <c r="O587" s="70" t="s">
        <v>881</v>
      </c>
      <c r="P587" s="70" t="s">
        <v>374</v>
      </c>
      <c r="Q587" s="71" t="s">
        <v>2308</v>
      </c>
      <c r="R587" s="71" t="s">
        <v>883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2310</v>
      </c>
      <c r="Y587" s="104">
        <f t="shared" si="199"/>
        <v>46264</v>
      </c>
      <c r="Z587" s="105">
        <f ca="1" t="shared" si="200"/>
        <v>-49</v>
      </c>
      <c r="AA587" s="70"/>
      <c r="AB587" s="70" t="s">
        <v>881</v>
      </c>
      <c r="AC587" s="70" t="s">
        <v>374</v>
      </c>
      <c r="AD587" s="71" t="s">
        <v>2308</v>
      </c>
      <c r="AE587" s="71" t="s">
        <v>883</v>
      </c>
      <c r="AF587" s="72"/>
      <c r="AG587" s="73"/>
      <c r="AH587" s="79" t="s">
        <v>16</v>
      </c>
      <c r="AI587" s="102">
        <v>46262</v>
      </c>
      <c r="AJ587" s="70">
        <v>3</v>
      </c>
      <c r="AK587" s="103" t="s">
        <v>2311</v>
      </c>
      <c r="AL587" s="104">
        <f t="shared" si="193"/>
        <v>46354</v>
      </c>
      <c r="AM587" s="105">
        <f ca="1" t="shared" si="194"/>
        <v>41</v>
      </c>
      <c r="AN587" s="115"/>
      <c r="AO587" s="115"/>
      <c r="AP587" s="115"/>
      <c r="AQ587" s="93"/>
      <c r="AR587" s="93"/>
      <c r="AS587" s="94"/>
      <c r="AT587" s="95"/>
      <c r="AU587" s="79"/>
      <c r="AV587" s="117"/>
      <c r="AW587" s="115"/>
      <c r="AX587" s="106"/>
      <c r="AY587" s="104">
        <f t="shared" si="191"/>
        <v>0</v>
      </c>
      <c r="AZ587" s="105">
        <f ca="1" t="shared" si="192"/>
        <v>-46313</v>
      </c>
    </row>
    <row r="588" customHeight="1" spans="1:52">
      <c r="A588" s="70">
        <v>587</v>
      </c>
      <c r="B588" s="70" t="s">
        <v>881</v>
      </c>
      <c r="C588" s="70" t="s">
        <v>374</v>
      </c>
      <c r="D588" s="71" t="s">
        <v>2312</v>
      </c>
      <c r="E588" s="71" t="s">
        <v>883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2313</v>
      </c>
      <c r="L588" s="104">
        <f t="shared" si="197"/>
        <v>46142</v>
      </c>
      <c r="M588" s="105">
        <f ca="1" t="shared" si="198"/>
        <v>-171</v>
      </c>
      <c r="N588" s="70"/>
      <c r="O588" s="70" t="s">
        <v>881</v>
      </c>
      <c r="P588" s="70" t="s">
        <v>374</v>
      </c>
      <c r="Q588" s="71" t="s">
        <v>2312</v>
      </c>
      <c r="R588" s="71" t="s">
        <v>883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2314</v>
      </c>
      <c r="Y588" s="104">
        <f t="shared" si="199"/>
        <v>46226</v>
      </c>
      <c r="Z588" s="105">
        <f ca="1" t="shared" si="200"/>
        <v>-87</v>
      </c>
      <c r="AA588" s="70"/>
      <c r="AB588" s="70" t="s">
        <v>881</v>
      </c>
      <c r="AC588" s="70" t="s">
        <v>374</v>
      </c>
      <c r="AD588" s="71" t="s">
        <v>2312</v>
      </c>
      <c r="AE588" s="71" t="s">
        <v>883</v>
      </c>
      <c r="AF588" s="72"/>
      <c r="AG588" s="73"/>
      <c r="AH588" s="79" t="s">
        <v>16</v>
      </c>
      <c r="AI588" s="102">
        <v>46256</v>
      </c>
      <c r="AJ588" s="70">
        <v>3</v>
      </c>
      <c r="AK588" s="103" t="s">
        <v>2315</v>
      </c>
      <c r="AL588" s="104">
        <f t="shared" si="193"/>
        <v>46348</v>
      </c>
      <c r="AM588" s="105">
        <f ca="1" t="shared" si="194"/>
        <v>35</v>
      </c>
      <c r="AN588" s="115"/>
      <c r="AO588" s="115"/>
      <c r="AP588" s="115"/>
      <c r="AQ588" s="93"/>
      <c r="AR588" s="93"/>
      <c r="AS588" s="94"/>
      <c r="AT588" s="95"/>
      <c r="AU588" s="79"/>
      <c r="AV588" s="117"/>
      <c r="AW588" s="115"/>
      <c r="AX588" s="106"/>
      <c r="AY588" s="104">
        <f t="shared" si="191"/>
        <v>0</v>
      </c>
      <c r="AZ588" s="105">
        <f ca="1" t="shared" si="192"/>
        <v>-46313</v>
      </c>
    </row>
    <row r="589" customHeight="1" spans="1:52">
      <c r="A589" s="70">
        <v>588</v>
      </c>
      <c r="B589" s="70" t="s">
        <v>12</v>
      </c>
      <c r="C589" s="70" t="s">
        <v>38</v>
      </c>
      <c r="D589" s="71" t="s">
        <v>2316</v>
      </c>
      <c r="E589" s="71" t="s">
        <v>189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2317</v>
      </c>
      <c r="L589" s="104">
        <f t="shared" si="197"/>
        <v>46142</v>
      </c>
      <c r="M589" s="105">
        <f ca="1" t="shared" si="198"/>
        <v>-171</v>
      </c>
      <c r="N589" s="70"/>
      <c r="O589" s="70" t="s">
        <v>12</v>
      </c>
      <c r="P589" s="70" t="s">
        <v>38</v>
      </c>
      <c r="Q589" s="71" t="s">
        <v>2316</v>
      </c>
      <c r="R589" s="71" t="s">
        <v>189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2318</v>
      </c>
      <c r="Y589" s="104">
        <f t="shared" ref="Y589:Y610" si="201">EDATE(V589,W589)</f>
        <v>46239</v>
      </c>
      <c r="Z589" s="105">
        <f ca="1" t="shared" ref="Z589:Z610" si="202">Y589-TODAY()</f>
        <v>-74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93"/>
        <v>0</v>
      </c>
      <c r="AM589" s="105">
        <f ca="1" t="shared" si="194"/>
        <v>-46313</v>
      </c>
      <c r="AN589" s="115"/>
      <c r="AO589" s="115"/>
      <c r="AP589" s="115"/>
      <c r="AQ589" s="93"/>
      <c r="AR589" s="93"/>
      <c r="AS589" s="94"/>
      <c r="AT589" s="95"/>
      <c r="AU589" s="79"/>
      <c r="AV589" s="117"/>
      <c r="AW589" s="115"/>
      <c r="AX589" s="106"/>
      <c r="AY589" s="104">
        <f t="shared" si="191"/>
        <v>0</v>
      </c>
      <c r="AZ589" s="105">
        <f ca="1" t="shared" si="192"/>
        <v>-46313</v>
      </c>
    </row>
    <row r="590" customHeight="1" spans="1:52">
      <c r="A590" s="70">
        <v>589</v>
      </c>
      <c r="B590" s="70" t="s">
        <v>12</v>
      </c>
      <c r="C590" s="70" t="s">
        <v>38</v>
      </c>
      <c r="D590" s="71" t="s">
        <v>2319</v>
      </c>
      <c r="E590" s="71" t="s">
        <v>189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2320</v>
      </c>
      <c r="L590" s="104">
        <f t="shared" si="197"/>
        <v>46142</v>
      </c>
      <c r="M590" s="105">
        <f ca="1" t="shared" si="198"/>
        <v>-171</v>
      </c>
      <c r="N590" s="70"/>
      <c r="O590" s="70" t="s">
        <v>12</v>
      </c>
      <c r="P590" s="70" t="s">
        <v>38</v>
      </c>
      <c r="Q590" s="71" t="s">
        <v>2319</v>
      </c>
      <c r="R590" s="71" t="s">
        <v>189</v>
      </c>
      <c r="S590" s="72"/>
      <c r="T590" s="73"/>
      <c r="U590" s="79" t="s">
        <v>16</v>
      </c>
      <c r="V590" s="102">
        <v>46285</v>
      </c>
      <c r="W590" s="70">
        <v>3</v>
      </c>
      <c r="X590" s="103" t="s">
        <v>2321</v>
      </c>
      <c r="Y590" s="104">
        <f t="shared" si="201"/>
        <v>46376</v>
      </c>
      <c r="Z590" s="105">
        <f ca="1" t="shared" si="202"/>
        <v>63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93"/>
        <v>0</v>
      </c>
      <c r="AM590" s="105">
        <f ca="1" t="shared" si="194"/>
        <v>-46313</v>
      </c>
      <c r="AN590" s="115"/>
      <c r="AO590" s="115"/>
      <c r="AP590" s="115"/>
      <c r="AQ590" s="93"/>
      <c r="AR590" s="93"/>
      <c r="AS590" s="94"/>
      <c r="AT590" s="95"/>
      <c r="AU590" s="79"/>
      <c r="AV590" s="117"/>
      <c r="AW590" s="115"/>
      <c r="AX590" s="106"/>
      <c r="AY590" s="104">
        <f t="shared" si="191"/>
        <v>0</v>
      </c>
      <c r="AZ590" s="105">
        <f ca="1" t="shared" si="192"/>
        <v>-46313</v>
      </c>
    </row>
    <row r="591" customHeight="1" spans="1:52">
      <c r="A591" s="70">
        <v>590</v>
      </c>
      <c r="B591" s="70" t="s">
        <v>685</v>
      </c>
      <c r="C591" s="70" t="s">
        <v>13</v>
      </c>
      <c r="D591" s="71" t="s">
        <v>2322</v>
      </c>
      <c r="E591" s="71" t="s">
        <v>80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2323</v>
      </c>
      <c r="L591" s="104">
        <f t="shared" si="197"/>
        <v>46142</v>
      </c>
      <c r="M591" s="105">
        <f ca="1" t="shared" si="198"/>
        <v>-171</v>
      </c>
      <c r="N591" s="70"/>
      <c r="O591" s="70" t="s">
        <v>685</v>
      </c>
      <c r="P591" s="70" t="s">
        <v>13</v>
      </c>
      <c r="Q591" s="71" t="s">
        <v>2322</v>
      </c>
      <c r="R591" s="71" t="s">
        <v>80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2324</v>
      </c>
      <c r="Y591" s="104">
        <f t="shared" si="201"/>
        <v>46326</v>
      </c>
      <c r="Z591" s="105">
        <f ca="1" t="shared" si="202"/>
        <v>13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93"/>
        <v>0</v>
      </c>
      <c r="AM591" s="105">
        <f ca="1" t="shared" si="194"/>
        <v>-46313</v>
      </c>
      <c r="AN591" s="115"/>
      <c r="AO591" s="115"/>
      <c r="AP591" s="115"/>
      <c r="AQ591" s="93"/>
      <c r="AR591" s="93"/>
      <c r="AS591" s="94"/>
      <c r="AT591" s="95"/>
      <c r="AU591" s="114"/>
      <c r="AV591" s="117"/>
      <c r="AW591" s="115"/>
      <c r="AX591" s="106"/>
      <c r="AY591" s="104">
        <f t="shared" si="191"/>
        <v>0</v>
      </c>
      <c r="AZ591" s="105">
        <f ca="1" t="shared" si="192"/>
        <v>-46313</v>
      </c>
    </row>
    <row r="592" customHeight="1" spans="1:52">
      <c r="A592" s="70">
        <v>591</v>
      </c>
      <c r="B592" s="70" t="s">
        <v>229</v>
      </c>
      <c r="C592" s="70" t="s">
        <v>13</v>
      </c>
      <c r="D592" s="71" t="s">
        <v>2325</v>
      </c>
      <c r="E592" s="71" t="s">
        <v>126</v>
      </c>
      <c r="F592" s="72"/>
      <c r="G592" s="73"/>
      <c r="H592" s="151"/>
      <c r="I592" s="102">
        <v>46053</v>
      </c>
      <c r="J592" s="70">
        <v>3</v>
      </c>
      <c r="K592" s="106" t="s">
        <v>2326</v>
      </c>
      <c r="L592" s="104">
        <f t="shared" si="197"/>
        <v>46142</v>
      </c>
      <c r="M592" s="105">
        <f ca="1" t="shared" si="198"/>
        <v>-171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201"/>
        <v>0</v>
      </c>
      <c r="Z592" s="105">
        <f ca="1" t="shared" si="202"/>
        <v>-46313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93"/>
        <v>0</v>
      </c>
      <c r="AM592" s="105">
        <f ca="1" t="shared" si="194"/>
        <v>-46313</v>
      </c>
      <c r="AN592" s="115"/>
      <c r="AO592" s="115"/>
      <c r="AP592" s="115"/>
      <c r="AQ592" s="93"/>
      <c r="AR592" s="93"/>
      <c r="AS592" s="94"/>
      <c r="AT592" s="95"/>
      <c r="AU592" s="79"/>
      <c r="AV592" s="117"/>
      <c r="AW592" s="115"/>
      <c r="AX592" s="106"/>
      <c r="AY592" s="104">
        <f t="shared" si="191"/>
        <v>0</v>
      </c>
      <c r="AZ592" s="105">
        <f ca="1" t="shared" si="192"/>
        <v>-46313</v>
      </c>
    </row>
    <row r="593" customHeight="1" spans="1:52">
      <c r="A593" s="70">
        <v>592</v>
      </c>
      <c r="B593" s="70" t="s">
        <v>229</v>
      </c>
      <c r="C593" s="70" t="s">
        <v>13</v>
      </c>
      <c r="D593" s="71" t="s">
        <v>2327</v>
      </c>
      <c r="E593" s="71" t="s">
        <v>853</v>
      </c>
      <c r="F593" s="72"/>
      <c r="G593" s="73"/>
      <c r="H593" s="151"/>
      <c r="I593" s="102">
        <v>46053</v>
      </c>
      <c r="J593" s="70">
        <v>3</v>
      </c>
      <c r="K593" s="106" t="s">
        <v>2328</v>
      </c>
      <c r="L593" s="104">
        <f t="shared" si="197"/>
        <v>46142</v>
      </c>
      <c r="M593" s="105">
        <f ca="1" t="shared" si="198"/>
        <v>-171</v>
      </c>
      <c r="N593" s="70"/>
      <c r="O593" s="70" t="s">
        <v>229</v>
      </c>
      <c r="P593" s="70" t="s">
        <v>13</v>
      </c>
      <c r="Q593" s="71" t="s">
        <v>2327</v>
      </c>
      <c r="R593" s="71" t="s">
        <v>853</v>
      </c>
      <c r="S593" s="72"/>
      <c r="T593" s="73"/>
      <c r="U593" s="151"/>
      <c r="V593" s="102">
        <v>46238</v>
      </c>
      <c r="W593" s="70">
        <v>3</v>
      </c>
      <c r="X593" s="103" t="s">
        <v>2329</v>
      </c>
      <c r="Y593" s="104">
        <f t="shared" si="201"/>
        <v>46330</v>
      </c>
      <c r="Z593" s="105">
        <f ca="1" t="shared" si="202"/>
        <v>17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203">EDATE(AI593,AJ593)</f>
        <v>0</v>
      </c>
      <c r="AM593" s="105">
        <f ca="1" t="shared" ref="AM593:AM624" si="204">AL593-TODAY()</f>
        <v>-46313</v>
      </c>
      <c r="AN593" s="115"/>
      <c r="AO593" s="115"/>
      <c r="AP593" s="115"/>
      <c r="AQ593" s="93"/>
      <c r="AR593" s="93"/>
      <c r="AS593" s="94"/>
      <c r="AT593" s="95"/>
      <c r="AU593" s="79"/>
      <c r="AV593" s="117"/>
      <c r="AW593" s="115"/>
      <c r="AX593" s="106"/>
      <c r="AY593" s="104">
        <f t="shared" si="191"/>
        <v>0</v>
      </c>
      <c r="AZ593" s="105">
        <f ca="1" t="shared" si="192"/>
        <v>-46313</v>
      </c>
    </row>
    <row r="594" customHeight="1" spans="1:52">
      <c r="A594" s="70">
        <v>593</v>
      </c>
      <c r="B594" s="70" t="s">
        <v>229</v>
      </c>
      <c r="C594" s="70" t="s">
        <v>13</v>
      </c>
      <c r="D594" s="70" t="s">
        <v>2330</v>
      </c>
      <c r="E594" s="71" t="s">
        <v>136</v>
      </c>
      <c r="F594" s="72"/>
      <c r="G594" s="73"/>
      <c r="H594" s="151"/>
      <c r="I594" s="102">
        <v>46053</v>
      </c>
      <c r="J594" s="70">
        <v>3</v>
      </c>
      <c r="K594" s="106" t="s">
        <v>2331</v>
      </c>
      <c r="L594" s="104">
        <f t="shared" si="197"/>
        <v>46142</v>
      </c>
      <c r="M594" s="105">
        <f ca="1" t="shared" si="198"/>
        <v>-171</v>
      </c>
      <c r="N594" s="70"/>
      <c r="O594" s="70" t="s">
        <v>229</v>
      </c>
      <c r="P594" s="70" t="s">
        <v>13</v>
      </c>
      <c r="Q594" s="70" t="s">
        <v>2330</v>
      </c>
      <c r="R594" s="71" t="s">
        <v>136</v>
      </c>
      <c r="S594" s="72"/>
      <c r="T594" s="73"/>
      <c r="U594" s="151"/>
      <c r="V594" s="102">
        <v>46238</v>
      </c>
      <c r="W594" s="70">
        <v>3</v>
      </c>
      <c r="X594" s="103" t="s">
        <v>2332</v>
      </c>
      <c r="Y594" s="104">
        <f t="shared" si="201"/>
        <v>46330</v>
      </c>
      <c r="Z594" s="105">
        <f ca="1" t="shared" si="202"/>
        <v>17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203"/>
        <v>0</v>
      </c>
      <c r="AM594" s="105">
        <f ca="1" t="shared" si="204"/>
        <v>-46313</v>
      </c>
      <c r="AN594" s="115"/>
      <c r="AO594" s="115"/>
      <c r="AP594" s="115"/>
      <c r="AQ594" s="115"/>
      <c r="AR594" s="93"/>
      <c r="AS594" s="94"/>
      <c r="AT594" s="95"/>
      <c r="AU594" s="79"/>
      <c r="AV594" s="117"/>
      <c r="AW594" s="115"/>
      <c r="AX594" s="106"/>
      <c r="AY594" s="104">
        <f t="shared" si="191"/>
        <v>0</v>
      </c>
      <c r="AZ594" s="105">
        <f ca="1" t="shared" si="192"/>
        <v>-46313</v>
      </c>
    </row>
    <row r="595" customHeight="1" spans="1:52">
      <c r="A595" s="70">
        <v>594</v>
      </c>
      <c r="B595" s="70" t="s">
        <v>229</v>
      </c>
      <c r="C595" s="70" t="s">
        <v>13</v>
      </c>
      <c r="D595" s="71" t="s">
        <v>2333</v>
      </c>
      <c r="E595" s="71" t="s">
        <v>76</v>
      </c>
      <c r="F595" s="72"/>
      <c r="G595" s="73"/>
      <c r="H595" s="151"/>
      <c r="I595" s="102">
        <v>46053</v>
      </c>
      <c r="J595" s="70">
        <v>3</v>
      </c>
      <c r="K595" s="106" t="s">
        <v>2334</v>
      </c>
      <c r="L595" s="104">
        <f t="shared" si="197"/>
        <v>46142</v>
      </c>
      <c r="M595" s="105">
        <f ca="1" t="shared" si="198"/>
        <v>-171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201"/>
        <v>0</v>
      </c>
      <c r="Z595" s="105">
        <f ca="1" t="shared" si="202"/>
        <v>-46313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203"/>
        <v>0</v>
      </c>
      <c r="AM595" s="105">
        <f ca="1" t="shared" si="204"/>
        <v>-46313</v>
      </c>
      <c r="AN595" s="115"/>
      <c r="AO595" s="115"/>
      <c r="AP595" s="115"/>
      <c r="AQ595" s="93"/>
      <c r="AR595" s="93"/>
      <c r="AS595" s="94"/>
      <c r="AT595" s="95"/>
      <c r="AU595" s="79"/>
      <c r="AV595" s="117"/>
      <c r="AW595" s="115"/>
      <c r="AX595" s="106"/>
      <c r="AY595" s="104">
        <f t="shared" si="191"/>
        <v>0</v>
      </c>
      <c r="AZ595" s="105">
        <f ca="1" t="shared" si="192"/>
        <v>-46313</v>
      </c>
    </row>
    <row r="596" customHeight="1" spans="1:52">
      <c r="A596" s="70">
        <v>595</v>
      </c>
      <c r="B596" s="70" t="s">
        <v>229</v>
      </c>
      <c r="C596" s="70" t="s">
        <v>13</v>
      </c>
      <c r="D596" s="71" t="s">
        <v>2335</v>
      </c>
      <c r="E596" s="71" t="s">
        <v>34</v>
      </c>
      <c r="F596" s="72"/>
      <c r="G596" s="73"/>
      <c r="H596" s="151"/>
      <c r="I596" s="102">
        <v>46053</v>
      </c>
      <c r="J596" s="70">
        <v>3</v>
      </c>
      <c r="K596" s="106" t="s">
        <v>2336</v>
      </c>
      <c r="L596" s="104">
        <f t="shared" si="197"/>
        <v>46142</v>
      </c>
      <c r="M596" s="105">
        <f ca="1" t="shared" si="198"/>
        <v>-171</v>
      </c>
      <c r="N596" s="70"/>
      <c r="O596" s="70" t="s">
        <v>229</v>
      </c>
      <c r="P596" s="70" t="s">
        <v>13</v>
      </c>
      <c r="Q596" s="71" t="s">
        <v>2335</v>
      </c>
      <c r="R596" s="71" t="s">
        <v>34</v>
      </c>
      <c r="S596" s="72"/>
      <c r="T596" s="73"/>
      <c r="U596" s="151"/>
      <c r="V596" s="102">
        <v>46167</v>
      </c>
      <c r="W596" s="70">
        <v>3</v>
      </c>
      <c r="X596" s="103" t="s">
        <v>2337</v>
      </c>
      <c r="Y596" s="104">
        <f t="shared" si="201"/>
        <v>46259</v>
      </c>
      <c r="Z596" s="105">
        <f ca="1" t="shared" si="202"/>
        <v>-54</v>
      </c>
      <c r="AA596" s="70"/>
      <c r="AB596" s="70" t="s">
        <v>229</v>
      </c>
      <c r="AC596" s="70" t="s">
        <v>13</v>
      </c>
      <c r="AD596" s="71" t="s">
        <v>2335</v>
      </c>
      <c r="AE596" s="71" t="s">
        <v>34</v>
      </c>
      <c r="AF596" s="72"/>
      <c r="AG596" s="73"/>
      <c r="AH596" s="151"/>
      <c r="AI596" s="102">
        <v>46263</v>
      </c>
      <c r="AJ596" s="70">
        <v>3</v>
      </c>
      <c r="AK596" s="103" t="s">
        <v>2338</v>
      </c>
      <c r="AL596" s="104">
        <f t="shared" si="203"/>
        <v>46355</v>
      </c>
      <c r="AM596" s="105">
        <f ca="1" t="shared" si="204"/>
        <v>42</v>
      </c>
      <c r="AN596" s="115"/>
      <c r="AO596" s="115"/>
      <c r="AP596" s="115"/>
      <c r="AQ596" s="93"/>
      <c r="AR596" s="93"/>
      <c r="AS596" s="94"/>
      <c r="AT596" s="95"/>
      <c r="AU596" s="79"/>
      <c r="AV596" s="117"/>
      <c r="AW596" s="115"/>
      <c r="AX596" s="106"/>
      <c r="AY596" s="104">
        <f t="shared" si="191"/>
        <v>0</v>
      </c>
      <c r="AZ596" s="105">
        <f ca="1" t="shared" si="192"/>
        <v>-46313</v>
      </c>
    </row>
    <row r="597" customHeight="1" spans="1:52">
      <c r="A597" s="70">
        <v>596</v>
      </c>
      <c r="B597" s="70" t="s">
        <v>229</v>
      </c>
      <c r="C597" s="70" t="s">
        <v>13</v>
      </c>
      <c r="D597" s="71" t="s">
        <v>2339</v>
      </c>
      <c r="E597" s="71" t="s">
        <v>34</v>
      </c>
      <c r="F597" s="72"/>
      <c r="G597" s="73"/>
      <c r="H597" s="151"/>
      <c r="I597" s="102">
        <v>46053</v>
      </c>
      <c r="J597" s="70">
        <v>3</v>
      </c>
      <c r="K597" s="106" t="s">
        <v>2340</v>
      </c>
      <c r="L597" s="104">
        <f t="shared" si="197"/>
        <v>46142</v>
      </c>
      <c r="M597" s="105">
        <f ca="1" t="shared" si="198"/>
        <v>-171</v>
      </c>
      <c r="N597" s="70"/>
      <c r="O597" s="70" t="s">
        <v>229</v>
      </c>
      <c r="P597" s="70" t="s">
        <v>13</v>
      </c>
      <c r="Q597" s="71" t="s">
        <v>2339</v>
      </c>
      <c r="R597" s="71" t="s">
        <v>34</v>
      </c>
      <c r="S597" s="72"/>
      <c r="T597" s="73"/>
      <c r="U597" s="151"/>
      <c r="V597" s="102">
        <v>46154</v>
      </c>
      <c r="W597" s="70">
        <v>3</v>
      </c>
      <c r="X597" s="103" t="s">
        <v>2341</v>
      </c>
      <c r="Y597" s="104">
        <f t="shared" si="201"/>
        <v>46246</v>
      </c>
      <c r="Z597" s="105">
        <f ca="1" t="shared" si="202"/>
        <v>-67</v>
      </c>
      <c r="AA597" s="70"/>
      <c r="AB597" s="70" t="s">
        <v>229</v>
      </c>
      <c r="AC597" s="70" t="s">
        <v>13</v>
      </c>
      <c r="AD597" s="71" t="s">
        <v>2339</v>
      </c>
      <c r="AE597" s="71" t="s">
        <v>34</v>
      </c>
      <c r="AF597" s="72"/>
      <c r="AG597" s="73"/>
      <c r="AH597" s="151"/>
      <c r="AI597" s="102">
        <v>46260</v>
      </c>
      <c r="AJ597" s="70">
        <v>3</v>
      </c>
      <c r="AK597" s="103" t="s">
        <v>2342</v>
      </c>
      <c r="AL597" s="104">
        <f t="shared" si="203"/>
        <v>46352</v>
      </c>
      <c r="AM597" s="105">
        <f ca="1" t="shared" si="204"/>
        <v>39</v>
      </c>
      <c r="AN597" s="115"/>
      <c r="AO597" s="115"/>
      <c r="AP597" s="115"/>
      <c r="AQ597" s="93"/>
      <c r="AR597" s="93"/>
      <c r="AS597" s="94"/>
      <c r="AT597" s="95"/>
      <c r="AU597" s="79"/>
      <c r="AV597" s="117"/>
      <c r="AW597" s="115"/>
      <c r="AX597" s="106"/>
      <c r="AY597" s="104">
        <f t="shared" si="191"/>
        <v>0</v>
      </c>
      <c r="AZ597" s="105">
        <f ca="1" t="shared" si="192"/>
        <v>-46313</v>
      </c>
    </row>
    <row r="598" customHeight="1" spans="1:52">
      <c r="A598" s="70">
        <v>597</v>
      </c>
      <c r="B598" s="70" t="s">
        <v>134</v>
      </c>
      <c r="C598" s="70" t="s">
        <v>13</v>
      </c>
      <c r="D598" s="71" t="s">
        <v>2343</v>
      </c>
      <c r="E598" s="71" t="s">
        <v>604</v>
      </c>
      <c r="F598" s="72"/>
      <c r="G598" s="73"/>
      <c r="H598" s="151"/>
      <c r="I598" s="102">
        <v>46053</v>
      </c>
      <c r="J598" s="70">
        <v>3</v>
      </c>
      <c r="K598" s="106" t="s">
        <v>2344</v>
      </c>
      <c r="L598" s="104">
        <f t="shared" si="197"/>
        <v>46142</v>
      </c>
      <c r="M598" s="105">
        <f ca="1" t="shared" si="198"/>
        <v>-171</v>
      </c>
      <c r="N598" s="70"/>
      <c r="O598" s="70" t="s">
        <v>134</v>
      </c>
      <c r="P598" s="70" t="s">
        <v>13</v>
      </c>
      <c r="Q598" s="71" t="s">
        <v>2343</v>
      </c>
      <c r="R598" s="71" t="s">
        <v>604</v>
      </c>
      <c r="S598" s="72"/>
      <c r="T598" s="73"/>
      <c r="U598" s="151"/>
      <c r="V598" s="102">
        <v>46169</v>
      </c>
      <c r="W598" s="70">
        <v>3</v>
      </c>
      <c r="X598" s="103" t="s">
        <v>2345</v>
      </c>
      <c r="Y598" s="104">
        <f t="shared" si="201"/>
        <v>46261</v>
      </c>
      <c r="Z598" s="105">
        <f ca="1" t="shared" si="202"/>
        <v>-52</v>
      </c>
      <c r="AA598" s="70"/>
      <c r="AB598" s="70" t="s">
        <v>134</v>
      </c>
      <c r="AC598" s="70" t="s">
        <v>13</v>
      </c>
      <c r="AD598" s="71" t="s">
        <v>2343</v>
      </c>
      <c r="AE598" s="71" t="s">
        <v>604</v>
      </c>
      <c r="AF598" s="72"/>
      <c r="AG598" s="73"/>
      <c r="AH598" s="151"/>
      <c r="AI598" s="102">
        <v>46255</v>
      </c>
      <c r="AJ598" s="70">
        <v>3</v>
      </c>
      <c r="AK598" s="103" t="s">
        <v>2346</v>
      </c>
      <c r="AL598" s="104">
        <f t="shared" si="203"/>
        <v>46347</v>
      </c>
      <c r="AM598" s="105">
        <f ca="1" t="shared" si="204"/>
        <v>34</v>
      </c>
      <c r="AN598" s="115"/>
      <c r="AO598" s="70"/>
      <c r="AP598" s="70"/>
      <c r="AQ598" s="71"/>
      <c r="AR598" s="71"/>
      <c r="AS598" s="72"/>
      <c r="AT598" s="73"/>
      <c r="AU598" s="79"/>
      <c r="AV598" s="117"/>
      <c r="AW598" s="115"/>
      <c r="AX598" s="106"/>
      <c r="AY598" s="104">
        <f t="shared" si="191"/>
        <v>0</v>
      </c>
      <c r="AZ598" s="105">
        <f ca="1" t="shared" si="192"/>
        <v>-46313</v>
      </c>
    </row>
    <row r="599" customHeight="1" spans="1:52">
      <c r="A599" s="70">
        <v>598</v>
      </c>
      <c r="B599" s="70" t="s">
        <v>134</v>
      </c>
      <c r="C599" s="70" t="s">
        <v>38</v>
      </c>
      <c r="D599" s="71" t="s">
        <v>2347</v>
      </c>
      <c r="E599" s="71" t="s">
        <v>51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2348</v>
      </c>
      <c r="L599" s="104">
        <f t="shared" si="197"/>
        <v>46142</v>
      </c>
      <c r="M599" s="105">
        <f ca="1" t="shared" si="198"/>
        <v>-171</v>
      </c>
      <c r="N599" s="70"/>
      <c r="O599" s="70" t="s">
        <v>134</v>
      </c>
      <c r="P599" s="70" t="s">
        <v>38</v>
      </c>
      <c r="Q599" s="71" t="s">
        <v>2347</v>
      </c>
      <c r="R599" s="71" t="s">
        <v>51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2349</v>
      </c>
      <c r="Y599" s="104">
        <f t="shared" si="201"/>
        <v>46231</v>
      </c>
      <c r="Z599" s="105">
        <f ca="1" t="shared" si="202"/>
        <v>-82</v>
      </c>
      <c r="AA599" s="70"/>
      <c r="AB599" s="70" t="s">
        <v>134</v>
      </c>
      <c r="AC599" s="70" t="s">
        <v>38</v>
      </c>
      <c r="AD599" s="71" t="s">
        <v>2347</v>
      </c>
      <c r="AE599" s="71" t="s">
        <v>51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2350</v>
      </c>
      <c r="AL599" s="104">
        <f t="shared" si="203"/>
        <v>46314</v>
      </c>
      <c r="AM599" s="105">
        <f ca="1" t="shared" si="204"/>
        <v>1</v>
      </c>
      <c r="AN599" s="115"/>
      <c r="AO599" s="70" t="s">
        <v>134</v>
      </c>
      <c r="AP599" s="70" t="s">
        <v>38</v>
      </c>
      <c r="AQ599" s="71" t="s">
        <v>2347</v>
      </c>
      <c r="AR599" s="71" t="s">
        <v>51</v>
      </c>
      <c r="AS599" s="72"/>
      <c r="AT599" s="73"/>
      <c r="AU599" s="79" t="s">
        <v>16</v>
      </c>
      <c r="AV599" s="117">
        <v>46308</v>
      </c>
      <c r="AW599" s="115">
        <v>3</v>
      </c>
      <c r="AX599" s="106"/>
      <c r="AY599" s="104">
        <f t="shared" si="191"/>
        <v>46400</v>
      </c>
      <c r="AZ599" s="105">
        <f ca="1" t="shared" si="192"/>
        <v>87</v>
      </c>
    </row>
    <row r="600" customHeight="1" spans="1:52">
      <c r="A600" s="70">
        <v>599</v>
      </c>
      <c r="B600" s="70" t="s">
        <v>731</v>
      </c>
      <c r="C600" s="70" t="s">
        <v>38</v>
      </c>
      <c r="D600" s="71" t="s">
        <v>2351</v>
      </c>
      <c r="E600" s="71" t="s">
        <v>735</v>
      </c>
      <c r="F600" s="72"/>
      <c r="G600" s="73"/>
      <c r="H600" s="75"/>
      <c r="I600" s="102">
        <v>46053</v>
      </c>
      <c r="J600" s="70">
        <v>3</v>
      </c>
      <c r="K600" s="106" t="s">
        <v>2352</v>
      </c>
      <c r="L600" s="104">
        <f t="shared" si="197"/>
        <v>46142</v>
      </c>
      <c r="M600" s="105">
        <f ca="1" t="shared" si="198"/>
        <v>-171</v>
      </c>
      <c r="N600" s="70"/>
      <c r="O600" s="70" t="s">
        <v>731</v>
      </c>
      <c r="P600" s="70" t="s">
        <v>38</v>
      </c>
      <c r="Q600" s="71" t="s">
        <v>2351</v>
      </c>
      <c r="R600" s="71" t="s">
        <v>735</v>
      </c>
      <c r="S600" s="72"/>
      <c r="T600" s="73"/>
      <c r="U600" s="75"/>
      <c r="V600" s="102">
        <v>46159</v>
      </c>
      <c r="W600" s="70">
        <v>3</v>
      </c>
      <c r="X600" s="103" t="s">
        <v>2353</v>
      </c>
      <c r="Y600" s="104">
        <f t="shared" si="201"/>
        <v>46251</v>
      </c>
      <c r="Z600" s="105">
        <f ca="1" t="shared" si="202"/>
        <v>-62</v>
      </c>
      <c r="AA600" s="70"/>
      <c r="AB600" s="70" t="s">
        <v>731</v>
      </c>
      <c r="AC600" s="70" t="s">
        <v>38</v>
      </c>
      <c r="AD600" s="71" t="s">
        <v>2351</v>
      </c>
      <c r="AE600" s="71" t="s">
        <v>735</v>
      </c>
      <c r="AF600" s="72"/>
      <c r="AG600" s="73"/>
      <c r="AH600" s="75"/>
      <c r="AI600" s="102">
        <v>46273</v>
      </c>
      <c r="AJ600" s="70">
        <v>3</v>
      </c>
      <c r="AK600" s="103" t="s">
        <v>2354</v>
      </c>
      <c r="AL600" s="104">
        <f t="shared" si="203"/>
        <v>46364</v>
      </c>
      <c r="AM600" s="105">
        <f ca="1" t="shared" si="204"/>
        <v>51</v>
      </c>
      <c r="AN600" s="115"/>
      <c r="AO600" s="115"/>
      <c r="AP600" s="115"/>
      <c r="AQ600" s="93"/>
      <c r="AR600" s="93"/>
      <c r="AS600" s="94"/>
      <c r="AT600" s="95"/>
      <c r="AU600" s="79"/>
      <c r="AV600" s="117"/>
      <c r="AW600" s="115"/>
      <c r="AX600" s="106"/>
      <c r="AY600" s="104">
        <f t="shared" si="191"/>
        <v>0</v>
      </c>
      <c r="AZ600" s="105">
        <f ca="1" t="shared" si="192"/>
        <v>-46313</v>
      </c>
    </row>
    <row r="601" customHeight="1" spans="1:52">
      <c r="A601" s="70">
        <v>600</v>
      </c>
      <c r="B601" s="70" t="s">
        <v>731</v>
      </c>
      <c r="C601" s="70" t="s">
        <v>38</v>
      </c>
      <c r="D601" s="71" t="s">
        <v>2355</v>
      </c>
      <c r="E601" s="71" t="s">
        <v>735</v>
      </c>
      <c r="F601" s="72"/>
      <c r="G601" s="73"/>
      <c r="H601" s="75"/>
      <c r="I601" s="102">
        <v>46053</v>
      </c>
      <c r="J601" s="70">
        <v>3</v>
      </c>
      <c r="K601" s="106" t="s">
        <v>2356</v>
      </c>
      <c r="L601" s="104">
        <f t="shared" si="197"/>
        <v>46142</v>
      </c>
      <c r="M601" s="105">
        <f ca="1" t="shared" si="198"/>
        <v>-171</v>
      </c>
      <c r="N601" s="70"/>
      <c r="O601" s="70" t="s">
        <v>731</v>
      </c>
      <c r="P601" s="70" t="s">
        <v>38</v>
      </c>
      <c r="Q601" s="71" t="s">
        <v>2355</v>
      </c>
      <c r="R601" s="71" t="s">
        <v>735</v>
      </c>
      <c r="S601" s="72"/>
      <c r="T601" s="73"/>
      <c r="U601" s="75"/>
      <c r="V601" s="102">
        <v>46159</v>
      </c>
      <c r="W601" s="70">
        <v>3</v>
      </c>
      <c r="X601" s="103" t="s">
        <v>2357</v>
      </c>
      <c r="Y601" s="104">
        <f t="shared" si="201"/>
        <v>46251</v>
      </c>
      <c r="Z601" s="105">
        <f ca="1" t="shared" si="202"/>
        <v>-62</v>
      </c>
      <c r="AA601" s="70"/>
      <c r="AB601" s="70" t="s">
        <v>731</v>
      </c>
      <c r="AC601" s="70" t="s">
        <v>38</v>
      </c>
      <c r="AD601" s="71" t="s">
        <v>2355</v>
      </c>
      <c r="AE601" s="71" t="s">
        <v>735</v>
      </c>
      <c r="AF601" s="72"/>
      <c r="AG601" s="73"/>
      <c r="AH601" s="75"/>
      <c r="AI601" s="102">
        <v>46273</v>
      </c>
      <c r="AJ601" s="70">
        <v>3</v>
      </c>
      <c r="AK601" s="103" t="s">
        <v>2358</v>
      </c>
      <c r="AL601" s="104">
        <f t="shared" si="203"/>
        <v>46364</v>
      </c>
      <c r="AM601" s="105">
        <f ca="1" t="shared" si="204"/>
        <v>51</v>
      </c>
      <c r="AN601" s="115"/>
      <c r="AO601" s="70"/>
      <c r="AP601" s="70"/>
      <c r="AQ601" s="71"/>
      <c r="AR601" s="71"/>
      <c r="AS601" s="72"/>
      <c r="AT601" s="73"/>
      <c r="AU601" s="79"/>
      <c r="AV601" s="117"/>
      <c r="AW601" s="115"/>
      <c r="AX601" s="106"/>
      <c r="AY601" s="104">
        <f t="shared" si="191"/>
        <v>0</v>
      </c>
      <c r="AZ601" s="105">
        <f ca="1" t="shared" si="192"/>
        <v>-46313</v>
      </c>
    </row>
    <row r="602" customHeight="1" spans="1:52">
      <c r="A602" s="70">
        <v>601</v>
      </c>
      <c r="B602" s="70" t="s">
        <v>1205</v>
      </c>
      <c r="C602" s="70" t="s">
        <v>13</v>
      </c>
      <c r="D602" s="71" t="s">
        <v>2359</v>
      </c>
      <c r="E602" s="71" t="s">
        <v>76</v>
      </c>
      <c r="F602" s="72"/>
      <c r="G602" s="73"/>
      <c r="H602" s="75"/>
      <c r="I602" s="102">
        <v>46053</v>
      </c>
      <c r="J602" s="70">
        <v>3</v>
      </c>
      <c r="K602" s="106" t="s">
        <v>2360</v>
      </c>
      <c r="L602" s="104">
        <f t="shared" si="197"/>
        <v>46142</v>
      </c>
      <c r="M602" s="105">
        <f ca="1" t="shared" si="198"/>
        <v>-171</v>
      </c>
      <c r="N602" s="70"/>
      <c r="O602" s="70" t="s">
        <v>1205</v>
      </c>
      <c r="P602" s="70" t="s">
        <v>13</v>
      </c>
      <c r="Q602" s="71" t="s">
        <v>2359</v>
      </c>
      <c r="R602" s="71" t="s">
        <v>76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201"/>
        <v>46247</v>
      </c>
      <c r="Z602" s="105">
        <f ca="1" t="shared" si="202"/>
        <v>-66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203"/>
        <v>0</v>
      </c>
      <c r="AM602" s="105">
        <f ca="1" t="shared" si="204"/>
        <v>-46313</v>
      </c>
      <c r="AN602" s="115"/>
      <c r="AO602" s="115"/>
      <c r="AP602" s="115"/>
      <c r="AQ602" s="93"/>
      <c r="AR602" s="93"/>
      <c r="AS602" s="94"/>
      <c r="AT602" s="95"/>
      <c r="AU602" s="79"/>
      <c r="AV602" s="117"/>
      <c r="AW602" s="115"/>
      <c r="AX602" s="106"/>
      <c r="AY602" s="104">
        <f t="shared" si="191"/>
        <v>0</v>
      </c>
      <c r="AZ602" s="105">
        <f ca="1" t="shared" si="192"/>
        <v>-46313</v>
      </c>
    </row>
    <row r="603" customHeight="1" spans="1:52">
      <c r="A603" s="70">
        <v>602</v>
      </c>
      <c r="B603" s="70" t="s">
        <v>2361</v>
      </c>
      <c r="C603" s="70" t="s">
        <v>38</v>
      </c>
      <c r="D603" s="71" t="s">
        <v>2362</v>
      </c>
      <c r="E603" s="71" t="s">
        <v>1531</v>
      </c>
      <c r="F603" s="72"/>
      <c r="G603" s="73"/>
      <c r="H603" s="75"/>
      <c r="I603" s="102">
        <v>46053</v>
      </c>
      <c r="J603" s="70">
        <v>3</v>
      </c>
      <c r="K603" s="106" t="s">
        <v>2363</v>
      </c>
      <c r="L603" s="104">
        <f t="shared" si="197"/>
        <v>46142</v>
      </c>
      <c r="M603" s="105">
        <f ca="1" t="shared" si="198"/>
        <v>-171</v>
      </c>
      <c r="N603" s="70"/>
      <c r="O603" s="70" t="s">
        <v>2361</v>
      </c>
      <c r="P603" s="70" t="s">
        <v>38</v>
      </c>
      <c r="Q603" s="71" t="s">
        <v>2362</v>
      </c>
      <c r="R603" s="71" t="s">
        <v>1531</v>
      </c>
      <c r="S603" s="72"/>
      <c r="T603" s="73"/>
      <c r="U603" s="75"/>
      <c r="V603" s="102">
        <v>46153</v>
      </c>
      <c r="W603" s="70">
        <v>3</v>
      </c>
      <c r="X603" s="103" t="s">
        <v>2364</v>
      </c>
      <c r="Y603" s="104">
        <f t="shared" si="201"/>
        <v>46245</v>
      </c>
      <c r="Z603" s="105">
        <f ca="1" t="shared" si="202"/>
        <v>-68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203"/>
        <v>0</v>
      </c>
      <c r="AM603" s="105">
        <f ca="1" t="shared" si="204"/>
        <v>-46313</v>
      </c>
      <c r="AN603" s="115"/>
      <c r="AO603" s="115"/>
      <c r="AP603" s="115"/>
      <c r="AQ603" s="93"/>
      <c r="AR603" s="93"/>
      <c r="AS603" s="94"/>
      <c r="AT603" s="95"/>
      <c r="AU603" s="79"/>
      <c r="AV603" s="117"/>
      <c r="AW603" s="115"/>
      <c r="AX603" s="106"/>
      <c r="AY603" s="104">
        <f t="shared" si="191"/>
        <v>0</v>
      </c>
      <c r="AZ603" s="105">
        <f ca="1" t="shared" si="192"/>
        <v>-46313</v>
      </c>
    </row>
    <row r="604" customHeight="1" spans="1:52">
      <c r="A604" s="70">
        <v>603</v>
      </c>
      <c r="B604" s="70" t="s">
        <v>2361</v>
      </c>
      <c r="C604" s="70" t="s">
        <v>38</v>
      </c>
      <c r="D604" s="71" t="s">
        <v>2365</v>
      </c>
      <c r="E604" s="71" t="s">
        <v>1526</v>
      </c>
      <c r="F604" s="72"/>
      <c r="G604" s="73"/>
      <c r="H604" s="75"/>
      <c r="I604" s="102">
        <v>46053</v>
      </c>
      <c r="J604" s="70">
        <v>3</v>
      </c>
      <c r="K604" s="106" t="s">
        <v>2366</v>
      </c>
      <c r="L604" s="104">
        <f t="shared" si="197"/>
        <v>46142</v>
      </c>
      <c r="M604" s="105">
        <f ca="1" t="shared" si="198"/>
        <v>-171</v>
      </c>
      <c r="N604" s="70"/>
      <c r="O604" s="70" t="s">
        <v>2361</v>
      </c>
      <c r="P604" s="70" t="s">
        <v>38</v>
      </c>
      <c r="Q604" s="71" t="s">
        <v>2365</v>
      </c>
      <c r="R604" s="71" t="s">
        <v>1526</v>
      </c>
      <c r="S604" s="72"/>
      <c r="T604" s="73"/>
      <c r="U604" s="75"/>
      <c r="V604" s="102">
        <v>46153</v>
      </c>
      <c r="W604" s="70">
        <v>3</v>
      </c>
      <c r="X604" s="103" t="s">
        <v>2367</v>
      </c>
      <c r="Y604" s="104">
        <f t="shared" si="201"/>
        <v>46245</v>
      </c>
      <c r="Z604" s="105">
        <f ca="1" t="shared" si="202"/>
        <v>-68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203"/>
        <v>0</v>
      </c>
      <c r="AM604" s="105">
        <f ca="1" t="shared" si="204"/>
        <v>-46313</v>
      </c>
      <c r="AN604" s="115"/>
      <c r="AO604" s="115"/>
      <c r="AP604" s="115"/>
      <c r="AQ604" s="93"/>
      <c r="AR604" s="93"/>
      <c r="AS604" s="94"/>
      <c r="AT604" s="95"/>
      <c r="AU604" s="79"/>
      <c r="AV604" s="117"/>
      <c r="AW604" s="115"/>
      <c r="AX604" s="106"/>
      <c r="AY604" s="104">
        <f t="shared" ref="AY599:AY622" si="205">EDATE(AV604,AW604)</f>
        <v>0</v>
      </c>
      <c r="AZ604" s="105">
        <f ca="1" t="shared" ref="AZ599:AZ622" si="206">AY604-TODAY()</f>
        <v>-46313</v>
      </c>
    </row>
    <row r="605" customHeight="1" spans="1:52">
      <c r="A605" s="70">
        <v>604</v>
      </c>
      <c r="B605" s="70" t="s">
        <v>1393</v>
      </c>
      <c r="C605" s="70" t="s">
        <v>38</v>
      </c>
      <c r="D605" s="71" t="s">
        <v>2368</v>
      </c>
      <c r="E605" s="71" t="s">
        <v>1395</v>
      </c>
      <c r="F605" s="72"/>
      <c r="G605" s="73"/>
      <c r="H605" s="75"/>
      <c r="I605" s="102">
        <v>46053</v>
      </c>
      <c r="J605" s="70">
        <v>3</v>
      </c>
      <c r="K605" s="106" t="s">
        <v>2369</v>
      </c>
      <c r="L605" s="104">
        <f t="shared" si="197"/>
        <v>46142</v>
      </c>
      <c r="M605" s="105">
        <f ca="1" t="shared" si="198"/>
        <v>-171</v>
      </c>
      <c r="N605" s="70"/>
      <c r="O605" s="70" t="s">
        <v>1393</v>
      </c>
      <c r="P605" s="70" t="s">
        <v>38</v>
      </c>
      <c r="Q605" s="71" t="s">
        <v>2368</v>
      </c>
      <c r="R605" s="71" t="s">
        <v>1395</v>
      </c>
      <c r="S605" s="72"/>
      <c r="T605" s="73"/>
      <c r="U605" s="75"/>
      <c r="V605" s="102">
        <v>46284</v>
      </c>
      <c r="W605" s="70">
        <v>3</v>
      </c>
      <c r="X605" s="103" t="s">
        <v>2370</v>
      </c>
      <c r="Y605" s="104">
        <f t="shared" si="201"/>
        <v>46375</v>
      </c>
      <c r="Z605" s="105">
        <f ca="1" t="shared" si="202"/>
        <v>62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203"/>
        <v>0</v>
      </c>
      <c r="AM605" s="105">
        <f ca="1" t="shared" si="204"/>
        <v>-46313</v>
      </c>
      <c r="AN605" s="115"/>
      <c r="AO605" s="115"/>
      <c r="AP605" s="115"/>
      <c r="AQ605" s="93"/>
      <c r="AR605" s="93"/>
      <c r="AS605" s="94"/>
      <c r="AT605" s="95"/>
      <c r="AU605" s="79"/>
      <c r="AV605" s="117"/>
      <c r="AW605" s="115"/>
      <c r="AX605" s="106"/>
      <c r="AY605" s="104">
        <f t="shared" si="205"/>
        <v>0</v>
      </c>
      <c r="AZ605" s="105">
        <f ca="1" t="shared" si="206"/>
        <v>-46313</v>
      </c>
    </row>
    <row r="606" customHeight="1" spans="1:52">
      <c r="A606" s="70">
        <v>606</v>
      </c>
      <c r="B606" s="70" t="s">
        <v>648</v>
      </c>
      <c r="C606" s="70" t="s">
        <v>264</v>
      </c>
      <c r="D606" s="71" t="s">
        <v>2371</v>
      </c>
      <c r="E606" s="71" t="s">
        <v>2372</v>
      </c>
      <c r="F606" s="72"/>
      <c r="G606" s="73"/>
      <c r="H606" s="75"/>
      <c r="I606" s="102">
        <v>46053</v>
      </c>
      <c r="J606" s="70">
        <v>3</v>
      </c>
      <c r="K606" s="106" t="s">
        <v>2373</v>
      </c>
      <c r="L606" s="104">
        <f t="shared" ref="L606:L640" si="207">EDATE(I606,J606)</f>
        <v>46142</v>
      </c>
      <c r="M606" s="105">
        <f ca="1" t="shared" ref="M606:M640" si="208">L606-TODAY()</f>
        <v>-171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201"/>
        <v>0</v>
      </c>
      <c r="Z606" s="105">
        <f ca="1" t="shared" si="202"/>
        <v>-46313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203"/>
        <v>0</v>
      </c>
      <c r="AM606" s="105">
        <f ca="1" t="shared" si="204"/>
        <v>-46313</v>
      </c>
      <c r="AN606" s="115"/>
      <c r="AO606" s="115"/>
      <c r="AP606" s="115"/>
      <c r="AQ606" s="93"/>
      <c r="AR606" s="93"/>
      <c r="AS606" s="94"/>
      <c r="AT606" s="95"/>
      <c r="AU606" s="79"/>
      <c r="AV606" s="117"/>
      <c r="AW606" s="115"/>
      <c r="AX606" s="106"/>
      <c r="AY606" s="104">
        <f t="shared" si="205"/>
        <v>0</v>
      </c>
      <c r="AZ606" s="105">
        <f ca="1" t="shared" si="206"/>
        <v>-46313</v>
      </c>
    </row>
    <row r="607" customHeight="1" spans="1:52">
      <c r="A607" s="70">
        <v>607</v>
      </c>
      <c r="B607" s="70" t="s">
        <v>169</v>
      </c>
      <c r="C607" s="70" t="s">
        <v>38</v>
      </c>
      <c r="D607" s="71" t="s">
        <v>170</v>
      </c>
      <c r="E607" s="71" t="s">
        <v>171</v>
      </c>
      <c r="F607" s="72"/>
      <c r="G607" s="73"/>
      <c r="H607" s="75"/>
      <c r="I607" s="102">
        <v>46053</v>
      </c>
      <c r="J607" s="102" t="s">
        <v>767</v>
      </c>
      <c r="K607" s="106"/>
      <c r="L607" s="104" t="e">
        <f t="shared" si="207"/>
        <v>#VALUE!</v>
      </c>
      <c r="M607" s="105" t="e">
        <f ca="1" t="shared" si="20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201"/>
        <v>0</v>
      </c>
      <c r="Z607" s="105">
        <f ca="1" t="shared" si="202"/>
        <v>-46313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203"/>
        <v>0</v>
      </c>
      <c r="AM607" s="105">
        <f ca="1" t="shared" si="204"/>
        <v>-46313</v>
      </c>
      <c r="AN607" s="115"/>
      <c r="AO607" s="115"/>
      <c r="AP607" s="115"/>
      <c r="AQ607" s="93"/>
      <c r="AR607" s="93"/>
      <c r="AS607" s="94"/>
      <c r="AT607" s="95"/>
      <c r="AU607" s="79"/>
      <c r="AV607" s="117"/>
      <c r="AW607" s="115"/>
      <c r="AX607" s="106"/>
      <c r="AY607" s="104">
        <f t="shared" si="205"/>
        <v>0</v>
      </c>
      <c r="AZ607" s="105">
        <f ca="1" t="shared" si="206"/>
        <v>-46313</v>
      </c>
    </row>
    <row r="608" customHeight="1" spans="1:52">
      <c r="A608" s="70">
        <v>608</v>
      </c>
      <c r="B608" s="70" t="s">
        <v>782</v>
      </c>
      <c r="C608" s="70" t="s">
        <v>374</v>
      </c>
      <c r="D608" s="71" t="s">
        <v>2374</v>
      </c>
      <c r="E608" s="71" t="s">
        <v>770</v>
      </c>
      <c r="F608" s="72"/>
      <c r="G608" s="73"/>
      <c r="H608" s="75"/>
      <c r="I608" s="102">
        <v>46053</v>
      </c>
      <c r="J608" s="70">
        <v>3</v>
      </c>
      <c r="K608" s="106" t="s">
        <v>2375</v>
      </c>
      <c r="L608" s="104">
        <f t="shared" si="207"/>
        <v>46142</v>
      </c>
      <c r="M608" s="105">
        <f ca="1" t="shared" si="208"/>
        <v>-171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201"/>
        <v>0</v>
      </c>
      <c r="Z608" s="105">
        <f ca="1" t="shared" si="202"/>
        <v>-46313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203"/>
        <v>0</v>
      </c>
      <c r="AM608" s="105">
        <f ca="1" t="shared" si="204"/>
        <v>-46313</v>
      </c>
      <c r="AN608" s="115"/>
      <c r="AO608" s="115"/>
      <c r="AP608" s="115"/>
      <c r="AQ608" s="93"/>
      <c r="AR608" s="93"/>
      <c r="AS608" s="94"/>
      <c r="AT608" s="95"/>
      <c r="AU608" s="79"/>
      <c r="AV608" s="117"/>
      <c r="AW608" s="115"/>
      <c r="AX608" s="106"/>
      <c r="AY608" s="104">
        <f t="shared" si="205"/>
        <v>0</v>
      </c>
      <c r="AZ608" s="105">
        <f ca="1" t="shared" si="206"/>
        <v>-46313</v>
      </c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2376</v>
      </c>
      <c r="E609" s="71" t="s">
        <v>136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2377</v>
      </c>
      <c r="L609" s="104">
        <f t="shared" si="207"/>
        <v>46143</v>
      </c>
      <c r="M609" s="105">
        <f ca="1" t="shared" si="208"/>
        <v>-170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201"/>
        <v>0</v>
      </c>
      <c r="Z609" s="105">
        <f ca="1" t="shared" si="202"/>
        <v>-46313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203"/>
        <v>0</v>
      </c>
      <c r="AM609" s="105">
        <f ca="1" t="shared" si="204"/>
        <v>-46313</v>
      </c>
      <c r="AN609" s="115"/>
      <c r="AO609" s="115"/>
      <c r="AP609" s="115"/>
      <c r="AQ609" s="93"/>
      <c r="AR609" s="93"/>
      <c r="AS609" s="94"/>
      <c r="AT609" s="95"/>
      <c r="AU609" s="79"/>
      <c r="AV609" s="117"/>
      <c r="AW609" s="115"/>
      <c r="AX609" s="106"/>
      <c r="AY609" s="104">
        <f t="shared" si="205"/>
        <v>0</v>
      </c>
      <c r="AZ609" s="105">
        <f ca="1" t="shared" si="206"/>
        <v>-46313</v>
      </c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2378</v>
      </c>
      <c r="E610" s="71" t="s">
        <v>126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2379</v>
      </c>
      <c r="L610" s="104">
        <f t="shared" si="207"/>
        <v>46143</v>
      </c>
      <c r="M610" s="105">
        <f ca="1" t="shared" si="208"/>
        <v>-170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201"/>
        <v>0</v>
      </c>
      <c r="Z610" s="105">
        <f ca="1" t="shared" si="202"/>
        <v>-46313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203"/>
        <v>0</v>
      </c>
      <c r="AM610" s="105">
        <f ca="1" t="shared" si="204"/>
        <v>-46313</v>
      </c>
      <c r="AN610" s="115"/>
      <c r="AO610" s="115"/>
      <c r="AP610" s="115"/>
      <c r="AQ610" s="93"/>
      <c r="AR610" s="93"/>
      <c r="AS610" s="94"/>
      <c r="AT610" s="95"/>
      <c r="AU610" s="79"/>
      <c r="AV610" s="117"/>
      <c r="AW610" s="115"/>
      <c r="AX610" s="106"/>
      <c r="AY610" s="104">
        <f t="shared" si="205"/>
        <v>0</v>
      </c>
      <c r="AZ610" s="105">
        <f ca="1" t="shared" si="206"/>
        <v>-46313</v>
      </c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2380</v>
      </c>
      <c r="E611" s="71" t="s">
        <v>76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2381</v>
      </c>
      <c r="L611" s="104">
        <f t="shared" si="207"/>
        <v>46143</v>
      </c>
      <c r="M611" s="105">
        <f ca="1" t="shared" si="208"/>
        <v>-170</v>
      </c>
      <c r="N611" s="70"/>
      <c r="O611" s="70" t="s">
        <v>12</v>
      </c>
      <c r="P611" s="70" t="s">
        <v>13</v>
      </c>
      <c r="Q611" s="71" t="s">
        <v>2380</v>
      </c>
      <c r="R611" s="71" t="s">
        <v>76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2382</v>
      </c>
      <c r="Y611" s="104">
        <f t="shared" ref="Y606:Y614" si="209">EDATE(V611,W611)</f>
        <v>46333</v>
      </c>
      <c r="Z611" s="105">
        <f ca="1" t="shared" ref="Z606:Z614" si="210">Y611-TODAY()</f>
        <v>20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203"/>
        <v>0</v>
      </c>
      <c r="AM611" s="105">
        <f ca="1" t="shared" si="204"/>
        <v>-46313</v>
      </c>
      <c r="AN611" s="115"/>
      <c r="AO611" s="115"/>
      <c r="AP611" s="115"/>
      <c r="AQ611" s="93"/>
      <c r="AR611" s="93"/>
      <c r="AS611" s="94"/>
      <c r="AT611" s="95"/>
      <c r="AU611" s="79"/>
      <c r="AV611" s="117"/>
      <c r="AW611" s="115"/>
      <c r="AX611" s="106"/>
      <c r="AY611" s="104">
        <f t="shared" si="205"/>
        <v>0</v>
      </c>
      <c r="AZ611" s="105">
        <f ca="1" t="shared" si="206"/>
        <v>-46313</v>
      </c>
    </row>
    <row r="612" customHeight="1" spans="1:52">
      <c r="A612" s="70">
        <v>612</v>
      </c>
      <c r="B612" s="70" t="s">
        <v>12</v>
      </c>
      <c r="C612" s="70" t="s">
        <v>38</v>
      </c>
      <c r="D612" s="71" t="s">
        <v>2383</v>
      </c>
      <c r="E612" s="71" t="s">
        <v>189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2384</v>
      </c>
      <c r="L612" s="104">
        <f t="shared" si="207"/>
        <v>46143</v>
      </c>
      <c r="M612" s="105">
        <f ca="1" t="shared" si="208"/>
        <v>-170</v>
      </c>
      <c r="N612" s="70"/>
      <c r="O612" s="70" t="s">
        <v>12</v>
      </c>
      <c r="P612" s="70" t="s">
        <v>38</v>
      </c>
      <c r="Q612" s="71" t="s">
        <v>2383</v>
      </c>
      <c r="R612" s="71" t="s">
        <v>189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2385</v>
      </c>
      <c r="Y612" s="104">
        <f t="shared" si="209"/>
        <v>46254</v>
      </c>
      <c r="Z612" s="105">
        <f ca="1" t="shared" si="210"/>
        <v>-59</v>
      </c>
      <c r="AA612" s="70"/>
      <c r="AB612" s="70" t="s">
        <v>12</v>
      </c>
      <c r="AC612" s="70" t="s">
        <v>38</v>
      </c>
      <c r="AD612" s="71" t="s">
        <v>2383</v>
      </c>
      <c r="AE612" s="71" t="s">
        <v>189</v>
      </c>
      <c r="AF612" s="72"/>
      <c r="AG612" s="73"/>
      <c r="AH612" s="79" t="s">
        <v>16</v>
      </c>
      <c r="AI612" s="102">
        <v>46256</v>
      </c>
      <c r="AJ612" s="70">
        <v>3</v>
      </c>
      <c r="AK612" s="103" t="s">
        <v>2386</v>
      </c>
      <c r="AL612" s="104">
        <f t="shared" si="203"/>
        <v>46348</v>
      </c>
      <c r="AM612" s="105">
        <f ca="1" t="shared" si="204"/>
        <v>35</v>
      </c>
      <c r="AN612" s="115"/>
      <c r="AO612" s="115"/>
      <c r="AP612" s="115"/>
      <c r="AQ612" s="93"/>
      <c r="AR612" s="93"/>
      <c r="AS612" s="94"/>
      <c r="AT612" s="95"/>
      <c r="AU612" s="79"/>
      <c r="AV612" s="117"/>
      <c r="AW612" s="115"/>
      <c r="AX612" s="106"/>
      <c r="AY612" s="104">
        <f t="shared" si="205"/>
        <v>0</v>
      </c>
      <c r="AZ612" s="105">
        <f ca="1" t="shared" si="206"/>
        <v>-46313</v>
      </c>
    </row>
    <row r="613" customHeight="1" spans="1:52">
      <c r="A613" s="70">
        <v>613</v>
      </c>
      <c r="B613" s="70" t="s">
        <v>229</v>
      </c>
      <c r="C613" s="70" t="s">
        <v>13</v>
      </c>
      <c r="D613" s="71" t="s">
        <v>2387</v>
      </c>
      <c r="E613" s="71" t="s">
        <v>2388</v>
      </c>
      <c r="F613" s="72"/>
      <c r="G613" s="73"/>
      <c r="H613" s="75"/>
      <c r="I613" s="102">
        <v>46054</v>
      </c>
      <c r="J613" s="70">
        <v>3</v>
      </c>
      <c r="K613" s="106" t="s">
        <v>2389</v>
      </c>
      <c r="L613" s="104">
        <f t="shared" si="207"/>
        <v>46143</v>
      </c>
      <c r="M613" s="105">
        <f ca="1" t="shared" si="208"/>
        <v>-170</v>
      </c>
      <c r="N613" s="70"/>
      <c r="O613" s="70" t="s">
        <v>229</v>
      </c>
      <c r="P613" s="70" t="s">
        <v>13</v>
      </c>
      <c r="Q613" s="71" t="s">
        <v>2387</v>
      </c>
      <c r="R613" s="71" t="s">
        <v>2388</v>
      </c>
      <c r="S613" s="72"/>
      <c r="T613" s="73"/>
      <c r="U613" s="75"/>
      <c r="V613" s="102">
        <v>46309</v>
      </c>
      <c r="W613" s="70">
        <v>3</v>
      </c>
      <c r="X613" s="103"/>
      <c r="Y613" s="104">
        <f t="shared" si="209"/>
        <v>46401</v>
      </c>
      <c r="Z613" s="105">
        <f ca="1" t="shared" si="210"/>
        <v>88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203"/>
        <v>0</v>
      </c>
      <c r="AM613" s="105">
        <f ca="1" t="shared" si="204"/>
        <v>-46313</v>
      </c>
      <c r="AN613" s="115"/>
      <c r="AO613" s="115"/>
      <c r="AP613" s="115"/>
      <c r="AQ613" s="93"/>
      <c r="AR613" s="93"/>
      <c r="AS613" s="94"/>
      <c r="AT613" s="95"/>
      <c r="AU613" s="79"/>
      <c r="AV613" s="117"/>
      <c r="AW613" s="115"/>
      <c r="AX613" s="106"/>
      <c r="AY613" s="104">
        <f t="shared" si="205"/>
        <v>0</v>
      </c>
      <c r="AZ613" s="105">
        <f ca="1" t="shared" si="206"/>
        <v>-46313</v>
      </c>
    </row>
    <row r="614" customHeight="1" spans="1:52">
      <c r="A614" s="70">
        <v>614</v>
      </c>
      <c r="B614" s="70" t="s">
        <v>229</v>
      </c>
      <c r="C614" s="70" t="s">
        <v>13</v>
      </c>
      <c r="D614" s="71" t="s">
        <v>2390</v>
      </c>
      <c r="E614" s="71" t="s">
        <v>393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2391</v>
      </c>
      <c r="L614" s="104">
        <f t="shared" si="207"/>
        <v>46143</v>
      </c>
      <c r="M614" s="105">
        <f ca="1" t="shared" si="208"/>
        <v>-170</v>
      </c>
      <c r="N614" s="70"/>
      <c r="O614" s="70" t="s">
        <v>229</v>
      </c>
      <c r="P614" s="70" t="s">
        <v>13</v>
      </c>
      <c r="Q614" s="71" t="s">
        <v>2390</v>
      </c>
      <c r="R614" s="71" t="s">
        <v>393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2392</v>
      </c>
      <c r="Y614" s="104">
        <f t="shared" si="209"/>
        <v>46230</v>
      </c>
      <c r="Z614" s="105">
        <f ca="1" t="shared" si="210"/>
        <v>-83</v>
      </c>
      <c r="AA614" s="70"/>
      <c r="AB614" s="70" t="s">
        <v>229</v>
      </c>
      <c r="AC614" s="70" t="s">
        <v>13</v>
      </c>
      <c r="AD614" s="71" t="s">
        <v>2390</v>
      </c>
      <c r="AE614" s="71" t="s">
        <v>393</v>
      </c>
      <c r="AF614" s="72"/>
      <c r="AG614" s="73"/>
      <c r="AH614" s="79" t="s">
        <v>16</v>
      </c>
      <c r="AI614" s="102">
        <v>46278</v>
      </c>
      <c r="AJ614" s="70">
        <v>3</v>
      </c>
      <c r="AK614" s="103" t="s">
        <v>2393</v>
      </c>
      <c r="AL614" s="104">
        <f t="shared" si="203"/>
        <v>46369</v>
      </c>
      <c r="AM614" s="105">
        <f ca="1" t="shared" si="204"/>
        <v>56</v>
      </c>
      <c r="AN614" s="115"/>
      <c r="AO614" s="115"/>
      <c r="AP614" s="115"/>
      <c r="AQ614" s="93"/>
      <c r="AR614" s="93"/>
      <c r="AS614" s="94"/>
      <c r="AT614" s="95"/>
      <c r="AU614" s="79"/>
      <c r="AV614" s="117"/>
      <c r="AW614" s="115"/>
      <c r="AX614" s="106"/>
      <c r="AY614" s="104">
        <f t="shared" si="205"/>
        <v>0</v>
      </c>
      <c r="AZ614" s="105">
        <f ca="1" t="shared" si="206"/>
        <v>-46313</v>
      </c>
    </row>
    <row r="615" customHeight="1" spans="1:52">
      <c r="A615" s="70">
        <v>615</v>
      </c>
      <c r="B615" s="70" t="s">
        <v>570</v>
      </c>
      <c r="C615" s="70" t="s">
        <v>13</v>
      </c>
      <c r="D615" s="71" t="s">
        <v>2394</v>
      </c>
      <c r="E615" s="71" t="s">
        <v>126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2395</v>
      </c>
      <c r="L615" s="104">
        <f t="shared" si="207"/>
        <v>46143</v>
      </c>
      <c r="M615" s="105">
        <f ca="1" t="shared" si="208"/>
        <v>-170</v>
      </c>
      <c r="N615" s="70"/>
      <c r="O615" s="70" t="s">
        <v>570</v>
      </c>
      <c r="P615" s="70" t="s">
        <v>13</v>
      </c>
      <c r="Q615" s="71" t="s">
        <v>2394</v>
      </c>
      <c r="R615" s="71" t="s">
        <v>126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2396</v>
      </c>
      <c r="Y615" s="104">
        <f t="shared" ref="Y615:Y625" si="211">EDATE(V615,W615)</f>
        <v>46247</v>
      </c>
      <c r="Z615" s="105">
        <f ca="1" t="shared" ref="Z615:Z625" si="212">Y615-TODAY()</f>
        <v>-66</v>
      </c>
      <c r="AA615" s="70"/>
      <c r="AB615" s="70" t="s">
        <v>570</v>
      </c>
      <c r="AC615" s="70" t="s">
        <v>13</v>
      </c>
      <c r="AD615" s="71" t="s">
        <v>2394</v>
      </c>
      <c r="AE615" s="71" t="s">
        <v>126</v>
      </c>
      <c r="AF615" s="72"/>
      <c r="AG615" s="73"/>
      <c r="AH615" s="79" t="s">
        <v>16</v>
      </c>
      <c r="AI615" s="102">
        <v>46249</v>
      </c>
      <c r="AJ615" s="70">
        <v>3</v>
      </c>
      <c r="AK615" s="103" t="s">
        <v>2397</v>
      </c>
      <c r="AL615" s="104">
        <f t="shared" si="203"/>
        <v>46341</v>
      </c>
      <c r="AM615" s="105">
        <f ca="1" t="shared" si="204"/>
        <v>28</v>
      </c>
      <c r="AN615" s="115"/>
      <c r="AO615" s="115"/>
      <c r="AP615" s="115"/>
      <c r="AQ615" s="93"/>
      <c r="AR615" s="93"/>
      <c r="AS615" s="94"/>
      <c r="AT615" s="95"/>
      <c r="AU615" s="79"/>
      <c r="AV615" s="117"/>
      <c r="AW615" s="115"/>
      <c r="AX615" s="106"/>
      <c r="AY615" s="104">
        <f t="shared" si="205"/>
        <v>0</v>
      </c>
      <c r="AZ615" s="105">
        <f ca="1" t="shared" si="206"/>
        <v>-46313</v>
      </c>
    </row>
    <row r="616" customHeight="1" spans="1:52">
      <c r="A616" s="70">
        <v>616</v>
      </c>
      <c r="B616" s="70" t="s">
        <v>570</v>
      </c>
      <c r="C616" s="70" t="s">
        <v>13</v>
      </c>
      <c r="D616" s="71" t="s">
        <v>2398</v>
      </c>
      <c r="E616" s="71" t="s">
        <v>126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2399</v>
      </c>
      <c r="L616" s="104">
        <f t="shared" si="207"/>
        <v>46143</v>
      </c>
      <c r="M616" s="105">
        <f ca="1" t="shared" si="208"/>
        <v>-170</v>
      </c>
      <c r="N616" s="70"/>
      <c r="O616" s="70" t="s">
        <v>570</v>
      </c>
      <c r="P616" s="70" t="s">
        <v>13</v>
      </c>
      <c r="Q616" s="71" t="s">
        <v>2398</v>
      </c>
      <c r="R616" s="71" t="s">
        <v>126</v>
      </c>
      <c r="S616" s="72"/>
      <c r="T616" s="73"/>
      <c r="U616" s="79" t="s">
        <v>16</v>
      </c>
      <c r="V616" s="102">
        <v>46265</v>
      </c>
      <c r="W616" s="70">
        <v>3</v>
      </c>
      <c r="X616" s="103" t="s">
        <v>2400</v>
      </c>
      <c r="Y616" s="104">
        <f t="shared" si="211"/>
        <v>46356</v>
      </c>
      <c r="Z616" s="105">
        <f ca="1" t="shared" si="212"/>
        <v>43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203"/>
        <v>0</v>
      </c>
      <c r="AM616" s="105">
        <f ca="1" t="shared" si="204"/>
        <v>-46313</v>
      </c>
      <c r="AN616" s="115"/>
      <c r="AO616" s="115"/>
      <c r="AP616" s="115"/>
      <c r="AQ616" s="93"/>
      <c r="AR616" s="93"/>
      <c r="AS616" s="94"/>
      <c r="AT616" s="95"/>
      <c r="AU616" s="79"/>
      <c r="AV616" s="117"/>
      <c r="AW616" s="115"/>
      <c r="AX616" s="106"/>
      <c r="AY616" s="104">
        <f t="shared" si="205"/>
        <v>0</v>
      </c>
      <c r="AZ616" s="105">
        <f ca="1" t="shared" si="206"/>
        <v>-46313</v>
      </c>
    </row>
    <row r="617" customHeight="1" spans="1:52">
      <c r="A617" s="70">
        <v>617</v>
      </c>
      <c r="B617" s="70" t="s">
        <v>570</v>
      </c>
      <c r="C617" s="70" t="s">
        <v>13</v>
      </c>
      <c r="D617" s="71" t="s">
        <v>2401</v>
      </c>
      <c r="E617" s="71" t="s">
        <v>1813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2402</v>
      </c>
      <c r="L617" s="104">
        <f t="shared" si="207"/>
        <v>46143</v>
      </c>
      <c r="M617" s="105">
        <f ca="1" t="shared" si="208"/>
        <v>-170</v>
      </c>
      <c r="N617" s="70"/>
      <c r="O617" s="70" t="s">
        <v>570</v>
      </c>
      <c r="P617" s="70" t="s">
        <v>13</v>
      </c>
      <c r="Q617" s="71" t="s">
        <v>2401</v>
      </c>
      <c r="R617" s="71" t="s">
        <v>1813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2403</v>
      </c>
      <c r="Y617" s="104">
        <f t="shared" si="211"/>
        <v>46247</v>
      </c>
      <c r="Z617" s="105">
        <f ca="1" t="shared" si="212"/>
        <v>-66</v>
      </c>
      <c r="AA617" s="70"/>
      <c r="AB617" s="70" t="s">
        <v>570</v>
      </c>
      <c r="AC617" s="70" t="s">
        <v>13</v>
      </c>
      <c r="AD617" s="71" t="s">
        <v>2401</v>
      </c>
      <c r="AE617" s="71" t="s">
        <v>1813</v>
      </c>
      <c r="AF617" s="72"/>
      <c r="AG617" s="73"/>
      <c r="AH617" s="79" t="s">
        <v>16</v>
      </c>
      <c r="AI617" s="102">
        <v>46289</v>
      </c>
      <c r="AJ617" s="70">
        <v>3</v>
      </c>
      <c r="AK617" s="103" t="s">
        <v>2404</v>
      </c>
      <c r="AL617" s="104">
        <f t="shared" si="203"/>
        <v>46380</v>
      </c>
      <c r="AM617" s="105">
        <f ca="1" t="shared" si="204"/>
        <v>67</v>
      </c>
      <c r="AN617" s="115"/>
      <c r="AO617" s="115"/>
      <c r="AP617" s="115"/>
      <c r="AQ617" s="93"/>
      <c r="AR617" s="93"/>
      <c r="AS617" s="94"/>
      <c r="AT617" s="95"/>
      <c r="AU617" s="79"/>
      <c r="AV617" s="117"/>
      <c r="AW617" s="115"/>
      <c r="AX617" s="106"/>
      <c r="AY617" s="104">
        <f t="shared" si="205"/>
        <v>0</v>
      </c>
      <c r="AZ617" s="105">
        <f ca="1" t="shared" si="206"/>
        <v>-46313</v>
      </c>
    </row>
    <row r="618" customHeight="1" spans="1:52">
      <c r="A618" s="70">
        <v>618</v>
      </c>
      <c r="B618" s="70" t="s">
        <v>570</v>
      </c>
      <c r="C618" s="70" t="s">
        <v>13</v>
      </c>
      <c r="D618" s="71" t="s">
        <v>2405</v>
      </c>
      <c r="E618" s="71" t="s">
        <v>76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2406</v>
      </c>
      <c r="L618" s="104">
        <f t="shared" si="207"/>
        <v>46143</v>
      </c>
      <c r="M618" s="105">
        <f ca="1" t="shared" si="208"/>
        <v>-170</v>
      </c>
      <c r="N618" s="70"/>
      <c r="O618" s="70" t="s">
        <v>570</v>
      </c>
      <c r="P618" s="70" t="s">
        <v>13</v>
      </c>
      <c r="Q618" s="71" t="s">
        <v>2405</v>
      </c>
      <c r="R618" s="71" t="s">
        <v>76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2407</v>
      </c>
      <c r="Y618" s="104">
        <f t="shared" si="211"/>
        <v>46245</v>
      </c>
      <c r="Z618" s="105">
        <f ca="1" t="shared" si="212"/>
        <v>-68</v>
      </c>
      <c r="AA618" s="70"/>
      <c r="AB618" s="70" t="s">
        <v>570</v>
      </c>
      <c r="AC618" s="70" t="s">
        <v>13</v>
      </c>
      <c r="AD618" s="71" t="s">
        <v>2405</v>
      </c>
      <c r="AE618" s="71" t="s">
        <v>76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2408</v>
      </c>
      <c r="AL618" s="104">
        <f t="shared" si="203"/>
        <v>46333</v>
      </c>
      <c r="AM618" s="105">
        <f ca="1" t="shared" si="204"/>
        <v>20</v>
      </c>
      <c r="AN618" s="115"/>
      <c r="AO618" s="115"/>
      <c r="AP618" s="115"/>
      <c r="AQ618" s="93"/>
      <c r="AR618" s="93"/>
      <c r="AS618" s="94"/>
      <c r="AT618" s="95"/>
      <c r="AU618" s="79"/>
      <c r="AV618" s="117"/>
      <c r="AW618" s="115"/>
      <c r="AX618" s="106"/>
      <c r="AY618" s="104">
        <f t="shared" si="205"/>
        <v>0</v>
      </c>
      <c r="AZ618" s="105">
        <f ca="1" t="shared" si="206"/>
        <v>-46313</v>
      </c>
    </row>
    <row r="619" customHeight="1" spans="1:52">
      <c r="A619" s="70">
        <v>619</v>
      </c>
      <c r="B619" s="70" t="s">
        <v>570</v>
      </c>
      <c r="C619" s="70" t="s">
        <v>38</v>
      </c>
      <c r="D619" s="71" t="s">
        <v>2409</v>
      </c>
      <c r="E619" s="71" t="s">
        <v>145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2410</v>
      </c>
      <c r="L619" s="104">
        <f t="shared" si="207"/>
        <v>46143</v>
      </c>
      <c r="M619" s="105">
        <f ca="1" t="shared" si="208"/>
        <v>-170</v>
      </c>
      <c r="N619" s="70"/>
      <c r="O619" s="70" t="s">
        <v>570</v>
      </c>
      <c r="P619" s="70" t="s">
        <v>38</v>
      </c>
      <c r="Q619" s="71" t="s">
        <v>2409</v>
      </c>
      <c r="R619" s="71" t="s">
        <v>145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2411</v>
      </c>
      <c r="Y619" s="104">
        <f t="shared" si="211"/>
        <v>46223</v>
      </c>
      <c r="Z619" s="105">
        <f ca="1" t="shared" si="212"/>
        <v>-90</v>
      </c>
      <c r="AA619" s="70"/>
      <c r="AB619" s="70" t="s">
        <v>570</v>
      </c>
      <c r="AC619" s="70" t="s">
        <v>38</v>
      </c>
      <c r="AD619" s="71" t="s">
        <v>2409</v>
      </c>
      <c r="AE619" s="71" t="s">
        <v>145</v>
      </c>
      <c r="AF619" s="72"/>
      <c r="AG619" s="73"/>
      <c r="AH619" s="79" t="s">
        <v>16</v>
      </c>
      <c r="AI619" s="102">
        <v>46258</v>
      </c>
      <c r="AJ619" s="70">
        <v>3</v>
      </c>
      <c r="AK619" s="103" t="s">
        <v>2412</v>
      </c>
      <c r="AL619" s="104">
        <f t="shared" si="203"/>
        <v>46350</v>
      </c>
      <c r="AM619" s="105">
        <f ca="1" t="shared" si="204"/>
        <v>37</v>
      </c>
      <c r="AN619" s="115"/>
      <c r="AO619" s="115"/>
      <c r="AP619" s="115"/>
      <c r="AQ619" s="93"/>
      <c r="AR619" s="93"/>
      <c r="AS619" s="94"/>
      <c r="AT619" s="95"/>
      <c r="AU619" s="79"/>
      <c r="AV619" s="117"/>
      <c r="AW619" s="115"/>
      <c r="AX619" s="106"/>
      <c r="AY619" s="104">
        <f t="shared" si="205"/>
        <v>0</v>
      </c>
      <c r="AZ619" s="105">
        <f ca="1" t="shared" si="206"/>
        <v>-46313</v>
      </c>
    </row>
    <row r="620" customHeight="1" spans="1:52">
      <c r="A620" s="70">
        <v>620</v>
      </c>
      <c r="B620" s="70" t="s">
        <v>721</v>
      </c>
      <c r="C620" s="70" t="s">
        <v>13</v>
      </c>
      <c r="D620" s="71" t="s">
        <v>2413</v>
      </c>
      <c r="E620" s="71" t="s">
        <v>526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2414</v>
      </c>
      <c r="L620" s="104">
        <f t="shared" si="207"/>
        <v>46143</v>
      </c>
      <c r="M620" s="105">
        <f ca="1" t="shared" si="208"/>
        <v>-170</v>
      </c>
      <c r="N620" s="70"/>
      <c r="O620" s="70" t="s">
        <v>721</v>
      </c>
      <c r="P620" s="70" t="s">
        <v>13</v>
      </c>
      <c r="Q620" s="71" t="s">
        <v>2413</v>
      </c>
      <c r="R620" s="71" t="s">
        <v>526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2415</v>
      </c>
      <c r="Y620" s="104">
        <f t="shared" si="211"/>
        <v>46242</v>
      </c>
      <c r="Z620" s="105">
        <f ca="1" t="shared" si="212"/>
        <v>-71</v>
      </c>
      <c r="AA620" s="70"/>
      <c r="AB620" s="70" t="s">
        <v>721</v>
      </c>
      <c r="AC620" s="70" t="s">
        <v>13</v>
      </c>
      <c r="AD620" s="71" t="s">
        <v>2413</v>
      </c>
      <c r="AE620" s="71" t="s">
        <v>526</v>
      </c>
      <c r="AF620" s="72"/>
      <c r="AG620" s="73"/>
      <c r="AH620" s="79" t="s">
        <v>16</v>
      </c>
      <c r="AI620" s="102">
        <v>46259</v>
      </c>
      <c r="AJ620" s="70">
        <v>3</v>
      </c>
      <c r="AK620" s="103" t="s">
        <v>2416</v>
      </c>
      <c r="AL620" s="104">
        <f t="shared" si="203"/>
        <v>46351</v>
      </c>
      <c r="AM620" s="105">
        <f ca="1" t="shared" si="204"/>
        <v>38</v>
      </c>
      <c r="AN620" s="115"/>
      <c r="AO620" s="115"/>
      <c r="AP620" s="115"/>
      <c r="AQ620" s="93"/>
      <c r="AR620" s="93"/>
      <c r="AS620" s="94"/>
      <c r="AT620" s="95"/>
      <c r="AU620" s="79"/>
      <c r="AV620" s="117"/>
      <c r="AW620" s="115"/>
      <c r="AX620" s="106"/>
      <c r="AY620" s="104">
        <f t="shared" si="205"/>
        <v>0</v>
      </c>
      <c r="AZ620" s="105">
        <f ca="1" t="shared" si="206"/>
        <v>-46313</v>
      </c>
    </row>
    <row r="621" customHeight="1" spans="1:52">
      <c r="A621" s="70">
        <v>621</v>
      </c>
      <c r="B621" s="70" t="s">
        <v>281</v>
      </c>
      <c r="C621" s="70" t="s">
        <v>264</v>
      </c>
      <c r="D621" s="71" t="s">
        <v>2417</v>
      </c>
      <c r="E621" s="71" t="s">
        <v>2418</v>
      </c>
      <c r="F621" s="72"/>
      <c r="G621" s="73"/>
      <c r="H621" s="75"/>
      <c r="I621" s="102">
        <v>46054</v>
      </c>
      <c r="J621" s="70">
        <v>3</v>
      </c>
      <c r="K621" s="106" t="s">
        <v>2419</v>
      </c>
      <c r="L621" s="104">
        <f t="shared" si="207"/>
        <v>46143</v>
      </c>
      <c r="M621" s="105">
        <f ca="1" t="shared" si="208"/>
        <v>-170</v>
      </c>
      <c r="N621" s="70"/>
      <c r="O621" s="70" t="s">
        <v>281</v>
      </c>
      <c r="P621" s="70" t="s">
        <v>264</v>
      </c>
      <c r="Q621" s="71" t="s">
        <v>2417</v>
      </c>
      <c r="R621" s="71" t="s">
        <v>2418</v>
      </c>
      <c r="S621" s="72"/>
      <c r="T621" s="73"/>
      <c r="U621" s="75"/>
      <c r="V621" s="102">
        <v>46142</v>
      </c>
      <c r="W621" s="70">
        <v>3</v>
      </c>
      <c r="X621" s="103" t="s">
        <v>2420</v>
      </c>
      <c r="Y621" s="104">
        <f t="shared" si="211"/>
        <v>46233</v>
      </c>
      <c r="Z621" s="105">
        <f ca="1" t="shared" si="212"/>
        <v>-80</v>
      </c>
      <c r="AA621" s="70"/>
      <c r="AB621" s="70" t="s">
        <v>281</v>
      </c>
      <c r="AC621" s="70" t="s">
        <v>264</v>
      </c>
      <c r="AD621" s="71" t="s">
        <v>2417</v>
      </c>
      <c r="AE621" s="71" t="s">
        <v>2418</v>
      </c>
      <c r="AF621" s="72"/>
      <c r="AG621" s="73"/>
      <c r="AH621" s="75"/>
      <c r="AI621" s="102">
        <v>46248</v>
      </c>
      <c r="AJ621" s="70">
        <v>3</v>
      </c>
      <c r="AK621" s="103" t="s">
        <v>2421</v>
      </c>
      <c r="AL621" s="104">
        <f t="shared" si="203"/>
        <v>46340</v>
      </c>
      <c r="AM621" s="105">
        <f ca="1" t="shared" si="204"/>
        <v>27</v>
      </c>
      <c r="AN621" s="115"/>
      <c r="AO621" s="115"/>
      <c r="AP621" s="115"/>
      <c r="AQ621" s="93"/>
      <c r="AR621" s="93"/>
      <c r="AS621" s="94"/>
      <c r="AT621" s="95"/>
      <c r="AU621" s="79"/>
      <c r="AV621" s="117"/>
      <c r="AW621" s="115"/>
      <c r="AX621" s="106"/>
      <c r="AY621" s="104">
        <f t="shared" si="205"/>
        <v>0</v>
      </c>
      <c r="AZ621" s="105">
        <f ca="1" t="shared" si="206"/>
        <v>-46313</v>
      </c>
    </row>
    <row r="622" customHeight="1" spans="1:52">
      <c r="A622" s="70">
        <v>622</v>
      </c>
      <c r="B622" s="70" t="s">
        <v>281</v>
      </c>
      <c r="C622" s="70" t="s">
        <v>264</v>
      </c>
      <c r="D622" s="71" t="s">
        <v>2422</v>
      </c>
      <c r="E622" s="71" t="s">
        <v>2423</v>
      </c>
      <c r="F622" s="72"/>
      <c r="G622" s="73"/>
      <c r="H622" s="75"/>
      <c r="I622" s="102">
        <v>46054</v>
      </c>
      <c r="J622" s="70">
        <v>3</v>
      </c>
      <c r="K622" s="106" t="s">
        <v>2424</v>
      </c>
      <c r="L622" s="104">
        <f t="shared" si="207"/>
        <v>46143</v>
      </c>
      <c r="M622" s="105">
        <f ca="1" t="shared" si="208"/>
        <v>-170</v>
      </c>
      <c r="N622" s="70"/>
      <c r="O622" s="70" t="s">
        <v>281</v>
      </c>
      <c r="P622" s="70" t="s">
        <v>264</v>
      </c>
      <c r="Q622" s="71" t="s">
        <v>2422</v>
      </c>
      <c r="R622" s="71" t="s">
        <v>2423</v>
      </c>
      <c r="S622" s="72"/>
      <c r="T622" s="73"/>
      <c r="U622" s="75"/>
      <c r="V622" s="102">
        <v>46142</v>
      </c>
      <c r="W622" s="70">
        <v>3</v>
      </c>
      <c r="X622" s="103" t="s">
        <v>2425</v>
      </c>
      <c r="Y622" s="104">
        <f t="shared" si="211"/>
        <v>46233</v>
      </c>
      <c r="Z622" s="105">
        <f ca="1" t="shared" si="212"/>
        <v>-80</v>
      </c>
      <c r="AA622" s="70"/>
      <c r="AB622" s="70" t="s">
        <v>281</v>
      </c>
      <c r="AC622" s="70" t="s">
        <v>264</v>
      </c>
      <c r="AD622" s="71" t="s">
        <v>2422</v>
      </c>
      <c r="AE622" s="71" t="s">
        <v>2423</v>
      </c>
      <c r="AF622" s="72"/>
      <c r="AG622" s="73"/>
      <c r="AH622" s="75"/>
      <c r="AI622" s="102">
        <v>46248</v>
      </c>
      <c r="AJ622" s="70">
        <v>3</v>
      </c>
      <c r="AK622" s="103" t="s">
        <v>2426</v>
      </c>
      <c r="AL622" s="104">
        <f t="shared" si="203"/>
        <v>46340</v>
      </c>
      <c r="AM622" s="105">
        <f ca="1" t="shared" si="204"/>
        <v>27</v>
      </c>
      <c r="AN622" s="115"/>
      <c r="AO622" s="115"/>
      <c r="AP622" s="115"/>
      <c r="AQ622" s="93"/>
      <c r="AR622" s="93"/>
      <c r="AS622" s="94"/>
      <c r="AT622" s="95"/>
      <c r="AU622" s="79"/>
      <c r="AV622" s="117"/>
      <c r="AW622" s="115"/>
      <c r="AX622" s="106"/>
      <c r="AY622" s="104">
        <f t="shared" si="205"/>
        <v>0</v>
      </c>
      <c r="AZ622" s="105">
        <f ca="1" t="shared" si="206"/>
        <v>-46313</v>
      </c>
    </row>
    <row r="623" customHeight="1" spans="1:52">
      <c r="A623" s="70">
        <v>623</v>
      </c>
      <c r="B623" s="70" t="s">
        <v>263</v>
      </c>
      <c r="C623" s="70" t="s">
        <v>264</v>
      </c>
      <c r="D623" s="71" t="s">
        <v>955</v>
      </c>
      <c r="E623" s="71" t="s">
        <v>764</v>
      </c>
      <c r="F623" s="72"/>
      <c r="G623" s="73"/>
      <c r="H623" s="75"/>
      <c r="I623" s="102">
        <v>46054</v>
      </c>
      <c r="J623" s="70" t="s">
        <v>767</v>
      </c>
      <c r="K623" s="106"/>
      <c r="L623" s="104" t="e">
        <f t="shared" si="207"/>
        <v>#VALUE!</v>
      </c>
      <c r="M623" s="105" t="e">
        <f ca="1" t="shared" si="20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211"/>
        <v>0</v>
      </c>
      <c r="Z623" s="105">
        <f ca="1" t="shared" si="212"/>
        <v>-46313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203"/>
        <v>0</v>
      </c>
      <c r="AM623" s="105">
        <f ca="1" t="shared" si="204"/>
        <v>-46313</v>
      </c>
      <c r="AN623" s="115"/>
      <c r="AO623" s="115"/>
      <c r="AP623" s="115"/>
      <c r="AQ623" s="93"/>
      <c r="AR623" s="93"/>
      <c r="AS623" s="94"/>
      <c r="AT623" s="95"/>
      <c r="AU623" s="79"/>
      <c r="AV623" s="117"/>
      <c r="AW623" s="115"/>
      <c r="AX623" s="106"/>
      <c r="AY623" s="104"/>
      <c r="AZ623" s="105"/>
    </row>
    <row r="624" customHeight="1" spans="1:52">
      <c r="A624" s="70">
        <v>624</v>
      </c>
      <c r="B624" s="70" t="s">
        <v>2427</v>
      </c>
      <c r="C624" s="70" t="s">
        <v>264</v>
      </c>
      <c r="D624" s="71" t="s">
        <v>2428</v>
      </c>
      <c r="E624" s="71" t="s">
        <v>2429</v>
      </c>
      <c r="F624" s="72"/>
      <c r="G624" s="73"/>
      <c r="H624" s="75"/>
      <c r="I624" s="102">
        <v>46054</v>
      </c>
      <c r="J624" s="70">
        <v>3</v>
      </c>
      <c r="K624" s="106" t="s">
        <v>2430</v>
      </c>
      <c r="L624" s="104">
        <f t="shared" si="207"/>
        <v>46143</v>
      </c>
      <c r="M624" s="105">
        <f ca="1" t="shared" si="208"/>
        <v>-170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211"/>
        <v>0</v>
      </c>
      <c r="Z624" s="105">
        <f ca="1" t="shared" si="212"/>
        <v>-46313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203"/>
        <v>0</v>
      </c>
      <c r="AM624" s="105">
        <f ca="1" t="shared" si="204"/>
        <v>-46313</v>
      </c>
      <c r="AN624" s="115"/>
      <c r="AO624" s="115"/>
      <c r="AP624" s="115"/>
      <c r="AQ624" s="93"/>
      <c r="AR624" s="93"/>
      <c r="AS624" s="94"/>
      <c r="AT624" s="95"/>
      <c r="AU624" s="79"/>
      <c r="AV624" s="117"/>
      <c r="AW624" s="115"/>
      <c r="AX624" s="106"/>
      <c r="AY624" s="104"/>
      <c r="AZ624" s="105"/>
    </row>
    <row r="625" customHeight="1" spans="1:52">
      <c r="A625" s="70">
        <v>625</v>
      </c>
      <c r="B625" s="70" t="s">
        <v>757</v>
      </c>
      <c r="C625" s="70" t="s">
        <v>264</v>
      </c>
      <c r="D625" s="71" t="s">
        <v>758</v>
      </c>
      <c r="E625" s="71" t="s">
        <v>368</v>
      </c>
      <c r="F625" s="72"/>
      <c r="G625" s="73"/>
      <c r="H625" s="75"/>
      <c r="I625" s="102">
        <v>46054</v>
      </c>
      <c r="J625" s="102" t="s">
        <v>767</v>
      </c>
      <c r="K625" s="106"/>
      <c r="L625" s="104" t="e">
        <f t="shared" si="207"/>
        <v>#VALUE!</v>
      </c>
      <c r="M625" s="105" t="e">
        <f ca="1" t="shared" si="20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211"/>
        <v>0</v>
      </c>
      <c r="Z625" s="105">
        <f ca="1" t="shared" si="212"/>
        <v>-46313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213">EDATE(AI625,AJ625)</f>
        <v>0</v>
      </c>
      <c r="AM625" s="105">
        <f ca="1" t="shared" ref="AM625:AM654" si="214">AL625-TODAY()</f>
        <v>-46313</v>
      </c>
      <c r="AN625" s="115"/>
      <c r="AO625" s="115"/>
      <c r="AP625" s="115"/>
      <c r="AQ625" s="93"/>
      <c r="AR625" s="93"/>
      <c r="AS625" s="94"/>
      <c r="AT625" s="95"/>
      <c r="AU625" s="79"/>
      <c r="AV625" s="117"/>
      <c r="AW625" s="115"/>
      <c r="AX625" s="106"/>
      <c r="AY625" s="104"/>
      <c r="AZ625" s="105"/>
    </row>
    <row r="626" customHeight="1" spans="1:52">
      <c r="A626" s="70">
        <v>626</v>
      </c>
      <c r="B626" s="70" t="s">
        <v>757</v>
      </c>
      <c r="C626" s="70" t="s">
        <v>264</v>
      </c>
      <c r="D626" s="71" t="s">
        <v>950</v>
      </c>
      <c r="E626" s="71" t="s">
        <v>951</v>
      </c>
      <c r="F626" s="72"/>
      <c r="G626" s="73"/>
      <c r="H626" s="75"/>
      <c r="I626" s="102">
        <v>46054</v>
      </c>
      <c r="J626" s="70">
        <v>3</v>
      </c>
      <c r="K626" s="106" t="s">
        <v>2431</v>
      </c>
      <c r="L626" s="104">
        <f t="shared" si="207"/>
        <v>46143</v>
      </c>
      <c r="M626" s="105">
        <f ca="1" t="shared" si="208"/>
        <v>-170</v>
      </c>
      <c r="N626" s="70"/>
      <c r="O626" s="70" t="s">
        <v>757</v>
      </c>
      <c r="P626" s="70" t="s">
        <v>264</v>
      </c>
      <c r="Q626" s="71" t="s">
        <v>950</v>
      </c>
      <c r="R626" s="71" t="s">
        <v>951</v>
      </c>
      <c r="S626" s="72"/>
      <c r="T626" s="73"/>
      <c r="U626" s="75"/>
      <c r="V626" s="102">
        <v>46238</v>
      </c>
      <c r="W626" s="70">
        <v>3</v>
      </c>
      <c r="X626" s="103" t="s">
        <v>2432</v>
      </c>
      <c r="Y626" s="104">
        <f t="shared" ref="Y620:Y636" si="215">EDATE(V626,W626)</f>
        <v>46330</v>
      </c>
      <c r="Z626" s="105">
        <f ca="1" t="shared" ref="Z620:Z636" si="216">Y626-TODAY()</f>
        <v>17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213"/>
        <v>0</v>
      </c>
      <c r="AM626" s="105">
        <f ca="1" t="shared" si="214"/>
        <v>-46313</v>
      </c>
      <c r="AN626" s="115"/>
      <c r="AO626" s="115"/>
      <c r="AP626" s="115"/>
      <c r="AQ626" s="93"/>
      <c r="AR626" s="93"/>
      <c r="AS626" s="94"/>
      <c r="AT626" s="95"/>
      <c r="AU626" s="79"/>
      <c r="AV626" s="117"/>
      <c r="AW626" s="115"/>
      <c r="AX626" s="106"/>
      <c r="AY626" s="104"/>
      <c r="AZ626" s="105"/>
    </row>
    <row r="627" customHeight="1" spans="1:52">
      <c r="A627" s="70">
        <v>627</v>
      </c>
      <c r="B627" s="70" t="s">
        <v>644</v>
      </c>
      <c r="C627" s="70" t="s">
        <v>264</v>
      </c>
      <c r="D627" s="71" t="s">
        <v>2433</v>
      </c>
      <c r="E627" s="71" t="s">
        <v>266</v>
      </c>
      <c r="F627" s="72"/>
      <c r="G627" s="73"/>
      <c r="H627" s="75"/>
      <c r="I627" s="102">
        <v>46054</v>
      </c>
      <c r="J627" s="70">
        <v>3</v>
      </c>
      <c r="K627" s="106" t="s">
        <v>2434</v>
      </c>
      <c r="L627" s="104">
        <f t="shared" si="207"/>
        <v>46143</v>
      </c>
      <c r="M627" s="105">
        <f ca="1" t="shared" si="208"/>
        <v>-170</v>
      </c>
      <c r="N627" s="70"/>
      <c r="O627" s="70" t="s">
        <v>644</v>
      </c>
      <c r="P627" s="70" t="s">
        <v>264</v>
      </c>
      <c r="Q627" s="71" t="s">
        <v>2433</v>
      </c>
      <c r="R627" s="71" t="s">
        <v>266</v>
      </c>
      <c r="S627" s="72"/>
      <c r="T627" s="73"/>
      <c r="U627" s="75"/>
      <c r="V627" s="102">
        <v>46134</v>
      </c>
      <c r="W627" s="70">
        <v>3</v>
      </c>
      <c r="X627" s="103" t="s">
        <v>2435</v>
      </c>
      <c r="Y627" s="104">
        <f t="shared" si="215"/>
        <v>46225</v>
      </c>
      <c r="Z627" s="105">
        <f ca="1" t="shared" si="216"/>
        <v>-88</v>
      </c>
      <c r="AA627" s="70"/>
      <c r="AB627" s="70" t="s">
        <v>644</v>
      </c>
      <c r="AC627" s="70" t="s">
        <v>264</v>
      </c>
      <c r="AD627" s="71" t="s">
        <v>2433</v>
      </c>
      <c r="AE627" s="71" t="s">
        <v>266</v>
      </c>
      <c r="AF627" s="72"/>
      <c r="AG627" s="73"/>
      <c r="AH627" s="75"/>
      <c r="AI627" s="102">
        <v>46223</v>
      </c>
      <c r="AJ627" s="70">
        <v>3</v>
      </c>
      <c r="AK627" s="103" t="s">
        <v>2436</v>
      </c>
      <c r="AL627" s="104">
        <f t="shared" si="213"/>
        <v>46315</v>
      </c>
      <c r="AM627" s="105">
        <f ca="1" t="shared" si="214"/>
        <v>2</v>
      </c>
      <c r="AN627" s="115"/>
      <c r="AO627" s="70" t="s">
        <v>644</v>
      </c>
      <c r="AP627" s="70" t="s">
        <v>264</v>
      </c>
      <c r="AQ627" s="71" t="s">
        <v>2433</v>
      </c>
      <c r="AR627" s="71" t="s">
        <v>266</v>
      </c>
      <c r="AS627" s="72"/>
      <c r="AT627" s="73"/>
      <c r="AU627" s="75"/>
      <c r="AV627" s="117">
        <v>46309</v>
      </c>
      <c r="AW627" s="115">
        <v>3</v>
      </c>
      <c r="AX627" s="106"/>
      <c r="AY627" s="104">
        <f t="shared" ref="AY627:AY650" si="217">EDATE(AV627,AW627)</f>
        <v>46401</v>
      </c>
      <c r="AZ627" s="105">
        <f ca="1" t="shared" ref="AZ627:AZ650" si="218">AY627-TODAY()</f>
        <v>88</v>
      </c>
    </row>
    <row r="628" customHeight="1" spans="1:52">
      <c r="A628" s="70">
        <v>628</v>
      </c>
      <c r="B628" s="70" t="s">
        <v>644</v>
      </c>
      <c r="C628" s="70" t="s">
        <v>264</v>
      </c>
      <c r="D628" s="71" t="s">
        <v>265</v>
      </c>
      <c r="E628" s="71" t="s">
        <v>266</v>
      </c>
      <c r="F628" s="72"/>
      <c r="G628" s="73"/>
      <c r="H628" s="75"/>
      <c r="I628" s="102">
        <v>46054</v>
      </c>
      <c r="J628" s="102" t="s">
        <v>767</v>
      </c>
      <c r="K628" s="106"/>
      <c r="L628" s="104" t="e">
        <f t="shared" si="207"/>
        <v>#VALUE!</v>
      </c>
      <c r="M628" s="105" t="e">
        <f ca="1" t="shared" si="20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215"/>
        <v>0</v>
      </c>
      <c r="Z628" s="105">
        <f ca="1" t="shared" si="216"/>
        <v>-46313</v>
      </c>
      <c r="AA628" s="70"/>
      <c r="AB628" s="70"/>
      <c r="AC628" s="70"/>
      <c r="AD628" s="71"/>
      <c r="AE628" s="71"/>
      <c r="AF628" s="72"/>
      <c r="AG628" s="73"/>
      <c r="AH628" s="117"/>
      <c r="AI628" s="102"/>
      <c r="AJ628" s="70"/>
      <c r="AK628" s="103"/>
      <c r="AL628" s="104">
        <f t="shared" si="213"/>
        <v>0</v>
      </c>
      <c r="AM628" s="105">
        <f ca="1" t="shared" si="214"/>
        <v>-46313</v>
      </c>
      <c r="AN628" s="115"/>
      <c r="AO628" s="115"/>
      <c r="AP628" s="115"/>
      <c r="AQ628" s="93"/>
      <c r="AR628" s="93"/>
      <c r="AS628" s="94"/>
      <c r="AT628" s="95"/>
      <c r="AU628" s="117"/>
      <c r="AV628" s="117"/>
      <c r="AW628" s="115"/>
      <c r="AX628" s="106"/>
      <c r="AY628" s="104">
        <f t="shared" si="217"/>
        <v>0</v>
      </c>
      <c r="AZ628" s="105">
        <f ca="1" t="shared" si="218"/>
        <v>-46313</v>
      </c>
    </row>
    <row r="629" customHeight="1" spans="1:52">
      <c r="A629" s="70">
        <v>629</v>
      </c>
      <c r="B629" s="70" t="s">
        <v>281</v>
      </c>
      <c r="C629" s="70" t="s">
        <v>264</v>
      </c>
      <c r="D629" s="71" t="s">
        <v>1229</v>
      </c>
      <c r="E629" s="71" t="s">
        <v>364</v>
      </c>
      <c r="F629" s="72"/>
      <c r="G629" s="73"/>
      <c r="H629" s="75"/>
      <c r="I629" s="102">
        <v>46054</v>
      </c>
      <c r="J629" s="102" t="s">
        <v>767</v>
      </c>
      <c r="K629" s="106"/>
      <c r="L629" s="104" t="e">
        <f t="shared" si="207"/>
        <v>#VALUE!</v>
      </c>
      <c r="M629" s="105" t="e">
        <f ca="1" t="shared" si="20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215"/>
        <v>0</v>
      </c>
      <c r="Z629" s="105">
        <f ca="1" t="shared" si="216"/>
        <v>-46313</v>
      </c>
      <c r="AA629" s="70"/>
      <c r="AB629" s="70"/>
      <c r="AC629" s="70"/>
      <c r="AD629" s="71"/>
      <c r="AE629" s="71"/>
      <c r="AF629" s="72"/>
      <c r="AG629" s="73"/>
      <c r="AH629" s="117"/>
      <c r="AI629" s="102"/>
      <c r="AJ629" s="70"/>
      <c r="AK629" s="103"/>
      <c r="AL629" s="104">
        <f t="shared" si="213"/>
        <v>0</v>
      </c>
      <c r="AM629" s="105">
        <f ca="1" t="shared" si="214"/>
        <v>-46313</v>
      </c>
      <c r="AN629" s="115"/>
      <c r="AO629" s="115"/>
      <c r="AP629" s="115"/>
      <c r="AQ629" s="93"/>
      <c r="AR629" s="93"/>
      <c r="AS629" s="94"/>
      <c r="AT629" s="95"/>
      <c r="AU629" s="117"/>
      <c r="AV629" s="117"/>
      <c r="AW629" s="115"/>
      <c r="AX629" s="106"/>
      <c r="AY629" s="104">
        <f t="shared" si="217"/>
        <v>0</v>
      </c>
      <c r="AZ629" s="105">
        <f ca="1" t="shared" si="218"/>
        <v>-46313</v>
      </c>
    </row>
    <row r="630" customHeight="1" spans="1:52">
      <c r="A630" s="70">
        <v>630</v>
      </c>
      <c r="B630" s="70" t="s">
        <v>229</v>
      </c>
      <c r="C630" s="70" t="s">
        <v>13</v>
      </c>
      <c r="D630" s="71" t="s">
        <v>2437</v>
      </c>
      <c r="E630" s="71" t="s">
        <v>23</v>
      </c>
      <c r="F630" s="72"/>
      <c r="G630" s="73"/>
      <c r="H630" s="75"/>
      <c r="I630" s="102">
        <v>46055</v>
      </c>
      <c r="J630" s="70">
        <v>3</v>
      </c>
      <c r="K630" s="106" t="s">
        <v>2438</v>
      </c>
      <c r="L630" s="104">
        <f t="shared" si="207"/>
        <v>46144</v>
      </c>
      <c r="M630" s="105">
        <f ca="1" t="shared" si="208"/>
        <v>-169</v>
      </c>
      <c r="N630" s="70"/>
      <c r="O630" s="70" t="s">
        <v>229</v>
      </c>
      <c r="P630" s="70" t="s">
        <v>13</v>
      </c>
      <c r="Q630" s="71" t="s">
        <v>2437</v>
      </c>
      <c r="R630" s="71" t="s">
        <v>23</v>
      </c>
      <c r="S630" s="72"/>
      <c r="T630" s="73"/>
      <c r="U630" s="75"/>
      <c r="V630" s="102">
        <v>46276</v>
      </c>
      <c r="W630" s="70">
        <v>3</v>
      </c>
      <c r="X630" s="103" t="s">
        <v>2439</v>
      </c>
      <c r="Y630" s="104">
        <f t="shared" si="215"/>
        <v>46367</v>
      </c>
      <c r="Z630" s="105">
        <f ca="1" t="shared" si="216"/>
        <v>54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213"/>
        <v>0</v>
      </c>
      <c r="AM630" s="105">
        <f ca="1" t="shared" si="214"/>
        <v>-46313</v>
      </c>
      <c r="AN630" s="115"/>
      <c r="AO630" s="115"/>
      <c r="AP630" s="115"/>
      <c r="AQ630" s="93"/>
      <c r="AR630" s="93"/>
      <c r="AS630" s="94"/>
      <c r="AT630" s="95"/>
      <c r="AU630" s="117"/>
      <c r="AV630" s="117"/>
      <c r="AW630" s="115"/>
      <c r="AX630" s="106"/>
      <c r="AY630" s="104">
        <f t="shared" si="217"/>
        <v>0</v>
      </c>
      <c r="AZ630" s="105">
        <f ca="1" t="shared" si="218"/>
        <v>-46313</v>
      </c>
    </row>
    <row r="631" customHeight="1" spans="1:52">
      <c r="A631" s="70">
        <v>631</v>
      </c>
      <c r="B631" s="70" t="s">
        <v>229</v>
      </c>
      <c r="C631" s="70" t="s">
        <v>13</v>
      </c>
      <c r="D631" s="71" t="s">
        <v>2440</v>
      </c>
      <c r="E631" s="71" t="s">
        <v>126</v>
      </c>
      <c r="F631" s="72"/>
      <c r="G631" s="73"/>
      <c r="H631" s="75"/>
      <c r="I631" s="102">
        <v>46055</v>
      </c>
      <c r="J631" s="70">
        <v>3</v>
      </c>
      <c r="K631" s="106" t="s">
        <v>2441</v>
      </c>
      <c r="L631" s="104">
        <f t="shared" si="207"/>
        <v>46144</v>
      </c>
      <c r="M631" s="105">
        <f ca="1" t="shared" si="208"/>
        <v>-169</v>
      </c>
      <c r="N631" s="70"/>
      <c r="O631" s="70" t="s">
        <v>229</v>
      </c>
      <c r="P631" s="70" t="s">
        <v>13</v>
      </c>
      <c r="Q631" s="71" t="s">
        <v>2440</v>
      </c>
      <c r="R631" s="71" t="s">
        <v>126</v>
      </c>
      <c r="S631" s="72"/>
      <c r="T631" s="73"/>
      <c r="U631" s="75"/>
      <c r="V631" s="102">
        <v>46135</v>
      </c>
      <c r="W631" s="70">
        <v>3</v>
      </c>
      <c r="X631" s="103" t="s">
        <v>2442</v>
      </c>
      <c r="Y631" s="104">
        <f t="shared" si="215"/>
        <v>46226</v>
      </c>
      <c r="Z631" s="105">
        <f ca="1" t="shared" si="216"/>
        <v>-87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213"/>
        <v>0</v>
      </c>
      <c r="AM631" s="105">
        <f ca="1" t="shared" si="214"/>
        <v>-46313</v>
      </c>
      <c r="AN631" s="115"/>
      <c r="AO631" s="115"/>
      <c r="AP631" s="115"/>
      <c r="AQ631" s="93"/>
      <c r="AR631" s="93"/>
      <c r="AS631" s="94"/>
      <c r="AT631" s="95"/>
      <c r="AU631" s="117"/>
      <c r="AV631" s="117"/>
      <c r="AW631" s="115"/>
      <c r="AX631" s="106"/>
      <c r="AY631" s="104">
        <f t="shared" si="217"/>
        <v>0</v>
      </c>
      <c r="AZ631" s="105">
        <f ca="1" t="shared" si="218"/>
        <v>-46313</v>
      </c>
    </row>
    <row r="632" customHeight="1" spans="1:52">
      <c r="A632" s="70">
        <v>632</v>
      </c>
      <c r="B632" s="70" t="s">
        <v>229</v>
      </c>
      <c r="C632" s="70" t="s">
        <v>13</v>
      </c>
      <c r="D632" s="71" t="s">
        <v>2443</v>
      </c>
      <c r="E632" s="71" t="s">
        <v>76</v>
      </c>
      <c r="F632" s="72"/>
      <c r="G632" s="73"/>
      <c r="H632" s="75"/>
      <c r="I632" s="102">
        <v>46055</v>
      </c>
      <c r="J632" s="70">
        <v>3</v>
      </c>
      <c r="K632" s="106" t="s">
        <v>2444</v>
      </c>
      <c r="L632" s="104">
        <f t="shared" si="207"/>
        <v>46144</v>
      </c>
      <c r="M632" s="105">
        <f ca="1" t="shared" si="208"/>
        <v>-169</v>
      </c>
      <c r="N632" s="70"/>
      <c r="O632" s="70" t="s">
        <v>229</v>
      </c>
      <c r="P632" s="70" t="s">
        <v>13</v>
      </c>
      <c r="Q632" s="71" t="s">
        <v>2443</v>
      </c>
      <c r="R632" s="71" t="s">
        <v>76</v>
      </c>
      <c r="S632" s="72"/>
      <c r="T632" s="73"/>
      <c r="U632" s="75"/>
      <c r="V632" s="102">
        <v>46158</v>
      </c>
      <c r="W632" s="70">
        <v>3</v>
      </c>
      <c r="X632" s="103" t="s">
        <v>2445</v>
      </c>
      <c r="Y632" s="104">
        <f t="shared" si="215"/>
        <v>46250</v>
      </c>
      <c r="Z632" s="105">
        <f ca="1" t="shared" si="216"/>
        <v>-63</v>
      </c>
      <c r="AA632" s="70"/>
      <c r="AB632" s="70" t="s">
        <v>229</v>
      </c>
      <c r="AC632" s="70" t="s">
        <v>13</v>
      </c>
      <c r="AD632" s="71" t="s">
        <v>2443</v>
      </c>
      <c r="AE632" s="71" t="s">
        <v>76</v>
      </c>
      <c r="AF632" s="72"/>
      <c r="AG632" s="73"/>
      <c r="AH632" s="75"/>
      <c r="AI632" s="102">
        <v>46279</v>
      </c>
      <c r="AJ632" s="70">
        <v>3</v>
      </c>
      <c r="AK632" s="103" t="s">
        <v>2446</v>
      </c>
      <c r="AL632" s="104">
        <f t="shared" si="213"/>
        <v>46370</v>
      </c>
      <c r="AM632" s="105">
        <f ca="1" t="shared" si="214"/>
        <v>57</v>
      </c>
      <c r="AN632" s="115"/>
      <c r="AO632" s="115"/>
      <c r="AP632" s="115"/>
      <c r="AQ632" s="93"/>
      <c r="AR632" s="93"/>
      <c r="AS632" s="94"/>
      <c r="AT632" s="95"/>
      <c r="AU632" s="117"/>
      <c r="AV632" s="117"/>
      <c r="AW632" s="115"/>
      <c r="AX632" s="106"/>
      <c r="AY632" s="104">
        <f t="shared" si="217"/>
        <v>0</v>
      </c>
      <c r="AZ632" s="105">
        <f ca="1" t="shared" si="218"/>
        <v>-46313</v>
      </c>
    </row>
    <row r="633" customHeight="1" spans="1:52">
      <c r="A633" s="70">
        <v>633</v>
      </c>
      <c r="B633" s="70" t="s">
        <v>2447</v>
      </c>
      <c r="C633" s="70" t="s">
        <v>38</v>
      </c>
      <c r="D633" s="71" t="s">
        <v>2448</v>
      </c>
      <c r="E633" s="71" t="s">
        <v>1928</v>
      </c>
      <c r="F633" s="72"/>
      <c r="G633" s="73"/>
      <c r="H633" s="117" t="s">
        <v>16</v>
      </c>
      <c r="I633" s="102">
        <v>46055</v>
      </c>
      <c r="J633" s="70">
        <v>3</v>
      </c>
      <c r="K633" s="106" t="s">
        <v>2449</v>
      </c>
      <c r="L633" s="104">
        <f t="shared" si="207"/>
        <v>46144</v>
      </c>
      <c r="M633" s="105">
        <f ca="1" t="shared" si="208"/>
        <v>-169</v>
      </c>
      <c r="N633" s="70"/>
      <c r="O633" s="70" t="s">
        <v>2447</v>
      </c>
      <c r="P633" s="70" t="s">
        <v>38</v>
      </c>
      <c r="Q633" s="71" t="s">
        <v>2448</v>
      </c>
      <c r="R633" s="71" t="s">
        <v>1928</v>
      </c>
      <c r="S633" s="72"/>
      <c r="T633" s="73"/>
      <c r="U633" s="117" t="s">
        <v>16</v>
      </c>
      <c r="V633" s="102">
        <v>46175</v>
      </c>
      <c r="W633" s="70">
        <v>3</v>
      </c>
      <c r="X633" s="103" t="s">
        <v>2450</v>
      </c>
      <c r="Y633" s="104">
        <f t="shared" si="215"/>
        <v>46267</v>
      </c>
      <c r="Z633" s="105">
        <f ca="1" t="shared" si="216"/>
        <v>-46</v>
      </c>
      <c r="AA633" s="70"/>
      <c r="AB633" s="70" t="s">
        <v>2447</v>
      </c>
      <c r="AC633" s="70" t="s">
        <v>38</v>
      </c>
      <c r="AD633" s="71" t="s">
        <v>2448</v>
      </c>
      <c r="AE633" s="71" t="s">
        <v>1928</v>
      </c>
      <c r="AF633" s="72"/>
      <c r="AG633" s="73"/>
      <c r="AH633" s="198"/>
      <c r="AI633" s="102">
        <v>46275</v>
      </c>
      <c r="AJ633" s="70">
        <v>3</v>
      </c>
      <c r="AK633" s="103" t="s">
        <v>2451</v>
      </c>
      <c r="AL633" s="104">
        <f t="shared" si="213"/>
        <v>46366</v>
      </c>
      <c r="AM633" s="105">
        <f ca="1" t="shared" si="214"/>
        <v>53</v>
      </c>
      <c r="AN633" s="115"/>
      <c r="AO633" s="115"/>
      <c r="AP633" s="115"/>
      <c r="AQ633" s="93"/>
      <c r="AR633" s="93"/>
      <c r="AS633" s="94"/>
      <c r="AT633" s="95"/>
      <c r="AU633" s="117"/>
      <c r="AV633" s="117"/>
      <c r="AW633" s="115"/>
      <c r="AX633" s="106"/>
      <c r="AY633" s="104">
        <f t="shared" si="217"/>
        <v>0</v>
      </c>
      <c r="AZ633" s="105">
        <f ca="1" t="shared" si="218"/>
        <v>-46313</v>
      </c>
    </row>
    <row r="634" customHeight="1" spans="1:52">
      <c r="A634" s="70">
        <v>634</v>
      </c>
      <c r="B634" s="70" t="s">
        <v>2452</v>
      </c>
      <c r="C634" s="70" t="s">
        <v>13</v>
      </c>
      <c r="D634" s="71" t="s">
        <v>2453</v>
      </c>
      <c r="E634" s="71" t="s">
        <v>34</v>
      </c>
      <c r="F634" s="72"/>
      <c r="G634" s="73"/>
      <c r="H634" s="117" t="s">
        <v>16</v>
      </c>
      <c r="I634" s="102">
        <v>46055</v>
      </c>
      <c r="J634" s="70">
        <v>3</v>
      </c>
      <c r="K634" s="106" t="s">
        <v>2454</v>
      </c>
      <c r="L634" s="104">
        <f t="shared" si="207"/>
        <v>46144</v>
      </c>
      <c r="M634" s="105">
        <f ca="1" t="shared" si="208"/>
        <v>-169</v>
      </c>
      <c r="N634" s="70"/>
      <c r="O634" s="70" t="s">
        <v>2452</v>
      </c>
      <c r="P634" s="70" t="s">
        <v>13</v>
      </c>
      <c r="Q634" s="71" t="s">
        <v>2453</v>
      </c>
      <c r="R634" s="71" t="s">
        <v>34</v>
      </c>
      <c r="S634" s="72"/>
      <c r="T634" s="73"/>
      <c r="U634" s="117" t="s">
        <v>16</v>
      </c>
      <c r="V634" s="102">
        <v>46153</v>
      </c>
      <c r="W634" s="70">
        <v>3</v>
      </c>
      <c r="X634" s="103" t="s">
        <v>2455</v>
      </c>
      <c r="Y634" s="104">
        <f t="shared" si="215"/>
        <v>46245</v>
      </c>
      <c r="Z634" s="105">
        <f ca="1" t="shared" si="216"/>
        <v>-68</v>
      </c>
      <c r="AA634" s="70"/>
      <c r="AB634" s="70" t="s">
        <v>2452</v>
      </c>
      <c r="AC634" s="70" t="s">
        <v>13</v>
      </c>
      <c r="AD634" s="71" t="s">
        <v>2453</v>
      </c>
      <c r="AE634" s="71" t="s">
        <v>34</v>
      </c>
      <c r="AF634" s="72"/>
      <c r="AG634" s="73"/>
      <c r="AH634" s="117" t="s">
        <v>16</v>
      </c>
      <c r="AI634" s="102">
        <v>46247</v>
      </c>
      <c r="AJ634" s="70">
        <v>3</v>
      </c>
      <c r="AK634" s="103" t="s">
        <v>2456</v>
      </c>
      <c r="AL634" s="104">
        <f t="shared" si="213"/>
        <v>46339</v>
      </c>
      <c r="AM634" s="105">
        <f ca="1" t="shared" si="214"/>
        <v>26</v>
      </c>
      <c r="AN634" s="115"/>
      <c r="AO634" s="115"/>
      <c r="AP634" s="115"/>
      <c r="AQ634" s="93"/>
      <c r="AR634" s="93"/>
      <c r="AS634" s="94"/>
      <c r="AT634" s="95"/>
      <c r="AU634" s="117"/>
      <c r="AV634" s="117"/>
      <c r="AW634" s="115"/>
      <c r="AX634" s="106"/>
      <c r="AY634" s="104">
        <f t="shared" si="217"/>
        <v>0</v>
      </c>
      <c r="AZ634" s="105">
        <f ca="1" t="shared" si="218"/>
        <v>-46313</v>
      </c>
    </row>
    <row r="635" customHeight="1" spans="1:52">
      <c r="A635" s="70">
        <v>635</v>
      </c>
      <c r="B635" s="70" t="s">
        <v>2452</v>
      </c>
      <c r="C635" s="70" t="s">
        <v>13</v>
      </c>
      <c r="D635" s="71" t="s">
        <v>2457</v>
      </c>
      <c r="E635" s="71" t="s">
        <v>2458</v>
      </c>
      <c r="F635" s="72"/>
      <c r="G635" s="73"/>
      <c r="H635" s="117" t="s">
        <v>16</v>
      </c>
      <c r="I635" s="102">
        <v>46055</v>
      </c>
      <c r="J635" s="70">
        <v>3</v>
      </c>
      <c r="K635" s="106" t="s">
        <v>2459</v>
      </c>
      <c r="L635" s="104">
        <f t="shared" si="207"/>
        <v>46144</v>
      </c>
      <c r="M635" s="105">
        <f ca="1" t="shared" si="208"/>
        <v>-169</v>
      </c>
      <c r="N635" s="70"/>
      <c r="O635" s="70" t="s">
        <v>2452</v>
      </c>
      <c r="P635" s="70" t="s">
        <v>13</v>
      </c>
      <c r="Q635" s="71" t="s">
        <v>2457</v>
      </c>
      <c r="R635" s="71" t="s">
        <v>2458</v>
      </c>
      <c r="S635" s="72"/>
      <c r="T635" s="73"/>
      <c r="U635" s="117" t="s">
        <v>16</v>
      </c>
      <c r="V635" s="102">
        <v>46153</v>
      </c>
      <c r="W635" s="70">
        <v>3</v>
      </c>
      <c r="X635" s="103" t="s">
        <v>2460</v>
      </c>
      <c r="Y635" s="104">
        <f t="shared" si="215"/>
        <v>46245</v>
      </c>
      <c r="Z635" s="105">
        <f ca="1" t="shared" si="216"/>
        <v>-68</v>
      </c>
      <c r="AA635" s="70"/>
      <c r="AB635" s="70" t="s">
        <v>2452</v>
      </c>
      <c r="AC635" s="70" t="s">
        <v>13</v>
      </c>
      <c r="AD635" s="71" t="s">
        <v>2457</v>
      </c>
      <c r="AE635" s="71" t="s">
        <v>2458</v>
      </c>
      <c r="AF635" s="72"/>
      <c r="AG635" s="73"/>
      <c r="AH635" s="117" t="s">
        <v>16</v>
      </c>
      <c r="AI635" s="102">
        <v>46247</v>
      </c>
      <c r="AJ635" s="70">
        <v>3</v>
      </c>
      <c r="AK635" s="103" t="s">
        <v>2461</v>
      </c>
      <c r="AL635" s="104">
        <f t="shared" si="213"/>
        <v>46339</v>
      </c>
      <c r="AM635" s="105">
        <f ca="1" t="shared" si="214"/>
        <v>26</v>
      </c>
      <c r="AN635" s="115"/>
      <c r="AO635" s="115"/>
      <c r="AP635" s="115"/>
      <c r="AQ635" s="93"/>
      <c r="AR635" s="93"/>
      <c r="AS635" s="94"/>
      <c r="AT635" s="95"/>
      <c r="AU635" s="117"/>
      <c r="AV635" s="117"/>
      <c r="AW635" s="115"/>
      <c r="AX635" s="106"/>
      <c r="AY635" s="104">
        <f t="shared" si="217"/>
        <v>0</v>
      </c>
      <c r="AZ635" s="105">
        <f ca="1" t="shared" si="218"/>
        <v>-46313</v>
      </c>
    </row>
    <row r="636" customHeight="1" spans="1:52">
      <c r="A636" s="70">
        <v>636</v>
      </c>
      <c r="B636" s="70" t="s">
        <v>2452</v>
      </c>
      <c r="C636" s="70" t="s">
        <v>38</v>
      </c>
      <c r="D636" s="71" t="s">
        <v>2462</v>
      </c>
      <c r="E636" s="71" t="s">
        <v>2463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2464</v>
      </c>
      <c r="L636" s="104">
        <f t="shared" si="207"/>
        <v>46144</v>
      </c>
      <c r="M636" s="105">
        <f ca="1" t="shared" si="208"/>
        <v>-169</v>
      </c>
      <c r="N636" s="70"/>
      <c r="O636" s="70" t="s">
        <v>2452</v>
      </c>
      <c r="P636" s="70" t="s">
        <v>38</v>
      </c>
      <c r="Q636" s="71" t="s">
        <v>2462</v>
      </c>
      <c r="R636" s="71" t="s">
        <v>2463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2465</v>
      </c>
      <c r="Y636" s="104">
        <f t="shared" si="215"/>
        <v>46245</v>
      </c>
      <c r="Z636" s="105">
        <f ca="1" t="shared" si="216"/>
        <v>-68</v>
      </c>
      <c r="AA636" s="70"/>
      <c r="AB636" s="70" t="s">
        <v>2452</v>
      </c>
      <c r="AC636" s="70" t="s">
        <v>38</v>
      </c>
      <c r="AD636" s="71" t="s">
        <v>2462</v>
      </c>
      <c r="AE636" s="71" t="s">
        <v>2463</v>
      </c>
      <c r="AF636" s="72"/>
      <c r="AG636" s="73"/>
      <c r="AH636" s="74" t="s">
        <v>16</v>
      </c>
      <c r="AI636" s="102">
        <v>46247</v>
      </c>
      <c r="AJ636" s="70">
        <v>3</v>
      </c>
      <c r="AK636" s="103" t="s">
        <v>2466</v>
      </c>
      <c r="AL636" s="104">
        <f t="shared" si="213"/>
        <v>46339</v>
      </c>
      <c r="AM636" s="105">
        <f ca="1" t="shared" si="214"/>
        <v>26</v>
      </c>
      <c r="AN636" s="115"/>
      <c r="AO636" s="115"/>
      <c r="AP636" s="115"/>
      <c r="AQ636" s="93"/>
      <c r="AR636" s="93"/>
      <c r="AS636" s="94"/>
      <c r="AT636" s="95"/>
      <c r="AU636" s="79"/>
      <c r="AV636" s="117"/>
      <c r="AW636" s="115"/>
      <c r="AX636" s="106"/>
      <c r="AY636" s="104">
        <f t="shared" si="217"/>
        <v>0</v>
      </c>
      <c r="AZ636" s="105">
        <f ca="1" t="shared" si="218"/>
        <v>-46313</v>
      </c>
    </row>
    <row r="637" customHeight="1" spans="1:52">
      <c r="A637" s="70">
        <v>637</v>
      </c>
      <c r="B637" s="70" t="s">
        <v>2452</v>
      </c>
      <c r="C637" s="70" t="s">
        <v>38</v>
      </c>
      <c r="D637" s="71" t="s">
        <v>2467</v>
      </c>
      <c r="E637" s="71" t="s">
        <v>2468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2469</v>
      </c>
      <c r="L637" s="104">
        <f t="shared" si="207"/>
        <v>46144</v>
      </c>
      <c r="M637" s="105">
        <f ca="1" t="shared" si="208"/>
        <v>-169</v>
      </c>
      <c r="N637" s="70"/>
      <c r="O637" s="70" t="s">
        <v>2452</v>
      </c>
      <c r="P637" s="70" t="s">
        <v>38</v>
      </c>
      <c r="Q637" s="71" t="s">
        <v>2467</v>
      </c>
      <c r="R637" s="71" t="s">
        <v>2468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2470</v>
      </c>
      <c r="Y637" s="104">
        <f t="shared" ref="Y637:Y666" si="219">EDATE(V637,W637)</f>
        <v>46245</v>
      </c>
      <c r="Z637" s="105">
        <f ca="1" t="shared" ref="Z637:Z666" si="220">Y637-TODAY()</f>
        <v>-68</v>
      </c>
      <c r="AA637" s="70"/>
      <c r="AB637" s="70" t="s">
        <v>2452</v>
      </c>
      <c r="AC637" s="70" t="s">
        <v>38</v>
      </c>
      <c r="AD637" s="71" t="s">
        <v>2467</v>
      </c>
      <c r="AE637" s="71" t="s">
        <v>2468</v>
      </c>
      <c r="AF637" s="72"/>
      <c r="AG637" s="73"/>
      <c r="AH637" s="74" t="s">
        <v>16</v>
      </c>
      <c r="AI637" s="102">
        <v>46247</v>
      </c>
      <c r="AJ637" s="70">
        <v>3</v>
      </c>
      <c r="AK637" s="103" t="s">
        <v>2471</v>
      </c>
      <c r="AL637" s="104">
        <f t="shared" si="213"/>
        <v>46339</v>
      </c>
      <c r="AM637" s="105">
        <f ca="1" t="shared" si="214"/>
        <v>26</v>
      </c>
      <c r="AN637" s="115"/>
      <c r="AO637" s="115"/>
      <c r="AP637" s="115"/>
      <c r="AQ637" s="93"/>
      <c r="AR637" s="93"/>
      <c r="AS637" s="94"/>
      <c r="AT637" s="95"/>
      <c r="AU637" s="117"/>
      <c r="AV637" s="117"/>
      <c r="AW637" s="115"/>
      <c r="AX637" s="106"/>
      <c r="AY637" s="104">
        <f t="shared" si="217"/>
        <v>0</v>
      </c>
      <c r="AZ637" s="105">
        <f ca="1" t="shared" si="218"/>
        <v>-46313</v>
      </c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2472</v>
      </c>
      <c r="E638" s="71" t="s">
        <v>34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2473</v>
      </c>
      <c r="L638" s="104">
        <f t="shared" si="207"/>
        <v>46145</v>
      </c>
      <c r="M638" s="105">
        <f ca="1" t="shared" si="208"/>
        <v>-168</v>
      </c>
      <c r="N638" s="70"/>
      <c r="O638" s="70" t="s">
        <v>12</v>
      </c>
      <c r="P638" s="70" t="s">
        <v>13</v>
      </c>
      <c r="Q638" s="71" t="s">
        <v>2472</v>
      </c>
      <c r="R638" s="71" t="s">
        <v>34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2474</v>
      </c>
      <c r="Y638" s="104">
        <f t="shared" si="219"/>
        <v>46230</v>
      </c>
      <c r="Z638" s="105">
        <f ca="1" t="shared" si="220"/>
        <v>-83</v>
      </c>
      <c r="AA638" s="70"/>
      <c r="AB638" s="70"/>
      <c r="AC638" s="70"/>
      <c r="AD638" s="71"/>
      <c r="AE638" s="71"/>
      <c r="AF638" s="72"/>
      <c r="AG638" s="73"/>
      <c r="AH638" s="117"/>
      <c r="AI638" s="102"/>
      <c r="AJ638" s="70"/>
      <c r="AK638" s="103"/>
      <c r="AL638" s="104">
        <f t="shared" si="213"/>
        <v>0</v>
      </c>
      <c r="AM638" s="105">
        <f ca="1" t="shared" si="214"/>
        <v>-46313</v>
      </c>
      <c r="AN638" s="115"/>
      <c r="AO638" s="115"/>
      <c r="AP638" s="115"/>
      <c r="AQ638" s="93"/>
      <c r="AR638" s="93"/>
      <c r="AS638" s="94"/>
      <c r="AT638" s="95"/>
      <c r="AU638" s="117"/>
      <c r="AV638" s="117"/>
      <c r="AW638" s="115"/>
      <c r="AX638" s="106"/>
      <c r="AY638" s="104">
        <f t="shared" si="217"/>
        <v>0</v>
      </c>
      <c r="AZ638" s="105">
        <f ca="1" t="shared" si="218"/>
        <v>-46313</v>
      </c>
    </row>
    <row r="639" customHeight="1" spans="1:52">
      <c r="A639" s="70">
        <v>639</v>
      </c>
      <c r="B639" s="70" t="s">
        <v>229</v>
      </c>
      <c r="C639" s="70" t="s">
        <v>13</v>
      </c>
      <c r="D639" s="71" t="s">
        <v>2475</v>
      </c>
      <c r="E639" s="71" t="s">
        <v>113</v>
      </c>
      <c r="F639" s="72"/>
      <c r="G639" s="73"/>
      <c r="H639" s="75"/>
      <c r="I639" s="102">
        <v>46056</v>
      </c>
      <c r="J639" s="70">
        <v>3</v>
      </c>
      <c r="K639" s="106" t="s">
        <v>2476</v>
      </c>
      <c r="L639" s="104">
        <f t="shared" si="207"/>
        <v>46145</v>
      </c>
      <c r="M639" s="105">
        <f ca="1" t="shared" si="208"/>
        <v>-168</v>
      </c>
      <c r="N639" s="70"/>
      <c r="O639" s="70" t="s">
        <v>229</v>
      </c>
      <c r="P639" s="70" t="s">
        <v>13</v>
      </c>
      <c r="Q639" s="71" t="s">
        <v>2475</v>
      </c>
      <c r="R639" s="71" t="s">
        <v>113</v>
      </c>
      <c r="S639" s="72"/>
      <c r="T639" s="73"/>
      <c r="U639" s="75"/>
      <c r="V639" s="102">
        <v>46139</v>
      </c>
      <c r="W639" s="70">
        <v>3</v>
      </c>
      <c r="X639" s="103" t="s">
        <v>2477</v>
      </c>
      <c r="Y639" s="104">
        <f t="shared" si="219"/>
        <v>46230</v>
      </c>
      <c r="Z639" s="105">
        <f ca="1" t="shared" si="220"/>
        <v>-83</v>
      </c>
      <c r="AA639" s="70"/>
      <c r="AB639" s="70" t="s">
        <v>229</v>
      </c>
      <c r="AC639" s="70" t="s">
        <v>13</v>
      </c>
      <c r="AD639" s="71" t="s">
        <v>2475</v>
      </c>
      <c r="AE639" s="71" t="s">
        <v>113</v>
      </c>
      <c r="AF639" s="72"/>
      <c r="AG639" s="73"/>
      <c r="AH639" s="75"/>
      <c r="AI639" s="102">
        <v>46295</v>
      </c>
      <c r="AJ639" s="70">
        <v>3</v>
      </c>
      <c r="AK639" s="103" t="s">
        <v>2478</v>
      </c>
      <c r="AL639" s="104">
        <f t="shared" si="213"/>
        <v>46386</v>
      </c>
      <c r="AM639" s="105">
        <f ca="1" t="shared" si="214"/>
        <v>73</v>
      </c>
      <c r="AN639" s="115"/>
      <c r="AO639" s="115"/>
      <c r="AP639" s="115"/>
      <c r="AQ639" s="93"/>
      <c r="AR639" s="93"/>
      <c r="AS639" s="94"/>
      <c r="AT639" s="95"/>
      <c r="AU639" s="79"/>
      <c r="AV639" s="117"/>
      <c r="AW639" s="115"/>
      <c r="AX639" s="106"/>
      <c r="AY639" s="104">
        <f t="shared" si="217"/>
        <v>0</v>
      </c>
      <c r="AZ639" s="105">
        <f ca="1" t="shared" si="218"/>
        <v>-46313</v>
      </c>
    </row>
    <row r="640" customHeight="1" spans="1:52">
      <c r="A640" s="70">
        <v>640</v>
      </c>
      <c r="B640" s="70" t="s">
        <v>229</v>
      </c>
      <c r="C640" s="70" t="s">
        <v>13</v>
      </c>
      <c r="D640" s="71" t="s">
        <v>2479</v>
      </c>
      <c r="E640" s="71" t="s">
        <v>2480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2481</v>
      </c>
      <c r="L640" s="104">
        <f t="shared" si="207"/>
        <v>46145</v>
      </c>
      <c r="M640" s="105">
        <f ca="1" t="shared" si="208"/>
        <v>-168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219"/>
        <v>0</v>
      </c>
      <c r="Z640" s="105">
        <f ca="1" t="shared" si="220"/>
        <v>-46313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213"/>
        <v>0</v>
      </c>
      <c r="AM640" s="105">
        <f ca="1" t="shared" si="214"/>
        <v>-46313</v>
      </c>
      <c r="AN640" s="115"/>
      <c r="AO640" s="115"/>
      <c r="AP640" s="115"/>
      <c r="AQ640" s="93"/>
      <c r="AR640" s="93"/>
      <c r="AS640" s="94"/>
      <c r="AT640" s="95"/>
      <c r="AU640" s="79"/>
      <c r="AV640" s="117"/>
      <c r="AW640" s="115"/>
      <c r="AX640" s="106"/>
      <c r="AY640" s="104">
        <f t="shared" si="217"/>
        <v>0</v>
      </c>
      <c r="AZ640" s="105">
        <f ca="1" t="shared" si="218"/>
        <v>-46313</v>
      </c>
    </row>
    <row r="641" customHeight="1" spans="1:52">
      <c r="A641" s="70">
        <v>641</v>
      </c>
      <c r="B641" s="70" t="s">
        <v>229</v>
      </c>
      <c r="C641" s="70" t="s">
        <v>13</v>
      </c>
      <c r="D641" s="71" t="s">
        <v>2482</v>
      </c>
      <c r="E641" s="71" t="s">
        <v>2483</v>
      </c>
      <c r="F641" s="72"/>
      <c r="G641" s="73"/>
      <c r="H641" s="75"/>
      <c r="I641" s="102">
        <v>46056</v>
      </c>
      <c r="J641" s="70">
        <v>3</v>
      </c>
      <c r="K641" s="106" t="s">
        <v>2484</v>
      </c>
      <c r="L641" s="104">
        <f t="shared" ref="L641:L704" si="221">EDATE(I641,J641)</f>
        <v>46145</v>
      </c>
      <c r="M641" s="105">
        <f ca="1" t="shared" ref="M641:M704" si="222">L641-TODAY()</f>
        <v>-168</v>
      </c>
      <c r="N641" s="70"/>
      <c r="O641" s="70" t="s">
        <v>229</v>
      </c>
      <c r="P641" s="70" t="s">
        <v>13</v>
      </c>
      <c r="Q641" s="71" t="s">
        <v>2482</v>
      </c>
      <c r="R641" s="71" t="s">
        <v>2483</v>
      </c>
      <c r="S641" s="72"/>
      <c r="T641" s="73"/>
      <c r="U641" s="75"/>
      <c r="V641" s="102">
        <v>46150</v>
      </c>
      <c r="W641" s="70">
        <v>3</v>
      </c>
      <c r="X641" s="103" t="s">
        <v>2485</v>
      </c>
      <c r="Y641" s="104">
        <f t="shared" si="219"/>
        <v>46242</v>
      </c>
      <c r="Z641" s="105">
        <f ca="1" t="shared" si="220"/>
        <v>-71</v>
      </c>
      <c r="AA641" s="70"/>
      <c r="AB641" s="70" t="s">
        <v>229</v>
      </c>
      <c r="AC641" s="70" t="s">
        <v>13</v>
      </c>
      <c r="AD641" s="71" t="s">
        <v>2482</v>
      </c>
      <c r="AE641" s="71" t="s">
        <v>2483</v>
      </c>
      <c r="AF641" s="72"/>
      <c r="AG641" s="73"/>
      <c r="AH641" s="75"/>
      <c r="AI641" s="102">
        <v>46240</v>
      </c>
      <c r="AJ641" s="70">
        <v>3</v>
      </c>
      <c r="AK641" s="103" t="s">
        <v>2486</v>
      </c>
      <c r="AL641" s="104">
        <f t="shared" si="213"/>
        <v>46332</v>
      </c>
      <c r="AM641" s="105">
        <f ca="1" t="shared" si="214"/>
        <v>19</v>
      </c>
      <c r="AN641" s="115"/>
      <c r="AO641" s="115"/>
      <c r="AP641" s="115"/>
      <c r="AQ641" s="93"/>
      <c r="AR641" s="93"/>
      <c r="AS641" s="94"/>
      <c r="AT641" s="95"/>
      <c r="AU641" s="79"/>
      <c r="AV641" s="117"/>
      <c r="AW641" s="115"/>
      <c r="AX641" s="106"/>
      <c r="AY641" s="104">
        <f t="shared" si="217"/>
        <v>0</v>
      </c>
      <c r="AZ641" s="105">
        <f ca="1" t="shared" si="218"/>
        <v>-46313</v>
      </c>
    </row>
    <row r="642" customHeight="1" spans="1:52">
      <c r="A642" s="70">
        <v>642</v>
      </c>
      <c r="B642" s="70" t="s">
        <v>229</v>
      </c>
      <c r="C642" s="70" t="s">
        <v>13</v>
      </c>
      <c r="D642" s="71" t="s">
        <v>2487</v>
      </c>
      <c r="E642" s="71" t="s">
        <v>2488</v>
      </c>
      <c r="F642" s="72"/>
      <c r="G642" s="73"/>
      <c r="H642" s="75"/>
      <c r="I642" s="102">
        <v>46056</v>
      </c>
      <c r="J642" s="70">
        <v>3</v>
      </c>
      <c r="K642" s="106" t="s">
        <v>2489</v>
      </c>
      <c r="L642" s="104">
        <f t="shared" si="221"/>
        <v>46145</v>
      </c>
      <c r="M642" s="105">
        <f ca="1" t="shared" si="222"/>
        <v>-168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219"/>
        <v>0</v>
      </c>
      <c r="Z642" s="105">
        <f ca="1" t="shared" si="220"/>
        <v>-46313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213"/>
        <v>0</v>
      </c>
      <c r="AM642" s="105">
        <f ca="1" t="shared" si="214"/>
        <v>-46313</v>
      </c>
      <c r="AN642" s="115"/>
      <c r="AO642" s="115"/>
      <c r="AP642" s="115"/>
      <c r="AQ642" s="93"/>
      <c r="AR642" s="93"/>
      <c r="AS642" s="94"/>
      <c r="AT642" s="95"/>
      <c r="AU642" s="79"/>
      <c r="AV642" s="117"/>
      <c r="AW642" s="115"/>
      <c r="AX642" s="106"/>
      <c r="AY642" s="104">
        <f t="shared" si="217"/>
        <v>0</v>
      </c>
      <c r="AZ642" s="105">
        <f ca="1" t="shared" si="218"/>
        <v>-46313</v>
      </c>
    </row>
    <row r="643" customHeight="1" spans="1:52">
      <c r="A643" s="70">
        <v>643</v>
      </c>
      <c r="B643" s="70" t="s">
        <v>570</v>
      </c>
      <c r="C643" s="70" t="s">
        <v>13</v>
      </c>
      <c r="D643" s="71" t="s">
        <v>2490</v>
      </c>
      <c r="E643" s="71" t="s">
        <v>145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2491</v>
      </c>
      <c r="L643" s="104">
        <f t="shared" si="221"/>
        <v>46145</v>
      </c>
      <c r="M643" s="105">
        <f ca="1" t="shared" si="222"/>
        <v>-168</v>
      </c>
      <c r="N643" s="70"/>
      <c r="O643" s="70" t="s">
        <v>570</v>
      </c>
      <c r="P643" s="70" t="s">
        <v>13</v>
      </c>
      <c r="Q643" s="71" t="s">
        <v>2490</v>
      </c>
      <c r="R643" s="71" t="s">
        <v>145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2492</v>
      </c>
      <c r="Y643" s="104">
        <f t="shared" si="219"/>
        <v>46258</v>
      </c>
      <c r="Z643" s="105">
        <f ca="1" t="shared" si="220"/>
        <v>-55</v>
      </c>
      <c r="AA643" s="70"/>
      <c r="AB643" s="70" t="s">
        <v>570</v>
      </c>
      <c r="AC643" s="70" t="s">
        <v>13</v>
      </c>
      <c r="AD643" s="71" t="s">
        <v>2490</v>
      </c>
      <c r="AE643" s="71" t="s">
        <v>145</v>
      </c>
      <c r="AF643" s="72"/>
      <c r="AG643" s="73"/>
      <c r="AH643" s="74" t="s">
        <v>16</v>
      </c>
      <c r="AI643" s="102">
        <v>46249</v>
      </c>
      <c r="AJ643" s="70">
        <v>3</v>
      </c>
      <c r="AK643" s="103" t="s">
        <v>2493</v>
      </c>
      <c r="AL643" s="104">
        <f t="shared" si="213"/>
        <v>46341</v>
      </c>
      <c r="AM643" s="105">
        <f ca="1" t="shared" si="214"/>
        <v>28</v>
      </c>
      <c r="AN643" s="115"/>
      <c r="AO643" s="115"/>
      <c r="AP643" s="115"/>
      <c r="AQ643" s="93"/>
      <c r="AR643" s="93"/>
      <c r="AS643" s="94"/>
      <c r="AT643" s="95"/>
      <c r="AU643" s="79"/>
      <c r="AV643" s="117"/>
      <c r="AW643" s="115"/>
      <c r="AX643" s="106"/>
      <c r="AY643" s="104">
        <f t="shared" si="217"/>
        <v>0</v>
      </c>
      <c r="AZ643" s="105">
        <f ca="1" t="shared" si="218"/>
        <v>-46313</v>
      </c>
    </row>
    <row r="644" customHeight="1" spans="1:52">
      <c r="A644" s="70">
        <v>644</v>
      </c>
      <c r="B644" s="70" t="s">
        <v>55</v>
      </c>
      <c r="C644" s="70" t="s">
        <v>13</v>
      </c>
      <c r="D644" s="71" t="s">
        <v>2494</v>
      </c>
      <c r="E644" s="71" t="s">
        <v>45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2495</v>
      </c>
      <c r="L644" s="104">
        <f t="shared" si="221"/>
        <v>46145</v>
      </c>
      <c r="M644" s="105">
        <f ca="1" t="shared" si="222"/>
        <v>-168</v>
      </c>
      <c r="N644" s="70"/>
      <c r="O644" s="70" t="s">
        <v>55</v>
      </c>
      <c r="P644" s="70" t="s">
        <v>13</v>
      </c>
      <c r="Q644" s="71" t="s">
        <v>2494</v>
      </c>
      <c r="R644" s="71" t="s">
        <v>45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2496</v>
      </c>
      <c r="Y644" s="104">
        <f t="shared" si="219"/>
        <v>46246</v>
      </c>
      <c r="Z644" s="105">
        <f ca="1" t="shared" si="220"/>
        <v>-67</v>
      </c>
      <c r="AA644" s="70"/>
      <c r="AB644" s="70" t="s">
        <v>55</v>
      </c>
      <c r="AC644" s="70" t="s">
        <v>13</v>
      </c>
      <c r="AD644" s="71" t="s">
        <v>2494</v>
      </c>
      <c r="AE644" s="71" t="s">
        <v>45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2497</v>
      </c>
      <c r="AL644" s="104">
        <f t="shared" si="213"/>
        <v>46337</v>
      </c>
      <c r="AM644" s="105">
        <f ca="1" t="shared" si="214"/>
        <v>24</v>
      </c>
      <c r="AN644" s="115"/>
      <c r="AO644" s="115"/>
      <c r="AP644" s="115"/>
      <c r="AQ644" s="93"/>
      <c r="AR644" s="93"/>
      <c r="AS644" s="94"/>
      <c r="AT644" s="95"/>
      <c r="AU644" s="79"/>
      <c r="AV644" s="117"/>
      <c r="AW644" s="115"/>
      <c r="AX644" s="106"/>
      <c r="AY644" s="104">
        <f t="shared" si="217"/>
        <v>0</v>
      </c>
      <c r="AZ644" s="105">
        <f ca="1" t="shared" si="218"/>
        <v>-46313</v>
      </c>
    </row>
    <row r="645" customHeight="1" spans="1:52">
      <c r="A645" s="70">
        <v>645</v>
      </c>
      <c r="B645" s="70" t="s">
        <v>55</v>
      </c>
      <c r="C645" s="70" t="s">
        <v>38</v>
      </c>
      <c r="D645" s="71" t="s">
        <v>2498</v>
      </c>
      <c r="E645" s="71" t="s">
        <v>526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2499</v>
      </c>
      <c r="L645" s="104">
        <f t="shared" si="221"/>
        <v>46145</v>
      </c>
      <c r="M645" s="105">
        <f ca="1" t="shared" si="222"/>
        <v>-168</v>
      </c>
      <c r="N645" s="70"/>
      <c r="O645" s="70" t="s">
        <v>55</v>
      </c>
      <c r="P645" s="70" t="s">
        <v>38</v>
      </c>
      <c r="Q645" s="71" t="s">
        <v>2498</v>
      </c>
      <c r="R645" s="71" t="s">
        <v>526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2500</v>
      </c>
      <c r="Y645" s="104">
        <f t="shared" si="219"/>
        <v>46233</v>
      </c>
      <c r="Z645" s="105">
        <f ca="1" t="shared" si="220"/>
        <v>-80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213"/>
        <v>0</v>
      </c>
      <c r="AM645" s="105">
        <f ca="1" t="shared" si="214"/>
        <v>-46313</v>
      </c>
      <c r="AN645" s="115"/>
      <c r="AO645" s="70"/>
      <c r="AP645" s="70"/>
      <c r="AQ645" s="71"/>
      <c r="AR645" s="71"/>
      <c r="AS645" s="72"/>
      <c r="AT645" s="73"/>
      <c r="AU645" s="79"/>
      <c r="AV645" s="117"/>
      <c r="AW645" s="115"/>
      <c r="AX645" s="106"/>
      <c r="AY645" s="104">
        <f t="shared" si="217"/>
        <v>0</v>
      </c>
      <c r="AZ645" s="105">
        <f ca="1" t="shared" si="218"/>
        <v>-46313</v>
      </c>
    </row>
    <row r="646" customHeight="1" spans="1:52">
      <c r="A646" s="70">
        <v>646</v>
      </c>
      <c r="B646" s="70" t="s">
        <v>2501</v>
      </c>
      <c r="C646" s="70" t="s">
        <v>13</v>
      </c>
      <c r="D646" s="71" t="s">
        <v>2502</v>
      </c>
      <c r="E646" s="71" t="s">
        <v>2503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2504</v>
      </c>
      <c r="L646" s="104">
        <f t="shared" si="221"/>
        <v>46145</v>
      </c>
      <c r="M646" s="105">
        <f ca="1" t="shared" si="222"/>
        <v>-168</v>
      </c>
      <c r="N646" s="70"/>
      <c r="O646" s="70" t="s">
        <v>2501</v>
      </c>
      <c r="P646" s="70" t="s">
        <v>13</v>
      </c>
      <c r="Q646" s="71" t="s">
        <v>2502</v>
      </c>
      <c r="R646" s="71" t="s">
        <v>2503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2505</v>
      </c>
      <c r="Y646" s="104">
        <f t="shared" si="219"/>
        <v>46226</v>
      </c>
      <c r="Z646" s="105">
        <f ca="1" t="shared" si="220"/>
        <v>-87</v>
      </c>
      <c r="AA646" s="70"/>
      <c r="AB646" s="70" t="s">
        <v>2501</v>
      </c>
      <c r="AC646" s="70" t="s">
        <v>13</v>
      </c>
      <c r="AD646" s="71" t="s">
        <v>2502</v>
      </c>
      <c r="AE646" s="71" t="s">
        <v>2503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2506</v>
      </c>
      <c r="AL646" s="104">
        <f t="shared" si="213"/>
        <v>46327</v>
      </c>
      <c r="AM646" s="105">
        <f ca="1" t="shared" si="214"/>
        <v>14</v>
      </c>
      <c r="AN646" s="115"/>
      <c r="AO646" s="115"/>
      <c r="AP646" s="115"/>
      <c r="AQ646" s="93"/>
      <c r="AR646" s="93"/>
      <c r="AS646" s="94"/>
      <c r="AT646" s="95"/>
      <c r="AU646" s="79"/>
      <c r="AV646" s="117"/>
      <c r="AW646" s="115"/>
      <c r="AX646" s="106"/>
      <c r="AY646" s="104">
        <f t="shared" si="217"/>
        <v>0</v>
      </c>
      <c r="AZ646" s="105">
        <f ca="1" t="shared" si="218"/>
        <v>-46313</v>
      </c>
    </row>
    <row r="647" customHeight="1" spans="1:52">
      <c r="A647" s="70">
        <v>647</v>
      </c>
      <c r="B647" s="70" t="s">
        <v>1918</v>
      </c>
      <c r="C647" s="70" t="s">
        <v>264</v>
      </c>
      <c r="D647" s="71" t="s">
        <v>955</v>
      </c>
      <c r="E647" s="71" t="s">
        <v>764</v>
      </c>
      <c r="F647" s="72"/>
      <c r="G647" s="73"/>
      <c r="H647" s="75"/>
      <c r="I647" s="102">
        <v>46056</v>
      </c>
      <c r="J647" s="102" t="s">
        <v>767</v>
      </c>
      <c r="K647" s="106" t="s">
        <v>2507</v>
      </c>
      <c r="L647" s="104" t="e">
        <f t="shared" si="221"/>
        <v>#VALUE!</v>
      </c>
      <c r="M647" s="105" t="e">
        <f ca="1" t="shared" si="222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219"/>
        <v>0</v>
      </c>
      <c r="Z647" s="105">
        <f ca="1" t="shared" si="220"/>
        <v>-46313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213"/>
        <v>0</v>
      </c>
      <c r="AM647" s="105">
        <f ca="1" t="shared" si="214"/>
        <v>-46313</v>
      </c>
      <c r="AN647" s="115"/>
      <c r="AO647" s="115"/>
      <c r="AP647" s="115"/>
      <c r="AQ647" s="93"/>
      <c r="AR647" s="93"/>
      <c r="AS647" s="94"/>
      <c r="AT647" s="95"/>
      <c r="AU647" s="79"/>
      <c r="AV647" s="117"/>
      <c r="AW647" s="115"/>
      <c r="AX647" s="106"/>
      <c r="AY647" s="104">
        <f t="shared" si="217"/>
        <v>0</v>
      </c>
      <c r="AZ647" s="105">
        <f ca="1" t="shared" si="218"/>
        <v>-46313</v>
      </c>
    </row>
    <row r="648" customHeight="1" spans="1:52">
      <c r="A648" s="70">
        <v>648</v>
      </c>
      <c r="B648" s="70" t="s">
        <v>281</v>
      </c>
      <c r="C648" s="70" t="s">
        <v>264</v>
      </c>
      <c r="D648" s="71" t="s">
        <v>2508</v>
      </c>
      <c r="E648" s="71" t="s">
        <v>2509</v>
      </c>
      <c r="F648" s="72"/>
      <c r="G648" s="73"/>
      <c r="H648" s="75"/>
      <c r="I648" s="102">
        <v>46056</v>
      </c>
      <c r="J648" s="70">
        <v>3</v>
      </c>
      <c r="K648" s="106" t="s">
        <v>2510</v>
      </c>
      <c r="L648" s="104">
        <f t="shared" si="221"/>
        <v>46145</v>
      </c>
      <c r="M648" s="105">
        <f ca="1" t="shared" si="222"/>
        <v>-168</v>
      </c>
      <c r="N648" s="70"/>
      <c r="O648" s="70" t="s">
        <v>281</v>
      </c>
      <c r="P648" s="70" t="s">
        <v>264</v>
      </c>
      <c r="Q648" s="71" t="s">
        <v>2508</v>
      </c>
      <c r="R648" s="71" t="s">
        <v>2509</v>
      </c>
      <c r="S648" s="72"/>
      <c r="T648" s="73"/>
      <c r="U648" s="75"/>
      <c r="V648" s="102">
        <v>46237</v>
      </c>
      <c r="W648" s="70">
        <v>3</v>
      </c>
      <c r="X648" s="103" t="s">
        <v>2511</v>
      </c>
      <c r="Y648" s="104">
        <f t="shared" si="219"/>
        <v>46329</v>
      </c>
      <c r="Z648" s="105">
        <f ca="1" t="shared" si="220"/>
        <v>16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213"/>
        <v>0</v>
      </c>
      <c r="AM648" s="105">
        <f ca="1" t="shared" si="214"/>
        <v>-46313</v>
      </c>
      <c r="AN648" s="115"/>
      <c r="AO648" s="115"/>
      <c r="AP648" s="115"/>
      <c r="AQ648" s="93"/>
      <c r="AR648" s="93"/>
      <c r="AS648" s="94"/>
      <c r="AT648" s="95"/>
      <c r="AU648" s="79"/>
      <c r="AV648" s="117"/>
      <c r="AW648" s="115"/>
      <c r="AX648" s="106"/>
      <c r="AY648" s="104">
        <f t="shared" si="217"/>
        <v>0</v>
      </c>
      <c r="AZ648" s="105">
        <f ca="1" t="shared" si="218"/>
        <v>-46313</v>
      </c>
    </row>
    <row r="649" customHeight="1" spans="1:52">
      <c r="A649" s="70">
        <v>649</v>
      </c>
      <c r="B649" s="70" t="s">
        <v>281</v>
      </c>
      <c r="C649" s="70" t="s">
        <v>264</v>
      </c>
      <c r="D649" s="71" t="s">
        <v>2512</v>
      </c>
      <c r="E649" s="71" t="s">
        <v>2513</v>
      </c>
      <c r="F649" s="72"/>
      <c r="G649" s="73"/>
      <c r="H649" s="75"/>
      <c r="I649" s="102">
        <v>46056</v>
      </c>
      <c r="J649" s="70">
        <v>3</v>
      </c>
      <c r="K649" s="106" t="s">
        <v>2514</v>
      </c>
      <c r="L649" s="104">
        <f t="shared" si="221"/>
        <v>46145</v>
      </c>
      <c r="M649" s="105">
        <f ca="1" t="shared" si="222"/>
        <v>-168</v>
      </c>
      <c r="N649" s="70"/>
      <c r="O649" s="70" t="s">
        <v>281</v>
      </c>
      <c r="P649" s="70" t="s">
        <v>264</v>
      </c>
      <c r="Q649" s="71" t="s">
        <v>2512</v>
      </c>
      <c r="R649" s="71" t="s">
        <v>2513</v>
      </c>
      <c r="S649" s="72"/>
      <c r="T649" s="73"/>
      <c r="U649" s="75"/>
      <c r="V649" s="102">
        <v>46237</v>
      </c>
      <c r="W649" s="70">
        <v>3</v>
      </c>
      <c r="X649" s="103" t="s">
        <v>2515</v>
      </c>
      <c r="Y649" s="104">
        <f t="shared" si="219"/>
        <v>46329</v>
      </c>
      <c r="Z649" s="105">
        <f ca="1" t="shared" si="220"/>
        <v>16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213"/>
        <v>0</v>
      </c>
      <c r="AM649" s="105">
        <f ca="1" t="shared" si="214"/>
        <v>-46313</v>
      </c>
      <c r="AN649" s="115"/>
      <c r="AO649" s="115"/>
      <c r="AP649" s="115"/>
      <c r="AQ649" s="93"/>
      <c r="AR649" s="93"/>
      <c r="AS649" s="94"/>
      <c r="AT649" s="95"/>
      <c r="AU649" s="79"/>
      <c r="AV649" s="117"/>
      <c r="AW649" s="115"/>
      <c r="AX649" s="106"/>
      <c r="AY649" s="104">
        <f t="shared" si="217"/>
        <v>0</v>
      </c>
      <c r="AZ649" s="105">
        <f ca="1" t="shared" si="218"/>
        <v>-46313</v>
      </c>
    </row>
    <row r="650" customHeight="1" spans="1:52">
      <c r="A650" s="70">
        <v>650</v>
      </c>
      <c r="B650" s="70" t="s">
        <v>281</v>
      </c>
      <c r="C650" s="70" t="s">
        <v>264</v>
      </c>
      <c r="D650" s="71" t="s">
        <v>287</v>
      </c>
      <c r="E650" s="71" t="s">
        <v>2516</v>
      </c>
      <c r="F650" s="72"/>
      <c r="G650" s="73"/>
      <c r="H650" s="75"/>
      <c r="I650" s="102">
        <v>46056</v>
      </c>
      <c r="J650" s="102" t="s">
        <v>767</v>
      </c>
      <c r="K650" s="106" t="s">
        <v>2517</v>
      </c>
      <c r="L650" s="104" t="e">
        <f t="shared" si="221"/>
        <v>#VALUE!</v>
      </c>
      <c r="M650" s="105" t="e">
        <f ca="1" t="shared" si="222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219"/>
        <v>0</v>
      </c>
      <c r="Z650" s="105">
        <f ca="1" t="shared" si="220"/>
        <v>-46313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213"/>
        <v>0</v>
      </c>
      <c r="AM650" s="105">
        <f ca="1" t="shared" si="214"/>
        <v>-46313</v>
      </c>
      <c r="AN650" s="115"/>
      <c r="AO650" s="115"/>
      <c r="AP650" s="115"/>
      <c r="AQ650" s="93"/>
      <c r="AR650" s="93"/>
      <c r="AS650" s="94"/>
      <c r="AT650" s="95"/>
      <c r="AU650" s="79"/>
      <c r="AV650" s="117"/>
      <c r="AW650" s="115"/>
      <c r="AX650" s="106"/>
      <c r="AY650" s="104">
        <f t="shared" si="217"/>
        <v>0</v>
      </c>
      <c r="AZ650" s="105">
        <f ca="1" t="shared" si="218"/>
        <v>-46313</v>
      </c>
    </row>
    <row r="651" customHeight="1" spans="1:52">
      <c r="A651" s="70">
        <v>651</v>
      </c>
      <c r="B651" s="70" t="s">
        <v>281</v>
      </c>
      <c r="C651" s="70" t="s">
        <v>264</v>
      </c>
      <c r="D651" s="71" t="s">
        <v>2518</v>
      </c>
      <c r="E651" s="71" t="s">
        <v>2519</v>
      </c>
      <c r="F651" s="72"/>
      <c r="G651" s="73"/>
      <c r="H651" s="75"/>
      <c r="I651" s="102">
        <v>46056</v>
      </c>
      <c r="J651" s="70">
        <v>3</v>
      </c>
      <c r="K651" s="106" t="s">
        <v>2520</v>
      </c>
      <c r="L651" s="104">
        <f t="shared" si="221"/>
        <v>46145</v>
      </c>
      <c r="M651" s="105">
        <f ca="1" t="shared" si="222"/>
        <v>-168</v>
      </c>
      <c r="N651" s="70"/>
      <c r="O651" s="70" t="s">
        <v>281</v>
      </c>
      <c r="P651" s="70" t="s">
        <v>264</v>
      </c>
      <c r="Q651" s="71" t="s">
        <v>2518</v>
      </c>
      <c r="R651" s="71" t="s">
        <v>2519</v>
      </c>
      <c r="S651" s="72"/>
      <c r="T651" s="73"/>
      <c r="U651" s="75"/>
      <c r="V651" s="102">
        <v>46142</v>
      </c>
      <c r="W651" s="70">
        <v>3</v>
      </c>
      <c r="X651" s="103" t="s">
        <v>2521</v>
      </c>
      <c r="Y651" s="104">
        <f t="shared" si="219"/>
        <v>46233</v>
      </c>
      <c r="Z651" s="105">
        <f ca="1" t="shared" si="220"/>
        <v>-80</v>
      </c>
      <c r="AA651" s="70"/>
      <c r="AB651" s="70" t="s">
        <v>281</v>
      </c>
      <c r="AC651" s="70" t="s">
        <v>264</v>
      </c>
      <c r="AD651" s="71" t="s">
        <v>2518</v>
      </c>
      <c r="AE651" s="71" t="s">
        <v>2519</v>
      </c>
      <c r="AF651" s="72"/>
      <c r="AG651" s="73"/>
      <c r="AH651" s="75"/>
      <c r="AI651" s="102">
        <v>46236</v>
      </c>
      <c r="AJ651" s="70">
        <v>3</v>
      </c>
      <c r="AK651" s="103" t="s">
        <v>2522</v>
      </c>
      <c r="AL651" s="104">
        <f t="shared" si="213"/>
        <v>46328</v>
      </c>
      <c r="AM651" s="105">
        <f ca="1" t="shared" si="214"/>
        <v>15</v>
      </c>
      <c r="AN651" s="115"/>
      <c r="AO651" s="115"/>
      <c r="AP651" s="115"/>
      <c r="AQ651" s="93"/>
      <c r="AR651" s="93"/>
      <c r="AS651" s="94"/>
      <c r="AT651" s="95"/>
      <c r="AU651" s="79"/>
      <c r="AV651" s="117"/>
      <c r="AW651" s="115"/>
      <c r="AX651" s="106"/>
      <c r="AY651" s="104"/>
      <c r="AZ651" s="105"/>
    </row>
    <row r="652" customHeight="1" spans="1:52">
      <c r="A652" s="70">
        <v>652</v>
      </c>
      <c r="B652" s="70" t="s">
        <v>78</v>
      </c>
      <c r="C652" s="70" t="s">
        <v>38</v>
      </c>
      <c r="D652" s="71" t="s">
        <v>1349</v>
      </c>
      <c r="E652" s="71" t="s">
        <v>1350</v>
      </c>
      <c r="F652" s="72"/>
      <c r="G652" s="73"/>
      <c r="H652" s="75"/>
      <c r="I652" s="102">
        <v>46056</v>
      </c>
      <c r="J652" s="70">
        <v>3</v>
      </c>
      <c r="K652" s="106" t="s">
        <v>2523</v>
      </c>
      <c r="L652" s="104">
        <f t="shared" si="221"/>
        <v>46145</v>
      </c>
      <c r="M652" s="105">
        <f ca="1" t="shared" si="222"/>
        <v>-168</v>
      </c>
      <c r="N652" s="70"/>
      <c r="O652" s="70" t="s">
        <v>78</v>
      </c>
      <c r="P652" s="70" t="s">
        <v>38</v>
      </c>
      <c r="Q652" s="71" t="s">
        <v>1349</v>
      </c>
      <c r="R652" s="71" t="s">
        <v>1350</v>
      </c>
      <c r="S652" s="72"/>
      <c r="T652" s="73"/>
      <c r="U652" s="75"/>
      <c r="V652" s="102">
        <v>46156</v>
      </c>
      <c r="W652" s="70">
        <v>3</v>
      </c>
      <c r="X652" s="103" t="s">
        <v>2524</v>
      </c>
      <c r="Y652" s="104">
        <f t="shared" si="219"/>
        <v>46248</v>
      </c>
      <c r="Z652" s="105">
        <f ca="1" t="shared" si="220"/>
        <v>-65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213"/>
        <v>0</v>
      </c>
      <c r="AM652" s="105">
        <f ca="1" t="shared" si="214"/>
        <v>-46313</v>
      </c>
      <c r="AN652" s="115"/>
      <c r="AO652" s="115"/>
      <c r="AP652" s="115"/>
      <c r="AQ652" s="93"/>
      <c r="AR652" s="93"/>
      <c r="AS652" s="94"/>
      <c r="AT652" s="95"/>
      <c r="AU652" s="79"/>
      <c r="AV652" s="117"/>
      <c r="AW652" s="115"/>
      <c r="AX652" s="106"/>
      <c r="AY652" s="104"/>
      <c r="AZ652" s="105"/>
    </row>
    <row r="653" customHeight="1" spans="1:52">
      <c r="A653" s="70">
        <v>653</v>
      </c>
      <c r="B653" s="70" t="s">
        <v>751</v>
      </c>
      <c r="C653" s="70" t="s">
        <v>13</v>
      </c>
      <c r="D653" s="71" t="s">
        <v>2525</v>
      </c>
      <c r="E653" s="71" t="s">
        <v>45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2526</v>
      </c>
      <c r="L653" s="104">
        <f t="shared" si="221"/>
        <v>46145</v>
      </c>
      <c r="M653" s="105">
        <f ca="1" t="shared" si="222"/>
        <v>-168</v>
      </c>
      <c r="N653" s="70"/>
      <c r="O653" s="70" t="s">
        <v>751</v>
      </c>
      <c r="P653" s="70" t="s">
        <v>13</v>
      </c>
      <c r="Q653" s="71" t="s">
        <v>2525</v>
      </c>
      <c r="R653" s="71" t="s">
        <v>45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2527</v>
      </c>
      <c r="Y653" s="104">
        <f t="shared" si="219"/>
        <v>46228</v>
      </c>
      <c r="Z653" s="105">
        <f ca="1" t="shared" si="220"/>
        <v>-85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213"/>
        <v>0</v>
      </c>
      <c r="AM653" s="105">
        <f ca="1" t="shared" si="214"/>
        <v>-46313</v>
      </c>
      <c r="AN653" s="115"/>
      <c r="AO653" s="115"/>
      <c r="AP653" s="115"/>
      <c r="AQ653" s="93"/>
      <c r="AR653" s="93"/>
      <c r="AS653" s="94"/>
      <c r="AT653" s="95"/>
      <c r="AU653" s="79"/>
      <c r="AV653" s="117"/>
      <c r="AW653" s="115"/>
      <c r="AX653" s="106"/>
      <c r="AY653" s="104"/>
      <c r="AZ653" s="105"/>
    </row>
    <row r="654" customHeight="1" spans="1:52">
      <c r="A654" s="70">
        <v>654</v>
      </c>
      <c r="B654" s="70" t="s">
        <v>751</v>
      </c>
      <c r="C654" s="70" t="s">
        <v>13</v>
      </c>
      <c r="D654" s="71" t="s">
        <v>2528</v>
      </c>
      <c r="E654" s="71" t="s">
        <v>113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2529</v>
      </c>
      <c r="L654" s="104">
        <f t="shared" si="221"/>
        <v>46145</v>
      </c>
      <c r="M654" s="105">
        <f ca="1" t="shared" si="222"/>
        <v>-168</v>
      </c>
      <c r="N654" s="70"/>
      <c r="O654" s="70" t="s">
        <v>751</v>
      </c>
      <c r="P654" s="70" t="s">
        <v>13</v>
      </c>
      <c r="Q654" s="71" t="s">
        <v>2528</v>
      </c>
      <c r="R654" s="71" t="s">
        <v>113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2530</v>
      </c>
      <c r="Y654" s="104">
        <f t="shared" si="219"/>
        <v>46228</v>
      </c>
      <c r="Z654" s="105">
        <f ca="1" t="shared" si="220"/>
        <v>-85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213"/>
        <v>0</v>
      </c>
      <c r="AM654" s="105">
        <f ca="1" t="shared" si="214"/>
        <v>-46313</v>
      </c>
      <c r="AN654" s="115"/>
      <c r="AO654" s="115"/>
      <c r="AP654" s="115"/>
      <c r="AQ654" s="93"/>
      <c r="AR654" s="93"/>
      <c r="AS654" s="94"/>
      <c r="AT654" s="95"/>
      <c r="AU654" s="79"/>
      <c r="AV654" s="117"/>
      <c r="AW654" s="115"/>
      <c r="AX654" s="106"/>
      <c r="AY654" s="104"/>
      <c r="AZ654" s="105"/>
    </row>
    <row r="655" customHeight="1" spans="1:52">
      <c r="A655" s="70">
        <v>655</v>
      </c>
      <c r="B655" s="70" t="s">
        <v>751</v>
      </c>
      <c r="C655" s="70" t="s">
        <v>13</v>
      </c>
      <c r="D655" s="71" t="s">
        <v>2531</v>
      </c>
      <c r="E655" s="71" t="s">
        <v>45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2532</v>
      </c>
      <c r="L655" s="104">
        <f t="shared" si="221"/>
        <v>46145</v>
      </c>
      <c r="M655" s="105">
        <f ca="1" t="shared" si="222"/>
        <v>-168</v>
      </c>
      <c r="N655" s="70"/>
      <c r="O655" s="70" t="s">
        <v>751</v>
      </c>
      <c r="P655" s="70" t="s">
        <v>13</v>
      </c>
      <c r="Q655" s="71" t="s">
        <v>2531</v>
      </c>
      <c r="R655" s="71" t="s">
        <v>45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2533</v>
      </c>
      <c r="Y655" s="104">
        <f t="shared" si="219"/>
        <v>46239</v>
      </c>
      <c r="Z655" s="105">
        <f ca="1" t="shared" si="220"/>
        <v>-74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5"/>
      <c r="AO655" s="115"/>
      <c r="AP655" s="115"/>
      <c r="AQ655" s="93"/>
      <c r="AR655" s="93"/>
      <c r="AS655" s="94"/>
      <c r="AT655" s="95"/>
      <c r="AU655" s="79"/>
      <c r="AV655" s="117"/>
      <c r="AW655" s="115"/>
      <c r="AX655" s="106"/>
      <c r="AY655" s="104"/>
      <c r="AZ655" s="105"/>
    </row>
    <row r="656" customHeight="1" spans="1:52">
      <c r="A656" s="70">
        <v>656</v>
      </c>
      <c r="B656" s="70" t="s">
        <v>519</v>
      </c>
      <c r="C656" s="70" t="s">
        <v>13</v>
      </c>
      <c r="D656" s="71" t="s">
        <v>2534</v>
      </c>
      <c r="E656" s="71" t="s">
        <v>45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2535</v>
      </c>
      <c r="L656" s="104">
        <f t="shared" si="221"/>
        <v>46145</v>
      </c>
      <c r="M656" s="105">
        <f ca="1" t="shared" si="222"/>
        <v>-168</v>
      </c>
      <c r="N656" s="70"/>
      <c r="O656" s="70" t="s">
        <v>519</v>
      </c>
      <c r="P656" s="70" t="s">
        <v>13</v>
      </c>
      <c r="Q656" s="71" t="s">
        <v>2534</v>
      </c>
      <c r="R656" s="71" t="s">
        <v>45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2536</v>
      </c>
      <c r="Y656" s="104">
        <f t="shared" si="219"/>
        <v>46232</v>
      </c>
      <c r="Z656" s="105">
        <f ca="1" t="shared" si="220"/>
        <v>-81</v>
      </c>
      <c r="AA656" s="70"/>
      <c r="AB656" s="70" t="s">
        <v>519</v>
      </c>
      <c r="AC656" s="70" t="s">
        <v>13</v>
      </c>
      <c r="AD656" s="71" t="s">
        <v>2534</v>
      </c>
      <c r="AE656" s="71" t="s">
        <v>45</v>
      </c>
      <c r="AF656" s="72"/>
      <c r="AG656" s="73"/>
      <c r="AH656" s="114" t="s">
        <v>16</v>
      </c>
      <c r="AI656" s="102">
        <v>46257</v>
      </c>
      <c r="AJ656" s="70">
        <v>3</v>
      </c>
      <c r="AK656" s="103" t="s">
        <v>2537</v>
      </c>
      <c r="AL656" s="104">
        <f t="shared" ref="AL656:AL658" si="223">EDATE(AI656,AJ656)</f>
        <v>46349</v>
      </c>
      <c r="AM656" s="105">
        <f ca="1" t="shared" ref="AM656:AM658" si="224">AL656-TODAY()</f>
        <v>36</v>
      </c>
      <c r="AN656" s="115"/>
      <c r="AO656" s="115"/>
      <c r="AP656" s="115"/>
      <c r="AQ656" s="93"/>
      <c r="AR656" s="93"/>
      <c r="AS656" s="94"/>
      <c r="AT656" s="95"/>
      <c r="AU656" s="79"/>
      <c r="AV656" s="117"/>
      <c r="AW656" s="115"/>
      <c r="AX656" s="106"/>
      <c r="AY656" s="104"/>
      <c r="AZ656" s="105"/>
    </row>
    <row r="657" customHeight="1" spans="1:52">
      <c r="A657" s="70">
        <v>657</v>
      </c>
      <c r="B657" s="70" t="s">
        <v>229</v>
      </c>
      <c r="C657" s="70" t="s">
        <v>38</v>
      </c>
      <c r="D657" s="71" t="s">
        <v>2538</v>
      </c>
      <c r="E657" s="71" t="s">
        <v>189</v>
      </c>
      <c r="F657" s="72"/>
      <c r="G657" s="73"/>
      <c r="H657" s="151"/>
      <c r="I657" s="102">
        <v>46057</v>
      </c>
      <c r="J657" s="70">
        <v>3</v>
      </c>
      <c r="K657" s="106" t="s">
        <v>2539</v>
      </c>
      <c r="L657" s="104">
        <f t="shared" si="221"/>
        <v>46146</v>
      </c>
      <c r="M657" s="105">
        <f ca="1" t="shared" si="222"/>
        <v>-167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219"/>
        <v>0</v>
      </c>
      <c r="Z657" s="105">
        <f ca="1" t="shared" si="220"/>
        <v>-46313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si="223"/>
        <v>0</v>
      </c>
      <c r="AM657" s="105">
        <f ca="1" t="shared" si="224"/>
        <v>-46313</v>
      </c>
      <c r="AN657" s="115"/>
      <c r="AO657" s="115"/>
      <c r="AP657" s="115"/>
      <c r="AQ657" s="93"/>
      <c r="AR657" s="93"/>
      <c r="AS657" s="94"/>
      <c r="AT657" s="95"/>
      <c r="AU657" s="79"/>
      <c r="AV657" s="117"/>
      <c r="AW657" s="115"/>
      <c r="AX657" s="106"/>
      <c r="AY657" s="104"/>
      <c r="AZ657" s="105"/>
    </row>
    <row r="658" customHeight="1" spans="1:52">
      <c r="A658" s="70">
        <v>658</v>
      </c>
      <c r="B658" s="70" t="s">
        <v>1393</v>
      </c>
      <c r="C658" s="70" t="s">
        <v>38</v>
      </c>
      <c r="D658" s="71" t="s">
        <v>2540</v>
      </c>
      <c r="E658" s="71" t="s">
        <v>1618</v>
      </c>
      <c r="F658" s="72"/>
      <c r="G658" s="73"/>
      <c r="H658" s="151"/>
      <c r="I658" s="102">
        <v>46057</v>
      </c>
      <c r="J658" s="70">
        <v>3</v>
      </c>
      <c r="K658" s="106" t="s">
        <v>2541</v>
      </c>
      <c r="L658" s="104">
        <f t="shared" si="221"/>
        <v>46146</v>
      </c>
      <c r="M658" s="105">
        <f ca="1" t="shared" si="222"/>
        <v>-167</v>
      </c>
      <c r="N658" s="70"/>
      <c r="O658" s="70" t="s">
        <v>1393</v>
      </c>
      <c r="P658" s="70" t="s">
        <v>38</v>
      </c>
      <c r="Q658" s="71" t="s">
        <v>2540</v>
      </c>
      <c r="R658" s="71" t="s">
        <v>1618</v>
      </c>
      <c r="S658" s="72"/>
      <c r="T658" s="73"/>
      <c r="U658" s="151"/>
      <c r="V658" s="102">
        <v>46203</v>
      </c>
      <c r="W658" s="70">
        <v>3</v>
      </c>
      <c r="X658" s="103" t="s">
        <v>2542</v>
      </c>
      <c r="Y658" s="104">
        <f t="shared" si="219"/>
        <v>46295</v>
      </c>
      <c r="Z658" s="105">
        <f ca="1" t="shared" si="220"/>
        <v>-18</v>
      </c>
      <c r="AA658" s="70"/>
      <c r="AB658" s="70" t="s">
        <v>1393</v>
      </c>
      <c r="AC658" s="70" t="s">
        <v>38</v>
      </c>
      <c r="AD658" s="71" t="s">
        <v>2540</v>
      </c>
      <c r="AE658" s="71" t="s">
        <v>1618</v>
      </c>
      <c r="AF658" s="72"/>
      <c r="AG658" s="73"/>
      <c r="AH658" s="151"/>
      <c r="AI658" s="102">
        <v>46310</v>
      </c>
      <c r="AJ658" s="70">
        <v>3</v>
      </c>
      <c r="AK658" s="103"/>
      <c r="AL658" s="104">
        <f t="shared" si="223"/>
        <v>46402</v>
      </c>
      <c r="AM658" s="105">
        <f ca="1" t="shared" si="224"/>
        <v>89</v>
      </c>
      <c r="AN658" s="115"/>
      <c r="AO658" s="115"/>
      <c r="AP658" s="115"/>
      <c r="AQ658" s="93"/>
      <c r="AR658" s="93"/>
      <c r="AS658" s="94"/>
      <c r="AT658" s="95"/>
      <c r="AU658" s="79"/>
      <c r="AV658" s="117"/>
      <c r="AW658" s="115"/>
      <c r="AX658" s="106"/>
      <c r="AY658" s="104"/>
      <c r="AZ658" s="105"/>
    </row>
    <row r="659" customHeight="1" spans="1:52">
      <c r="A659" s="70">
        <v>659</v>
      </c>
      <c r="B659" s="70" t="s">
        <v>366</v>
      </c>
      <c r="C659" s="70" t="s">
        <v>264</v>
      </c>
      <c r="D659" s="71" t="s">
        <v>367</v>
      </c>
      <c r="E659" s="71" t="s">
        <v>368</v>
      </c>
      <c r="F659" s="72"/>
      <c r="G659" s="73"/>
      <c r="H659" s="151"/>
      <c r="I659" s="102">
        <v>46057</v>
      </c>
      <c r="J659" s="102" t="s">
        <v>767</v>
      </c>
      <c r="K659" s="106"/>
      <c r="L659" s="104" t="e">
        <f t="shared" si="221"/>
        <v>#VALUE!</v>
      </c>
      <c r="M659" s="105" t="e">
        <f ca="1" t="shared" si="222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219"/>
        <v>0</v>
      </c>
      <c r="Z659" s="105">
        <f ca="1" t="shared" si="220"/>
        <v>-46313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ref="AL657:AL684" si="225">EDATE(AI659,AJ659)</f>
        <v>0</v>
      </c>
      <c r="AM659" s="105">
        <f ca="1" t="shared" ref="AM657:AM684" si="226">AL659-TODAY()</f>
        <v>-46313</v>
      </c>
      <c r="AN659" s="115"/>
      <c r="AO659" s="115"/>
      <c r="AP659" s="115"/>
      <c r="AQ659" s="93"/>
      <c r="AR659" s="93"/>
      <c r="AS659" s="94"/>
      <c r="AT659" s="95"/>
      <c r="AU659" s="79"/>
      <c r="AV659" s="117"/>
      <c r="AW659" s="115"/>
      <c r="AX659" s="106"/>
      <c r="AY659" s="104"/>
      <c r="AZ659" s="105"/>
    </row>
    <row r="660" customHeight="1" spans="1:52">
      <c r="A660" s="70">
        <v>660</v>
      </c>
      <c r="B660" s="70" t="s">
        <v>1234</v>
      </c>
      <c r="C660" s="70" t="s">
        <v>264</v>
      </c>
      <c r="D660" s="71" t="s">
        <v>2543</v>
      </c>
      <c r="E660" s="71" t="s">
        <v>264</v>
      </c>
      <c r="F660" s="72"/>
      <c r="G660" s="73"/>
      <c r="H660" s="151"/>
      <c r="I660" s="102">
        <v>46057</v>
      </c>
      <c r="J660" s="70">
        <v>3</v>
      </c>
      <c r="K660" s="106" t="s">
        <v>2544</v>
      </c>
      <c r="L660" s="104">
        <f t="shared" si="221"/>
        <v>46146</v>
      </c>
      <c r="M660" s="105">
        <f ca="1" t="shared" si="222"/>
        <v>-167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219"/>
        <v>0</v>
      </c>
      <c r="Z660" s="105">
        <f ca="1" t="shared" si="220"/>
        <v>-46313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225"/>
        <v>0</v>
      </c>
      <c r="AM660" s="105">
        <f ca="1" t="shared" si="226"/>
        <v>-46313</v>
      </c>
      <c r="AN660" s="115"/>
      <c r="AO660" s="115"/>
      <c r="AP660" s="115"/>
      <c r="AQ660" s="93"/>
      <c r="AR660" s="93"/>
      <c r="AS660" s="94"/>
      <c r="AT660" s="95"/>
      <c r="AU660" s="79"/>
      <c r="AV660" s="117"/>
      <c r="AW660" s="115"/>
      <c r="AX660" s="106"/>
      <c r="AY660" s="104"/>
      <c r="AZ660" s="105"/>
    </row>
    <row r="661" customHeight="1" spans="1:52">
      <c r="A661" s="70">
        <v>661</v>
      </c>
      <c r="B661" s="70" t="s">
        <v>270</v>
      </c>
      <c r="C661" s="70" t="s">
        <v>264</v>
      </c>
      <c r="D661" s="71" t="s">
        <v>950</v>
      </c>
      <c r="E661" s="71" t="s">
        <v>2545</v>
      </c>
      <c r="F661" s="72"/>
      <c r="G661" s="73"/>
      <c r="H661" s="151"/>
      <c r="I661" s="102">
        <v>46057</v>
      </c>
      <c r="J661" s="102" t="s">
        <v>767</v>
      </c>
      <c r="K661" s="106"/>
      <c r="L661" s="104" t="e">
        <f t="shared" si="221"/>
        <v>#VALUE!</v>
      </c>
      <c r="M661" s="105" t="e">
        <f ca="1" t="shared" si="222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219"/>
        <v>0</v>
      </c>
      <c r="Z661" s="105">
        <f ca="1" t="shared" si="220"/>
        <v>-46313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225"/>
        <v>0</v>
      </c>
      <c r="AM661" s="105">
        <f ca="1" t="shared" si="226"/>
        <v>-46313</v>
      </c>
      <c r="AN661" s="115"/>
      <c r="AO661" s="115"/>
      <c r="AP661" s="115"/>
      <c r="AQ661" s="93"/>
      <c r="AR661" s="93"/>
      <c r="AS661" s="94"/>
      <c r="AT661" s="95"/>
      <c r="AU661" s="79"/>
      <c r="AV661" s="117"/>
      <c r="AW661" s="115"/>
      <c r="AX661" s="106"/>
      <c r="AY661" s="104"/>
      <c r="AZ661" s="105"/>
    </row>
    <row r="662" customHeight="1" spans="1:52">
      <c r="A662" s="70">
        <v>662</v>
      </c>
      <c r="B662" s="70" t="s">
        <v>2546</v>
      </c>
      <c r="C662" s="70" t="s">
        <v>264</v>
      </c>
      <c r="D662" s="71" t="s">
        <v>2547</v>
      </c>
      <c r="E662" s="71" t="s">
        <v>2548</v>
      </c>
      <c r="F662" s="72"/>
      <c r="G662" s="73"/>
      <c r="H662" s="151"/>
      <c r="I662" s="102">
        <v>46057</v>
      </c>
      <c r="J662" s="70">
        <v>3</v>
      </c>
      <c r="K662" s="106" t="s">
        <v>2549</v>
      </c>
      <c r="L662" s="104">
        <f t="shared" si="221"/>
        <v>46146</v>
      </c>
      <c r="M662" s="105">
        <f ca="1" t="shared" si="222"/>
        <v>-167</v>
      </c>
      <c r="N662" s="70"/>
      <c r="O662" s="70" t="s">
        <v>2546</v>
      </c>
      <c r="P662" s="70" t="s">
        <v>264</v>
      </c>
      <c r="Q662" s="71" t="s">
        <v>2547</v>
      </c>
      <c r="R662" s="71" t="s">
        <v>2548</v>
      </c>
      <c r="S662" s="72"/>
      <c r="T662" s="73"/>
      <c r="U662" s="151"/>
      <c r="V662" s="102">
        <v>46152</v>
      </c>
      <c r="W662" s="70">
        <v>3</v>
      </c>
      <c r="X662" s="103" t="s">
        <v>2550</v>
      </c>
      <c r="Y662" s="104">
        <f t="shared" si="219"/>
        <v>46244</v>
      </c>
      <c r="Z662" s="105">
        <f ca="1" t="shared" si="220"/>
        <v>-69</v>
      </c>
      <c r="AA662" s="70"/>
      <c r="AB662" s="70" t="s">
        <v>2546</v>
      </c>
      <c r="AC662" s="70" t="s">
        <v>264</v>
      </c>
      <c r="AD662" s="71" t="s">
        <v>2547</v>
      </c>
      <c r="AE662" s="71" t="s">
        <v>2548</v>
      </c>
      <c r="AF662" s="72"/>
      <c r="AG662" s="73"/>
      <c r="AH662" s="151"/>
      <c r="AI662" s="102">
        <v>46261</v>
      </c>
      <c r="AJ662" s="70">
        <v>3</v>
      </c>
      <c r="AK662" s="103" t="s">
        <v>2551</v>
      </c>
      <c r="AL662" s="104">
        <f t="shared" si="225"/>
        <v>46353</v>
      </c>
      <c r="AM662" s="105">
        <f ca="1" t="shared" si="226"/>
        <v>40</v>
      </c>
      <c r="AN662" s="115"/>
      <c r="AO662" s="70"/>
      <c r="AP662" s="70"/>
      <c r="AQ662" s="71"/>
      <c r="AR662" s="93"/>
      <c r="AS662" s="94"/>
      <c r="AT662" s="95"/>
      <c r="AU662" s="79"/>
      <c r="AV662" s="117"/>
      <c r="AW662" s="115"/>
      <c r="AX662" s="106"/>
      <c r="AY662" s="104"/>
      <c r="AZ662" s="105"/>
    </row>
    <row r="663" customHeight="1" spans="1:52">
      <c r="A663" s="70">
        <v>663</v>
      </c>
      <c r="B663" s="70" t="s">
        <v>2552</v>
      </c>
      <c r="C663" s="70" t="s">
        <v>264</v>
      </c>
      <c r="D663" s="71" t="s">
        <v>2553</v>
      </c>
      <c r="E663" s="71" t="s">
        <v>364</v>
      </c>
      <c r="F663" s="72"/>
      <c r="G663" s="73"/>
      <c r="H663" s="151"/>
      <c r="I663" s="102">
        <v>46057</v>
      </c>
      <c r="J663" s="70">
        <v>3</v>
      </c>
      <c r="K663" s="106" t="s">
        <v>2554</v>
      </c>
      <c r="L663" s="104">
        <f t="shared" si="221"/>
        <v>46146</v>
      </c>
      <c r="M663" s="105">
        <f ca="1" t="shared" si="222"/>
        <v>-167</v>
      </c>
      <c r="N663" s="70"/>
      <c r="O663" s="70" t="s">
        <v>2552</v>
      </c>
      <c r="P663" s="70" t="s">
        <v>264</v>
      </c>
      <c r="Q663" s="71" t="s">
        <v>2553</v>
      </c>
      <c r="R663" s="71" t="s">
        <v>364</v>
      </c>
      <c r="S663" s="72"/>
      <c r="T663" s="73"/>
      <c r="U663" s="151"/>
      <c r="V663" s="102">
        <v>46249</v>
      </c>
      <c r="W663" s="70">
        <v>3</v>
      </c>
      <c r="X663" s="103" t="s">
        <v>2555</v>
      </c>
      <c r="Y663" s="104">
        <f t="shared" si="219"/>
        <v>46341</v>
      </c>
      <c r="Z663" s="105">
        <f ca="1" t="shared" si="220"/>
        <v>28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225"/>
        <v>0</v>
      </c>
      <c r="AM663" s="105">
        <f ca="1" t="shared" si="226"/>
        <v>-46313</v>
      </c>
      <c r="AN663" s="115"/>
      <c r="AO663" s="115"/>
      <c r="AP663" s="115"/>
      <c r="AQ663" s="93"/>
      <c r="AR663" s="93"/>
      <c r="AS663" s="94"/>
      <c r="AT663" s="95"/>
      <c r="AU663" s="79"/>
      <c r="AV663" s="117"/>
      <c r="AW663" s="115"/>
      <c r="AX663" s="106"/>
      <c r="AY663" s="104"/>
      <c r="AZ663" s="105"/>
    </row>
    <row r="664" customHeight="1" spans="1:52">
      <c r="A664" s="70">
        <v>664</v>
      </c>
      <c r="B664" s="70" t="s">
        <v>270</v>
      </c>
      <c r="C664" s="70" t="s">
        <v>264</v>
      </c>
      <c r="D664" s="71" t="s">
        <v>958</v>
      </c>
      <c r="E664" s="71" t="s">
        <v>1232</v>
      </c>
      <c r="F664" s="72"/>
      <c r="G664" s="73"/>
      <c r="H664" s="151"/>
      <c r="I664" s="102">
        <v>46057</v>
      </c>
      <c r="J664" s="102" t="s">
        <v>767</v>
      </c>
      <c r="K664" s="106" t="s">
        <v>2556</v>
      </c>
      <c r="L664" s="104" t="e">
        <f t="shared" si="221"/>
        <v>#VALUE!</v>
      </c>
      <c r="M664" s="105" t="e">
        <f ca="1" t="shared" si="222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219"/>
        <v>0</v>
      </c>
      <c r="Z664" s="105">
        <f ca="1" t="shared" si="220"/>
        <v>-46313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225"/>
        <v>0</v>
      </c>
      <c r="AM664" s="105">
        <f ca="1" t="shared" si="226"/>
        <v>-46313</v>
      </c>
      <c r="AN664" s="115"/>
      <c r="AO664" s="115"/>
      <c r="AP664" s="115"/>
      <c r="AQ664" s="93"/>
      <c r="AR664" s="93"/>
      <c r="AS664" s="94"/>
      <c r="AT664" s="95"/>
      <c r="AU664" s="79"/>
      <c r="AV664" s="117"/>
      <c r="AW664" s="115"/>
      <c r="AX664" s="106"/>
      <c r="AY664" s="104"/>
      <c r="AZ664" s="105"/>
    </row>
    <row r="665" customHeight="1" spans="1:52">
      <c r="A665" s="70">
        <v>665</v>
      </c>
      <c r="B665" s="70" t="s">
        <v>644</v>
      </c>
      <c r="C665" s="70" t="s">
        <v>264</v>
      </c>
      <c r="D665" s="71" t="s">
        <v>265</v>
      </c>
      <c r="E665" s="71" t="s">
        <v>266</v>
      </c>
      <c r="F665" s="72"/>
      <c r="G665" s="73"/>
      <c r="H665" s="151"/>
      <c r="I665" s="102">
        <v>46057</v>
      </c>
      <c r="J665" s="102" t="s">
        <v>767</v>
      </c>
      <c r="K665" s="106"/>
      <c r="L665" s="104" t="e">
        <f t="shared" si="221"/>
        <v>#VALUE!</v>
      </c>
      <c r="M665" s="105" t="e">
        <f ca="1" t="shared" si="222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219"/>
        <v>0</v>
      </c>
      <c r="Z665" s="105">
        <f ca="1" t="shared" si="220"/>
        <v>-46313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225"/>
        <v>0</v>
      </c>
      <c r="AM665" s="105">
        <f ca="1" t="shared" si="226"/>
        <v>-46313</v>
      </c>
      <c r="AN665" s="115"/>
      <c r="AO665" s="115"/>
      <c r="AP665" s="115"/>
      <c r="AQ665" s="93"/>
      <c r="AR665" s="93"/>
      <c r="AS665" s="94"/>
      <c r="AT665" s="95"/>
      <c r="AU665" s="79"/>
      <c r="AV665" s="117"/>
      <c r="AW665" s="115"/>
      <c r="AX665" s="106"/>
      <c r="AY665" s="104"/>
      <c r="AZ665" s="105"/>
    </row>
    <row r="666" customHeight="1" spans="1:52">
      <c r="A666" s="70">
        <v>666</v>
      </c>
      <c r="B666" s="70" t="s">
        <v>263</v>
      </c>
      <c r="C666" s="70" t="s">
        <v>264</v>
      </c>
      <c r="D666" s="71" t="s">
        <v>265</v>
      </c>
      <c r="E666" s="71" t="s">
        <v>266</v>
      </c>
      <c r="F666" s="72"/>
      <c r="G666" s="73"/>
      <c r="H666" s="151"/>
      <c r="I666" s="102">
        <v>46057</v>
      </c>
      <c r="J666" s="102" t="s">
        <v>767</v>
      </c>
      <c r="K666" s="106"/>
      <c r="L666" s="104" t="e">
        <f t="shared" si="221"/>
        <v>#VALUE!</v>
      </c>
      <c r="M666" s="105" t="e">
        <f ca="1" t="shared" si="222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219"/>
        <v>0</v>
      </c>
      <c r="Z666" s="105">
        <f ca="1" t="shared" si="220"/>
        <v>-46313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225"/>
        <v>0</v>
      </c>
      <c r="AM666" s="105">
        <f ca="1" t="shared" si="226"/>
        <v>-46313</v>
      </c>
      <c r="AN666" s="115"/>
      <c r="AO666" s="115"/>
      <c r="AP666" s="115"/>
      <c r="AQ666" s="93"/>
      <c r="AR666" s="93"/>
      <c r="AS666" s="94"/>
      <c r="AT666" s="95"/>
      <c r="AU666" s="79"/>
      <c r="AV666" s="117"/>
      <c r="AW666" s="115"/>
      <c r="AX666" s="106"/>
      <c r="AY666" s="104"/>
      <c r="AZ666" s="105"/>
    </row>
    <row r="667" customHeight="1" spans="1:52">
      <c r="A667" s="70">
        <v>667</v>
      </c>
      <c r="B667" s="70" t="s">
        <v>134</v>
      </c>
      <c r="C667" s="70" t="s">
        <v>38</v>
      </c>
      <c r="D667" s="71" t="s">
        <v>2557</v>
      </c>
      <c r="E667" s="71" t="s">
        <v>1337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2558</v>
      </c>
      <c r="L667" s="104">
        <f t="shared" si="221"/>
        <v>46147</v>
      </c>
      <c r="M667" s="105">
        <f ca="1" t="shared" si="222"/>
        <v>-166</v>
      </c>
      <c r="N667" s="70"/>
      <c r="O667" s="70" t="s">
        <v>134</v>
      </c>
      <c r="P667" s="70" t="s">
        <v>38</v>
      </c>
      <c r="Q667" s="71" t="s">
        <v>2557</v>
      </c>
      <c r="R667" s="71" t="s">
        <v>1337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2559</v>
      </c>
      <c r="Y667" s="104">
        <f t="shared" ref="Y663:Y672" si="227">EDATE(V667,W667)</f>
        <v>46297</v>
      </c>
      <c r="Z667" s="105">
        <f ca="1" t="shared" ref="Z663:Z672" si="228">Y667-TODAY()</f>
        <v>-16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225"/>
        <v>0</v>
      </c>
      <c r="AM667" s="105">
        <f ca="1" t="shared" si="226"/>
        <v>-46313</v>
      </c>
      <c r="AN667" s="115"/>
      <c r="AO667" s="115"/>
      <c r="AP667" s="115"/>
      <c r="AQ667" s="93"/>
      <c r="AR667" s="93"/>
      <c r="AS667" s="94"/>
      <c r="AT667" s="95"/>
      <c r="AU667" s="79"/>
      <c r="AV667" s="117"/>
      <c r="AW667" s="115"/>
      <c r="AX667" s="106"/>
      <c r="AY667" s="104"/>
      <c r="AZ667" s="105"/>
    </row>
    <row r="668" customHeight="1" spans="1:52">
      <c r="A668" s="70">
        <v>668</v>
      </c>
      <c r="B668" s="70" t="s">
        <v>134</v>
      </c>
      <c r="C668" s="70" t="s">
        <v>38</v>
      </c>
      <c r="D668" s="71" t="s">
        <v>2560</v>
      </c>
      <c r="E668" s="71" t="s">
        <v>145</v>
      </c>
      <c r="F668" s="72"/>
      <c r="G668" s="73"/>
      <c r="H668" s="75"/>
      <c r="I668" s="102">
        <v>46058</v>
      </c>
      <c r="J668" s="70">
        <v>3</v>
      </c>
      <c r="K668" s="106" t="s">
        <v>2561</v>
      </c>
      <c r="L668" s="104">
        <f t="shared" si="221"/>
        <v>46147</v>
      </c>
      <c r="M668" s="105">
        <f ca="1" t="shared" si="222"/>
        <v>-166</v>
      </c>
      <c r="N668" s="70"/>
      <c r="O668" s="70" t="s">
        <v>134</v>
      </c>
      <c r="P668" s="70" t="s">
        <v>38</v>
      </c>
      <c r="Q668" s="71" t="s">
        <v>2560</v>
      </c>
      <c r="R668" s="71" t="s">
        <v>145</v>
      </c>
      <c r="S668" s="72"/>
      <c r="T668" s="73"/>
      <c r="U668" s="75"/>
      <c r="V668" s="102">
        <v>46149</v>
      </c>
      <c r="W668" s="70">
        <v>3</v>
      </c>
      <c r="X668" s="103" t="s">
        <v>2562</v>
      </c>
      <c r="Y668" s="104">
        <f t="shared" si="227"/>
        <v>46241</v>
      </c>
      <c r="Z668" s="105">
        <f ca="1" t="shared" si="228"/>
        <v>-72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225"/>
        <v>0</v>
      </c>
      <c r="AM668" s="105">
        <f ca="1" t="shared" si="226"/>
        <v>-46313</v>
      </c>
      <c r="AN668" s="115"/>
      <c r="AO668" s="115"/>
      <c r="AP668" s="115"/>
      <c r="AQ668" s="93"/>
      <c r="AR668" s="93"/>
      <c r="AS668" s="94"/>
      <c r="AT668" s="95"/>
      <c r="AU668" s="79"/>
      <c r="AV668" s="117"/>
      <c r="AW668" s="115"/>
      <c r="AX668" s="106"/>
      <c r="AY668" s="104"/>
      <c r="AZ668" s="105"/>
    </row>
    <row r="669" customHeight="1" spans="1:52">
      <c r="A669" s="70">
        <v>669</v>
      </c>
      <c r="B669" s="70" t="s">
        <v>570</v>
      </c>
      <c r="C669" s="70" t="s">
        <v>38</v>
      </c>
      <c r="D669" s="71" t="s">
        <v>2563</v>
      </c>
      <c r="E669" s="71" t="s">
        <v>526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2564</v>
      </c>
      <c r="L669" s="104">
        <f t="shared" si="221"/>
        <v>46147</v>
      </c>
      <c r="M669" s="105">
        <f ca="1" t="shared" si="222"/>
        <v>-166</v>
      </c>
      <c r="N669" s="70"/>
      <c r="O669" s="70" t="s">
        <v>570</v>
      </c>
      <c r="P669" s="70" t="s">
        <v>38</v>
      </c>
      <c r="Q669" s="71" t="s">
        <v>2563</v>
      </c>
      <c r="R669" s="71" t="s">
        <v>526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2565</v>
      </c>
      <c r="Y669" s="104">
        <f t="shared" si="227"/>
        <v>46223</v>
      </c>
      <c r="Z669" s="105">
        <f ca="1" t="shared" si="228"/>
        <v>-90</v>
      </c>
      <c r="AA669" s="70"/>
      <c r="AB669" s="70" t="s">
        <v>570</v>
      </c>
      <c r="AC669" s="70" t="s">
        <v>38</v>
      </c>
      <c r="AD669" s="71" t="s">
        <v>2563</v>
      </c>
      <c r="AE669" s="71" t="s">
        <v>526</v>
      </c>
      <c r="AF669" s="72"/>
      <c r="AG669" s="73"/>
      <c r="AH669" s="74" t="s">
        <v>16</v>
      </c>
      <c r="AI669" s="102">
        <v>46268</v>
      </c>
      <c r="AJ669" s="70">
        <v>3</v>
      </c>
      <c r="AK669" s="103" t="s">
        <v>2566</v>
      </c>
      <c r="AL669" s="104">
        <f t="shared" si="225"/>
        <v>46359</v>
      </c>
      <c r="AM669" s="105">
        <f ca="1" t="shared" si="226"/>
        <v>46</v>
      </c>
      <c r="AN669" s="115"/>
      <c r="AO669" s="115"/>
      <c r="AP669" s="115"/>
      <c r="AQ669" s="93"/>
      <c r="AR669" s="93"/>
      <c r="AS669" s="94"/>
      <c r="AT669" s="95"/>
      <c r="AU669" s="79"/>
      <c r="AV669" s="117"/>
      <c r="AW669" s="115"/>
      <c r="AX669" s="106"/>
      <c r="AY669" s="104"/>
      <c r="AZ669" s="105"/>
    </row>
    <row r="670" customHeight="1" spans="1:52">
      <c r="A670" s="70">
        <v>670</v>
      </c>
      <c r="B670" s="70" t="s">
        <v>1275</v>
      </c>
      <c r="C670" s="70" t="s">
        <v>38</v>
      </c>
      <c r="D670" s="71" t="s">
        <v>2567</v>
      </c>
      <c r="E670" s="71" t="s">
        <v>189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2568</v>
      </c>
      <c r="L670" s="104">
        <f t="shared" si="221"/>
        <v>46147</v>
      </c>
      <c r="M670" s="105">
        <f ca="1" t="shared" si="222"/>
        <v>-166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227"/>
        <v>0</v>
      </c>
      <c r="Z670" s="105">
        <f ca="1" t="shared" si="228"/>
        <v>-46313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225"/>
        <v>0</v>
      </c>
      <c r="AM670" s="105">
        <f ca="1" t="shared" si="226"/>
        <v>-46313</v>
      </c>
      <c r="AN670" s="115"/>
      <c r="AO670" s="115"/>
      <c r="AP670" s="115"/>
      <c r="AQ670" s="93"/>
      <c r="AR670" s="93"/>
      <c r="AS670" s="94"/>
      <c r="AT670" s="95"/>
      <c r="AU670" s="79"/>
      <c r="AV670" s="117"/>
      <c r="AW670" s="115"/>
      <c r="AX670" s="106"/>
      <c r="AY670" s="104"/>
      <c r="AZ670" s="105"/>
    </row>
    <row r="671" customHeight="1" spans="1:52">
      <c r="A671" s="70">
        <v>671</v>
      </c>
      <c r="B671" s="70" t="s">
        <v>1275</v>
      </c>
      <c r="C671" s="70" t="s">
        <v>38</v>
      </c>
      <c r="D671" s="70" t="s">
        <v>2569</v>
      </c>
      <c r="E671" s="71" t="s">
        <v>126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2570</v>
      </c>
      <c r="L671" s="104">
        <f t="shared" si="221"/>
        <v>46147</v>
      </c>
      <c r="M671" s="105">
        <f ca="1" t="shared" si="222"/>
        <v>-166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227"/>
        <v>0</v>
      </c>
      <c r="Z671" s="105">
        <f ca="1" t="shared" si="228"/>
        <v>-46313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225"/>
        <v>0</v>
      </c>
      <c r="AM671" s="105">
        <f ca="1" t="shared" si="226"/>
        <v>-46313</v>
      </c>
      <c r="AN671" s="115"/>
      <c r="AO671" s="70"/>
      <c r="AP671" s="70"/>
      <c r="AQ671" s="70"/>
      <c r="AR671" s="71"/>
      <c r="AS671" s="72"/>
      <c r="AT671" s="73"/>
      <c r="AU671" s="75"/>
      <c r="AV671" s="117"/>
      <c r="AW671" s="115"/>
      <c r="AX671" s="106"/>
      <c r="AY671" s="104"/>
      <c r="AZ671" s="105"/>
    </row>
    <row r="672" customHeight="1" spans="1:52">
      <c r="A672" s="70">
        <v>672</v>
      </c>
      <c r="B672" s="70" t="s">
        <v>721</v>
      </c>
      <c r="C672" s="70" t="s">
        <v>38</v>
      </c>
      <c r="D672" s="71" t="s">
        <v>2571</v>
      </c>
      <c r="E672" s="71" t="s">
        <v>2572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2573</v>
      </c>
      <c r="L672" s="104">
        <f t="shared" si="221"/>
        <v>46147</v>
      </c>
      <c r="M672" s="105">
        <f ca="1" t="shared" si="222"/>
        <v>-166</v>
      </c>
      <c r="N672" s="70"/>
      <c r="O672" s="70" t="s">
        <v>721</v>
      </c>
      <c r="P672" s="70" t="s">
        <v>38</v>
      </c>
      <c r="Q672" s="71" t="s">
        <v>2571</v>
      </c>
      <c r="R672" s="71" t="s">
        <v>2572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2574</v>
      </c>
      <c r="Y672" s="104">
        <f t="shared" si="227"/>
        <v>46290</v>
      </c>
      <c r="Z672" s="105">
        <f ca="1" t="shared" si="228"/>
        <v>-23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225"/>
        <v>0</v>
      </c>
      <c r="AM672" s="105">
        <f ca="1" t="shared" si="226"/>
        <v>-46313</v>
      </c>
      <c r="AN672" s="115"/>
      <c r="AO672" s="115"/>
      <c r="AP672" s="115"/>
      <c r="AQ672" s="93"/>
      <c r="AR672" s="93"/>
      <c r="AS672" s="94"/>
      <c r="AT672" s="95"/>
      <c r="AU672" s="79"/>
      <c r="AV672" s="117"/>
      <c r="AW672" s="115"/>
      <c r="AX672" s="106"/>
      <c r="AY672" s="104"/>
      <c r="AZ672" s="105"/>
    </row>
    <row r="673" customHeight="1" spans="1:52">
      <c r="A673" s="70">
        <v>673</v>
      </c>
      <c r="B673" s="70" t="s">
        <v>2575</v>
      </c>
      <c r="C673" s="70" t="s">
        <v>13</v>
      </c>
      <c r="D673" s="71" t="s">
        <v>2576</v>
      </c>
      <c r="E673" s="71" t="s">
        <v>2577</v>
      </c>
      <c r="F673" s="72"/>
      <c r="G673" s="73"/>
      <c r="H673" s="75"/>
      <c r="I673" s="102">
        <v>46058</v>
      </c>
      <c r="J673" s="70">
        <v>3</v>
      </c>
      <c r="K673" s="106" t="s">
        <v>2578</v>
      </c>
      <c r="L673" s="104">
        <f t="shared" si="221"/>
        <v>46147</v>
      </c>
      <c r="M673" s="105">
        <f ca="1" t="shared" si="222"/>
        <v>-166</v>
      </c>
      <c r="N673" s="70"/>
      <c r="O673" s="70" t="s">
        <v>2575</v>
      </c>
      <c r="P673" s="70" t="s">
        <v>13</v>
      </c>
      <c r="Q673" s="71" t="s">
        <v>2576</v>
      </c>
      <c r="R673" s="71" t="s">
        <v>2577</v>
      </c>
      <c r="S673" s="72"/>
      <c r="T673" s="73"/>
      <c r="U673" s="75"/>
      <c r="V673" s="102">
        <v>46140</v>
      </c>
      <c r="W673" s="70">
        <v>3</v>
      </c>
      <c r="X673" s="103" t="s">
        <v>2579</v>
      </c>
      <c r="Y673" s="104">
        <f t="shared" ref="Y673:Y688" si="229">EDATE(V673,W673)</f>
        <v>46231</v>
      </c>
      <c r="Z673" s="105">
        <f ca="1" t="shared" ref="Z673:Z688" si="230">Y673-TODAY()</f>
        <v>-82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225"/>
        <v>0</v>
      </c>
      <c r="AM673" s="105">
        <f ca="1" t="shared" si="226"/>
        <v>-46313</v>
      </c>
      <c r="AN673" s="115"/>
      <c r="AO673" s="115"/>
      <c r="AP673" s="115"/>
      <c r="AQ673" s="93"/>
      <c r="AR673" s="93"/>
      <c r="AS673" s="94"/>
      <c r="AT673" s="95"/>
      <c r="AU673" s="79"/>
      <c r="AV673" s="117"/>
      <c r="AW673" s="115"/>
      <c r="AX673" s="106"/>
      <c r="AY673" s="104"/>
      <c r="AZ673" s="105"/>
    </row>
    <row r="674" customHeight="1" spans="1:52">
      <c r="A674" s="70">
        <v>674</v>
      </c>
      <c r="B674" s="70" t="s">
        <v>2575</v>
      </c>
      <c r="C674" s="70" t="s">
        <v>13</v>
      </c>
      <c r="D674" s="71" t="s">
        <v>2580</v>
      </c>
      <c r="E674" s="71" t="s">
        <v>2581</v>
      </c>
      <c r="F674" s="72"/>
      <c r="G674" s="73"/>
      <c r="H674" s="75" t="s">
        <v>2582</v>
      </c>
      <c r="I674" s="102">
        <v>46058</v>
      </c>
      <c r="J674" s="70">
        <v>3</v>
      </c>
      <c r="K674" s="106" t="s">
        <v>2583</v>
      </c>
      <c r="L674" s="104">
        <f t="shared" si="221"/>
        <v>46147</v>
      </c>
      <c r="M674" s="105">
        <f ca="1" t="shared" si="222"/>
        <v>-166</v>
      </c>
      <c r="N674" s="70"/>
      <c r="O674" s="70" t="s">
        <v>2575</v>
      </c>
      <c r="P674" s="70" t="s">
        <v>13</v>
      </c>
      <c r="Q674" s="71" t="s">
        <v>2580</v>
      </c>
      <c r="R674" s="71" t="s">
        <v>2581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2584</v>
      </c>
      <c r="Y674" s="104">
        <f t="shared" si="229"/>
        <v>46231</v>
      </c>
      <c r="Z674" s="105">
        <f ca="1" t="shared" si="230"/>
        <v>-82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225"/>
        <v>0</v>
      </c>
      <c r="AM674" s="105">
        <f ca="1" t="shared" si="226"/>
        <v>-46313</v>
      </c>
      <c r="AN674" s="115"/>
      <c r="AO674" s="115"/>
      <c r="AP674" s="115"/>
      <c r="AQ674" s="93"/>
      <c r="AR674" s="93"/>
      <c r="AS674" s="94"/>
      <c r="AT674" s="95"/>
      <c r="AU674" s="79"/>
      <c r="AV674" s="117"/>
      <c r="AW674" s="115"/>
      <c r="AX674" s="106"/>
      <c r="AY674" s="104"/>
      <c r="AZ674" s="105"/>
    </row>
    <row r="675" customHeight="1" spans="1:52">
      <c r="A675" s="70">
        <v>675</v>
      </c>
      <c r="B675" s="70" t="s">
        <v>2575</v>
      </c>
      <c r="C675" s="70" t="s">
        <v>38</v>
      </c>
      <c r="D675" s="71" t="s">
        <v>2585</v>
      </c>
      <c r="E675" s="71" t="s">
        <v>189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2586</v>
      </c>
      <c r="L675" s="104">
        <f t="shared" si="221"/>
        <v>46147</v>
      </c>
      <c r="M675" s="105">
        <f ca="1" t="shared" si="222"/>
        <v>-166</v>
      </c>
      <c r="N675" s="70"/>
      <c r="O675" s="70" t="s">
        <v>2575</v>
      </c>
      <c r="P675" s="70" t="s">
        <v>38</v>
      </c>
      <c r="Q675" s="71" t="s">
        <v>2585</v>
      </c>
      <c r="R675" s="71" t="s">
        <v>189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2587</v>
      </c>
      <c r="Y675" s="104">
        <f t="shared" si="229"/>
        <v>46231</v>
      </c>
      <c r="Z675" s="105">
        <f ca="1" t="shared" si="230"/>
        <v>-82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225"/>
        <v>0</v>
      </c>
      <c r="AM675" s="105">
        <f ca="1" t="shared" si="226"/>
        <v>-46313</v>
      </c>
      <c r="AN675" s="115"/>
      <c r="AO675" s="115"/>
      <c r="AP675" s="115"/>
      <c r="AQ675" s="93"/>
      <c r="AR675" s="93"/>
      <c r="AS675" s="94"/>
      <c r="AT675" s="95"/>
      <c r="AU675" s="79"/>
      <c r="AV675" s="117"/>
      <c r="AW675" s="115"/>
      <c r="AX675" s="106"/>
      <c r="AY675" s="104"/>
      <c r="AZ675" s="105"/>
    </row>
    <row r="676" customHeight="1" spans="1:52">
      <c r="A676" s="70">
        <v>676</v>
      </c>
      <c r="B676" s="70" t="s">
        <v>1918</v>
      </c>
      <c r="C676" s="70" t="s">
        <v>264</v>
      </c>
      <c r="D676" s="71" t="s">
        <v>955</v>
      </c>
      <c r="E676" s="71" t="s">
        <v>764</v>
      </c>
      <c r="F676" s="72"/>
      <c r="G676" s="73"/>
      <c r="H676" s="75"/>
      <c r="I676" s="102">
        <v>46058</v>
      </c>
      <c r="J676" s="102" t="s">
        <v>767</v>
      </c>
      <c r="K676" s="106" t="s">
        <v>2588</v>
      </c>
      <c r="L676" s="104" t="e">
        <f t="shared" si="221"/>
        <v>#VALUE!</v>
      </c>
      <c r="M676" s="105" t="e">
        <f ca="1" t="shared" si="222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229"/>
        <v>0</v>
      </c>
      <c r="Z676" s="105">
        <f ca="1" t="shared" si="230"/>
        <v>-46313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225"/>
        <v>0</v>
      </c>
      <c r="AM676" s="105">
        <f ca="1" t="shared" si="226"/>
        <v>-46313</v>
      </c>
      <c r="AN676" s="115"/>
      <c r="AO676" s="115"/>
      <c r="AP676" s="115"/>
      <c r="AQ676" s="93"/>
      <c r="AR676" s="93"/>
      <c r="AS676" s="94"/>
      <c r="AT676" s="95"/>
      <c r="AU676" s="79"/>
      <c r="AV676" s="117"/>
      <c r="AW676" s="115"/>
      <c r="AX676" s="106"/>
      <c r="AY676" s="104"/>
      <c r="AZ676" s="105"/>
    </row>
    <row r="677" customHeight="1" spans="1:52">
      <c r="A677" s="70">
        <v>677</v>
      </c>
      <c r="B677" s="70" t="s">
        <v>2589</v>
      </c>
      <c r="C677" s="70" t="s">
        <v>38</v>
      </c>
      <c r="D677" s="71" t="s">
        <v>2590</v>
      </c>
      <c r="E677" s="71" t="s">
        <v>2591</v>
      </c>
      <c r="F677" s="72"/>
      <c r="G677" s="73"/>
      <c r="H677" s="75"/>
      <c r="I677" s="102">
        <v>46058</v>
      </c>
      <c r="J677" s="70">
        <v>3</v>
      </c>
      <c r="K677" s="106" t="s">
        <v>2592</v>
      </c>
      <c r="L677" s="104">
        <f t="shared" si="221"/>
        <v>46147</v>
      </c>
      <c r="M677" s="105">
        <f ca="1" t="shared" si="222"/>
        <v>-166</v>
      </c>
      <c r="N677" s="70"/>
      <c r="O677" s="70" t="s">
        <v>2589</v>
      </c>
      <c r="P677" s="70" t="s">
        <v>38</v>
      </c>
      <c r="Q677" s="71" t="s">
        <v>2590</v>
      </c>
      <c r="R677" s="71" t="s">
        <v>2591</v>
      </c>
      <c r="S677" s="72"/>
      <c r="T677" s="73"/>
      <c r="U677" s="75"/>
      <c r="V677" s="102">
        <v>46195</v>
      </c>
      <c r="W677" s="70">
        <v>3</v>
      </c>
      <c r="X677" s="103" t="s">
        <v>2593</v>
      </c>
      <c r="Y677" s="104">
        <f t="shared" si="229"/>
        <v>46287</v>
      </c>
      <c r="Z677" s="105">
        <f ca="1" t="shared" si="230"/>
        <v>-26</v>
      </c>
      <c r="AA677" s="70"/>
      <c r="AB677" s="70" t="s">
        <v>2589</v>
      </c>
      <c r="AC677" s="70" t="s">
        <v>38</v>
      </c>
      <c r="AD677" s="71" t="s">
        <v>2590</v>
      </c>
      <c r="AE677" s="71" t="s">
        <v>2591</v>
      </c>
      <c r="AF677" s="72"/>
      <c r="AG677" s="73"/>
      <c r="AH677" s="75"/>
      <c r="AI677" s="102">
        <v>46285</v>
      </c>
      <c r="AJ677" s="70">
        <v>3</v>
      </c>
      <c r="AK677" s="103" t="s">
        <v>2594</v>
      </c>
      <c r="AL677" s="104">
        <f t="shared" si="225"/>
        <v>46376</v>
      </c>
      <c r="AM677" s="105">
        <f ca="1" t="shared" si="226"/>
        <v>63</v>
      </c>
      <c r="AN677" s="115"/>
      <c r="AO677" s="115"/>
      <c r="AP677" s="115"/>
      <c r="AQ677" s="93"/>
      <c r="AR677" s="93"/>
      <c r="AS677" s="94"/>
      <c r="AT677" s="95"/>
      <c r="AU677" s="79"/>
      <c r="AV677" s="117"/>
      <c r="AW677" s="115"/>
      <c r="AX677" s="106"/>
      <c r="AY677" s="104"/>
      <c r="AZ677" s="105"/>
    </row>
    <row r="678" customHeight="1" spans="1:52">
      <c r="A678" s="70">
        <v>678</v>
      </c>
      <c r="B678" s="70" t="s">
        <v>2575</v>
      </c>
      <c r="C678" s="70" t="s">
        <v>13</v>
      </c>
      <c r="D678" s="71" t="s">
        <v>2595</v>
      </c>
      <c r="E678" s="71" t="s">
        <v>126</v>
      </c>
      <c r="F678" s="72"/>
      <c r="G678" s="73"/>
      <c r="H678" s="75"/>
      <c r="I678" s="102">
        <v>46058</v>
      </c>
      <c r="J678" s="70">
        <v>3</v>
      </c>
      <c r="K678" s="106" t="s">
        <v>2596</v>
      </c>
      <c r="L678" s="104">
        <f t="shared" si="221"/>
        <v>46147</v>
      </c>
      <c r="M678" s="105">
        <f ca="1" t="shared" si="222"/>
        <v>-166</v>
      </c>
      <c r="N678" s="70"/>
      <c r="O678" s="70" t="s">
        <v>2575</v>
      </c>
      <c r="P678" s="70" t="s">
        <v>13</v>
      </c>
      <c r="Q678" s="71" t="s">
        <v>2595</v>
      </c>
      <c r="R678" s="71" t="s">
        <v>126</v>
      </c>
      <c r="S678" s="72"/>
      <c r="T678" s="73"/>
      <c r="U678" s="75"/>
      <c r="V678" s="102">
        <v>46139</v>
      </c>
      <c r="W678" s="70">
        <v>3</v>
      </c>
      <c r="X678" s="103" t="s">
        <v>2597</v>
      </c>
      <c r="Y678" s="104">
        <f t="shared" si="229"/>
        <v>46230</v>
      </c>
      <c r="Z678" s="105">
        <f ca="1" t="shared" si="230"/>
        <v>-83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225"/>
        <v>0</v>
      </c>
      <c r="AM678" s="105">
        <f ca="1" t="shared" si="226"/>
        <v>-46313</v>
      </c>
      <c r="AN678" s="115"/>
      <c r="AO678" s="115"/>
      <c r="AP678" s="115"/>
      <c r="AQ678" s="93"/>
      <c r="AR678" s="93"/>
      <c r="AS678" s="94"/>
      <c r="AT678" s="95"/>
      <c r="AU678" s="79"/>
      <c r="AV678" s="117"/>
      <c r="AW678" s="115"/>
      <c r="AX678" s="106"/>
      <c r="AY678" s="104"/>
      <c r="AZ678" s="105"/>
    </row>
    <row r="679" customHeight="1" spans="1:52">
      <c r="A679" s="70">
        <v>679</v>
      </c>
      <c r="B679" s="70" t="s">
        <v>535</v>
      </c>
      <c r="C679" s="70" t="s">
        <v>2598</v>
      </c>
      <c r="D679" s="71" t="s">
        <v>2599</v>
      </c>
      <c r="E679" s="71" t="s">
        <v>2600</v>
      </c>
      <c r="F679" s="72"/>
      <c r="G679" s="73"/>
      <c r="H679" s="75"/>
      <c r="I679" s="102">
        <v>46058</v>
      </c>
      <c r="J679" s="70">
        <v>3</v>
      </c>
      <c r="K679" s="106" t="s">
        <v>2601</v>
      </c>
      <c r="L679" s="104">
        <f t="shared" si="221"/>
        <v>46147</v>
      </c>
      <c r="M679" s="105">
        <f ca="1" t="shared" si="222"/>
        <v>-166</v>
      </c>
      <c r="N679" s="70"/>
      <c r="O679" s="70" t="s">
        <v>535</v>
      </c>
      <c r="P679" s="70" t="s">
        <v>2598</v>
      </c>
      <c r="Q679" s="71" t="s">
        <v>2599</v>
      </c>
      <c r="R679" s="71" t="s">
        <v>2600</v>
      </c>
      <c r="S679" s="72"/>
      <c r="T679" s="73"/>
      <c r="U679" s="75"/>
      <c r="V679" s="102">
        <v>46178</v>
      </c>
      <c r="W679" s="70">
        <v>3</v>
      </c>
      <c r="X679" s="103" t="s">
        <v>2602</v>
      </c>
      <c r="Y679" s="104">
        <f t="shared" si="229"/>
        <v>46270</v>
      </c>
      <c r="Z679" s="105">
        <f ca="1" t="shared" si="230"/>
        <v>-43</v>
      </c>
      <c r="AA679" s="70"/>
      <c r="AB679" s="70" t="s">
        <v>535</v>
      </c>
      <c r="AC679" s="70" t="s">
        <v>2598</v>
      </c>
      <c r="AD679" s="71" t="s">
        <v>2599</v>
      </c>
      <c r="AE679" s="71" t="s">
        <v>2600</v>
      </c>
      <c r="AF679" s="72"/>
      <c r="AG679" s="73"/>
      <c r="AH679" s="75"/>
      <c r="AI679" s="102">
        <v>46264</v>
      </c>
      <c r="AJ679" s="70">
        <v>3</v>
      </c>
      <c r="AK679" s="103" t="s">
        <v>2603</v>
      </c>
      <c r="AL679" s="104">
        <f t="shared" si="225"/>
        <v>46356</v>
      </c>
      <c r="AM679" s="105">
        <f ca="1" t="shared" si="226"/>
        <v>43</v>
      </c>
      <c r="AN679" s="115"/>
      <c r="AO679" s="115"/>
      <c r="AP679" s="115"/>
      <c r="AQ679" s="93"/>
      <c r="AR679" s="93"/>
      <c r="AS679" s="94"/>
      <c r="AT679" s="95"/>
      <c r="AU679" s="79"/>
      <c r="AV679" s="117"/>
      <c r="AW679" s="115"/>
      <c r="AX679" s="106"/>
      <c r="AY679" s="104"/>
      <c r="AZ679" s="105"/>
    </row>
    <row r="680" customHeight="1" spans="1:52">
      <c r="A680" s="70">
        <v>680</v>
      </c>
      <c r="B680" s="70" t="s">
        <v>2604</v>
      </c>
      <c r="C680" s="70" t="s">
        <v>2598</v>
      </c>
      <c r="D680" s="71" t="s">
        <v>2605</v>
      </c>
      <c r="E680" s="71" t="s">
        <v>2606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2607</v>
      </c>
      <c r="L680" s="104">
        <f t="shared" si="221"/>
        <v>46147</v>
      </c>
      <c r="M680" s="105">
        <f ca="1" t="shared" si="222"/>
        <v>-166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229"/>
        <v>0</v>
      </c>
      <c r="Z680" s="105">
        <f ca="1" t="shared" si="230"/>
        <v>-46313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225"/>
        <v>0</v>
      </c>
      <c r="AM680" s="105">
        <f ca="1" t="shared" si="226"/>
        <v>-46313</v>
      </c>
      <c r="AN680" s="115"/>
      <c r="AO680" s="115"/>
      <c r="AP680" s="115"/>
      <c r="AQ680" s="93"/>
      <c r="AR680" s="93"/>
      <c r="AS680" s="94"/>
      <c r="AT680" s="95"/>
      <c r="AU680" s="79"/>
      <c r="AV680" s="117"/>
      <c r="AW680" s="115"/>
      <c r="AX680" s="106"/>
      <c r="AY680" s="104"/>
      <c r="AZ680" s="105"/>
    </row>
    <row r="681" customHeight="1" spans="1:52">
      <c r="A681" s="70">
        <v>681</v>
      </c>
      <c r="B681" s="70" t="s">
        <v>1409</v>
      </c>
      <c r="C681" s="70" t="s">
        <v>374</v>
      </c>
      <c r="D681" s="71" t="s">
        <v>2608</v>
      </c>
      <c r="E681" s="71" t="s">
        <v>1249</v>
      </c>
      <c r="F681" s="72"/>
      <c r="G681" s="73"/>
      <c r="H681" s="75"/>
      <c r="I681" s="102">
        <v>46058</v>
      </c>
      <c r="J681" s="70">
        <v>3</v>
      </c>
      <c r="K681" s="106" t="s">
        <v>2609</v>
      </c>
      <c r="L681" s="104">
        <f t="shared" si="221"/>
        <v>46147</v>
      </c>
      <c r="M681" s="105">
        <f ca="1" t="shared" si="222"/>
        <v>-166</v>
      </c>
      <c r="N681" s="70"/>
      <c r="O681" s="70" t="s">
        <v>1409</v>
      </c>
      <c r="P681" s="70" t="s">
        <v>374</v>
      </c>
      <c r="Q681" s="71" t="s">
        <v>2608</v>
      </c>
      <c r="R681" s="71" t="s">
        <v>1249</v>
      </c>
      <c r="S681" s="72"/>
      <c r="T681" s="73"/>
      <c r="U681" s="75"/>
      <c r="V681" s="102">
        <v>46133</v>
      </c>
      <c r="W681" s="70">
        <v>3</v>
      </c>
      <c r="X681" s="103" t="s">
        <v>2610</v>
      </c>
      <c r="Y681" s="104">
        <f t="shared" si="229"/>
        <v>46224</v>
      </c>
      <c r="Z681" s="105">
        <f ca="1" t="shared" si="230"/>
        <v>-89</v>
      </c>
      <c r="AA681" s="70"/>
      <c r="AB681" s="70" t="s">
        <v>1409</v>
      </c>
      <c r="AC681" s="70" t="s">
        <v>374</v>
      </c>
      <c r="AD681" s="71" t="s">
        <v>2608</v>
      </c>
      <c r="AE681" s="71" t="s">
        <v>1249</v>
      </c>
      <c r="AF681" s="72"/>
      <c r="AG681" s="73"/>
      <c r="AH681" s="75"/>
      <c r="AI681" s="102">
        <v>46269</v>
      </c>
      <c r="AJ681" s="70">
        <v>3</v>
      </c>
      <c r="AK681" s="103" t="s">
        <v>2611</v>
      </c>
      <c r="AL681" s="104">
        <f t="shared" si="225"/>
        <v>46360</v>
      </c>
      <c r="AM681" s="105">
        <f ca="1" t="shared" si="226"/>
        <v>47</v>
      </c>
      <c r="AN681" s="115"/>
      <c r="AO681" s="115"/>
      <c r="AP681" s="115"/>
      <c r="AQ681" s="93"/>
      <c r="AR681" s="93"/>
      <c r="AS681" s="94"/>
      <c r="AT681" s="95"/>
      <c r="AU681" s="79"/>
      <c r="AV681" s="117"/>
      <c r="AW681" s="115"/>
      <c r="AX681" s="106"/>
      <c r="AY681" s="104"/>
      <c r="AZ681" s="105"/>
    </row>
    <row r="682" customHeight="1" spans="1:52">
      <c r="A682" s="70">
        <v>682</v>
      </c>
      <c r="B682" s="70" t="s">
        <v>55</v>
      </c>
      <c r="C682" s="70" t="s">
        <v>38</v>
      </c>
      <c r="D682" s="71" t="s">
        <v>2612</v>
      </c>
      <c r="E682" s="71" t="s">
        <v>526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2613</v>
      </c>
      <c r="L682" s="104">
        <f t="shared" si="221"/>
        <v>46147</v>
      </c>
      <c r="M682" s="105">
        <f ca="1" t="shared" si="222"/>
        <v>-166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229"/>
        <v>0</v>
      </c>
      <c r="Z682" s="105">
        <f ca="1" t="shared" si="230"/>
        <v>-46313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225"/>
        <v>0</v>
      </c>
      <c r="AM682" s="105">
        <f ca="1" t="shared" si="226"/>
        <v>-46313</v>
      </c>
      <c r="AN682" s="115"/>
      <c r="AO682" s="115"/>
      <c r="AP682" s="115"/>
      <c r="AQ682" s="93"/>
      <c r="AR682" s="93"/>
      <c r="AS682" s="94"/>
      <c r="AT682" s="95"/>
      <c r="AU682" s="79"/>
      <c r="AV682" s="117"/>
      <c r="AW682" s="115"/>
      <c r="AX682" s="106"/>
      <c r="AY682" s="104"/>
      <c r="AZ682" s="105"/>
    </row>
    <row r="683" customHeight="1" spans="1:52">
      <c r="A683" s="70">
        <v>683</v>
      </c>
      <c r="B683" s="70" t="s">
        <v>55</v>
      </c>
      <c r="C683" s="70" t="s">
        <v>38</v>
      </c>
      <c r="D683" s="71" t="s">
        <v>2614</v>
      </c>
      <c r="E683" s="71" t="s">
        <v>526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2615</v>
      </c>
      <c r="L683" s="104">
        <f t="shared" si="221"/>
        <v>46147</v>
      </c>
      <c r="M683" s="105">
        <f ca="1" t="shared" si="222"/>
        <v>-166</v>
      </c>
      <c r="N683" s="70"/>
      <c r="O683" s="70" t="s">
        <v>55</v>
      </c>
      <c r="P683" s="70" t="s">
        <v>38</v>
      </c>
      <c r="Q683" s="71" t="s">
        <v>2614</v>
      </c>
      <c r="R683" s="71" t="s">
        <v>526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2616</v>
      </c>
      <c r="Y683" s="104">
        <f t="shared" si="229"/>
        <v>46224</v>
      </c>
      <c r="Z683" s="105">
        <f ca="1" t="shared" si="230"/>
        <v>-89</v>
      </c>
      <c r="AA683" s="70"/>
      <c r="AB683" s="70" t="s">
        <v>55</v>
      </c>
      <c r="AC683" s="70" t="s">
        <v>38</v>
      </c>
      <c r="AD683" s="71" t="s">
        <v>2614</v>
      </c>
      <c r="AE683" s="71" t="s">
        <v>526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2617</v>
      </c>
      <c r="AL683" s="104">
        <f t="shared" si="225"/>
        <v>46324</v>
      </c>
      <c r="AM683" s="105">
        <f ca="1" t="shared" si="226"/>
        <v>11</v>
      </c>
      <c r="AN683" s="115"/>
      <c r="AO683" s="115"/>
      <c r="AP683" s="115"/>
      <c r="AQ683" s="93"/>
      <c r="AR683" s="93"/>
      <c r="AS683" s="94"/>
      <c r="AT683" s="95"/>
      <c r="AU683" s="79"/>
      <c r="AV683" s="117"/>
      <c r="AW683" s="115"/>
      <c r="AX683" s="106"/>
      <c r="AY683" s="104"/>
      <c r="AZ683" s="105"/>
    </row>
    <row r="684" customHeight="1" spans="1:52">
      <c r="A684" s="70">
        <v>684</v>
      </c>
      <c r="B684" s="70" t="s">
        <v>1234</v>
      </c>
      <c r="C684" s="70" t="s">
        <v>264</v>
      </c>
      <c r="D684" s="71" t="s">
        <v>1235</v>
      </c>
      <c r="E684" s="71" t="s">
        <v>264</v>
      </c>
      <c r="F684" s="72"/>
      <c r="G684" s="73"/>
      <c r="H684" s="75"/>
      <c r="I684" s="102">
        <v>46058</v>
      </c>
      <c r="J684" s="102" t="s">
        <v>767</v>
      </c>
      <c r="K684" s="106"/>
      <c r="L684" s="104" t="e">
        <f t="shared" si="221"/>
        <v>#VALUE!</v>
      </c>
      <c r="M684" s="105" t="e">
        <f ca="1" t="shared" si="222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229"/>
        <v>0</v>
      </c>
      <c r="Z684" s="105">
        <f ca="1" t="shared" si="230"/>
        <v>-46313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225"/>
        <v>0</v>
      </c>
      <c r="AM684" s="105">
        <f ca="1" t="shared" si="226"/>
        <v>-46313</v>
      </c>
      <c r="AN684" s="115"/>
      <c r="AO684" s="115"/>
      <c r="AP684" s="115"/>
      <c r="AQ684" s="93"/>
      <c r="AR684" s="93"/>
      <c r="AS684" s="94"/>
      <c r="AT684" s="95"/>
      <c r="AU684" s="79"/>
      <c r="AV684" s="117"/>
      <c r="AW684" s="115"/>
      <c r="AX684" s="106"/>
      <c r="AY684" s="104"/>
      <c r="AZ684" s="105"/>
    </row>
    <row r="685" customHeight="1" spans="1:52">
      <c r="A685" s="70">
        <v>685</v>
      </c>
      <c r="B685" s="70" t="s">
        <v>281</v>
      </c>
      <c r="C685" s="70" t="s">
        <v>264</v>
      </c>
      <c r="D685" s="71" t="s">
        <v>2618</v>
      </c>
      <c r="E685" s="71" t="s">
        <v>364</v>
      </c>
      <c r="F685" s="72"/>
      <c r="G685" s="73"/>
      <c r="H685" s="75"/>
      <c r="I685" s="102">
        <v>46060</v>
      </c>
      <c r="J685" s="70">
        <v>3</v>
      </c>
      <c r="K685" s="106" t="s">
        <v>2619</v>
      </c>
      <c r="L685" s="104">
        <f t="shared" si="221"/>
        <v>46149</v>
      </c>
      <c r="M685" s="105">
        <f ca="1" t="shared" si="222"/>
        <v>-164</v>
      </c>
      <c r="N685" s="70"/>
      <c r="O685" s="70" t="s">
        <v>281</v>
      </c>
      <c r="P685" s="70" t="s">
        <v>264</v>
      </c>
      <c r="Q685" s="71" t="s">
        <v>2618</v>
      </c>
      <c r="R685" s="71" t="s">
        <v>364</v>
      </c>
      <c r="S685" s="72"/>
      <c r="T685" s="73"/>
      <c r="U685" s="75"/>
      <c r="V685" s="102">
        <v>46136</v>
      </c>
      <c r="W685" s="70">
        <v>3</v>
      </c>
      <c r="X685" s="103" t="s">
        <v>2620</v>
      </c>
      <c r="Y685" s="104">
        <f t="shared" si="229"/>
        <v>46227</v>
      </c>
      <c r="Z685" s="105">
        <f ca="1" t="shared" si="230"/>
        <v>-86</v>
      </c>
      <c r="AA685" s="70"/>
      <c r="AB685" s="70" t="s">
        <v>281</v>
      </c>
      <c r="AC685" s="70" t="s">
        <v>264</v>
      </c>
      <c r="AD685" s="71" t="s">
        <v>2618</v>
      </c>
      <c r="AE685" s="71" t="s">
        <v>364</v>
      </c>
      <c r="AF685" s="72"/>
      <c r="AG685" s="73"/>
      <c r="AH685" s="75"/>
      <c r="AI685" s="102">
        <v>46226</v>
      </c>
      <c r="AJ685" s="70">
        <v>3</v>
      </c>
      <c r="AK685" s="103" t="s">
        <v>2621</v>
      </c>
      <c r="AL685" s="104">
        <f t="shared" ref="AL685:AL700" si="231">EDATE(AI685,AJ685)</f>
        <v>46318</v>
      </c>
      <c r="AM685" s="105">
        <f ca="1" t="shared" ref="AM685:AM700" si="232">AL685-TODAY()</f>
        <v>5</v>
      </c>
      <c r="AN685" s="115"/>
      <c r="AO685" s="115"/>
      <c r="AP685" s="115"/>
      <c r="AQ685" s="93"/>
      <c r="AR685" s="93"/>
      <c r="AS685" s="94"/>
      <c r="AT685" s="95"/>
      <c r="AU685" s="79"/>
      <c r="AV685" s="117"/>
      <c r="AW685" s="115"/>
      <c r="AX685" s="106"/>
      <c r="AY685" s="104"/>
      <c r="AZ685" s="105"/>
    </row>
    <row r="686" customHeight="1" spans="1:52">
      <c r="A686" s="70">
        <v>686</v>
      </c>
      <c r="B686" s="70" t="s">
        <v>270</v>
      </c>
      <c r="C686" s="70" t="s">
        <v>264</v>
      </c>
      <c r="D686" s="71" t="s">
        <v>958</v>
      </c>
      <c r="E686" s="71" t="s">
        <v>1232</v>
      </c>
      <c r="F686" s="72"/>
      <c r="G686" s="73"/>
      <c r="H686" s="75"/>
      <c r="I686" s="102">
        <v>46060</v>
      </c>
      <c r="J686" s="102" t="s">
        <v>767</v>
      </c>
      <c r="K686" s="106"/>
      <c r="L686" s="104" t="e">
        <f t="shared" si="221"/>
        <v>#VALUE!</v>
      </c>
      <c r="M686" s="105" t="e">
        <f ca="1" t="shared" si="222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229"/>
        <v>0</v>
      </c>
      <c r="Z686" s="105">
        <f ca="1" t="shared" si="230"/>
        <v>-46313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231"/>
        <v>0</v>
      </c>
      <c r="AM686" s="105">
        <f ca="1" t="shared" si="232"/>
        <v>-46313</v>
      </c>
      <c r="AN686" s="115"/>
      <c r="AO686" s="115"/>
      <c r="AP686" s="115"/>
      <c r="AQ686" s="93"/>
      <c r="AR686" s="93"/>
      <c r="AS686" s="94"/>
      <c r="AT686" s="95"/>
      <c r="AU686" s="79"/>
      <c r="AV686" s="117"/>
      <c r="AW686" s="115"/>
      <c r="AX686" s="106"/>
      <c r="AY686" s="104"/>
      <c r="AZ686" s="105"/>
    </row>
    <row r="687" customHeight="1" spans="1:52">
      <c r="A687" s="70">
        <v>687</v>
      </c>
      <c r="B687" s="70" t="s">
        <v>1359</v>
      </c>
      <c r="C687" s="70" t="s">
        <v>13</v>
      </c>
      <c r="D687" s="71" t="s">
        <v>2622</v>
      </c>
      <c r="E687" s="71" t="s">
        <v>2623</v>
      </c>
      <c r="F687" s="72"/>
      <c r="G687" s="73"/>
      <c r="H687" s="75"/>
      <c r="I687" s="102">
        <v>46060</v>
      </c>
      <c r="J687" s="70">
        <v>3</v>
      </c>
      <c r="K687" s="106" t="s">
        <v>2624</v>
      </c>
      <c r="L687" s="104">
        <f t="shared" si="221"/>
        <v>46149</v>
      </c>
      <c r="M687" s="105">
        <f ca="1" t="shared" si="222"/>
        <v>-164</v>
      </c>
      <c r="N687" s="70"/>
      <c r="O687" s="70" t="s">
        <v>1359</v>
      </c>
      <c r="P687" s="70" t="s">
        <v>13</v>
      </c>
      <c r="Q687" s="71" t="s">
        <v>2622</v>
      </c>
      <c r="R687" s="71" t="s">
        <v>2623</v>
      </c>
      <c r="S687" s="72"/>
      <c r="T687" s="73"/>
      <c r="U687" s="75"/>
      <c r="V687" s="102">
        <v>46181</v>
      </c>
      <c r="W687" s="70">
        <v>3</v>
      </c>
      <c r="X687" s="103" t="s">
        <v>2625</v>
      </c>
      <c r="Y687" s="104">
        <f t="shared" si="229"/>
        <v>46273</v>
      </c>
      <c r="Z687" s="105">
        <f ca="1" t="shared" si="230"/>
        <v>-40</v>
      </c>
      <c r="AA687" s="70"/>
      <c r="AB687" s="70"/>
      <c r="AC687" s="70"/>
      <c r="AD687" s="71"/>
      <c r="AE687" s="137"/>
      <c r="AF687" s="161"/>
      <c r="AG687" s="162"/>
      <c r="AH687" s="79"/>
      <c r="AI687" s="102"/>
      <c r="AJ687" s="70"/>
      <c r="AK687" s="103"/>
      <c r="AL687" s="104"/>
      <c r="AM687" s="105"/>
      <c r="AN687" s="115"/>
      <c r="AO687" s="115"/>
      <c r="AP687" s="115"/>
      <c r="AQ687" s="93"/>
      <c r="AR687" s="93"/>
      <c r="AS687" s="94"/>
      <c r="AT687" s="95"/>
      <c r="AU687" s="79"/>
      <c r="AV687" s="117"/>
      <c r="AW687" s="115"/>
      <c r="AX687" s="106"/>
      <c r="AY687" s="104"/>
      <c r="AZ687" s="105"/>
    </row>
    <row r="688" customHeight="1" spans="1:52">
      <c r="A688" s="70">
        <v>688</v>
      </c>
      <c r="B688" s="70" t="s">
        <v>1359</v>
      </c>
      <c r="C688" s="70" t="s">
        <v>13</v>
      </c>
      <c r="D688" s="71" t="s">
        <v>2626</v>
      </c>
      <c r="E688" s="71" t="s">
        <v>2388</v>
      </c>
      <c r="F688" s="72"/>
      <c r="G688" s="73"/>
      <c r="H688" s="75"/>
      <c r="I688" s="102">
        <v>46060</v>
      </c>
      <c r="J688" s="70">
        <v>3</v>
      </c>
      <c r="K688" s="106" t="s">
        <v>2627</v>
      </c>
      <c r="L688" s="104">
        <f t="shared" si="221"/>
        <v>46149</v>
      </c>
      <c r="M688" s="105">
        <f ca="1" t="shared" si="222"/>
        <v>-164</v>
      </c>
      <c r="N688" s="70"/>
      <c r="O688" s="70" t="s">
        <v>1359</v>
      </c>
      <c r="P688" s="70" t="s">
        <v>13</v>
      </c>
      <c r="Q688" s="71" t="s">
        <v>2626</v>
      </c>
      <c r="R688" s="71" t="s">
        <v>2388</v>
      </c>
      <c r="S688" s="72"/>
      <c r="T688" s="73"/>
      <c r="U688" s="75"/>
      <c r="V688" s="102">
        <v>46158</v>
      </c>
      <c r="W688" s="70">
        <v>3</v>
      </c>
      <c r="X688" s="103" t="s">
        <v>2628</v>
      </c>
      <c r="Y688" s="104">
        <f t="shared" si="229"/>
        <v>46250</v>
      </c>
      <c r="Z688" s="105">
        <f ca="1" t="shared" si="230"/>
        <v>-63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5"/>
      <c r="AO688" s="115"/>
      <c r="AP688" s="115"/>
      <c r="AQ688" s="93"/>
      <c r="AR688" s="93"/>
      <c r="AS688" s="94"/>
      <c r="AT688" s="95"/>
      <c r="AU688" s="79"/>
      <c r="AV688" s="117"/>
      <c r="AW688" s="115"/>
      <c r="AX688" s="106"/>
      <c r="AY688" s="104"/>
      <c r="AZ688" s="105"/>
    </row>
    <row r="689" customHeight="1" spans="1:52">
      <c r="A689" s="70">
        <v>689</v>
      </c>
      <c r="B689" s="70" t="s">
        <v>2191</v>
      </c>
      <c r="C689" s="70" t="s">
        <v>13</v>
      </c>
      <c r="D689" s="71" t="s">
        <v>2629</v>
      </c>
      <c r="E689" s="71" t="s">
        <v>2630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2631</v>
      </c>
      <c r="L689" s="104">
        <f t="shared" si="221"/>
        <v>46149</v>
      </c>
      <c r="M689" s="105">
        <f ca="1" t="shared" si="222"/>
        <v>-164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231"/>
        <v>0</v>
      </c>
      <c r="AM689" s="105">
        <f ca="1" t="shared" si="232"/>
        <v>-46313</v>
      </c>
      <c r="AN689" s="115"/>
      <c r="AO689" s="115"/>
      <c r="AP689" s="115"/>
      <c r="AQ689" s="93"/>
      <c r="AR689" s="93"/>
      <c r="AS689" s="94"/>
      <c r="AT689" s="95"/>
      <c r="AU689" s="79"/>
      <c r="AV689" s="117"/>
      <c r="AW689" s="115"/>
      <c r="AX689" s="106"/>
      <c r="AY689" s="104"/>
      <c r="AZ689" s="105"/>
    </row>
    <row r="690" customHeight="1" spans="1:52">
      <c r="A690" s="70">
        <v>690</v>
      </c>
      <c r="B690" s="70" t="s">
        <v>2191</v>
      </c>
      <c r="C690" s="70" t="s">
        <v>38</v>
      </c>
      <c r="D690" s="71" t="s">
        <v>2632</v>
      </c>
      <c r="E690" s="71" t="s">
        <v>2633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2634</v>
      </c>
      <c r="L690" s="104">
        <f t="shared" si="221"/>
        <v>46149</v>
      </c>
      <c r="M690" s="105">
        <f ca="1" t="shared" si="222"/>
        <v>-164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231"/>
        <v>0</v>
      </c>
      <c r="AM690" s="105">
        <f ca="1" t="shared" si="232"/>
        <v>-46313</v>
      </c>
      <c r="AN690" s="115"/>
      <c r="AO690" s="115"/>
      <c r="AP690" s="115"/>
      <c r="AQ690" s="93"/>
      <c r="AR690" s="93"/>
      <c r="AS690" s="94"/>
      <c r="AT690" s="95"/>
      <c r="AU690" s="79"/>
      <c r="AV690" s="117"/>
      <c r="AW690" s="115"/>
      <c r="AX690" s="106"/>
      <c r="AY690" s="104"/>
      <c r="AZ690" s="105"/>
    </row>
    <row r="691" customHeight="1" spans="1:52">
      <c r="A691" s="70">
        <v>691</v>
      </c>
      <c r="B691" s="70" t="s">
        <v>2191</v>
      </c>
      <c r="C691" s="70" t="s">
        <v>38</v>
      </c>
      <c r="D691" s="71" t="s">
        <v>2635</v>
      </c>
      <c r="E691" s="71" t="s">
        <v>2636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2637</v>
      </c>
      <c r="L691" s="104">
        <f t="shared" si="221"/>
        <v>46149</v>
      </c>
      <c r="M691" s="105">
        <f ca="1" t="shared" si="222"/>
        <v>-164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233">EDATE(V691,W691)</f>
        <v>0</v>
      </c>
      <c r="Z691" s="105">
        <f ca="1" t="shared" ref="Z691:Z712" si="234">Y691-TODAY()</f>
        <v>-46313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231"/>
        <v>0</v>
      </c>
      <c r="AM691" s="105">
        <f ca="1" t="shared" si="232"/>
        <v>-46313</v>
      </c>
      <c r="AN691" s="115"/>
      <c r="AO691" s="115"/>
      <c r="AP691" s="115"/>
      <c r="AQ691" s="93"/>
      <c r="AR691" s="93"/>
      <c r="AS691" s="94"/>
      <c r="AT691" s="95"/>
      <c r="AU691" s="79"/>
      <c r="AV691" s="117"/>
      <c r="AW691" s="115"/>
      <c r="AX691" s="106"/>
      <c r="AY691" s="104"/>
      <c r="AZ691" s="105"/>
    </row>
    <row r="692" customHeight="1" spans="1:52">
      <c r="A692" s="70">
        <v>692</v>
      </c>
      <c r="B692" s="70" t="s">
        <v>2187</v>
      </c>
      <c r="C692" s="70" t="s">
        <v>38</v>
      </c>
      <c r="D692" s="71" t="s">
        <v>2638</v>
      </c>
      <c r="E692" s="71" t="s">
        <v>1928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2639</v>
      </c>
      <c r="L692" s="104">
        <f t="shared" si="221"/>
        <v>46149</v>
      </c>
      <c r="M692" s="105">
        <f ca="1" t="shared" si="222"/>
        <v>-164</v>
      </c>
      <c r="N692" s="70"/>
      <c r="O692" s="70" t="s">
        <v>2187</v>
      </c>
      <c r="P692" s="70" t="s">
        <v>38</v>
      </c>
      <c r="Q692" s="71" t="s">
        <v>2638</v>
      </c>
      <c r="R692" s="71" t="s">
        <v>1928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2640</v>
      </c>
      <c r="Y692" s="104">
        <f t="shared" si="233"/>
        <v>46248</v>
      </c>
      <c r="Z692" s="105">
        <f ca="1" t="shared" si="234"/>
        <v>-65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231"/>
        <v>0</v>
      </c>
      <c r="AM692" s="105">
        <f ca="1" t="shared" si="232"/>
        <v>-46313</v>
      </c>
      <c r="AN692" s="115"/>
      <c r="AO692" s="115"/>
      <c r="AP692" s="115"/>
      <c r="AQ692" s="93"/>
      <c r="AR692" s="93"/>
      <c r="AS692" s="94"/>
      <c r="AT692" s="95"/>
      <c r="AU692" s="79"/>
      <c r="AV692" s="117"/>
      <c r="AW692" s="115"/>
      <c r="AX692" s="106"/>
      <c r="AY692" s="104"/>
      <c r="AZ692" s="105"/>
    </row>
    <row r="693" customHeight="1" spans="1:52">
      <c r="A693" s="70">
        <v>693</v>
      </c>
      <c r="B693" s="70" t="s">
        <v>281</v>
      </c>
      <c r="C693" s="70" t="s">
        <v>264</v>
      </c>
      <c r="D693" s="71" t="s">
        <v>1229</v>
      </c>
      <c r="E693" s="71" t="s">
        <v>364</v>
      </c>
      <c r="F693" s="72"/>
      <c r="G693" s="73"/>
      <c r="H693" s="75"/>
      <c r="I693" s="102">
        <v>46061</v>
      </c>
      <c r="J693" s="70" t="s">
        <v>767</v>
      </c>
      <c r="K693" s="106"/>
      <c r="L693" s="104" t="e">
        <f t="shared" si="221"/>
        <v>#VALUE!</v>
      </c>
      <c r="M693" s="105" t="e">
        <f ca="1" t="shared" si="222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233"/>
        <v>0</v>
      </c>
      <c r="Z693" s="105">
        <f ca="1" t="shared" si="234"/>
        <v>-46313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231"/>
        <v>0</v>
      </c>
      <c r="AM693" s="105">
        <f ca="1" t="shared" si="232"/>
        <v>-46313</v>
      </c>
      <c r="AN693" s="115"/>
      <c r="AO693" s="115"/>
      <c r="AP693" s="115"/>
      <c r="AQ693" s="93"/>
      <c r="AR693" s="93"/>
      <c r="AS693" s="94"/>
      <c r="AT693" s="95"/>
      <c r="AU693" s="79"/>
      <c r="AV693" s="117"/>
      <c r="AW693" s="115"/>
      <c r="AX693" s="106"/>
      <c r="AY693" s="104"/>
      <c r="AZ693" s="105"/>
    </row>
    <row r="694" customHeight="1" spans="1:52">
      <c r="A694" s="70">
        <v>694</v>
      </c>
      <c r="B694" s="70" t="s">
        <v>886</v>
      </c>
      <c r="C694" s="70" t="s">
        <v>374</v>
      </c>
      <c r="D694" s="71" t="s">
        <v>2641</v>
      </c>
      <c r="E694" s="71" t="s">
        <v>2642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2643</v>
      </c>
      <c r="L694" s="104">
        <f t="shared" si="221"/>
        <v>46150</v>
      </c>
      <c r="M694" s="105">
        <f ca="1" t="shared" si="222"/>
        <v>-163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233"/>
        <v>0</v>
      </c>
      <c r="Z694" s="105">
        <f ca="1" t="shared" si="234"/>
        <v>-46313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231"/>
        <v>0</v>
      </c>
      <c r="AM694" s="105">
        <f ca="1" t="shared" si="232"/>
        <v>-46313</v>
      </c>
      <c r="AN694" s="115"/>
      <c r="AO694" s="115"/>
      <c r="AP694" s="115"/>
      <c r="AQ694" s="93"/>
      <c r="AR694" s="93"/>
      <c r="AS694" s="94"/>
      <c r="AT694" s="95"/>
      <c r="AU694" s="79"/>
      <c r="AV694" s="117"/>
      <c r="AW694" s="115"/>
      <c r="AX694" s="106"/>
      <c r="AY694" s="104"/>
      <c r="AZ694" s="105"/>
    </row>
    <row r="695" customHeight="1" spans="1:52">
      <c r="A695" s="70">
        <v>695</v>
      </c>
      <c r="B695" s="70" t="s">
        <v>886</v>
      </c>
      <c r="C695" s="70" t="s">
        <v>374</v>
      </c>
      <c r="D695" s="71" t="s">
        <v>2644</v>
      </c>
      <c r="E695" s="71" t="s">
        <v>793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2645</v>
      </c>
      <c r="L695" s="104">
        <f t="shared" si="221"/>
        <v>46150</v>
      </c>
      <c r="M695" s="105">
        <f ca="1" t="shared" si="222"/>
        <v>-163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233"/>
        <v>0</v>
      </c>
      <c r="Z695" s="105">
        <f ca="1" t="shared" si="234"/>
        <v>-46313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231"/>
        <v>0</v>
      </c>
      <c r="AM695" s="105">
        <f ca="1" t="shared" si="232"/>
        <v>-46313</v>
      </c>
      <c r="AN695" s="115"/>
      <c r="AO695" s="115"/>
      <c r="AP695" s="115"/>
      <c r="AQ695" s="93"/>
      <c r="AR695" s="93"/>
      <c r="AS695" s="94"/>
      <c r="AT695" s="95"/>
      <c r="AU695" s="79"/>
      <c r="AV695" s="117"/>
      <c r="AW695" s="115"/>
      <c r="AX695" s="106"/>
      <c r="AY695" s="104"/>
      <c r="AZ695" s="105"/>
    </row>
    <row r="696" customHeight="1" spans="1:52">
      <c r="A696" s="70">
        <v>696</v>
      </c>
      <c r="B696" s="70" t="s">
        <v>886</v>
      </c>
      <c r="C696" s="70" t="s">
        <v>374</v>
      </c>
      <c r="D696" s="71" t="s">
        <v>2646</v>
      </c>
      <c r="E696" s="71" t="s">
        <v>793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2647</v>
      </c>
      <c r="L696" s="104">
        <f t="shared" si="221"/>
        <v>46150</v>
      </c>
      <c r="M696" s="105">
        <f ca="1" t="shared" si="222"/>
        <v>-163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233"/>
        <v>0</v>
      </c>
      <c r="Z696" s="105">
        <f ca="1" t="shared" si="234"/>
        <v>-46313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231"/>
        <v>0</v>
      </c>
      <c r="AM696" s="105">
        <f ca="1" t="shared" si="232"/>
        <v>-46313</v>
      </c>
      <c r="AN696" s="115"/>
      <c r="AO696" s="115"/>
      <c r="AP696" s="115"/>
      <c r="AQ696" s="93"/>
      <c r="AR696" s="93"/>
      <c r="AS696" s="94"/>
      <c r="AT696" s="95"/>
      <c r="AU696" s="79"/>
      <c r="AV696" s="117"/>
      <c r="AW696" s="115"/>
      <c r="AX696" s="106"/>
      <c r="AY696" s="104"/>
      <c r="AZ696" s="105"/>
    </row>
    <row r="697" customHeight="1" spans="1:52">
      <c r="A697" s="70">
        <v>697</v>
      </c>
      <c r="B697" s="70" t="s">
        <v>886</v>
      </c>
      <c r="C697" s="70" t="s">
        <v>374</v>
      </c>
      <c r="D697" s="71" t="s">
        <v>2648</v>
      </c>
      <c r="E697" s="71" t="s">
        <v>793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2649</v>
      </c>
      <c r="L697" s="104">
        <f t="shared" si="221"/>
        <v>46150</v>
      </c>
      <c r="M697" s="105">
        <f ca="1" t="shared" si="222"/>
        <v>-163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233"/>
        <v>0</v>
      </c>
      <c r="Z697" s="105">
        <f ca="1" t="shared" si="234"/>
        <v>-46313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231"/>
        <v>0</v>
      </c>
      <c r="AM697" s="105">
        <f ca="1" t="shared" si="232"/>
        <v>-46313</v>
      </c>
      <c r="AN697" s="115"/>
      <c r="AO697" s="115"/>
      <c r="AP697" s="115"/>
      <c r="AQ697" s="93"/>
      <c r="AR697" s="93"/>
      <c r="AS697" s="94"/>
      <c r="AT697" s="95"/>
      <c r="AU697" s="79"/>
      <c r="AV697" s="117"/>
      <c r="AW697" s="115"/>
      <c r="AX697" s="106"/>
      <c r="AY697" s="104"/>
      <c r="AZ697" s="105"/>
    </row>
    <row r="698" customHeight="1" spans="1:52">
      <c r="A698" s="70">
        <v>698</v>
      </c>
      <c r="B698" s="70" t="s">
        <v>2650</v>
      </c>
      <c r="C698" s="70" t="s">
        <v>374</v>
      </c>
      <c r="D698" s="71" t="s">
        <v>2651</v>
      </c>
      <c r="E698" s="71" t="s">
        <v>793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2652</v>
      </c>
      <c r="L698" s="104">
        <f t="shared" si="221"/>
        <v>46150</v>
      </c>
      <c r="M698" s="105">
        <f ca="1" t="shared" si="222"/>
        <v>-163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233"/>
        <v>0</v>
      </c>
      <c r="Z698" s="105">
        <f ca="1" t="shared" si="234"/>
        <v>-46313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231"/>
        <v>0</v>
      </c>
      <c r="AM698" s="105">
        <f ca="1" t="shared" si="232"/>
        <v>-46313</v>
      </c>
      <c r="AN698" s="115"/>
      <c r="AO698" s="115"/>
      <c r="AP698" s="115"/>
      <c r="AQ698" s="93"/>
      <c r="AR698" s="93"/>
      <c r="AS698" s="94"/>
      <c r="AT698" s="95"/>
      <c r="AU698" s="79"/>
      <c r="AV698" s="117"/>
      <c r="AW698" s="115"/>
      <c r="AX698" s="106"/>
      <c r="AY698" s="104"/>
      <c r="AZ698" s="105"/>
    </row>
    <row r="699" customHeight="1" spans="1:52">
      <c r="A699" s="70">
        <v>699</v>
      </c>
      <c r="B699" s="70" t="s">
        <v>2650</v>
      </c>
      <c r="C699" s="70" t="s">
        <v>374</v>
      </c>
      <c r="D699" s="71" t="s">
        <v>2653</v>
      </c>
      <c r="E699" s="71" t="s">
        <v>793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2654</v>
      </c>
      <c r="L699" s="104">
        <f t="shared" si="221"/>
        <v>46150</v>
      </c>
      <c r="M699" s="105">
        <f ca="1" t="shared" si="222"/>
        <v>-163</v>
      </c>
      <c r="N699" s="70"/>
      <c r="O699" s="70" t="s">
        <v>2650</v>
      </c>
      <c r="P699" s="70" t="s">
        <v>374</v>
      </c>
      <c r="Q699" s="71" t="s">
        <v>2655</v>
      </c>
      <c r="R699" s="71" t="s">
        <v>2656</v>
      </c>
      <c r="S699" s="72"/>
      <c r="T699" s="73"/>
      <c r="U699" s="79" t="s">
        <v>16</v>
      </c>
      <c r="V699" s="102">
        <v>46204</v>
      </c>
      <c r="W699" s="70">
        <v>3</v>
      </c>
      <c r="X699" s="106" t="s">
        <v>2657</v>
      </c>
      <c r="Y699" s="104">
        <f t="shared" si="233"/>
        <v>46296</v>
      </c>
      <c r="Z699" s="105">
        <f ca="1" t="shared" si="234"/>
        <v>-17</v>
      </c>
      <c r="AA699" s="70"/>
      <c r="AB699" s="70" t="s">
        <v>2650</v>
      </c>
      <c r="AC699" s="70" t="s">
        <v>374</v>
      </c>
      <c r="AD699" s="71" t="s">
        <v>2655</v>
      </c>
      <c r="AE699" s="71" t="s">
        <v>2656</v>
      </c>
      <c r="AF699" s="72"/>
      <c r="AG699" s="73"/>
      <c r="AH699" s="79" t="s">
        <v>16</v>
      </c>
      <c r="AI699" s="102">
        <v>46293</v>
      </c>
      <c r="AJ699" s="70">
        <v>3</v>
      </c>
      <c r="AK699" s="103" t="s">
        <v>2658</v>
      </c>
      <c r="AL699" s="104">
        <f t="shared" si="231"/>
        <v>46384</v>
      </c>
      <c r="AM699" s="105">
        <f ca="1" t="shared" si="232"/>
        <v>71</v>
      </c>
      <c r="AN699" s="115"/>
      <c r="AO699" s="115"/>
      <c r="AP699" s="115"/>
      <c r="AQ699" s="93"/>
      <c r="AR699" s="93"/>
      <c r="AS699" s="94"/>
      <c r="AT699" s="95"/>
      <c r="AU699" s="79"/>
      <c r="AV699" s="117"/>
      <c r="AW699" s="115"/>
      <c r="AX699" s="106"/>
      <c r="AY699" s="104"/>
      <c r="AZ699" s="105"/>
    </row>
    <row r="700" customHeight="1" spans="1:52">
      <c r="A700" s="70">
        <v>700</v>
      </c>
      <c r="B700" s="70" t="s">
        <v>2650</v>
      </c>
      <c r="C700" s="70" t="s">
        <v>374</v>
      </c>
      <c r="D700" s="71" t="s">
        <v>2655</v>
      </c>
      <c r="E700" s="71" t="s">
        <v>793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2659</v>
      </c>
      <c r="L700" s="104">
        <f t="shared" si="221"/>
        <v>46150</v>
      </c>
      <c r="M700" s="105">
        <f ca="1" t="shared" si="222"/>
        <v>-163</v>
      </c>
      <c r="N700" s="70"/>
      <c r="O700" s="70" t="s">
        <v>2650</v>
      </c>
      <c r="P700" s="70" t="s">
        <v>374</v>
      </c>
      <c r="Q700" s="71" t="s">
        <v>2653</v>
      </c>
      <c r="R700" s="71" t="s">
        <v>2656</v>
      </c>
      <c r="S700" s="72"/>
      <c r="T700" s="73"/>
      <c r="U700" s="79" t="s">
        <v>16</v>
      </c>
      <c r="V700" s="102">
        <v>46204</v>
      </c>
      <c r="W700" s="70">
        <v>3</v>
      </c>
      <c r="X700" s="106" t="s">
        <v>2660</v>
      </c>
      <c r="Y700" s="104">
        <f t="shared" si="233"/>
        <v>46296</v>
      </c>
      <c r="Z700" s="105">
        <f ca="1" t="shared" si="234"/>
        <v>-17</v>
      </c>
      <c r="AA700" s="70"/>
      <c r="AB700" s="70" t="s">
        <v>2650</v>
      </c>
      <c r="AC700" s="70" t="s">
        <v>374</v>
      </c>
      <c r="AD700" s="71" t="s">
        <v>2653</v>
      </c>
      <c r="AE700" s="71" t="s">
        <v>2656</v>
      </c>
      <c r="AF700" s="72"/>
      <c r="AG700" s="73"/>
      <c r="AH700" s="79" t="s">
        <v>16</v>
      </c>
      <c r="AI700" s="102">
        <v>46293</v>
      </c>
      <c r="AJ700" s="70">
        <v>3</v>
      </c>
      <c r="AK700" s="103" t="s">
        <v>2661</v>
      </c>
      <c r="AL700" s="104">
        <f t="shared" si="231"/>
        <v>46384</v>
      </c>
      <c r="AM700" s="105">
        <f ca="1" t="shared" si="232"/>
        <v>71</v>
      </c>
      <c r="AN700" s="115"/>
      <c r="AO700" s="115"/>
      <c r="AP700" s="115"/>
      <c r="AQ700" s="93"/>
      <c r="AR700" s="93"/>
      <c r="AS700" s="94"/>
      <c r="AT700" s="95"/>
      <c r="AU700" s="79"/>
      <c r="AV700" s="117"/>
      <c r="AW700" s="115"/>
      <c r="AX700" s="106"/>
      <c r="AY700" s="104"/>
      <c r="AZ700" s="105"/>
    </row>
    <row r="701" customHeight="1" spans="1:52">
      <c r="A701" s="70">
        <v>701</v>
      </c>
      <c r="B701" s="70" t="s">
        <v>2662</v>
      </c>
      <c r="C701" s="70" t="s">
        <v>374</v>
      </c>
      <c r="D701" s="71" t="s">
        <v>2663</v>
      </c>
      <c r="E701" s="71" t="s">
        <v>680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2664</v>
      </c>
      <c r="L701" s="104">
        <f t="shared" si="221"/>
        <v>46150</v>
      </c>
      <c r="M701" s="105">
        <f ca="1" t="shared" si="222"/>
        <v>-163</v>
      </c>
      <c r="N701" s="70"/>
      <c r="O701" s="70" t="s">
        <v>2662</v>
      </c>
      <c r="P701" s="70" t="s">
        <v>374</v>
      </c>
      <c r="Q701" s="71" t="s">
        <v>2663</v>
      </c>
      <c r="R701" s="71" t="s">
        <v>680</v>
      </c>
      <c r="S701" s="72"/>
      <c r="T701" s="73"/>
      <c r="U701" s="74" t="s">
        <v>16</v>
      </c>
      <c r="V701" s="199">
        <v>46178</v>
      </c>
      <c r="W701" s="70">
        <v>3</v>
      </c>
      <c r="X701" s="103" t="s">
        <v>2665</v>
      </c>
      <c r="Y701" s="104">
        <f t="shared" si="233"/>
        <v>46270</v>
      </c>
      <c r="Z701" s="105">
        <f ca="1" t="shared" si="234"/>
        <v>-43</v>
      </c>
      <c r="AA701" s="70"/>
      <c r="AB701" s="70" t="s">
        <v>2662</v>
      </c>
      <c r="AC701" s="70" t="s">
        <v>374</v>
      </c>
      <c r="AD701" s="71" t="s">
        <v>2663</v>
      </c>
      <c r="AE701" s="71" t="s">
        <v>680</v>
      </c>
      <c r="AF701" s="72"/>
      <c r="AG701" s="73"/>
      <c r="AH701" s="74" t="s">
        <v>16</v>
      </c>
      <c r="AI701" s="102">
        <v>46306</v>
      </c>
      <c r="AJ701" s="70">
        <v>3</v>
      </c>
      <c r="AK701" s="103"/>
      <c r="AL701" s="104">
        <f t="shared" ref="AL701:AL708" si="235">EDATE(AI701,AJ701)</f>
        <v>46398</v>
      </c>
      <c r="AM701" s="105">
        <f ca="1" t="shared" ref="AM701:AM708" si="236">AL701-TODAY()</f>
        <v>85</v>
      </c>
      <c r="AN701" s="115"/>
      <c r="AO701" s="115"/>
      <c r="AP701" s="115"/>
      <c r="AQ701" s="93"/>
      <c r="AR701" s="93"/>
      <c r="AS701" s="94"/>
      <c r="AT701" s="95"/>
      <c r="AU701" s="79"/>
      <c r="AV701" s="117"/>
      <c r="AW701" s="115"/>
      <c r="AX701" s="106"/>
      <c r="AY701" s="104"/>
      <c r="AZ701" s="105"/>
    </row>
    <row r="702" customHeight="1" spans="1:52">
      <c r="A702" s="70">
        <v>702</v>
      </c>
      <c r="B702" s="70" t="s">
        <v>751</v>
      </c>
      <c r="C702" s="70" t="s">
        <v>374</v>
      </c>
      <c r="D702" s="71" t="s">
        <v>2666</v>
      </c>
      <c r="E702" s="71" t="s">
        <v>2667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2668</v>
      </c>
      <c r="L702" s="104">
        <f t="shared" si="221"/>
        <v>46150</v>
      </c>
      <c r="M702" s="105">
        <f ca="1" t="shared" si="222"/>
        <v>-163</v>
      </c>
      <c r="N702" s="70"/>
      <c r="O702" s="70" t="s">
        <v>751</v>
      </c>
      <c r="P702" s="70" t="s">
        <v>374</v>
      </c>
      <c r="Q702" s="71" t="s">
        <v>2666</v>
      </c>
      <c r="R702" s="71" t="s">
        <v>2667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2669</v>
      </c>
      <c r="Y702" s="104">
        <f t="shared" si="233"/>
        <v>46256</v>
      </c>
      <c r="Z702" s="105">
        <f ca="1" t="shared" si="234"/>
        <v>-57</v>
      </c>
      <c r="AA702" s="70"/>
      <c r="AB702" s="70" t="s">
        <v>751</v>
      </c>
      <c r="AC702" s="70" t="s">
        <v>374</v>
      </c>
      <c r="AD702" s="71" t="s">
        <v>2666</v>
      </c>
      <c r="AE702" s="71" t="s">
        <v>2667</v>
      </c>
      <c r="AF702" s="72"/>
      <c r="AG702" s="73"/>
      <c r="AH702" s="74" t="s">
        <v>16</v>
      </c>
      <c r="AI702" s="102">
        <v>46268</v>
      </c>
      <c r="AJ702" s="70">
        <v>3</v>
      </c>
      <c r="AK702" s="103" t="s">
        <v>2670</v>
      </c>
      <c r="AL702" s="104">
        <f t="shared" si="235"/>
        <v>46359</v>
      </c>
      <c r="AM702" s="105">
        <f ca="1" t="shared" si="236"/>
        <v>46</v>
      </c>
      <c r="AN702" s="115"/>
      <c r="AO702" s="115"/>
      <c r="AP702" s="115"/>
      <c r="AQ702" s="93"/>
      <c r="AR702" s="93"/>
      <c r="AS702" s="94"/>
      <c r="AT702" s="95"/>
      <c r="AU702" s="79"/>
      <c r="AV702" s="117"/>
      <c r="AW702" s="115"/>
      <c r="AX702" s="106"/>
      <c r="AY702" s="104"/>
      <c r="AZ702" s="105"/>
    </row>
    <row r="703" customHeight="1" spans="1:52">
      <c r="A703" s="70">
        <v>703</v>
      </c>
      <c r="B703" s="70" t="s">
        <v>751</v>
      </c>
      <c r="C703" s="70" t="s">
        <v>374</v>
      </c>
      <c r="D703" s="71" t="s">
        <v>2671</v>
      </c>
      <c r="E703" s="71" t="s">
        <v>2667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2672</v>
      </c>
      <c r="L703" s="104">
        <f t="shared" si="221"/>
        <v>46150</v>
      </c>
      <c r="M703" s="105">
        <f ca="1" t="shared" si="222"/>
        <v>-163</v>
      </c>
      <c r="N703" s="70"/>
      <c r="O703" s="70" t="s">
        <v>751</v>
      </c>
      <c r="P703" s="70" t="s">
        <v>374</v>
      </c>
      <c r="Q703" s="71" t="s">
        <v>2671</v>
      </c>
      <c r="R703" s="71" t="s">
        <v>2667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2673</v>
      </c>
      <c r="Y703" s="104">
        <f t="shared" si="233"/>
        <v>46256</v>
      </c>
      <c r="Z703" s="105">
        <f ca="1" t="shared" si="234"/>
        <v>-57</v>
      </c>
      <c r="AA703" s="70"/>
      <c r="AB703" s="70" t="s">
        <v>751</v>
      </c>
      <c r="AC703" s="70" t="s">
        <v>374</v>
      </c>
      <c r="AD703" s="71" t="s">
        <v>2671</v>
      </c>
      <c r="AE703" s="71" t="s">
        <v>2667</v>
      </c>
      <c r="AF703" s="72"/>
      <c r="AG703" s="73"/>
      <c r="AH703" s="74" t="s">
        <v>16</v>
      </c>
      <c r="AI703" s="102">
        <v>46269</v>
      </c>
      <c r="AJ703" s="70">
        <v>3</v>
      </c>
      <c r="AK703" s="103" t="s">
        <v>2674</v>
      </c>
      <c r="AL703" s="104">
        <f t="shared" si="235"/>
        <v>46360</v>
      </c>
      <c r="AM703" s="105">
        <f ca="1" t="shared" si="236"/>
        <v>47</v>
      </c>
      <c r="AN703" s="115"/>
      <c r="AO703" s="115"/>
      <c r="AP703" s="115"/>
      <c r="AQ703" s="93"/>
      <c r="AR703" s="93"/>
      <c r="AS703" s="94"/>
      <c r="AT703" s="95"/>
      <c r="AU703" s="79"/>
      <c r="AV703" s="117"/>
      <c r="AW703" s="115"/>
      <c r="AX703" s="106"/>
      <c r="AY703" s="104"/>
      <c r="AZ703" s="105"/>
    </row>
    <row r="704" customHeight="1" spans="1:52">
      <c r="A704" s="70">
        <v>704</v>
      </c>
      <c r="B704" s="70" t="s">
        <v>751</v>
      </c>
      <c r="C704" s="70" t="s">
        <v>374</v>
      </c>
      <c r="D704" s="71" t="s">
        <v>2675</v>
      </c>
      <c r="E704" s="71" t="s">
        <v>2667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2676</v>
      </c>
      <c r="L704" s="104">
        <f t="shared" si="221"/>
        <v>46150</v>
      </c>
      <c r="M704" s="105">
        <f ca="1" t="shared" si="222"/>
        <v>-163</v>
      </c>
      <c r="N704" s="70"/>
      <c r="O704" s="70" t="s">
        <v>751</v>
      </c>
      <c r="P704" s="70" t="s">
        <v>374</v>
      </c>
      <c r="Q704" s="71" t="s">
        <v>2675</v>
      </c>
      <c r="R704" s="71" t="s">
        <v>2667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2677</v>
      </c>
      <c r="Y704" s="104">
        <f t="shared" si="233"/>
        <v>46256</v>
      </c>
      <c r="Z704" s="105">
        <f ca="1" t="shared" si="234"/>
        <v>-57</v>
      </c>
      <c r="AA704" s="70"/>
      <c r="AB704" s="70" t="s">
        <v>751</v>
      </c>
      <c r="AC704" s="70" t="s">
        <v>374</v>
      </c>
      <c r="AD704" s="71" t="s">
        <v>2675</v>
      </c>
      <c r="AE704" s="71" t="s">
        <v>2667</v>
      </c>
      <c r="AF704" s="72"/>
      <c r="AG704" s="73"/>
      <c r="AH704" s="74" t="s">
        <v>16</v>
      </c>
      <c r="AI704" s="102">
        <v>46269</v>
      </c>
      <c r="AJ704" s="70">
        <v>3</v>
      </c>
      <c r="AK704" s="103" t="s">
        <v>2678</v>
      </c>
      <c r="AL704" s="104">
        <f t="shared" si="235"/>
        <v>46360</v>
      </c>
      <c r="AM704" s="105">
        <f ca="1" t="shared" si="236"/>
        <v>47</v>
      </c>
      <c r="AN704" s="115"/>
      <c r="AO704" s="115"/>
      <c r="AP704" s="115"/>
      <c r="AQ704" s="93"/>
      <c r="AR704" s="93"/>
      <c r="AS704" s="94"/>
      <c r="AT704" s="95"/>
      <c r="AU704" s="79"/>
      <c r="AV704" s="117"/>
      <c r="AW704" s="115"/>
      <c r="AX704" s="106"/>
      <c r="AY704" s="104"/>
      <c r="AZ704" s="105"/>
    </row>
    <row r="705" customHeight="1" spans="1:52">
      <c r="A705" s="70">
        <v>705</v>
      </c>
      <c r="B705" s="70" t="s">
        <v>74</v>
      </c>
      <c r="C705" s="70" t="s">
        <v>38</v>
      </c>
      <c r="D705" s="71" t="s">
        <v>2679</v>
      </c>
      <c r="E705" s="71" t="s">
        <v>189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2680</v>
      </c>
      <c r="L705" s="104">
        <f t="shared" ref="L705:L768" si="237">EDATE(I705,J705)</f>
        <v>46150</v>
      </c>
      <c r="M705" s="105">
        <f ca="1" t="shared" ref="M705:M768" si="238">L705-TODAY()</f>
        <v>-163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233"/>
        <v>0</v>
      </c>
      <c r="Z705" s="105">
        <f ca="1" t="shared" si="234"/>
        <v>-46313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235"/>
        <v>0</v>
      </c>
      <c r="AM705" s="105">
        <f ca="1" t="shared" si="236"/>
        <v>-46313</v>
      </c>
      <c r="AN705" s="115"/>
      <c r="AO705" s="115"/>
      <c r="AP705" s="115"/>
      <c r="AQ705" s="93"/>
      <c r="AR705" s="93"/>
      <c r="AS705" s="94"/>
      <c r="AT705" s="95"/>
      <c r="AU705" s="79"/>
      <c r="AV705" s="117"/>
      <c r="AW705" s="115"/>
      <c r="AX705" s="106"/>
      <c r="AY705" s="104"/>
      <c r="AZ705" s="105"/>
    </row>
    <row r="706" customHeight="1" spans="1:52">
      <c r="A706" s="70">
        <v>706</v>
      </c>
      <c r="B706" s="70" t="s">
        <v>2681</v>
      </c>
      <c r="C706" s="70" t="s">
        <v>38</v>
      </c>
      <c r="D706" s="71" t="s">
        <v>2682</v>
      </c>
      <c r="E706" s="71" t="s">
        <v>332</v>
      </c>
      <c r="F706" s="72"/>
      <c r="G706" s="73"/>
      <c r="H706" s="75"/>
      <c r="I706" s="102">
        <v>46061</v>
      </c>
      <c r="J706" s="70">
        <v>3</v>
      </c>
      <c r="K706" s="106" t="s">
        <v>2683</v>
      </c>
      <c r="L706" s="104">
        <f t="shared" si="237"/>
        <v>46150</v>
      </c>
      <c r="M706" s="105">
        <f ca="1" t="shared" si="238"/>
        <v>-163</v>
      </c>
      <c r="N706" s="70"/>
      <c r="O706" s="70" t="s">
        <v>2681</v>
      </c>
      <c r="P706" s="70" t="s">
        <v>38</v>
      </c>
      <c r="Q706" s="71" t="s">
        <v>2682</v>
      </c>
      <c r="R706" s="71" t="s">
        <v>332</v>
      </c>
      <c r="S706" s="72"/>
      <c r="T706" s="73"/>
      <c r="U706" s="75"/>
      <c r="V706" s="102">
        <v>46164</v>
      </c>
      <c r="W706" s="70">
        <v>3</v>
      </c>
      <c r="X706" s="103" t="s">
        <v>2684</v>
      </c>
      <c r="Y706" s="104">
        <f t="shared" si="233"/>
        <v>46256</v>
      </c>
      <c r="Z706" s="105">
        <f ca="1" t="shared" si="234"/>
        <v>-57</v>
      </c>
      <c r="AA706" s="70"/>
      <c r="AB706" s="70" t="s">
        <v>2681</v>
      </c>
      <c r="AC706" s="70" t="s">
        <v>38</v>
      </c>
      <c r="AD706" s="71" t="s">
        <v>2682</v>
      </c>
      <c r="AE706" s="71" t="s">
        <v>332</v>
      </c>
      <c r="AF706" s="72"/>
      <c r="AG706" s="73"/>
      <c r="AH706" s="75"/>
      <c r="AI706" s="102">
        <v>46269</v>
      </c>
      <c r="AJ706" s="70">
        <v>3</v>
      </c>
      <c r="AK706" s="103" t="s">
        <v>2685</v>
      </c>
      <c r="AL706" s="104">
        <f t="shared" si="235"/>
        <v>46360</v>
      </c>
      <c r="AM706" s="105">
        <f ca="1" t="shared" si="236"/>
        <v>47</v>
      </c>
      <c r="AN706" s="115"/>
      <c r="AO706" s="115"/>
      <c r="AP706" s="115"/>
      <c r="AQ706" s="93"/>
      <c r="AR706" s="93"/>
      <c r="AS706" s="94"/>
      <c r="AT706" s="95"/>
      <c r="AU706" s="79"/>
      <c r="AV706" s="117"/>
      <c r="AW706" s="115"/>
      <c r="AX706" s="106"/>
      <c r="AY706" s="104"/>
      <c r="AZ706" s="105"/>
    </row>
    <row r="707" customHeight="1" spans="1:52">
      <c r="A707" s="70">
        <v>707</v>
      </c>
      <c r="B707" s="70" t="s">
        <v>685</v>
      </c>
      <c r="C707" s="70" t="s">
        <v>38</v>
      </c>
      <c r="D707" s="71" t="s">
        <v>2686</v>
      </c>
      <c r="E707" s="71" t="s">
        <v>589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2687</v>
      </c>
      <c r="L707" s="104">
        <f t="shared" si="237"/>
        <v>46150</v>
      </c>
      <c r="M707" s="105">
        <f ca="1" t="shared" si="238"/>
        <v>-163</v>
      </c>
      <c r="N707" s="70"/>
      <c r="O707" s="70" t="s">
        <v>685</v>
      </c>
      <c r="P707" s="70" t="s">
        <v>38</v>
      </c>
      <c r="Q707" s="71" t="s">
        <v>2686</v>
      </c>
      <c r="R707" s="71" t="s">
        <v>589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2688</v>
      </c>
      <c r="Y707" s="104">
        <f t="shared" si="233"/>
        <v>46326</v>
      </c>
      <c r="Z707" s="105">
        <f ca="1" t="shared" si="234"/>
        <v>13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235"/>
        <v>0</v>
      </c>
      <c r="AM707" s="105">
        <f ca="1" t="shared" si="236"/>
        <v>-46313</v>
      </c>
      <c r="AN707" s="115"/>
      <c r="AO707" s="115"/>
      <c r="AP707" s="115"/>
      <c r="AQ707" s="93"/>
      <c r="AR707" s="93"/>
      <c r="AS707" s="94"/>
      <c r="AT707" s="95"/>
      <c r="AU707" s="79"/>
      <c r="AV707" s="117"/>
      <c r="AW707" s="115"/>
      <c r="AX707" s="106"/>
      <c r="AY707" s="104"/>
      <c r="AZ707" s="105"/>
    </row>
    <row r="708" customHeight="1" spans="1:52">
      <c r="A708" s="70">
        <v>708</v>
      </c>
      <c r="B708" s="70" t="s">
        <v>55</v>
      </c>
      <c r="C708" s="70" t="s">
        <v>13</v>
      </c>
      <c r="D708" s="71" t="s">
        <v>2689</v>
      </c>
      <c r="E708" s="71" t="s">
        <v>2690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2691</v>
      </c>
      <c r="L708" s="104">
        <f t="shared" si="237"/>
        <v>46150</v>
      </c>
      <c r="M708" s="105">
        <f ca="1" t="shared" si="238"/>
        <v>-163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233"/>
        <v>0</v>
      </c>
      <c r="Z708" s="105">
        <f ca="1" t="shared" si="234"/>
        <v>-46313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235"/>
        <v>0</v>
      </c>
      <c r="AM708" s="105">
        <f ca="1" t="shared" si="236"/>
        <v>-46313</v>
      </c>
      <c r="AN708" s="115"/>
      <c r="AO708" s="115"/>
      <c r="AP708" s="115"/>
      <c r="AQ708" s="93"/>
      <c r="AR708" s="93"/>
      <c r="AS708" s="94"/>
      <c r="AT708" s="95"/>
      <c r="AU708" s="79"/>
      <c r="AV708" s="117"/>
      <c r="AW708" s="115"/>
      <c r="AX708" s="106"/>
      <c r="AY708" s="104"/>
      <c r="AZ708" s="105"/>
    </row>
    <row r="709" customHeight="1" spans="1:52">
      <c r="A709" s="70">
        <v>709</v>
      </c>
      <c r="B709" s="70" t="s">
        <v>74</v>
      </c>
      <c r="C709" s="70" t="s">
        <v>13</v>
      </c>
      <c r="D709" s="71" t="s">
        <v>2692</v>
      </c>
      <c r="E709" s="71" t="s">
        <v>76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2693</v>
      </c>
      <c r="L709" s="104">
        <f t="shared" si="237"/>
        <v>46150</v>
      </c>
      <c r="M709" s="105">
        <f ca="1" t="shared" si="238"/>
        <v>-163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233"/>
        <v>0</v>
      </c>
      <c r="Z709" s="105">
        <f ca="1" t="shared" si="234"/>
        <v>-46313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5"/>
      <c r="AO709" s="115"/>
      <c r="AP709" s="115"/>
      <c r="AQ709" s="93"/>
      <c r="AR709" s="93"/>
      <c r="AS709" s="94"/>
      <c r="AT709" s="95"/>
      <c r="AU709" s="79"/>
      <c r="AV709" s="117"/>
      <c r="AW709" s="115"/>
      <c r="AX709" s="106"/>
      <c r="AY709" s="104"/>
      <c r="AZ709" s="105"/>
    </row>
    <row r="710" customHeight="1" spans="1:52">
      <c r="A710" s="70">
        <v>710</v>
      </c>
      <c r="B710" s="70" t="s">
        <v>263</v>
      </c>
      <c r="C710" s="70" t="s">
        <v>264</v>
      </c>
      <c r="D710" s="71" t="s">
        <v>955</v>
      </c>
      <c r="E710" s="71" t="s">
        <v>764</v>
      </c>
      <c r="F710" s="72"/>
      <c r="G710" s="73"/>
      <c r="H710" s="75"/>
      <c r="I710" s="102">
        <v>46061</v>
      </c>
      <c r="J710" s="102" t="s">
        <v>767</v>
      </c>
      <c r="K710" s="106"/>
      <c r="L710" s="104" t="e">
        <f t="shared" si="237"/>
        <v>#VALUE!</v>
      </c>
      <c r="M710" s="105" t="e">
        <f ca="1" t="shared" si="238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233"/>
        <v>0</v>
      </c>
      <c r="Z710" s="105">
        <f ca="1" t="shared" si="234"/>
        <v>-46313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5"/>
      <c r="AO710" s="115"/>
      <c r="AP710" s="115"/>
      <c r="AQ710" s="93"/>
      <c r="AR710" s="93"/>
      <c r="AS710" s="94"/>
      <c r="AT710" s="95"/>
      <c r="AU710" s="79"/>
      <c r="AV710" s="117"/>
      <c r="AW710" s="115"/>
      <c r="AX710" s="106"/>
      <c r="AY710" s="104"/>
      <c r="AZ710" s="105"/>
    </row>
    <row r="711" customHeight="1" spans="1:52">
      <c r="A711" s="70">
        <v>711</v>
      </c>
      <c r="B711" s="70" t="s">
        <v>263</v>
      </c>
      <c r="C711" s="70" t="s">
        <v>264</v>
      </c>
      <c r="D711" s="71" t="s">
        <v>955</v>
      </c>
      <c r="E711" s="71" t="s">
        <v>753</v>
      </c>
      <c r="F711" s="72"/>
      <c r="G711" s="73"/>
      <c r="H711" s="75"/>
      <c r="I711" s="102">
        <v>46061</v>
      </c>
      <c r="J711" s="102" t="s">
        <v>767</v>
      </c>
      <c r="K711" s="106"/>
      <c r="L711" s="104" t="e">
        <f t="shared" si="237"/>
        <v>#VALUE!</v>
      </c>
      <c r="M711" s="105" t="e">
        <f ca="1" t="shared" si="238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233"/>
        <v>0</v>
      </c>
      <c r="Z711" s="105">
        <f ca="1" t="shared" si="234"/>
        <v>-46313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5"/>
      <c r="AO711" s="115"/>
      <c r="AP711" s="115"/>
      <c r="AQ711" s="93"/>
      <c r="AR711" s="93"/>
      <c r="AS711" s="94"/>
      <c r="AT711" s="95"/>
      <c r="AU711" s="79"/>
      <c r="AV711" s="117"/>
      <c r="AW711" s="115"/>
      <c r="AX711" s="106"/>
      <c r="AY711" s="104"/>
      <c r="AZ711" s="105"/>
    </row>
    <row r="712" customHeight="1" spans="1:52">
      <c r="A712" s="70">
        <v>712</v>
      </c>
      <c r="B712" s="70" t="s">
        <v>295</v>
      </c>
      <c r="C712" s="70" t="s">
        <v>264</v>
      </c>
      <c r="D712" s="71" t="s">
        <v>2694</v>
      </c>
      <c r="E712" s="71" t="s">
        <v>1707</v>
      </c>
      <c r="F712" s="72"/>
      <c r="G712" s="73"/>
      <c r="H712" s="75"/>
      <c r="I712" s="102">
        <v>46061</v>
      </c>
      <c r="J712" s="70">
        <v>3</v>
      </c>
      <c r="K712" s="106" t="s">
        <v>2695</v>
      </c>
      <c r="L712" s="104">
        <f t="shared" si="237"/>
        <v>46150</v>
      </c>
      <c r="M712" s="105">
        <f ca="1" t="shared" si="238"/>
        <v>-163</v>
      </c>
      <c r="N712" s="70"/>
      <c r="O712" s="70" t="s">
        <v>295</v>
      </c>
      <c r="P712" s="70" t="s">
        <v>264</v>
      </c>
      <c r="Q712" s="71" t="s">
        <v>2694</v>
      </c>
      <c r="R712" s="71" t="s">
        <v>1707</v>
      </c>
      <c r="S712" s="72"/>
      <c r="T712" s="73"/>
      <c r="U712" s="75"/>
      <c r="V712" s="102">
        <v>46138</v>
      </c>
      <c r="W712" s="70">
        <v>3</v>
      </c>
      <c r="X712" s="103" t="s">
        <v>2696</v>
      </c>
      <c r="Y712" s="104">
        <f t="shared" si="233"/>
        <v>46229</v>
      </c>
      <c r="Z712" s="105">
        <f ca="1" t="shared" si="234"/>
        <v>-84</v>
      </c>
      <c r="AA712" s="70"/>
      <c r="AB712" s="70" t="s">
        <v>295</v>
      </c>
      <c r="AC712" s="70" t="s">
        <v>264</v>
      </c>
      <c r="AD712" s="71" t="s">
        <v>2694</v>
      </c>
      <c r="AE712" s="71" t="s">
        <v>1707</v>
      </c>
      <c r="AF712" s="72"/>
      <c r="AG712" s="73"/>
      <c r="AH712" s="75"/>
      <c r="AI712" s="102">
        <v>46217</v>
      </c>
      <c r="AJ712" s="70">
        <v>3</v>
      </c>
      <c r="AK712" s="103" t="s">
        <v>2697</v>
      </c>
      <c r="AL712" s="104">
        <f t="shared" ref="AL712:AL749" si="239">EDATE(AI712,AJ712)</f>
        <v>46309</v>
      </c>
      <c r="AM712" s="105">
        <f ca="1" t="shared" ref="AM712:AM749" si="240">AL712-TODAY()</f>
        <v>-4</v>
      </c>
      <c r="AN712" s="115"/>
      <c r="AO712" s="70" t="s">
        <v>295</v>
      </c>
      <c r="AP712" s="70" t="s">
        <v>264</v>
      </c>
      <c r="AQ712" s="71" t="s">
        <v>2694</v>
      </c>
      <c r="AR712" s="71" t="s">
        <v>1707</v>
      </c>
      <c r="AS712" s="72"/>
      <c r="AT712" s="73"/>
      <c r="AU712" s="75"/>
      <c r="AV712" s="102">
        <v>46305</v>
      </c>
      <c r="AW712" s="70">
        <v>3</v>
      </c>
      <c r="AX712" s="106"/>
      <c r="AY712" s="104">
        <f t="shared" ref="AY712:AY735" si="241">EDATE(AV712,AW712)</f>
        <v>46397</v>
      </c>
      <c r="AZ712" s="105">
        <f ca="1" t="shared" ref="AZ712:AZ735" si="242">AY712-TODAY()</f>
        <v>84</v>
      </c>
    </row>
    <row r="713" customHeight="1" spans="1:52">
      <c r="A713" s="70">
        <v>713</v>
      </c>
      <c r="B713" s="70" t="s">
        <v>1918</v>
      </c>
      <c r="C713" s="70" t="s">
        <v>264</v>
      </c>
      <c r="D713" s="71" t="s">
        <v>955</v>
      </c>
      <c r="E713" s="71" t="s">
        <v>764</v>
      </c>
      <c r="F713" s="72"/>
      <c r="G713" s="73"/>
      <c r="H713" s="75"/>
      <c r="I713" s="102">
        <v>46061</v>
      </c>
      <c r="J713" s="102" t="s">
        <v>767</v>
      </c>
      <c r="K713" s="106"/>
      <c r="L713" s="104" t="e">
        <f t="shared" si="237"/>
        <v>#VALUE!</v>
      </c>
      <c r="M713" s="105" t="e">
        <f ca="1" t="shared" si="238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243">EDATE(V713,W713)</f>
        <v>0</v>
      </c>
      <c r="Z713" s="105">
        <f ca="1" t="shared" ref="Z712:Z753" si="244">Y713-TODAY()</f>
        <v>-46313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239"/>
        <v>0</v>
      </c>
      <c r="AM713" s="105">
        <f ca="1" t="shared" si="240"/>
        <v>-46313</v>
      </c>
      <c r="AN713" s="115"/>
      <c r="AO713" s="115"/>
      <c r="AP713" s="115"/>
      <c r="AQ713" s="93"/>
      <c r="AR713" s="93"/>
      <c r="AS713" s="94"/>
      <c r="AT713" s="95"/>
      <c r="AU713" s="79"/>
      <c r="AV713" s="117"/>
      <c r="AW713" s="115"/>
      <c r="AX713" s="106"/>
      <c r="AY713" s="104">
        <f t="shared" si="241"/>
        <v>0</v>
      </c>
      <c r="AZ713" s="105">
        <f ca="1" t="shared" si="242"/>
        <v>-46313</v>
      </c>
    </row>
    <row r="714" customHeight="1" spans="1:52">
      <c r="A714" s="70">
        <v>714</v>
      </c>
      <c r="B714" s="70" t="s">
        <v>648</v>
      </c>
      <c r="C714" s="70" t="s">
        <v>264</v>
      </c>
      <c r="D714" s="71" t="s">
        <v>2371</v>
      </c>
      <c r="E714" s="71" t="s">
        <v>2372</v>
      </c>
      <c r="F714" s="72"/>
      <c r="G714" s="73"/>
      <c r="H714" s="75"/>
      <c r="I714" s="102">
        <v>46061</v>
      </c>
      <c r="J714" s="102" t="s">
        <v>767</v>
      </c>
      <c r="K714" s="106" t="s">
        <v>2698</v>
      </c>
      <c r="L714" s="104" t="e">
        <f t="shared" si="237"/>
        <v>#VALUE!</v>
      </c>
      <c r="M714" s="105" t="e">
        <f ca="1" t="shared" si="238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243"/>
        <v>0</v>
      </c>
      <c r="Z714" s="105">
        <f ca="1" t="shared" si="244"/>
        <v>-46313</v>
      </c>
      <c r="AA714" s="70"/>
      <c r="AB714" s="70"/>
      <c r="AC714" s="70"/>
      <c r="AD714" s="71"/>
      <c r="AE714" s="71"/>
      <c r="AF714" s="72"/>
      <c r="AG714" s="73"/>
      <c r="AH714" s="199"/>
      <c r="AI714" s="102"/>
      <c r="AJ714" s="70"/>
      <c r="AK714" s="103"/>
      <c r="AL714" s="104">
        <f t="shared" si="239"/>
        <v>0</v>
      </c>
      <c r="AM714" s="105">
        <f ca="1" t="shared" si="240"/>
        <v>-46313</v>
      </c>
      <c r="AN714" s="115"/>
      <c r="AO714" s="115"/>
      <c r="AP714" s="115"/>
      <c r="AQ714" s="93"/>
      <c r="AR714" s="93"/>
      <c r="AS714" s="94"/>
      <c r="AT714" s="95"/>
      <c r="AU714" s="119"/>
      <c r="AV714" s="117"/>
      <c r="AW714" s="115"/>
      <c r="AX714" s="106"/>
      <c r="AY714" s="104">
        <f t="shared" si="241"/>
        <v>0</v>
      </c>
      <c r="AZ714" s="105">
        <f ca="1" t="shared" si="242"/>
        <v>-46313</v>
      </c>
    </row>
    <row r="715" customHeight="1" spans="1:52">
      <c r="A715" s="70">
        <v>715</v>
      </c>
      <c r="B715" s="70" t="s">
        <v>648</v>
      </c>
      <c r="C715" s="70" t="s">
        <v>264</v>
      </c>
      <c r="D715" s="71" t="s">
        <v>2699</v>
      </c>
      <c r="E715" s="71" t="s">
        <v>2700</v>
      </c>
      <c r="F715" s="72"/>
      <c r="G715" s="73"/>
      <c r="H715" s="75"/>
      <c r="I715" s="102">
        <v>46061</v>
      </c>
      <c r="J715" s="70">
        <v>3</v>
      </c>
      <c r="K715" s="106" t="s">
        <v>2701</v>
      </c>
      <c r="L715" s="104">
        <f t="shared" si="237"/>
        <v>46150</v>
      </c>
      <c r="M715" s="105">
        <f ca="1" t="shared" si="238"/>
        <v>-163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243"/>
        <v>0</v>
      </c>
      <c r="Z715" s="105">
        <f ca="1" t="shared" si="244"/>
        <v>-46313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239"/>
        <v>0</v>
      </c>
      <c r="AM715" s="105">
        <f ca="1" t="shared" si="240"/>
        <v>-46313</v>
      </c>
      <c r="AN715" s="115"/>
      <c r="AO715" s="115"/>
      <c r="AP715" s="115"/>
      <c r="AQ715" s="93"/>
      <c r="AR715" s="93"/>
      <c r="AS715" s="94"/>
      <c r="AT715" s="95"/>
      <c r="AU715" s="79"/>
      <c r="AV715" s="117"/>
      <c r="AW715" s="115"/>
      <c r="AX715" s="106"/>
      <c r="AY715" s="104">
        <f t="shared" si="241"/>
        <v>0</v>
      </c>
      <c r="AZ715" s="105">
        <f ca="1" t="shared" si="242"/>
        <v>-46313</v>
      </c>
    </row>
    <row r="716" customHeight="1" spans="1:52">
      <c r="A716" s="70">
        <v>716</v>
      </c>
      <c r="B716" s="70" t="s">
        <v>644</v>
      </c>
      <c r="C716" s="70" t="s">
        <v>264</v>
      </c>
      <c r="D716" s="71" t="s">
        <v>265</v>
      </c>
      <c r="E716" s="71" t="s">
        <v>753</v>
      </c>
      <c r="F716" s="72"/>
      <c r="G716" s="73"/>
      <c r="H716" s="75"/>
      <c r="I716" s="102">
        <v>46061</v>
      </c>
      <c r="J716" s="102" t="s">
        <v>767</v>
      </c>
      <c r="K716" s="106"/>
      <c r="L716" s="104" t="e">
        <f t="shared" si="237"/>
        <v>#VALUE!</v>
      </c>
      <c r="M716" s="105" t="e">
        <f ca="1" t="shared" si="238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243"/>
        <v>0</v>
      </c>
      <c r="Z716" s="105">
        <f ca="1" t="shared" si="244"/>
        <v>-46313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239"/>
        <v>0</v>
      </c>
      <c r="AM716" s="105">
        <f ca="1" t="shared" si="240"/>
        <v>-46313</v>
      </c>
      <c r="AN716" s="115"/>
      <c r="AO716" s="115"/>
      <c r="AP716" s="115"/>
      <c r="AQ716" s="93"/>
      <c r="AR716" s="93"/>
      <c r="AS716" s="94"/>
      <c r="AT716" s="95"/>
      <c r="AU716" s="79"/>
      <c r="AV716" s="117"/>
      <c r="AW716" s="115"/>
      <c r="AX716" s="106"/>
      <c r="AY716" s="104">
        <f t="shared" si="241"/>
        <v>0</v>
      </c>
      <c r="AZ716" s="105">
        <f ca="1" t="shared" si="242"/>
        <v>-46313</v>
      </c>
    </row>
    <row r="717" customHeight="1" spans="1:52">
      <c r="A717" s="70">
        <v>717</v>
      </c>
      <c r="B717" s="70" t="s">
        <v>1238</v>
      </c>
      <c r="C717" s="70" t="s">
        <v>264</v>
      </c>
      <c r="D717" s="71" t="s">
        <v>2702</v>
      </c>
      <c r="E717" s="71" t="s">
        <v>364</v>
      </c>
      <c r="F717" s="72"/>
      <c r="G717" s="73"/>
      <c r="H717" s="75"/>
      <c r="I717" s="102">
        <v>46061</v>
      </c>
      <c r="J717" s="70">
        <v>3</v>
      </c>
      <c r="K717" s="106" t="s">
        <v>2703</v>
      </c>
      <c r="L717" s="104">
        <f t="shared" si="237"/>
        <v>46150</v>
      </c>
      <c r="M717" s="105">
        <f ca="1" t="shared" si="238"/>
        <v>-163</v>
      </c>
      <c r="N717" s="70"/>
      <c r="O717" s="70" t="s">
        <v>1238</v>
      </c>
      <c r="P717" s="70" t="s">
        <v>264</v>
      </c>
      <c r="Q717" s="71" t="s">
        <v>2702</v>
      </c>
      <c r="R717" s="71" t="s">
        <v>364</v>
      </c>
      <c r="S717" s="72"/>
      <c r="T717" s="73"/>
      <c r="U717" s="75"/>
      <c r="V717" s="102">
        <v>46139</v>
      </c>
      <c r="W717" s="70">
        <v>3</v>
      </c>
      <c r="X717" s="103" t="s">
        <v>2704</v>
      </c>
      <c r="Y717" s="104">
        <f t="shared" si="243"/>
        <v>46230</v>
      </c>
      <c r="Z717" s="105">
        <f ca="1" t="shared" si="244"/>
        <v>-83</v>
      </c>
      <c r="AA717" s="70"/>
      <c r="AB717" s="70" t="s">
        <v>1238</v>
      </c>
      <c r="AC717" s="70" t="s">
        <v>264</v>
      </c>
      <c r="AD717" s="71" t="s">
        <v>2702</v>
      </c>
      <c r="AE717" s="71" t="s">
        <v>364</v>
      </c>
      <c r="AF717" s="72"/>
      <c r="AG717" s="73"/>
      <c r="AH717" s="75"/>
      <c r="AI717" s="102">
        <v>46301</v>
      </c>
      <c r="AJ717" s="70">
        <v>3</v>
      </c>
      <c r="AK717" s="103" t="s">
        <v>2705</v>
      </c>
      <c r="AL717" s="104">
        <f t="shared" si="239"/>
        <v>46393</v>
      </c>
      <c r="AM717" s="105">
        <f ca="1" t="shared" si="240"/>
        <v>80</v>
      </c>
      <c r="AN717" s="115"/>
      <c r="AO717" s="115"/>
      <c r="AP717" s="115"/>
      <c r="AQ717" s="93"/>
      <c r="AR717" s="93"/>
      <c r="AS717" s="94"/>
      <c r="AT717" s="95"/>
      <c r="AU717" s="79"/>
      <c r="AV717" s="117"/>
      <c r="AW717" s="115"/>
      <c r="AX717" s="106"/>
      <c r="AY717" s="104">
        <f t="shared" si="241"/>
        <v>0</v>
      </c>
      <c r="AZ717" s="105">
        <f ca="1" t="shared" si="242"/>
        <v>-46313</v>
      </c>
    </row>
    <row r="718" customHeight="1" spans="1:52">
      <c r="A718" s="70">
        <v>718</v>
      </c>
      <c r="B718" s="70" t="s">
        <v>868</v>
      </c>
      <c r="C718" s="70" t="s">
        <v>264</v>
      </c>
      <c r="D718" s="71" t="s">
        <v>2706</v>
      </c>
      <c r="E718" s="71" t="s">
        <v>2707</v>
      </c>
      <c r="F718" s="72"/>
      <c r="G718" s="73"/>
      <c r="H718" s="75"/>
      <c r="I718" s="102">
        <v>46061</v>
      </c>
      <c r="J718" s="70">
        <v>3</v>
      </c>
      <c r="K718" s="106" t="s">
        <v>2708</v>
      </c>
      <c r="L718" s="104">
        <f t="shared" si="237"/>
        <v>46150</v>
      </c>
      <c r="M718" s="105">
        <f ca="1" t="shared" si="238"/>
        <v>-163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243"/>
        <v>0</v>
      </c>
      <c r="Z718" s="105">
        <f ca="1" t="shared" si="244"/>
        <v>-46313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239"/>
        <v>0</v>
      </c>
      <c r="AM718" s="105">
        <f ca="1" t="shared" si="240"/>
        <v>-46313</v>
      </c>
      <c r="AN718" s="115"/>
      <c r="AO718" s="115"/>
      <c r="AP718" s="115"/>
      <c r="AQ718" s="93"/>
      <c r="AR718" s="93"/>
      <c r="AS718" s="94"/>
      <c r="AT718" s="95"/>
      <c r="AU718" s="79"/>
      <c r="AV718" s="117"/>
      <c r="AW718" s="115"/>
      <c r="AX718" s="106"/>
      <c r="AY718" s="104">
        <f t="shared" si="241"/>
        <v>0</v>
      </c>
      <c r="AZ718" s="105">
        <f ca="1" t="shared" si="242"/>
        <v>-46313</v>
      </c>
    </row>
    <row r="719" customHeight="1" spans="1:52">
      <c r="A719" s="70">
        <v>719</v>
      </c>
      <c r="B719" s="70" t="s">
        <v>868</v>
      </c>
      <c r="C719" s="70" t="s">
        <v>264</v>
      </c>
      <c r="D719" s="71" t="s">
        <v>2709</v>
      </c>
      <c r="E719" s="71" t="s">
        <v>2707</v>
      </c>
      <c r="F719" s="72"/>
      <c r="G719" s="73"/>
      <c r="H719" s="75"/>
      <c r="I719" s="102">
        <v>46061</v>
      </c>
      <c r="J719" s="70">
        <v>3</v>
      </c>
      <c r="K719" s="106" t="s">
        <v>2710</v>
      </c>
      <c r="L719" s="104">
        <f t="shared" si="237"/>
        <v>46150</v>
      </c>
      <c r="M719" s="105">
        <f ca="1" t="shared" si="238"/>
        <v>-163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243"/>
        <v>0</v>
      </c>
      <c r="Z719" s="105">
        <f ca="1" t="shared" si="244"/>
        <v>-46313</v>
      </c>
      <c r="AA719" s="70"/>
      <c r="AB719" s="70"/>
      <c r="AC719" s="70"/>
      <c r="AD719" s="71"/>
      <c r="AE719" s="71"/>
      <c r="AF719" s="72"/>
      <c r="AG719" s="73"/>
      <c r="AH719" s="79"/>
      <c r="AI719" s="102" t="s">
        <v>2711</v>
      </c>
      <c r="AJ719" s="70"/>
      <c r="AK719" s="103"/>
      <c r="AL719" s="104" t="e">
        <f t="shared" si="239"/>
        <v>#VALUE!</v>
      </c>
      <c r="AM719" s="105" t="e">
        <f ca="1" t="shared" si="240"/>
        <v>#VALUE!</v>
      </c>
      <c r="AN719" s="115"/>
      <c r="AO719" s="115"/>
      <c r="AP719" s="115"/>
      <c r="AQ719" s="93"/>
      <c r="AR719" s="93"/>
      <c r="AS719" s="94"/>
      <c r="AT719" s="95"/>
      <c r="AU719" s="79"/>
      <c r="AV719" s="117"/>
      <c r="AW719" s="115"/>
      <c r="AX719" s="106"/>
      <c r="AY719" s="104">
        <f t="shared" si="241"/>
        <v>0</v>
      </c>
      <c r="AZ719" s="105">
        <f ca="1" t="shared" si="242"/>
        <v>-46313</v>
      </c>
    </row>
    <row r="720" customHeight="1" spans="1:52">
      <c r="A720" s="70">
        <v>720</v>
      </c>
      <c r="B720" s="70" t="s">
        <v>169</v>
      </c>
      <c r="C720" s="70" t="s">
        <v>38</v>
      </c>
      <c r="D720" s="71" t="s">
        <v>170</v>
      </c>
      <c r="E720" s="71" t="s">
        <v>171</v>
      </c>
      <c r="F720" s="72"/>
      <c r="G720" s="73"/>
      <c r="H720" s="75"/>
      <c r="I720" s="102">
        <v>46061</v>
      </c>
      <c r="J720" s="102" t="s">
        <v>767</v>
      </c>
      <c r="K720" s="106"/>
      <c r="L720" s="104" t="e">
        <f t="shared" si="237"/>
        <v>#VALUE!</v>
      </c>
      <c r="M720" s="105" t="e">
        <f ca="1" t="shared" si="238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243"/>
        <v>0</v>
      </c>
      <c r="Z720" s="105">
        <f ca="1" t="shared" si="244"/>
        <v>-46313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239"/>
        <v>0</v>
      </c>
      <c r="AM720" s="105">
        <f ca="1" t="shared" si="240"/>
        <v>-46313</v>
      </c>
      <c r="AN720" s="115"/>
      <c r="AO720" s="115"/>
      <c r="AP720" s="115"/>
      <c r="AQ720" s="93"/>
      <c r="AR720" s="93"/>
      <c r="AS720" s="94"/>
      <c r="AT720" s="95"/>
      <c r="AU720" s="79"/>
      <c r="AV720" s="117"/>
      <c r="AW720" s="115"/>
      <c r="AX720" s="106"/>
      <c r="AY720" s="104">
        <f t="shared" si="241"/>
        <v>0</v>
      </c>
      <c r="AZ720" s="105">
        <f ca="1" t="shared" si="242"/>
        <v>-46313</v>
      </c>
    </row>
    <row r="721" customHeight="1" spans="1:52">
      <c r="A721" s="70">
        <v>721</v>
      </c>
      <c r="B721" s="70" t="s">
        <v>1027</v>
      </c>
      <c r="C721" s="70" t="s">
        <v>374</v>
      </c>
      <c r="D721" s="71" t="s">
        <v>2712</v>
      </c>
      <c r="E721" s="71" t="s">
        <v>1029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2713</v>
      </c>
      <c r="L721" s="104">
        <f t="shared" si="237"/>
        <v>46150</v>
      </c>
      <c r="M721" s="105">
        <f ca="1" t="shared" si="238"/>
        <v>-163</v>
      </c>
      <c r="N721" s="70"/>
      <c r="O721" s="70" t="s">
        <v>1027</v>
      </c>
      <c r="P721" s="70" t="s">
        <v>374</v>
      </c>
      <c r="Q721" s="71" t="s">
        <v>2712</v>
      </c>
      <c r="R721" s="71" t="s">
        <v>1029</v>
      </c>
      <c r="S721" s="72"/>
      <c r="T721" s="73"/>
      <c r="U721" s="74" t="s">
        <v>16</v>
      </c>
      <c r="V721" s="102">
        <v>46256</v>
      </c>
      <c r="W721" s="70">
        <v>3</v>
      </c>
      <c r="X721" s="103" t="s">
        <v>2279</v>
      </c>
      <c r="Y721" s="104">
        <f t="shared" si="243"/>
        <v>46348</v>
      </c>
      <c r="Z721" s="105">
        <f ca="1" t="shared" si="244"/>
        <v>35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239"/>
        <v>0</v>
      </c>
      <c r="AM721" s="105">
        <f ca="1" t="shared" si="240"/>
        <v>-46313</v>
      </c>
      <c r="AN721" s="115"/>
      <c r="AO721" s="115"/>
      <c r="AP721" s="115"/>
      <c r="AQ721" s="93"/>
      <c r="AR721" s="93"/>
      <c r="AS721" s="94"/>
      <c r="AT721" s="95"/>
      <c r="AU721" s="79"/>
      <c r="AV721" s="117"/>
      <c r="AW721" s="115"/>
      <c r="AX721" s="106"/>
      <c r="AY721" s="104">
        <f t="shared" si="241"/>
        <v>0</v>
      </c>
      <c r="AZ721" s="105">
        <f ca="1" t="shared" si="242"/>
        <v>-46313</v>
      </c>
    </row>
    <row r="722" customHeight="1" spans="1:52">
      <c r="A722" s="70">
        <v>722</v>
      </c>
      <c r="B722" s="70" t="s">
        <v>1359</v>
      </c>
      <c r="C722" s="70" t="s">
        <v>13</v>
      </c>
      <c r="D722" s="71" t="s">
        <v>2714</v>
      </c>
      <c r="E722" s="71" t="s">
        <v>2715</v>
      </c>
      <c r="F722" s="72"/>
      <c r="G722" s="73"/>
      <c r="H722" s="75"/>
      <c r="I722" s="102">
        <v>46061</v>
      </c>
      <c r="J722" s="70">
        <v>3</v>
      </c>
      <c r="K722" s="106" t="s">
        <v>2716</v>
      </c>
      <c r="L722" s="104">
        <f t="shared" si="237"/>
        <v>46150</v>
      </c>
      <c r="M722" s="105">
        <f ca="1" t="shared" si="238"/>
        <v>-163</v>
      </c>
      <c r="N722" s="70"/>
      <c r="O722" s="70" t="s">
        <v>1359</v>
      </c>
      <c r="P722" s="70" t="s">
        <v>13</v>
      </c>
      <c r="Q722" s="71" t="s">
        <v>2714</v>
      </c>
      <c r="R722" s="71" t="s">
        <v>2715</v>
      </c>
      <c r="S722" s="72"/>
      <c r="T722" s="73"/>
      <c r="U722" s="75"/>
      <c r="V722" s="102">
        <v>46158</v>
      </c>
      <c r="W722" s="70">
        <v>3</v>
      </c>
      <c r="X722" s="103" t="s">
        <v>2717</v>
      </c>
      <c r="Y722" s="104">
        <f t="shared" si="243"/>
        <v>46250</v>
      </c>
      <c r="Z722" s="105">
        <f ca="1" t="shared" si="244"/>
        <v>-63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239"/>
        <v>0</v>
      </c>
      <c r="AM722" s="105">
        <f ca="1" t="shared" si="240"/>
        <v>-46313</v>
      </c>
      <c r="AN722" s="115"/>
      <c r="AO722" s="115"/>
      <c r="AP722" s="115"/>
      <c r="AQ722" s="93"/>
      <c r="AR722" s="93"/>
      <c r="AS722" s="94"/>
      <c r="AT722" s="95"/>
      <c r="AU722" s="79"/>
      <c r="AV722" s="117"/>
      <c r="AW722" s="115"/>
      <c r="AX722" s="106"/>
      <c r="AY722" s="104">
        <f t="shared" si="241"/>
        <v>0</v>
      </c>
      <c r="AZ722" s="105">
        <f ca="1" t="shared" si="242"/>
        <v>-46313</v>
      </c>
    </row>
    <row r="723" customHeight="1" spans="1:52">
      <c r="A723" s="70">
        <v>723</v>
      </c>
      <c r="B723" s="70" t="s">
        <v>1359</v>
      </c>
      <c r="C723" s="70" t="s">
        <v>13</v>
      </c>
      <c r="D723" s="71" t="s">
        <v>2718</v>
      </c>
      <c r="E723" s="71" t="s">
        <v>2719</v>
      </c>
      <c r="F723" s="72"/>
      <c r="G723" s="73"/>
      <c r="H723" s="75"/>
      <c r="I723" s="102">
        <v>46061</v>
      </c>
      <c r="J723" s="70">
        <v>3</v>
      </c>
      <c r="K723" s="106" t="s">
        <v>2720</v>
      </c>
      <c r="L723" s="104">
        <f t="shared" si="237"/>
        <v>46150</v>
      </c>
      <c r="M723" s="105">
        <f ca="1" t="shared" si="238"/>
        <v>-163</v>
      </c>
      <c r="N723" s="70"/>
      <c r="O723" s="70" t="s">
        <v>1359</v>
      </c>
      <c r="P723" s="70" t="s">
        <v>13</v>
      </c>
      <c r="Q723" s="71" t="s">
        <v>2718</v>
      </c>
      <c r="R723" s="71" t="s">
        <v>2719</v>
      </c>
      <c r="S723" s="72"/>
      <c r="T723" s="73"/>
      <c r="U723" s="75"/>
      <c r="V723" s="102">
        <v>46196</v>
      </c>
      <c r="W723" s="70">
        <v>3</v>
      </c>
      <c r="X723" s="103" t="s">
        <v>2721</v>
      </c>
      <c r="Y723" s="104">
        <f t="shared" si="243"/>
        <v>46288</v>
      </c>
      <c r="Z723" s="105">
        <f ca="1" t="shared" si="244"/>
        <v>-25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239"/>
        <v>0</v>
      </c>
      <c r="AM723" s="105">
        <f ca="1" t="shared" si="240"/>
        <v>-46313</v>
      </c>
      <c r="AN723" s="115"/>
      <c r="AO723" s="115"/>
      <c r="AP723" s="115"/>
      <c r="AQ723" s="93"/>
      <c r="AR723" s="93"/>
      <c r="AS723" s="94"/>
      <c r="AT723" s="95"/>
      <c r="AU723" s="79"/>
      <c r="AV723" s="117"/>
      <c r="AW723" s="115"/>
      <c r="AX723" s="106"/>
      <c r="AY723" s="104">
        <f t="shared" si="241"/>
        <v>0</v>
      </c>
      <c r="AZ723" s="105">
        <f ca="1" t="shared" si="242"/>
        <v>-46313</v>
      </c>
    </row>
    <row r="724" customHeight="1" spans="1:52">
      <c r="A724" s="70">
        <v>724</v>
      </c>
      <c r="B724" s="70" t="s">
        <v>751</v>
      </c>
      <c r="C724" s="70" t="s">
        <v>38</v>
      </c>
      <c r="D724" s="71" t="s">
        <v>2722</v>
      </c>
      <c r="E724" s="71" t="s">
        <v>189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2723</v>
      </c>
      <c r="L724" s="104">
        <f t="shared" si="237"/>
        <v>46150</v>
      </c>
      <c r="M724" s="105">
        <f ca="1" t="shared" si="238"/>
        <v>-163</v>
      </c>
      <c r="N724" s="70"/>
      <c r="O724" s="70" t="s">
        <v>751</v>
      </c>
      <c r="P724" s="70" t="s">
        <v>38</v>
      </c>
      <c r="Q724" s="71" t="s">
        <v>2722</v>
      </c>
      <c r="R724" s="71" t="s">
        <v>189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2724</v>
      </c>
      <c r="Y724" s="104">
        <f t="shared" si="243"/>
        <v>46256</v>
      </c>
      <c r="Z724" s="105">
        <f ca="1" t="shared" si="244"/>
        <v>-57</v>
      </c>
      <c r="AA724" s="70"/>
      <c r="AB724" s="70" t="s">
        <v>751</v>
      </c>
      <c r="AC724" s="70" t="s">
        <v>38</v>
      </c>
      <c r="AD724" s="71" t="s">
        <v>2722</v>
      </c>
      <c r="AE724" s="71" t="s">
        <v>189</v>
      </c>
      <c r="AF724" s="72"/>
      <c r="AG724" s="73"/>
      <c r="AH724" s="79" t="s">
        <v>16</v>
      </c>
      <c r="AI724" s="102">
        <v>46258</v>
      </c>
      <c r="AJ724" s="70">
        <v>3</v>
      </c>
      <c r="AK724" s="103" t="s">
        <v>2725</v>
      </c>
      <c r="AL724" s="104">
        <f t="shared" si="239"/>
        <v>46350</v>
      </c>
      <c r="AM724" s="105">
        <f ca="1" t="shared" si="240"/>
        <v>37</v>
      </c>
      <c r="AN724" s="115"/>
      <c r="AO724" s="115"/>
      <c r="AP724" s="115"/>
      <c r="AQ724" s="93"/>
      <c r="AR724" s="93"/>
      <c r="AS724" s="94"/>
      <c r="AT724" s="95"/>
      <c r="AU724" s="79"/>
      <c r="AV724" s="117"/>
      <c r="AW724" s="115"/>
      <c r="AX724" s="106"/>
      <c r="AY724" s="104">
        <f t="shared" si="241"/>
        <v>0</v>
      </c>
      <c r="AZ724" s="105">
        <f ca="1" t="shared" si="242"/>
        <v>-46313</v>
      </c>
    </row>
    <row r="725" customHeight="1" spans="1:52">
      <c r="A725" s="70">
        <v>725</v>
      </c>
      <c r="B725" s="70" t="s">
        <v>1036</v>
      </c>
      <c r="C725" s="70" t="s">
        <v>374</v>
      </c>
      <c r="D725" s="71" t="s">
        <v>2726</v>
      </c>
      <c r="E725" s="71" t="s">
        <v>1312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2727</v>
      </c>
      <c r="L725" s="104">
        <f t="shared" si="237"/>
        <v>46150</v>
      </c>
      <c r="M725" s="105">
        <f ca="1" t="shared" si="238"/>
        <v>-163</v>
      </c>
      <c r="N725" s="70"/>
      <c r="O725" s="70" t="s">
        <v>1036</v>
      </c>
      <c r="P725" s="70" t="s">
        <v>374</v>
      </c>
      <c r="Q725" s="71" t="s">
        <v>2726</v>
      </c>
      <c r="R725" s="71" t="s">
        <v>1312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2728</v>
      </c>
      <c r="Y725" s="104">
        <f t="shared" si="243"/>
        <v>46262</v>
      </c>
      <c r="Z725" s="105">
        <f ca="1" t="shared" si="244"/>
        <v>-51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239"/>
        <v>0</v>
      </c>
      <c r="AM725" s="105">
        <f ca="1" t="shared" si="240"/>
        <v>-46313</v>
      </c>
      <c r="AN725" s="115"/>
      <c r="AO725" s="115"/>
      <c r="AP725" s="115"/>
      <c r="AQ725" s="93"/>
      <c r="AR725" s="93"/>
      <c r="AS725" s="94"/>
      <c r="AT725" s="95"/>
      <c r="AU725" s="79"/>
      <c r="AV725" s="117"/>
      <c r="AW725" s="115"/>
      <c r="AX725" s="106"/>
      <c r="AY725" s="104">
        <f t="shared" si="241"/>
        <v>0</v>
      </c>
      <c r="AZ725" s="105">
        <f ca="1" t="shared" si="242"/>
        <v>-46313</v>
      </c>
    </row>
    <row r="726" customHeight="1" spans="1:52">
      <c r="A726" s="70">
        <v>726</v>
      </c>
      <c r="B726" s="70" t="s">
        <v>295</v>
      </c>
      <c r="C726" s="70" t="s">
        <v>264</v>
      </c>
      <c r="D726" s="71" t="s">
        <v>2729</v>
      </c>
      <c r="E726" s="71" t="s">
        <v>2730</v>
      </c>
      <c r="F726" s="72"/>
      <c r="G726" s="73"/>
      <c r="H726" s="75"/>
      <c r="I726" s="102">
        <v>46062</v>
      </c>
      <c r="J726" s="70">
        <v>3</v>
      </c>
      <c r="K726" s="106" t="s">
        <v>2731</v>
      </c>
      <c r="L726" s="104">
        <f t="shared" si="237"/>
        <v>46151</v>
      </c>
      <c r="M726" s="105">
        <f ca="1" t="shared" si="238"/>
        <v>-162</v>
      </c>
      <c r="N726" s="70"/>
      <c r="O726" s="70" t="s">
        <v>295</v>
      </c>
      <c r="P726" s="70" t="s">
        <v>264</v>
      </c>
      <c r="Q726" s="71" t="s">
        <v>2729</v>
      </c>
      <c r="R726" s="71" t="s">
        <v>2730</v>
      </c>
      <c r="S726" s="72"/>
      <c r="T726" s="73"/>
      <c r="U726" s="75"/>
      <c r="V726" s="102">
        <v>46152</v>
      </c>
      <c r="W726" s="70">
        <v>3</v>
      </c>
      <c r="X726" s="103" t="s">
        <v>2732</v>
      </c>
      <c r="Y726" s="104">
        <f t="shared" si="243"/>
        <v>46244</v>
      </c>
      <c r="Z726" s="105">
        <f ca="1" t="shared" si="244"/>
        <v>-69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239"/>
        <v>0</v>
      </c>
      <c r="AM726" s="105">
        <f ca="1" t="shared" si="240"/>
        <v>-46313</v>
      </c>
      <c r="AN726" s="115"/>
      <c r="AO726" s="115"/>
      <c r="AP726" s="115"/>
      <c r="AQ726" s="93"/>
      <c r="AR726" s="93"/>
      <c r="AS726" s="94"/>
      <c r="AT726" s="95"/>
      <c r="AU726" s="79"/>
      <c r="AV726" s="117"/>
      <c r="AW726" s="115"/>
      <c r="AX726" s="106"/>
      <c r="AY726" s="104">
        <f t="shared" si="241"/>
        <v>0</v>
      </c>
      <c r="AZ726" s="105">
        <f ca="1" t="shared" si="242"/>
        <v>-46313</v>
      </c>
    </row>
    <row r="727" customHeight="1" spans="1:52">
      <c r="A727" s="70">
        <v>727</v>
      </c>
      <c r="B727" s="70" t="s">
        <v>295</v>
      </c>
      <c r="C727" s="70" t="s">
        <v>264</v>
      </c>
      <c r="D727" s="71" t="s">
        <v>2733</v>
      </c>
      <c r="E727" s="71" t="s">
        <v>2734</v>
      </c>
      <c r="F727" s="72"/>
      <c r="G727" s="73"/>
      <c r="H727" s="75"/>
      <c r="I727" s="102">
        <v>46062</v>
      </c>
      <c r="J727" s="70">
        <v>3</v>
      </c>
      <c r="K727" s="106" t="s">
        <v>2735</v>
      </c>
      <c r="L727" s="104">
        <f t="shared" si="237"/>
        <v>46151</v>
      </c>
      <c r="M727" s="105">
        <f ca="1" t="shared" si="238"/>
        <v>-162</v>
      </c>
      <c r="N727" s="70"/>
      <c r="O727" s="70" t="s">
        <v>295</v>
      </c>
      <c r="P727" s="70" t="s">
        <v>264</v>
      </c>
      <c r="Q727" s="71" t="s">
        <v>2733</v>
      </c>
      <c r="R727" s="71" t="s">
        <v>2734</v>
      </c>
      <c r="S727" s="72"/>
      <c r="T727" s="73"/>
      <c r="U727" s="75"/>
      <c r="V727" s="102">
        <v>46152</v>
      </c>
      <c r="W727" s="70">
        <v>3</v>
      </c>
      <c r="X727" s="103" t="s">
        <v>2736</v>
      </c>
      <c r="Y727" s="104">
        <f t="shared" si="243"/>
        <v>46244</v>
      </c>
      <c r="Z727" s="105">
        <f ca="1" t="shared" si="244"/>
        <v>-69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239"/>
        <v>0</v>
      </c>
      <c r="AM727" s="105">
        <f ca="1" t="shared" si="240"/>
        <v>-46313</v>
      </c>
      <c r="AN727" s="115"/>
      <c r="AO727" s="115"/>
      <c r="AP727" s="115"/>
      <c r="AQ727" s="93"/>
      <c r="AR727" s="93"/>
      <c r="AS727" s="94"/>
      <c r="AT727" s="95"/>
      <c r="AU727" s="79"/>
      <c r="AV727" s="117"/>
      <c r="AW727" s="115"/>
      <c r="AX727" s="106"/>
      <c r="AY727" s="104">
        <f t="shared" si="241"/>
        <v>0</v>
      </c>
      <c r="AZ727" s="105">
        <f ca="1" t="shared" si="242"/>
        <v>-46313</v>
      </c>
    </row>
    <row r="728" customHeight="1" spans="1:52">
      <c r="A728" s="70">
        <v>728</v>
      </c>
      <c r="B728" s="70" t="s">
        <v>868</v>
      </c>
      <c r="C728" s="70" t="s">
        <v>264</v>
      </c>
      <c r="D728" s="71" t="s">
        <v>2737</v>
      </c>
      <c r="E728" s="71" t="s">
        <v>2738</v>
      </c>
      <c r="F728" s="72"/>
      <c r="G728" s="73"/>
      <c r="H728" s="75"/>
      <c r="I728" s="102">
        <v>46062</v>
      </c>
      <c r="J728" s="70">
        <v>3</v>
      </c>
      <c r="K728" s="106" t="s">
        <v>2739</v>
      </c>
      <c r="L728" s="104">
        <f t="shared" si="237"/>
        <v>46151</v>
      </c>
      <c r="M728" s="105">
        <f ca="1" t="shared" si="238"/>
        <v>-162</v>
      </c>
      <c r="N728" s="70"/>
      <c r="O728" s="70"/>
      <c r="P728" s="70"/>
      <c r="Q728" s="71"/>
      <c r="R728" s="71"/>
      <c r="S728" s="72"/>
      <c r="T728" s="73"/>
      <c r="U728" s="146"/>
      <c r="V728" s="102"/>
      <c r="W728" s="70"/>
      <c r="X728" s="103"/>
      <c r="Y728" s="104">
        <f t="shared" si="243"/>
        <v>0</v>
      </c>
      <c r="Z728" s="105">
        <f ca="1" t="shared" si="244"/>
        <v>-46313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239"/>
        <v>0</v>
      </c>
      <c r="AM728" s="105">
        <f ca="1" t="shared" si="240"/>
        <v>-46313</v>
      </c>
      <c r="AN728" s="115"/>
      <c r="AO728" s="115"/>
      <c r="AP728" s="115"/>
      <c r="AQ728" s="93"/>
      <c r="AR728" s="93"/>
      <c r="AS728" s="94"/>
      <c r="AT728" s="95"/>
      <c r="AU728" s="114"/>
      <c r="AV728" s="117"/>
      <c r="AW728" s="115"/>
      <c r="AX728" s="106"/>
      <c r="AY728" s="104">
        <f t="shared" si="241"/>
        <v>0</v>
      </c>
      <c r="AZ728" s="105">
        <f ca="1" t="shared" si="242"/>
        <v>-46313</v>
      </c>
    </row>
    <row r="729" customHeight="1" spans="1:52">
      <c r="A729" s="70">
        <v>729</v>
      </c>
      <c r="B729" s="70" t="s">
        <v>868</v>
      </c>
      <c r="C729" s="70" t="s">
        <v>264</v>
      </c>
      <c r="D729" s="71" t="s">
        <v>2740</v>
      </c>
      <c r="E729" s="71" t="s">
        <v>2741</v>
      </c>
      <c r="F729" s="72"/>
      <c r="G729" s="73"/>
      <c r="H729" s="75"/>
      <c r="I729" s="102">
        <v>46062</v>
      </c>
      <c r="J729" s="70">
        <v>3</v>
      </c>
      <c r="K729" s="106" t="s">
        <v>2742</v>
      </c>
      <c r="L729" s="104">
        <f t="shared" si="237"/>
        <v>46151</v>
      </c>
      <c r="M729" s="105">
        <f ca="1" t="shared" si="238"/>
        <v>-162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243"/>
        <v>0</v>
      </c>
      <c r="Z729" s="105">
        <f ca="1" t="shared" si="244"/>
        <v>-46313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239"/>
        <v>0</v>
      </c>
      <c r="AM729" s="105">
        <f ca="1" t="shared" si="240"/>
        <v>-46313</v>
      </c>
      <c r="AN729" s="115"/>
      <c r="AO729" s="115"/>
      <c r="AP729" s="115"/>
      <c r="AQ729" s="93"/>
      <c r="AR729" s="93"/>
      <c r="AS729" s="94"/>
      <c r="AT729" s="95"/>
      <c r="AU729" s="79"/>
      <c r="AV729" s="117"/>
      <c r="AW729" s="115"/>
      <c r="AX729" s="106"/>
      <c r="AY729" s="104">
        <f t="shared" si="241"/>
        <v>0</v>
      </c>
      <c r="AZ729" s="105">
        <f ca="1" t="shared" si="242"/>
        <v>-46313</v>
      </c>
    </row>
    <row r="730" customHeight="1" spans="1:52">
      <c r="A730" s="70">
        <v>730</v>
      </c>
      <c r="B730" s="70" t="s">
        <v>868</v>
      </c>
      <c r="C730" s="70" t="s">
        <v>264</v>
      </c>
      <c r="D730" s="71" t="s">
        <v>2743</v>
      </c>
      <c r="E730" s="71" t="s">
        <v>2744</v>
      </c>
      <c r="F730" s="72"/>
      <c r="G730" s="73"/>
      <c r="H730" s="75"/>
      <c r="I730" s="102">
        <v>46062</v>
      </c>
      <c r="J730" s="70">
        <v>3</v>
      </c>
      <c r="K730" s="106" t="s">
        <v>2745</v>
      </c>
      <c r="L730" s="104">
        <f t="shared" si="237"/>
        <v>46151</v>
      </c>
      <c r="M730" s="105">
        <f ca="1" t="shared" si="238"/>
        <v>-162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243"/>
        <v>0</v>
      </c>
      <c r="Z730" s="105">
        <f ca="1" t="shared" si="244"/>
        <v>-46313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239"/>
        <v>0</v>
      </c>
      <c r="AM730" s="105">
        <f ca="1" t="shared" si="240"/>
        <v>-46313</v>
      </c>
      <c r="AN730" s="115"/>
      <c r="AO730" s="115"/>
      <c r="AP730" s="115"/>
      <c r="AQ730" s="93"/>
      <c r="AR730" s="93"/>
      <c r="AS730" s="94"/>
      <c r="AT730" s="95"/>
      <c r="AU730" s="79"/>
      <c r="AV730" s="117"/>
      <c r="AW730" s="115"/>
      <c r="AX730" s="106"/>
      <c r="AY730" s="104">
        <f t="shared" si="241"/>
        <v>0</v>
      </c>
      <c r="AZ730" s="105">
        <f ca="1" t="shared" si="242"/>
        <v>-46313</v>
      </c>
    </row>
    <row r="731" customHeight="1" spans="1:52">
      <c r="A731" s="70">
        <v>731</v>
      </c>
      <c r="B731" s="70" t="s">
        <v>868</v>
      </c>
      <c r="C731" s="70" t="s">
        <v>264</v>
      </c>
      <c r="D731" s="71" t="s">
        <v>2746</v>
      </c>
      <c r="E731" s="71" t="s">
        <v>2747</v>
      </c>
      <c r="F731" s="72"/>
      <c r="G731" s="73"/>
      <c r="H731" s="75"/>
      <c r="I731" s="102">
        <v>46062</v>
      </c>
      <c r="J731" s="70">
        <v>3</v>
      </c>
      <c r="K731" s="106" t="s">
        <v>2748</v>
      </c>
      <c r="L731" s="104">
        <f t="shared" si="237"/>
        <v>46151</v>
      </c>
      <c r="M731" s="105">
        <f ca="1" t="shared" si="238"/>
        <v>-162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243"/>
        <v>0</v>
      </c>
      <c r="Z731" s="105">
        <f ca="1" t="shared" si="244"/>
        <v>-46313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239"/>
        <v>0</v>
      </c>
      <c r="AM731" s="105">
        <f ca="1" t="shared" si="240"/>
        <v>-46313</v>
      </c>
      <c r="AN731" s="115"/>
      <c r="AO731" s="115"/>
      <c r="AP731" s="115"/>
      <c r="AQ731" s="93"/>
      <c r="AR731" s="93"/>
      <c r="AS731" s="94"/>
      <c r="AT731" s="95"/>
      <c r="AU731" s="79"/>
      <c r="AV731" s="117"/>
      <c r="AW731" s="115"/>
      <c r="AX731" s="106"/>
      <c r="AY731" s="104">
        <f t="shared" si="241"/>
        <v>0</v>
      </c>
      <c r="AZ731" s="105">
        <f ca="1" t="shared" si="242"/>
        <v>-46313</v>
      </c>
    </row>
    <row r="732" customHeight="1" spans="1:52">
      <c r="A732" s="70">
        <v>732</v>
      </c>
      <c r="B732" s="70" t="s">
        <v>868</v>
      </c>
      <c r="C732" s="70" t="s">
        <v>264</v>
      </c>
      <c r="D732" s="71" t="s">
        <v>2749</v>
      </c>
      <c r="E732" s="71" t="s">
        <v>2734</v>
      </c>
      <c r="F732" s="72"/>
      <c r="G732" s="73"/>
      <c r="H732" s="75"/>
      <c r="I732" s="102">
        <v>46062</v>
      </c>
      <c r="J732" s="70">
        <v>3</v>
      </c>
      <c r="K732" s="106" t="s">
        <v>2750</v>
      </c>
      <c r="L732" s="104">
        <f t="shared" si="237"/>
        <v>46151</v>
      </c>
      <c r="M732" s="105">
        <f ca="1" t="shared" si="238"/>
        <v>-162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243"/>
        <v>0</v>
      </c>
      <c r="Z732" s="105">
        <f ca="1" t="shared" si="244"/>
        <v>-46313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239"/>
        <v>0</v>
      </c>
      <c r="AM732" s="105">
        <f ca="1" t="shared" si="240"/>
        <v>-46313</v>
      </c>
      <c r="AN732" s="115"/>
      <c r="AO732" s="115"/>
      <c r="AP732" s="115"/>
      <c r="AQ732" s="93"/>
      <c r="AR732" s="93"/>
      <c r="AS732" s="94"/>
      <c r="AT732" s="95"/>
      <c r="AU732" s="79"/>
      <c r="AV732" s="117"/>
      <c r="AW732" s="115"/>
      <c r="AX732" s="106"/>
      <c r="AY732" s="104">
        <f t="shared" si="241"/>
        <v>0</v>
      </c>
      <c r="AZ732" s="105">
        <f ca="1" t="shared" si="242"/>
        <v>-46313</v>
      </c>
    </row>
    <row r="733" customHeight="1" spans="1:52">
      <c r="A733" s="70">
        <v>733</v>
      </c>
      <c r="B733" s="70" t="s">
        <v>2751</v>
      </c>
      <c r="C733" s="70" t="s">
        <v>264</v>
      </c>
      <c r="D733" s="71" t="s">
        <v>2752</v>
      </c>
      <c r="E733" s="71" t="s">
        <v>2753</v>
      </c>
      <c r="F733" s="72"/>
      <c r="G733" s="73"/>
      <c r="H733" s="75"/>
      <c r="I733" s="102">
        <v>46062</v>
      </c>
      <c r="J733" s="70">
        <v>3</v>
      </c>
      <c r="K733" s="106" t="s">
        <v>2754</v>
      </c>
      <c r="L733" s="104">
        <f t="shared" si="237"/>
        <v>46151</v>
      </c>
      <c r="M733" s="105">
        <f ca="1" t="shared" si="238"/>
        <v>-162</v>
      </c>
      <c r="N733" s="70"/>
      <c r="O733" s="70" t="s">
        <v>2751</v>
      </c>
      <c r="P733" s="70" t="s">
        <v>264</v>
      </c>
      <c r="Q733" s="71" t="s">
        <v>2752</v>
      </c>
      <c r="R733" s="71" t="s">
        <v>2753</v>
      </c>
      <c r="S733" s="72"/>
      <c r="T733" s="73"/>
      <c r="U733" s="75"/>
      <c r="V733" s="102">
        <v>46200</v>
      </c>
      <c r="W733" s="70">
        <v>3</v>
      </c>
      <c r="X733" s="103" t="s">
        <v>2755</v>
      </c>
      <c r="Y733" s="104">
        <f t="shared" si="243"/>
        <v>46292</v>
      </c>
      <c r="Z733" s="105">
        <f ca="1" t="shared" si="244"/>
        <v>-21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239"/>
        <v>0</v>
      </c>
      <c r="AM733" s="105">
        <f ca="1" t="shared" si="240"/>
        <v>-46313</v>
      </c>
      <c r="AN733" s="115"/>
      <c r="AO733" s="115"/>
      <c r="AP733" s="115"/>
      <c r="AQ733" s="93"/>
      <c r="AR733" s="93"/>
      <c r="AS733" s="94"/>
      <c r="AT733" s="95"/>
      <c r="AU733" s="79"/>
      <c r="AV733" s="117"/>
      <c r="AW733" s="115"/>
      <c r="AX733" s="106"/>
      <c r="AY733" s="104">
        <f t="shared" si="241"/>
        <v>0</v>
      </c>
      <c r="AZ733" s="105">
        <f ca="1" t="shared" si="242"/>
        <v>-46313</v>
      </c>
    </row>
    <row r="734" customHeight="1" spans="1:52">
      <c r="A734" s="70">
        <v>734</v>
      </c>
      <c r="B734" s="70" t="s">
        <v>1234</v>
      </c>
      <c r="C734" s="70" t="s">
        <v>264</v>
      </c>
      <c r="D734" s="71" t="s">
        <v>1235</v>
      </c>
      <c r="E734" s="71" t="s">
        <v>264</v>
      </c>
      <c r="F734" s="72"/>
      <c r="G734" s="73"/>
      <c r="H734" s="75"/>
      <c r="I734" s="102">
        <v>46062</v>
      </c>
      <c r="J734" s="102" t="s">
        <v>767</v>
      </c>
      <c r="K734" s="106"/>
      <c r="L734" s="104" t="e">
        <f t="shared" si="237"/>
        <v>#VALUE!</v>
      </c>
      <c r="M734" s="105" t="e">
        <f ca="1" t="shared" si="238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243"/>
        <v>0</v>
      </c>
      <c r="Z734" s="105">
        <f ca="1" t="shared" si="244"/>
        <v>-46313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239"/>
        <v>0</v>
      </c>
      <c r="AM734" s="105">
        <f ca="1" t="shared" si="240"/>
        <v>-46313</v>
      </c>
      <c r="AN734" s="115"/>
      <c r="AO734" s="115"/>
      <c r="AP734" s="115"/>
      <c r="AQ734" s="93"/>
      <c r="AR734" s="93"/>
      <c r="AS734" s="94"/>
      <c r="AT734" s="95"/>
      <c r="AU734" s="79"/>
      <c r="AV734" s="117"/>
      <c r="AW734" s="115"/>
      <c r="AX734" s="106"/>
      <c r="AY734" s="104">
        <f t="shared" si="241"/>
        <v>0</v>
      </c>
      <c r="AZ734" s="105">
        <f ca="1" t="shared" si="242"/>
        <v>-46313</v>
      </c>
    </row>
    <row r="735" customHeight="1" spans="1:52">
      <c r="A735" s="70">
        <v>735</v>
      </c>
      <c r="B735" s="70" t="s">
        <v>535</v>
      </c>
      <c r="C735" s="70" t="s">
        <v>13</v>
      </c>
      <c r="D735" s="71" t="s">
        <v>2756</v>
      </c>
      <c r="E735" s="71" t="s">
        <v>2757</v>
      </c>
      <c r="F735" s="72"/>
      <c r="G735" s="73"/>
      <c r="H735" s="75"/>
      <c r="I735" s="102">
        <v>46063</v>
      </c>
      <c r="J735" s="70">
        <v>3</v>
      </c>
      <c r="K735" s="106" t="s">
        <v>2758</v>
      </c>
      <c r="L735" s="104">
        <f t="shared" si="237"/>
        <v>46152</v>
      </c>
      <c r="M735" s="105">
        <f ca="1" t="shared" si="238"/>
        <v>-161</v>
      </c>
      <c r="N735" s="70"/>
      <c r="O735" s="70" t="s">
        <v>535</v>
      </c>
      <c r="P735" s="70" t="s">
        <v>13</v>
      </c>
      <c r="Q735" s="71" t="s">
        <v>2756</v>
      </c>
      <c r="R735" s="71" t="s">
        <v>2757</v>
      </c>
      <c r="S735" s="72"/>
      <c r="T735" s="73"/>
      <c r="U735" s="75"/>
      <c r="V735" s="102">
        <v>46158</v>
      </c>
      <c r="W735" s="70">
        <v>3</v>
      </c>
      <c r="X735" s="103" t="s">
        <v>2759</v>
      </c>
      <c r="Y735" s="104">
        <f t="shared" si="243"/>
        <v>46250</v>
      </c>
      <c r="Z735" s="105">
        <f ca="1" t="shared" si="244"/>
        <v>-63</v>
      </c>
      <c r="AA735" s="70"/>
      <c r="AB735" s="70" t="s">
        <v>535</v>
      </c>
      <c r="AC735" s="70" t="s">
        <v>13</v>
      </c>
      <c r="AD735" s="71" t="s">
        <v>2756</v>
      </c>
      <c r="AE735" s="71" t="s">
        <v>2757</v>
      </c>
      <c r="AF735" s="72"/>
      <c r="AG735" s="73"/>
      <c r="AH735" s="75"/>
      <c r="AI735" s="102">
        <v>46278</v>
      </c>
      <c r="AJ735" s="70">
        <v>3</v>
      </c>
      <c r="AK735" s="103" t="s">
        <v>2760</v>
      </c>
      <c r="AL735" s="104">
        <f t="shared" si="239"/>
        <v>46369</v>
      </c>
      <c r="AM735" s="105">
        <f ca="1" t="shared" si="240"/>
        <v>56</v>
      </c>
      <c r="AN735" s="115"/>
      <c r="AO735" s="115"/>
      <c r="AP735" s="115"/>
      <c r="AQ735" s="93"/>
      <c r="AR735" s="93"/>
      <c r="AS735" s="94"/>
      <c r="AT735" s="95"/>
      <c r="AU735" s="79"/>
      <c r="AV735" s="117"/>
      <c r="AW735" s="115"/>
      <c r="AX735" s="106"/>
      <c r="AY735" s="104">
        <f t="shared" si="241"/>
        <v>0</v>
      </c>
      <c r="AZ735" s="105">
        <f ca="1" t="shared" si="242"/>
        <v>-46313</v>
      </c>
    </row>
    <row r="736" customHeight="1" spans="1:52">
      <c r="A736" s="70">
        <v>736</v>
      </c>
      <c r="B736" s="70" t="s">
        <v>263</v>
      </c>
      <c r="C736" s="70" t="s">
        <v>264</v>
      </c>
      <c r="D736" s="71" t="s">
        <v>955</v>
      </c>
      <c r="E736" s="71" t="s">
        <v>764</v>
      </c>
      <c r="F736" s="72"/>
      <c r="G736" s="73"/>
      <c r="H736" s="151"/>
      <c r="I736" s="102">
        <v>46065</v>
      </c>
      <c r="J736" s="102" t="s">
        <v>767</v>
      </c>
      <c r="K736" s="106"/>
      <c r="L736" s="104" t="e">
        <f t="shared" si="237"/>
        <v>#VALUE!</v>
      </c>
      <c r="M736" s="105" t="e">
        <f ca="1" t="shared" si="238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243"/>
        <v>0</v>
      </c>
      <c r="Z736" s="105">
        <f ca="1" t="shared" si="244"/>
        <v>-46313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239"/>
        <v>0</v>
      </c>
      <c r="AM736" s="105">
        <f ca="1" t="shared" si="240"/>
        <v>-46313</v>
      </c>
      <c r="AN736" s="115"/>
      <c r="AO736" s="115"/>
      <c r="AP736" s="115"/>
      <c r="AQ736" s="93"/>
      <c r="AR736" s="93"/>
      <c r="AS736" s="94"/>
      <c r="AT736" s="95"/>
      <c r="AU736" s="79"/>
      <c r="AV736" s="117"/>
      <c r="AW736" s="115"/>
      <c r="AX736" s="106"/>
      <c r="AY736" s="104"/>
      <c r="AZ736" s="105"/>
    </row>
    <row r="737" customHeight="1" spans="1:52">
      <c r="A737" s="70">
        <v>737</v>
      </c>
      <c r="B737" s="70" t="s">
        <v>570</v>
      </c>
      <c r="C737" s="70" t="s">
        <v>13</v>
      </c>
      <c r="D737" s="71" t="s">
        <v>2761</v>
      </c>
      <c r="E737" s="71" t="s">
        <v>113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2762</v>
      </c>
      <c r="L737" s="104">
        <f t="shared" si="237"/>
        <v>46167</v>
      </c>
      <c r="M737" s="105">
        <f ca="1" t="shared" si="238"/>
        <v>-146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243"/>
        <v>0</v>
      </c>
      <c r="Z737" s="105">
        <f ca="1" t="shared" si="244"/>
        <v>-46313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239"/>
        <v>0</v>
      </c>
      <c r="AM737" s="105">
        <f ca="1" t="shared" si="240"/>
        <v>-46313</v>
      </c>
      <c r="AN737" s="115"/>
      <c r="AO737" s="115"/>
      <c r="AP737" s="115"/>
      <c r="AQ737" s="93"/>
      <c r="AR737" s="93"/>
      <c r="AS737" s="94"/>
      <c r="AT737" s="95"/>
      <c r="AU737" s="79"/>
      <c r="AV737" s="117"/>
      <c r="AW737" s="115"/>
      <c r="AX737" s="106"/>
      <c r="AY737" s="104"/>
      <c r="AZ737" s="105"/>
    </row>
    <row r="738" customHeight="1" spans="1:52">
      <c r="A738" s="70">
        <v>738</v>
      </c>
      <c r="B738" s="70" t="s">
        <v>751</v>
      </c>
      <c r="C738" s="70" t="s">
        <v>264</v>
      </c>
      <c r="D738" s="71" t="s">
        <v>752</v>
      </c>
      <c r="E738" s="71" t="s">
        <v>753</v>
      </c>
      <c r="F738" s="72"/>
      <c r="G738" s="73"/>
      <c r="H738" s="151"/>
      <c r="I738" s="102">
        <v>46078</v>
      </c>
      <c r="J738" s="102" t="s">
        <v>767</v>
      </c>
      <c r="K738" s="106" t="s">
        <v>2763</v>
      </c>
      <c r="L738" s="104" t="e">
        <f t="shared" si="237"/>
        <v>#VALUE!</v>
      </c>
      <c r="M738" s="105" t="e">
        <f ca="1" t="shared" si="238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243"/>
        <v>0</v>
      </c>
      <c r="Z738" s="105">
        <f ca="1" t="shared" si="244"/>
        <v>-46313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239"/>
        <v>0</v>
      </c>
      <c r="AM738" s="105">
        <f ca="1" t="shared" si="240"/>
        <v>-46313</v>
      </c>
      <c r="AN738" s="115"/>
      <c r="AO738" s="115"/>
      <c r="AP738" s="115"/>
      <c r="AQ738" s="93"/>
      <c r="AR738" s="93"/>
      <c r="AS738" s="94"/>
      <c r="AT738" s="95"/>
      <c r="AU738" s="79"/>
      <c r="AV738" s="117"/>
      <c r="AW738" s="115"/>
      <c r="AX738" s="106"/>
      <c r="AY738" s="104"/>
      <c r="AZ738" s="105"/>
    </row>
    <row r="739" customHeight="1" spans="1:52">
      <c r="A739" s="70">
        <v>739</v>
      </c>
      <c r="B739" s="70" t="s">
        <v>570</v>
      </c>
      <c r="C739" s="70" t="s">
        <v>38</v>
      </c>
      <c r="D739" s="71" t="s">
        <v>2764</v>
      </c>
      <c r="E739" s="71" t="s">
        <v>526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2765</v>
      </c>
      <c r="L739" s="104">
        <f t="shared" si="237"/>
        <v>46168</v>
      </c>
      <c r="M739" s="105">
        <f ca="1" t="shared" si="238"/>
        <v>-145</v>
      </c>
      <c r="N739" s="70"/>
      <c r="O739" s="70" t="s">
        <v>570</v>
      </c>
      <c r="P739" s="70" t="s">
        <v>38</v>
      </c>
      <c r="Q739" s="71" t="s">
        <v>2764</v>
      </c>
      <c r="R739" s="71" t="s">
        <v>526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2766</v>
      </c>
      <c r="Y739" s="104">
        <f t="shared" si="243"/>
        <v>46304</v>
      </c>
      <c r="Z739" s="105">
        <f ca="1" t="shared" si="244"/>
        <v>-9</v>
      </c>
      <c r="AA739" s="70"/>
      <c r="AB739" s="70" t="s">
        <v>570</v>
      </c>
      <c r="AC739" s="70" t="s">
        <v>38</v>
      </c>
      <c r="AD739" s="71" t="s">
        <v>2764</v>
      </c>
      <c r="AE739" s="71" t="s">
        <v>526</v>
      </c>
      <c r="AF739" s="72"/>
      <c r="AG739" s="73"/>
      <c r="AH739" s="114" t="s">
        <v>16</v>
      </c>
      <c r="AI739" s="102">
        <v>46306</v>
      </c>
      <c r="AJ739" s="70">
        <v>3</v>
      </c>
      <c r="AK739" s="103"/>
      <c r="AL739" s="104">
        <f t="shared" si="239"/>
        <v>46398</v>
      </c>
      <c r="AM739" s="105">
        <f ca="1" t="shared" si="240"/>
        <v>85</v>
      </c>
      <c r="AN739" s="115"/>
      <c r="AO739" s="115"/>
      <c r="AP739" s="115"/>
      <c r="AQ739" s="93"/>
      <c r="AR739" s="93"/>
      <c r="AS739" s="94"/>
      <c r="AT739" s="95"/>
      <c r="AU739" s="79"/>
      <c r="AV739" s="117"/>
      <c r="AW739" s="115"/>
      <c r="AX739" s="106"/>
      <c r="AY739" s="104"/>
      <c r="AZ739" s="105"/>
    </row>
    <row r="740" customHeight="1" spans="1:52">
      <c r="A740" s="70">
        <v>740</v>
      </c>
      <c r="B740" s="70" t="s">
        <v>570</v>
      </c>
      <c r="C740" s="70" t="s">
        <v>13</v>
      </c>
      <c r="D740" s="71" t="s">
        <v>2767</v>
      </c>
      <c r="E740" s="71" t="s">
        <v>34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2768</v>
      </c>
      <c r="L740" s="104">
        <f t="shared" si="237"/>
        <v>46168</v>
      </c>
      <c r="M740" s="105">
        <f ca="1" t="shared" si="238"/>
        <v>-145</v>
      </c>
      <c r="N740" s="70"/>
      <c r="O740" s="70" t="s">
        <v>570</v>
      </c>
      <c r="P740" s="70" t="s">
        <v>13</v>
      </c>
      <c r="Q740" s="71" t="s">
        <v>2767</v>
      </c>
      <c r="R740" s="71" t="s">
        <v>34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2769</v>
      </c>
      <c r="Y740" s="104">
        <f t="shared" si="243"/>
        <v>46257</v>
      </c>
      <c r="Z740" s="105">
        <f ca="1" t="shared" si="244"/>
        <v>-56</v>
      </c>
      <c r="AA740" s="70"/>
      <c r="AB740" s="70" t="s">
        <v>570</v>
      </c>
      <c r="AC740" s="70" t="s">
        <v>13</v>
      </c>
      <c r="AD740" s="71" t="s">
        <v>2767</v>
      </c>
      <c r="AE740" s="71" t="s">
        <v>34</v>
      </c>
      <c r="AF740" s="72"/>
      <c r="AG740" s="73"/>
      <c r="AH740" s="114" t="s">
        <v>16</v>
      </c>
      <c r="AI740" s="102">
        <v>46279</v>
      </c>
      <c r="AJ740" s="70">
        <v>3</v>
      </c>
      <c r="AK740" s="103" t="s">
        <v>2770</v>
      </c>
      <c r="AL740" s="104">
        <f t="shared" si="239"/>
        <v>46370</v>
      </c>
      <c r="AM740" s="105">
        <f ca="1" t="shared" si="240"/>
        <v>57</v>
      </c>
      <c r="AN740" s="115"/>
      <c r="AO740" s="115"/>
      <c r="AP740" s="115"/>
      <c r="AQ740" s="93"/>
      <c r="AR740" s="93"/>
      <c r="AS740" s="94"/>
      <c r="AT740" s="95"/>
      <c r="AU740" s="79"/>
      <c r="AV740" s="117"/>
      <c r="AW740" s="115"/>
      <c r="AX740" s="106"/>
      <c r="AY740" s="104"/>
      <c r="AZ740" s="105"/>
    </row>
    <row r="741" customHeight="1" spans="1:52">
      <c r="A741" s="70">
        <v>741</v>
      </c>
      <c r="B741" s="70" t="s">
        <v>570</v>
      </c>
      <c r="C741" s="70" t="s">
        <v>13</v>
      </c>
      <c r="D741" s="71" t="s">
        <v>2771</v>
      </c>
      <c r="E741" s="71" t="s">
        <v>126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2772</v>
      </c>
      <c r="L741" s="104">
        <f t="shared" si="237"/>
        <v>46168</v>
      </c>
      <c r="M741" s="105">
        <f ca="1" t="shared" si="238"/>
        <v>-145</v>
      </c>
      <c r="N741" s="70"/>
      <c r="O741" s="70" t="s">
        <v>570</v>
      </c>
      <c r="P741" s="70" t="s">
        <v>13</v>
      </c>
      <c r="Q741" s="71" t="s">
        <v>2771</v>
      </c>
      <c r="R741" s="71" t="s">
        <v>126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2773</v>
      </c>
      <c r="Y741" s="104">
        <f t="shared" si="243"/>
        <v>46247</v>
      </c>
      <c r="Z741" s="105">
        <f ca="1" t="shared" si="244"/>
        <v>-66</v>
      </c>
      <c r="AA741" s="70"/>
      <c r="AB741" s="70" t="s">
        <v>570</v>
      </c>
      <c r="AC741" s="70" t="s">
        <v>13</v>
      </c>
      <c r="AD741" s="71" t="s">
        <v>2771</v>
      </c>
      <c r="AE741" s="71" t="s">
        <v>126</v>
      </c>
      <c r="AF741" s="72"/>
      <c r="AG741" s="73"/>
      <c r="AH741" s="114" t="s">
        <v>16</v>
      </c>
      <c r="AI741" s="102">
        <v>46249</v>
      </c>
      <c r="AJ741" s="70">
        <v>3</v>
      </c>
      <c r="AK741" s="103" t="s">
        <v>2774</v>
      </c>
      <c r="AL741" s="104">
        <f t="shared" si="239"/>
        <v>46341</v>
      </c>
      <c r="AM741" s="105">
        <f ca="1" t="shared" si="240"/>
        <v>28</v>
      </c>
      <c r="AN741" s="115"/>
      <c r="AO741" s="115"/>
      <c r="AP741" s="115"/>
      <c r="AQ741" s="93"/>
      <c r="AR741" s="93"/>
      <c r="AS741" s="94"/>
      <c r="AT741" s="95"/>
      <c r="AU741" s="79"/>
      <c r="AV741" s="117"/>
      <c r="AW741" s="115"/>
      <c r="AX741" s="106"/>
      <c r="AY741" s="104"/>
      <c r="AZ741" s="105"/>
    </row>
    <row r="742" customHeight="1" spans="1:52">
      <c r="A742" s="70">
        <v>742</v>
      </c>
      <c r="B742" s="70" t="s">
        <v>1359</v>
      </c>
      <c r="C742" s="70" t="s">
        <v>13</v>
      </c>
      <c r="D742" s="71" t="s">
        <v>2775</v>
      </c>
      <c r="E742" s="71" t="s">
        <v>2776</v>
      </c>
      <c r="F742" s="72"/>
      <c r="G742" s="73"/>
      <c r="H742" s="151" t="s">
        <v>434</v>
      </c>
      <c r="I742" s="102">
        <v>46079</v>
      </c>
      <c r="J742" s="70">
        <v>3</v>
      </c>
      <c r="K742" s="106" t="s">
        <v>2777</v>
      </c>
      <c r="L742" s="104">
        <f t="shared" si="237"/>
        <v>46168</v>
      </c>
      <c r="M742" s="105">
        <f ca="1" t="shared" si="238"/>
        <v>-145</v>
      </c>
      <c r="N742" s="70"/>
      <c r="O742" s="70" t="s">
        <v>1359</v>
      </c>
      <c r="P742" s="70" t="s">
        <v>13</v>
      </c>
      <c r="Q742" s="71" t="s">
        <v>2775</v>
      </c>
      <c r="R742" s="71" t="s">
        <v>2776</v>
      </c>
      <c r="S742" s="72"/>
      <c r="T742" s="73"/>
      <c r="U742" s="151" t="s">
        <v>434</v>
      </c>
      <c r="V742" s="102">
        <v>46189</v>
      </c>
      <c r="W742" s="70">
        <v>3</v>
      </c>
      <c r="X742" s="103" t="s">
        <v>2778</v>
      </c>
      <c r="Y742" s="104">
        <f t="shared" si="243"/>
        <v>46281</v>
      </c>
      <c r="Z742" s="105">
        <f ca="1" t="shared" si="244"/>
        <v>-32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>
        <f t="shared" si="239"/>
        <v>0</v>
      </c>
      <c r="AM742" s="105">
        <f ca="1" t="shared" si="240"/>
        <v>-46313</v>
      </c>
      <c r="AN742" s="115"/>
      <c r="AO742" s="115"/>
      <c r="AP742" s="115"/>
      <c r="AQ742" s="93"/>
      <c r="AR742" s="93"/>
      <c r="AS742" s="94"/>
      <c r="AT742" s="95"/>
      <c r="AU742" s="79"/>
      <c r="AV742" s="117"/>
      <c r="AW742" s="115"/>
      <c r="AX742" s="106"/>
      <c r="AY742" s="104"/>
      <c r="AZ742" s="105"/>
    </row>
    <row r="743" customHeight="1" spans="1:52">
      <c r="A743" s="70">
        <v>743</v>
      </c>
      <c r="B743" s="70" t="s">
        <v>1359</v>
      </c>
      <c r="C743" s="70" t="s">
        <v>13</v>
      </c>
      <c r="D743" s="71" t="s">
        <v>2779</v>
      </c>
      <c r="E743" s="71" t="s">
        <v>2780</v>
      </c>
      <c r="F743" s="72"/>
      <c r="G743" s="73"/>
      <c r="H743" s="151" t="s">
        <v>434</v>
      </c>
      <c r="I743" s="102">
        <v>46079</v>
      </c>
      <c r="J743" s="70">
        <v>3</v>
      </c>
      <c r="K743" s="106" t="s">
        <v>2781</v>
      </c>
      <c r="L743" s="104">
        <f t="shared" si="237"/>
        <v>46168</v>
      </c>
      <c r="M743" s="105">
        <f ca="1" t="shared" si="238"/>
        <v>-145</v>
      </c>
      <c r="N743" s="70"/>
      <c r="O743" s="70" t="s">
        <v>1359</v>
      </c>
      <c r="P743" s="70" t="s">
        <v>13</v>
      </c>
      <c r="Q743" s="71" t="s">
        <v>2779</v>
      </c>
      <c r="R743" s="71" t="s">
        <v>2780</v>
      </c>
      <c r="S743" s="72"/>
      <c r="T743" s="73"/>
      <c r="U743" s="151" t="s">
        <v>434</v>
      </c>
      <c r="V743" s="102">
        <v>46189</v>
      </c>
      <c r="W743" s="70">
        <v>3</v>
      </c>
      <c r="X743" s="103" t="s">
        <v>2782</v>
      </c>
      <c r="Y743" s="104">
        <f t="shared" si="243"/>
        <v>46281</v>
      </c>
      <c r="Z743" s="105">
        <f ca="1" t="shared" si="244"/>
        <v>-32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>
        <f t="shared" si="239"/>
        <v>0</v>
      </c>
      <c r="AM743" s="105">
        <f ca="1" t="shared" si="240"/>
        <v>-46313</v>
      </c>
      <c r="AN743" s="115"/>
      <c r="AO743" s="70"/>
      <c r="AP743" s="70"/>
      <c r="AQ743" s="71"/>
      <c r="AR743" s="71"/>
      <c r="AS743" s="72"/>
      <c r="AT743" s="73"/>
      <c r="AU743" s="75"/>
      <c r="AV743" s="117"/>
      <c r="AW743" s="115"/>
      <c r="AX743" s="106"/>
      <c r="AY743" s="104"/>
      <c r="AZ743" s="105"/>
    </row>
    <row r="744" customHeight="1" spans="1:52">
      <c r="A744" s="70">
        <v>744</v>
      </c>
      <c r="B744" s="70" t="s">
        <v>270</v>
      </c>
      <c r="C744" s="70" t="s">
        <v>264</v>
      </c>
      <c r="D744" s="71" t="s">
        <v>950</v>
      </c>
      <c r="E744" s="71" t="s">
        <v>951</v>
      </c>
      <c r="F744" s="72"/>
      <c r="G744" s="73"/>
      <c r="H744" s="75"/>
      <c r="I744" s="102">
        <v>46079</v>
      </c>
      <c r="J744" s="70" t="s">
        <v>767</v>
      </c>
      <c r="K744" s="106"/>
      <c r="L744" s="104" t="e">
        <f t="shared" si="237"/>
        <v>#VALUE!</v>
      </c>
      <c r="M744" s="105" t="e">
        <f ca="1" t="shared" si="238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243"/>
        <v>0</v>
      </c>
      <c r="Z744" s="105">
        <f ca="1" t="shared" si="244"/>
        <v>-46313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>
        <f t="shared" si="239"/>
        <v>0</v>
      </c>
      <c r="AM744" s="105">
        <f ca="1" t="shared" si="240"/>
        <v>-46313</v>
      </c>
      <c r="AN744" s="115"/>
      <c r="AO744" s="115"/>
      <c r="AP744" s="115"/>
      <c r="AQ744" s="93"/>
      <c r="AR744" s="93"/>
      <c r="AS744" s="94"/>
      <c r="AT744" s="95"/>
      <c r="AU744" s="79"/>
      <c r="AV744" s="117"/>
      <c r="AW744" s="115"/>
      <c r="AX744" s="106"/>
      <c r="AY744" s="104"/>
      <c r="AZ744" s="105"/>
    </row>
    <row r="745" customHeight="1" spans="1:52">
      <c r="A745" s="70">
        <v>745</v>
      </c>
      <c r="B745" s="70" t="s">
        <v>685</v>
      </c>
      <c r="C745" s="70" t="s">
        <v>13</v>
      </c>
      <c r="D745" s="71" t="s">
        <v>2783</v>
      </c>
      <c r="E745" s="71" t="s">
        <v>2784</v>
      </c>
      <c r="F745" s="72"/>
      <c r="G745" s="73"/>
      <c r="H745" s="75"/>
      <c r="I745" s="102">
        <v>46080</v>
      </c>
      <c r="J745" s="70">
        <v>3</v>
      </c>
      <c r="K745" s="106" t="s">
        <v>2785</v>
      </c>
      <c r="L745" s="104">
        <f t="shared" si="237"/>
        <v>46169</v>
      </c>
      <c r="M745" s="105">
        <f ca="1" t="shared" si="238"/>
        <v>-144</v>
      </c>
      <c r="N745" s="70"/>
      <c r="O745" s="70" t="s">
        <v>685</v>
      </c>
      <c r="P745" s="70" t="s">
        <v>13</v>
      </c>
      <c r="Q745" s="71" t="s">
        <v>2783</v>
      </c>
      <c r="R745" s="71" t="s">
        <v>2784</v>
      </c>
      <c r="S745" s="72"/>
      <c r="T745" s="73"/>
      <c r="U745" s="75"/>
      <c r="V745" s="102">
        <v>46160</v>
      </c>
      <c r="W745" s="70">
        <v>3</v>
      </c>
      <c r="X745" s="103" t="s">
        <v>2786</v>
      </c>
      <c r="Y745" s="104">
        <f t="shared" si="243"/>
        <v>46252</v>
      </c>
      <c r="Z745" s="105">
        <f ca="1" t="shared" si="244"/>
        <v>-61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>
        <f t="shared" si="239"/>
        <v>0</v>
      </c>
      <c r="AM745" s="105">
        <f ca="1" t="shared" si="240"/>
        <v>-46313</v>
      </c>
      <c r="AN745" s="115"/>
      <c r="AO745" s="115"/>
      <c r="AP745" s="125"/>
      <c r="AQ745" s="93"/>
      <c r="AR745" s="93"/>
      <c r="AS745" s="94"/>
      <c r="AT745" s="95"/>
      <c r="AU745" s="79"/>
      <c r="AV745" s="117"/>
      <c r="AW745" s="115"/>
      <c r="AX745" s="106"/>
      <c r="AY745" s="104"/>
      <c r="AZ745" s="105"/>
    </row>
    <row r="746" customHeight="1" spans="1:52">
      <c r="A746" s="70">
        <v>746</v>
      </c>
      <c r="B746" s="70" t="s">
        <v>685</v>
      </c>
      <c r="C746" s="70" t="s">
        <v>13</v>
      </c>
      <c r="D746" s="71" t="s">
        <v>2787</v>
      </c>
      <c r="E746" s="71" t="s">
        <v>2788</v>
      </c>
      <c r="F746" s="72"/>
      <c r="G746" s="73"/>
      <c r="H746" s="75"/>
      <c r="I746" s="102">
        <v>46080</v>
      </c>
      <c r="J746" s="70">
        <v>3</v>
      </c>
      <c r="K746" s="106" t="s">
        <v>2789</v>
      </c>
      <c r="L746" s="104">
        <f t="shared" si="237"/>
        <v>46169</v>
      </c>
      <c r="M746" s="105">
        <f ca="1" t="shared" si="238"/>
        <v>-144</v>
      </c>
      <c r="N746" s="70"/>
      <c r="O746" s="70" t="s">
        <v>685</v>
      </c>
      <c r="P746" s="70" t="s">
        <v>13</v>
      </c>
      <c r="Q746" s="71" t="s">
        <v>2787</v>
      </c>
      <c r="R746" s="71" t="s">
        <v>2788</v>
      </c>
      <c r="S746" s="72"/>
      <c r="T746" s="73"/>
      <c r="U746" s="75"/>
      <c r="V746" s="102">
        <v>46160</v>
      </c>
      <c r="W746" s="70">
        <v>3</v>
      </c>
      <c r="X746" s="103" t="s">
        <v>2790</v>
      </c>
      <c r="Y746" s="104">
        <f t="shared" si="243"/>
        <v>46252</v>
      </c>
      <c r="Z746" s="105">
        <f ca="1" t="shared" si="244"/>
        <v>-61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>
        <f t="shared" si="239"/>
        <v>0</v>
      </c>
      <c r="AM746" s="105">
        <f ca="1" t="shared" si="240"/>
        <v>-46313</v>
      </c>
      <c r="AN746" s="115"/>
      <c r="AO746" s="115"/>
      <c r="AP746" s="115"/>
      <c r="AQ746" s="93"/>
      <c r="AR746" s="93"/>
      <c r="AS746" s="94"/>
      <c r="AT746" s="95"/>
      <c r="AU746" s="79"/>
      <c r="AV746" s="117"/>
      <c r="AW746" s="115"/>
      <c r="AX746" s="106"/>
      <c r="AY746" s="104"/>
      <c r="AZ746" s="105"/>
    </row>
    <row r="747" customHeight="1" spans="1:52">
      <c r="A747" s="70">
        <v>747</v>
      </c>
      <c r="B747" s="70" t="s">
        <v>685</v>
      </c>
      <c r="C747" s="70" t="s">
        <v>13</v>
      </c>
      <c r="D747" s="71" t="s">
        <v>2791</v>
      </c>
      <c r="E747" s="71" t="s">
        <v>2792</v>
      </c>
      <c r="F747" s="72"/>
      <c r="G747" s="73"/>
      <c r="H747" s="75"/>
      <c r="I747" s="102">
        <v>46080</v>
      </c>
      <c r="J747" s="70">
        <v>3</v>
      </c>
      <c r="K747" s="106" t="s">
        <v>2793</v>
      </c>
      <c r="L747" s="104">
        <f t="shared" si="237"/>
        <v>46169</v>
      </c>
      <c r="M747" s="105">
        <f ca="1" t="shared" si="238"/>
        <v>-144</v>
      </c>
      <c r="N747" s="70"/>
      <c r="O747" s="70" t="s">
        <v>685</v>
      </c>
      <c r="P747" s="70" t="s">
        <v>13</v>
      </c>
      <c r="Q747" s="71" t="s">
        <v>2791</v>
      </c>
      <c r="R747" s="71" t="s">
        <v>2792</v>
      </c>
      <c r="S747" s="72"/>
      <c r="T747" s="73"/>
      <c r="U747" s="75"/>
      <c r="V747" s="102">
        <v>46234</v>
      </c>
      <c r="W747" s="70">
        <v>3</v>
      </c>
      <c r="X747" s="103" t="s">
        <v>2794</v>
      </c>
      <c r="Y747" s="104">
        <f t="shared" si="243"/>
        <v>46326</v>
      </c>
      <c r="Z747" s="105">
        <f ca="1" t="shared" si="244"/>
        <v>13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>
        <f t="shared" si="239"/>
        <v>0</v>
      </c>
      <c r="AM747" s="105">
        <f ca="1" t="shared" si="240"/>
        <v>-46313</v>
      </c>
      <c r="AN747" s="115"/>
      <c r="AO747" s="115"/>
      <c r="AP747" s="115"/>
      <c r="AQ747" s="93"/>
      <c r="AR747" s="93"/>
      <c r="AS747" s="94"/>
      <c r="AT747" s="95"/>
      <c r="AU747" s="79"/>
      <c r="AV747" s="117"/>
      <c r="AW747" s="115"/>
      <c r="AX747" s="106"/>
      <c r="AY747" s="104"/>
      <c r="AZ747" s="105"/>
    </row>
    <row r="748" customHeight="1" spans="1:52">
      <c r="A748" s="70">
        <v>748</v>
      </c>
      <c r="B748" s="70" t="s">
        <v>685</v>
      </c>
      <c r="C748" s="70" t="s">
        <v>13</v>
      </c>
      <c r="D748" s="71" t="s">
        <v>2795</v>
      </c>
      <c r="E748" s="71" t="s">
        <v>2796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2797</v>
      </c>
      <c r="L748" s="104">
        <f t="shared" si="237"/>
        <v>46169</v>
      </c>
      <c r="M748" s="105">
        <f ca="1" t="shared" si="238"/>
        <v>-144</v>
      </c>
      <c r="N748" s="70"/>
      <c r="O748" s="70" t="s">
        <v>685</v>
      </c>
      <c r="P748" s="70" t="s">
        <v>13</v>
      </c>
      <c r="Q748" s="71" t="s">
        <v>2795</v>
      </c>
      <c r="R748" s="71" t="s">
        <v>2796</v>
      </c>
      <c r="S748" s="72"/>
      <c r="T748" s="73"/>
      <c r="U748" s="114" t="s">
        <v>16</v>
      </c>
      <c r="V748" s="102">
        <v>46267</v>
      </c>
      <c r="W748" s="70">
        <v>3</v>
      </c>
      <c r="X748" s="103" t="s">
        <v>2798</v>
      </c>
      <c r="Y748" s="104">
        <f t="shared" si="243"/>
        <v>46358</v>
      </c>
      <c r="Z748" s="105">
        <f ca="1" t="shared" si="244"/>
        <v>45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>
        <f t="shared" si="239"/>
        <v>0</v>
      </c>
      <c r="AM748" s="105">
        <f ca="1" t="shared" si="240"/>
        <v>-46313</v>
      </c>
      <c r="AN748" s="115"/>
      <c r="AO748" s="70"/>
      <c r="AP748" s="70"/>
      <c r="AQ748" s="71"/>
      <c r="AR748" s="71"/>
      <c r="AS748" s="72"/>
      <c r="AT748" s="73"/>
      <c r="AU748" s="79"/>
      <c r="AV748" s="117"/>
      <c r="AW748" s="115"/>
      <c r="AX748" s="106"/>
      <c r="AY748" s="104"/>
      <c r="AZ748" s="105"/>
    </row>
    <row r="749" customHeight="1" spans="1:52">
      <c r="A749" s="70">
        <v>749</v>
      </c>
      <c r="B749" s="70" t="s">
        <v>685</v>
      </c>
      <c r="C749" s="70" t="s">
        <v>13</v>
      </c>
      <c r="D749" s="71" t="s">
        <v>2799</v>
      </c>
      <c r="E749" s="71" t="s">
        <v>126</v>
      </c>
      <c r="F749" s="72"/>
      <c r="G749" s="73"/>
      <c r="H749" s="151"/>
      <c r="I749" s="102">
        <v>46080</v>
      </c>
      <c r="J749" s="70">
        <v>3</v>
      </c>
      <c r="K749" s="106" t="s">
        <v>2800</v>
      </c>
      <c r="L749" s="104">
        <f t="shared" si="237"/>
        <v>46169</v>
      </c>
      <c r="M749" s="105">
        <f ca="1" t="shared" si="238"/>
        <v>-144</v>
      </c>
      <c r="N749" s="70"/>
      <c r="O749" s="70" t="s">
        <v>685</v>
      </c>
      <c r="P749" s="70" t="s">
        <v>13</v>
      </c>
      <c r="Q749" s="71" t="s">
        <v>2799</v>
      </c>
      <c r="R749" s="71" t="s">
        <v>126</v>
      </c>
      <c r="S749" s="72"/>
      <c r="T749" s="73"/>
      <c r="U749" s="151"/>
      <c r="V749" s="102">
        <v>46183</v>
      </c>
      <c r="W749" s="70">
        <v>3</v>
      </c>
      <c r="X749" s="103" t="s">
        <v>2801</v>
      </c>
      <c r="Y749" s="104">
        <f t="shared" si="243"/>
        <v>46275</v>
      </c>
      <c r="Z749" s="105">
        <f ca="1" t="shared" si="244"/>
        <v>-38</v>
      </c>
      <c r="AA749" s="70"/>
      <c r="AB749" s="70" t="s">
        <v>685</v>
      </c>
      <c r="AC749" s="70" t="s">
        <v>13</v>
      </c>
      <c r="AD749" s="71" t="s">
        <v>2799</v>
      </c>
      <c r="AE749" s="71" t="s">
        <v>126</v>
      </c>
      <c r="AF749" s="72"/>
      <c r="AG749" s="73"/>
      <c r="AH749" s="151"/>
      <c r="AI749" s="102">
        <v>46281</v>
      </c>
      <c r="AJ749" s="70">
        <v>3</v>
      </c>
      <c r="AK749" s="103" t="s">
        <v>2802</v>
      </c>
      <c r="AL749" s="104">
        <f t="shared" si="239"/>
        <v>46372</v>
      </c>
      <c r="AM749" s="105">
        <f ca="1" t="shared" si="240"/>
        <v>59</v>
      </c>
      <c r="AN749" s="115"/>
      <c r="AO749" s="70"/>
      <c r="AP749" s="70"/>
      <c r="AQ749" s="71"/>
      <c r="AR749" s="71"/>
      <c r="AS749" s="72"/>
      <c r="AT749" s="73"/>
      <c r="AU749" s="79"/>
      <c r="AV749" s="117"/>
      <c r="AW749" s="115"/>
      <c r="AX749" s="106"/>
      <c r="AY749" s="104"/>
      <c r="AZ749" s="105"/>
    </row>
    <row r="750" customHeight="1" spans="1:52">
      <c r="A750" s="70">
        <v>750</v>
      </c>
      <c r="B750" s="70" t="s">
        <v>570</v>
      </c>
      <c r="C750" s="70" t="s">
        <v>13</v>
      </c>
      <c r="D750" s="71" t="s">
        <v>2803</v>
      </c>
      <c r="E750" s="71" t="s">
        <v>1813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2804</v>
      </c>
      <c r="L750" s="104">
        <f t="shared" si="237"/>
        <v>46169</v>
      </c>
      <c r="M750" s="105">
        <f ca="1" t="shared" si="238"/>
        <v>-144</v>
      </c>
      <c r="N750" s="70"/>
      <c r="O750" s="70" t="s">
        <v>570</v>
      </c>
      <c r="P750" s="70" t="s">
        <v>13</v>
      </c>
      <c r="Q750" s="71" t="s">
        <v>2803</v>
      </c>
      <c r="R750" s="71" t="s">
        <v>1813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2805</v>
      </c>
      <c r="Y750" s="104">
        <f t="shared" si="243"/>
        <v>46265</v>
      </c>
      <c r="Z750" s="105">
        <f ca="1" t="shared" si="244"/>
        <v>-48</v>
      </c>
      <c r="AA750" s="70"/>
      <c r="AB750" s="70" t="s">
        <v>570</v>
      </c>
      <c r="AC750" s="70" t="s">
        <v>13</v>
      </c>
      <c r="AD750" s="71" t="s">
        <v>2803</v>
      </c>
      <c r="AE750" s="71" t="s">
        <v>1813</v>
      </c>
      <c r="AF750" s="72"/>
      <c r="AG750" s="73"/>
      <c r="AH750" s="114" t="s">
        <v>16</v>
      </c>
      <c r="AI750" s="102">
        <v>46265</v>
      </c>
      <c r="AJ750" s="70">
        <v>3</v>
      </c>
      <c r="AK750" s="103" t="s">
        <v>2806</v>
      </c>
      <c r="AL750" s="104">
        <f t="shared" ref="AL750:AL757" si="245">EDATE(AI750,AJ750)</f>
        <v>46356</v>
      </c>
      <c r="AM750" s="105">
        <f ca="1" t="shared" ref="AM750:AM757" si="246">AL750-TODAY()</f>
        <v>43</v>
      </c>
      <c r="AN750" s="115"/>
      <c r="AO750" s="70"/>
      <c r="AP750" s="70"/>
      <c r="AQ750" s="71"/>
      <c r="AR750" s="71"/>
      <c r="AS750" s="72"/>
      <c r="AT750" s="73"/>
      <c r="AU750" s="114"/>
      <c r="AV750" s="117"/>
      <c r="AW750" s="115"/>
      <c r="AX750" s="106"/>
      <c r="AY750" s="104"/>
      <c r="AZ750" s="105"/>
    </row>
    <row r="751" customHeight="1" spans="1:52">
      <c r="A751" s="70">
        <v>751</v>
      </c>
      <c r="B751" s="70" t="s">
        <v>570</v>
      </c>
      <c r="C751" s="70" t="s">
        <v>13</v>
      </c>
      <c r="D751" s="71" t="s">
        <v>2807</v>
      </c>
      <c r="E751" s="71" t="s">
        <v>126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2808</v>
      </c>
      <c r="L751" s="104">
        <f t="shared" si="237"/>
        <v>46169</v>
      </c>
      <c r="M751" s="105">
        <f ca="1" t="shared" si="238"/>
        <v>-144</v>
      </c>
      <c r="N751" s="70"/>
      <c r="O751" s="70" t="s">
        <v>570</v>
      </c>
      <c r="P751" s="70" t="s">
        <v>13</v>
      </c>
      <c r="Q751" s="71" t="s">
        <v>2807</v>
      </c>
      <c r="R751" s="71" t="s">
        <v>126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2809</v>
      </c>
      <c r="Y751" s="104">
        <f t="shared" si="243"/>
        <v>46265</v>
      </c>
      <c r="Z751" s="105">
        <f ca="1" t="shared" si="244"/>
        <v>-48</v>
      </c>
      <c r="AA751" s="70"/>
      <c r="AB751" s="70" t="s">
        <v>570</v>
      </c>
      <c r="AC751" s="70" t="s">
        <v>13</v>
      </c>
      <c r="AD751" s="71" t="s">
        <v>2807</v>
      </c>
      <c r="AE751" s="71" t="s">
        <v>126</v>
      </c>
      <c r="AF751" s="72"/>
      <c r="AG751" s="73"/>
      <c r="AH751" s="114" t="s">
        <v>16</v>
      </c>
      <c r="AI751" s="102">
        <v>46265</v>
      </c>
      <c r="AJ751" s="70">
        <v>3</v>
      </c>
      <c r="AK751" s="103" t="s">
        <v>2810</v>
      </c>
      <c r="AL751" s="104">
        <f t="shared" si="245"/>
        <v>46356</v>
      </c>
      <c r="AM751" s="105">
        <f ca="1" t="shared" si="246"/>
        <v>43</v>
      </c>
      <c r="AN751" s="115"/>
      <c r="AO751" s="70"/>
      <c r="AP751" s="70"/>
      <c r="AQ751" s="71"/>
      <c r="AR751" s="71"/>
      <c r="AS751" s="72"/>
      <c r="AT751" s="73"/>
      <c r="AU751" s="114"/>
      <c r="AV751" s="117"/>
      <c r="AW751" s="115"/>
      <c r="AX751" s="106"/>
      <c r="AY751" s="104"/>
      <c r="AZ751" s="105"/>
    </row>
    <row r="752" customHeight="1" spans="1:52">
      <c r="A752" s="70">
        <v>752</v>
      </c>
      <c r="B752" s="70" t="s">
        <v>2811</v>
      </c>
      <c r="C752" s="70" t="s">
        <v>13</v>
      </c>
      <c r="D752" s="71" t="s">
        <v>2812</v>
      </c>
      <c r="E752" s="71" t="s">
        <v>2813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2814</v>
      </c>
      <c r="L752" s="104">
        <f t="shared" si="237"/>
        <v>46169</v>
      </c>
      <c r="M752" s="105">
        <f ca="1" t="shared" si="238"/>
        <v>-144</v>
      </c>
      <c r="N752" s="70"/>
      <c r="O752" s="70" t="s">
        <v>2811</v>
      </c>
      <c r="P752" s="70" t="s">
        <v>13</v>
      </c>
      <c r="Q752" s="71" t="s">
        <v>2812</v>
      </c>
      <c r="R752" s="71" t="s">
        <v>2813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2815</v>
      </c>
      <c r="Y752" s="104">
        <f t="shared" si="243"/>
        <v>46291</v>
      </c>
      <c r="Z752" s="105">
        <f ca="1" t="shared" si="244"/>
        <v>-22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>
        <f t="shared" si="245"/>
        <v>0</v>
      </c>
      <c r="AM752" s="105">
        <f ca="1" t="shared" si="246"/>
        <v>-46313</v>
      </c>
      <c r="AN752" s="115"/>
      <c r="AO752" s="115"/>
      <c r="AP752" s="115"/>
      <c r="AQ752" s="93"/>
      <c r="AR752" s="93"/>
      <c r="AS752" s="94"/>
      <c r="AT752" s="95"/>
      <c r="AU752" s="79"/>
      <c r="AV752" s="117"/>
      <c r="AW752" s="115"/>
      <c r="AX752" s="106"/>
      <c r="AY752" s="104"/>
      <c r="AZ752" s="105"/>
    </row>
    <row r="753" customHeight="1" spans="1:52">
      <c r="A753" s="70">
        <v>753</v>
      </c>
      <c r="B753" s="70" t="s">
        <v>2811</v>
      </c>
      <c r="C753" s="70" t="s">
        <v>13</v>
      </c>
      <c r="D753" s="71" t="s">
        <v>2816</v>
      </c>
      <c r="E753" s="93" t="s">
        <v>126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2817</v>
      </c>
      <c r="L753" s="104">
        <f t="shared" si="237"/>
        <v>46169</v>
      </c>
      <c r="M753" s="105">
        <f ca="1" t="shared" si="238"/>
        <v>-144</v>
      </c>
      <c r="N753" s="70"/>
      <c r="O753" s="70" t="s">
        <v>2811</v>
      </c>
      <c r="P753" s="70" t="s">
        <v>13</v>
      </c>
      <c r="Q753" s="71" t="s">
        <v>2816</v>
      </c>
      <c r="R753" s="93" t="s">
        <v>126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2818</v>
      </c>
      <c r="Y753" s="104">
        <f t="shared" si="243"/>
        <v>46291</v>
      </c>
      <c r="Z753" s="105">
        <f ca="1" t="shared" si="244"/>
        <v>-22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>
        <f t="shared" si="245"/>
        <v>0</v>
      </c>
      <c r="AM753" s="105">
        <f ca="1" t="shared" si="246"/>
        <v>-46313</v>
      </c>
      <c r="AN753" s="115"/>
      <c r="AO753" s="115"/>
      <c r="AP753" s="115"/>
      <c r="AQ753" s="93"/>
      <c r="AR753" s="93"/>
      <c r="AS753" s="94"/>
      <c r="AT753" s="95"/>
      <c r="AU753" s="79"/>
      <c r="AV753" s="117"/>
      <c r="AW753" s="115"/>
      <c r="AX753" s="106"/>
      <c r="AY753" s="104"/>
      <c r="AZ753" s="105"/>
    </row>
    <row r="754" customHeight="1" spans="1:52">
      <c r="A754" s="70">
        <v>754</v>
      </c>
      <c r="B754" s="70" t="s">
        <v>2811</v>
      </c>
      <c r="C754" s="70" t="s">
        <v>38</v>
      </c>
      <c r="D754" s="71" t="s">
        <v>2819</v>
      </c>
      <c r="E754" s="71" t="s">
        <v>332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2820</v>
      </c>
      <c r="L754" s="104">
        <f t="shared" si="237"/>
        <v>46169</v>
      </c>
      <c r="M754" s="105">
        <f ca="1" t="shared" si="238"/>
        <v>-144</v>
      </c>
      <c r="N754" s="70"/>
      <c r="O754" s="70" t="s">
        <v>2811</v>
      </c>
      <c r="P754" s="70" t="s">
        <v>38</v>
      </c>
      <c r="Q754" s="71" t="s">
        <v>2819</v>
      </c>
      <c r="R754" s="71" t="s">
        <v>332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2821</v>
      </c>
      <c r="Y754" s="104">
        <f t="shared" ref="Y754:Y766" si="247">EDATE(V754,W754)</f>
        <v>46291</v>
      </c>
      <c r="Z754" s="105">
        <f ca="1" t="shared" ref="Z754:Z766" si="248">Y754-TODAY()</f>
        <v>-22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>
        <f t="shared" si="245"/>
        <v>0</v>
      </c>
      <c r="AM754" s="105">
        <f ca="1" t="shared" si="246"/>
        <v>-46313</v>
      </c>
      <c r="AN754" s="115"/>
      <c r="AO754" s="115"/>
      <c r="AP754" s="115"/>
      <c r="AQ754" s="93"/>
      <c r="AR754" s="93"/>
      <c r="AS754" s="94"/>
      <c r="AT754" s="95"/>
      <c r="AU754" s="79"/>
      <c r="AV754" s="117"/>
      <c r="AW754" s="115"/>
      <c r="AX754" s="106"/>
      <c r="AY754" s="104"/>
      <c r="AZ754" s="105"/>
    </row>
    <row r="755" customHeight="1" spans="1:52">
      <c r="A755" s="70">
        <v>755</v>
      </c>
      <c r="B755" s="70" t="s">
        <v>2811</v>
      </c>
      <c r="C755" s="70" t="s">
        <v>38</v>
      </c>
      <c r="D755" s="71" t="s">
        <v>2822</v>
      </c>
      <c r="E755" s="71" t="s">
        <v>28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2823</v>
      </c>
      <c r="L755" s="104">
        <f t="shared" si="237"/>
        <v>46169</v>
      </c>
      <c r="M755" s="105">
        <f ca="1" t="shared" si="238"/>
        <v>-144</v>
      </c>
      <c r="N755" s="70"/>
      <c r="O755" s="70" t="s">
        <v>2811</v>
      </c>
      <c r="P755" s="70" t="s">
        <v>38</v>
      </c>
      <c r="Q755" s="71" t="s">
        <v>2822</v>
      </c>
      <c r="R755" s="71" t="s">
        <v>28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2824</v>
      </c>
      <c r="Y755" s="104">
        <f t="shared" si="247"/>
        <v>46291</v>
      </c>
      <c r="Z755" s="105">
        <f ca="1" t="shared" si="248"/>
        <v>-22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>
        <f t="shared" si="245"/>
        <v>0</v>
      </c>
      <c r="AM755" s="105">
        <f ca="1" t="shared" si="246"/>
        <v>-46313</v>
      </c>
      <c r="AN755" s="115"/>
      <c r="AO755" s="115"/>
      <c r="AP755" s="115"/>
      <c r="AQ755" s="93"/>
      <c r="AR755" s="93"/>
      <c r="AS755" s="94"/>
      <c r="AT755" s="95"/>
      <c r="AU755" s="79"/>
      <c r="AV755" s="117"/>
      <c r="AW755" s="115"/>
      <c r="AX755" s="106"/>
      <c r="AY755" s="104"/>
      <c r="AZ755" s="105"/>
    </row>
    <row r="756" customHeight="1" spans="1:52">
      <c r="A756" s="70">
        <v>756</v>
      </c>
      <c r="B756" s="70" t="s">
        <v>751</v>
      </c>
      <c r="C756" s="70" t="s">
        <v>13</v>
      </c>
      <c r="D756" s="71" t="s">
        <v>2825</v>
      </c>
      <c r="E756" s="71" t="s">
        <v>687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2826</v>
      </c>
      <c r="L756" s="104">
        <f t="shared" si="237"/>
        <v>46170</v>
      </c>
      <c r="M756" s="105">
        <f ca="1" t="shared" si="238"/>
        <v>-143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247"/>
        <v>0</v>
      </c>
      <c r="Z756" s="105">
        <f ca="1" t="shared" si="248"/>
        <v>-46313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>
        <f t="shared" si="245"/>
        <v>0</v>
      </c>
      <c r="AM756" s="105">
        <f ca="1" t="shared" si="246"/>
        <v>-46313</v>
      </c>
      <c r="AN756" s="115"/>
      <c r="AO756" s="115"/>
      <c r="AP756" s="115"/>
      <c r="AQ756" s="93"/>
      <c r="AR756" s="93"/>
      <c r="AS756" s="94"/>
      <c r="AT756" s="95"/>
      <c r="AU756" s="79"/>
      <c r="AV756" s="117"/>
      <c r="AW756" s="115"/>
      <c r="AX756" s="106"/>
      <c r="AY756" s="104"/>
      <c r="AZ756" s="105"/>
    </row>
    <row r="757" customHeight="1" spans="1:52">
      <c r="A757" s="70">
        <v>757</v>
      </c>
      <c r="B757" s="70" t="s">
        <v>751</v>
      </c>
      <c r="C757" s="70" t="s">
        <v>13</v>
      </c>
      <c r="D757" s="71" t="s">
        <v>2827</v>
      </c>
      <c r="E757" s="71" t="s">
        <v>687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2828</v>
      </c>
      <c r="L757" s="104">
        <f t="shared" si="237"/>
        <v>46170</v>
      </c>
      <c r="M757" s="105">
        <f ca="1" t="shared" si="238"/>
        <v>-143</v>
      </c>
      <c r="N757" s="70"/>
      <c r="O757" s="70" t="s">
        <v>751</v>
      </c>
      <c r="P757" s="70" t="s">
        <v>13</v>
      </c>
      <c r="Q757" s="71" t="s">
        <v>2827</v>
      </c>
      <c r="R757" s="71" t="s">
        <v>687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2829</v>
      </c>
      <c r="Y757" s="104">
        <f t="shared" si="247"/>
        <v>46255</v>
      </c>
      <c r="Z757" s="105">
        <f ca="1" t="shared" si="248"/>
        <v>-58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>
        <f t="shared" si="245"/>
        <v>0</v>
      </c>
      <c r="AM757" s="105">
        <f ca="1" t="shared" si="246"/>
        <v>-46313</v>
      </c>
      <c r="AN757" s="115"/>
      <c r="AO757" s="115"/>
      <c r="AP757" s="115"/>
      <c r="AQ757" s="93"/>
      <c r="AR757" s="93"/>
      <c r="AS757" s="94"/>
      <c r="AT757" s="95"/>
      <c r="AU757" s="79"/>
      <c r="AV757" s="117"/>
      <c r="AW757" s="115"/>
      <c r="AX757" s="106"/>
      <c r="AY757" s="104"/>
      <c r="AZ757" s="105"/>
    </row>
    <row r="758" customHeight="1" spans="1:52">
      <c r="A758" s="70">
        <v>758</v>
      </c>
      <c r="B758" s="70" t="s">
        <v>751</v>
      </c>
      <c r="C758" s="70" t="s">
        <v>13</v>
      </c>
      <c r="D758" s="71" t="s">
        <v>2830</v>
      </c>
      <c r="E758" s="71" t="s">
        <v>2831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2832</v>
      </c>
      <c r="L758" s="104">
        <f t="shared" si="237"/>
        <v>46170</v>
      </c>
      <c r="M758" s="105">
        <f ca="1" t="shared" si="238"/>
        <v>-143</v>
      </c>
      <c r="N758" s="70"/>
      <c r="O758" s="70" t="s">
        <v>751</v>
      </c>
      <c r="P758" s="70" t="s">
        <v>13</v>
      </c>
      <c r="Q758" s="71" t="s">
        <v>2830</v>
      </c>
      <c r="R758" s="71" t="s">
        <v>2831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2833</v>
      </c>
      <c r="Y758" s="104">
        <f t="shared" si="247"/>
        <v>46260</v>
      </c>
      <c r="Z758" s="105">
        <f ca="1" t="shared" si="248"/>
        <v>-53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>
        <f t="shared" ref="AL758:AL769" si="249">EDATE(AI758,AJ758)</f>
        <v>0</v>
      </c>
      <c r="AM758" s="105">
        <f ca="1" t="shared" ref="AM758:AM769" si="250">AL758-TODAY()</f>
        <v>-46313</v>
      </c>
      <c r="AN758" s="115"/>
      <c r="AO758" s="115"/>
      <c r="AP758" s="115"/>
      <c r="AQ758" s="93"/>
      <c r="AR758" s="93"/>
      <c r="AS758" s="94"/>
      <c r="AT758" s="95"/>
      <c r="AU758" s="79"/>
      <c r="AV758" s="117"/>
      <c r="AW758" s="115"/>
      <c r="AX758" s="106"/>
      <c r="AY758" s="104"/>
      <c r="AZ758" s="105"/>
    </row>
    <row r="759" customHeight="1" spans="1:52">
      <c r="A759" s="70">
        <v>759</v>
      </c>
      <c r="B759" s="70" t="s">
        <v>751</v>
      </c>
      <c r="C759" s="70" t="s">
        <v>13</v>
      </c>
      <c r="D759" s="71" t="s">
        <v>2834</v>
      </c>
      <c r="E759" s="71" t="s">
        <v>604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2835</v>
      </c>
      <c r="L759" s="104">
        <f t="shared" si="237"/>
        <v>46170</v>
      </c>
      <c r="M759" s="105">
        <f ca="1" t="shared" si="238"/>
        <v>-143</v>
      </c>
      <c r="N759" s="70"/>
      <c r="O759" s="70" t="s">
        <v>751</v>
      </c>
      <c r="P759" s="70" t="s">
        <v>13</v>
      </c>
      <c r="Q759" s="71" t="s">
        <v>2834</v>
      </c>
      <c r="R759" s="71" t="s">
        <v>604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2836</v>
      </c>
      <c r="Y759" s="104">
        <f t="shared" si="247"/>
        <v>46253</v>
      </c>
      <c r="Z759" s="105">
        <f ca="1" t="shared" si="248"/>
        <v>-60</v>
      </c>
      <c r="AA759" s="70"/>
      <c r="AB759" s="70" t="s">
        <v>751</v>
      </c>
      <c r="AC759" s="70" t="s">
        <v>13</v>
      </c>
      <c r="AD759" s="71" t="s">
        <v>2834</v>
      </c>
      <c r="AE759" s="71" t="s">
        <v>604</v>
      </c>
      <c r="AF759" s="72"/>
      <c r="AG759" s="73"/>
      <c r="AH759" s="114" t="s">
        <v>16</v>
      </c>
      <c r="AI759" s="102">
        <v>46258</v>
      </c>
      <c r="AJ759" s="70">
        <v>3</v>
      </c>
      <c r="AK759" s="103" t="s">
        <v>2837</v>
      </c>
      <c r="AL759" s="104">
        <f t="shared" si="249"/>
        <v>46350</v>
      </c>
      <c r="AM759" s="105">
        <f ca="1" t="shared" si="250"/>
        <v>37</v>
      </c>
      <c r="AN759" s="115"/>
      <c r="AO759" s="115"/>
      <c r="AP759" s="115"/>
      <c r="AQ759" s="93"/>
      <c r="AR759" s="93"/>
      <c r="AS759" s="94"/>
      <c r="AT759" s="95"/>
      <c r="AU759" s="79"/>
      <c r="AV759" s="117"/>
      <c r="AW759" s="115"/>
      <c r="AX759" s="106"/>
      <c r="AY759" s="104"/>
      <c r="AZ759" s="105"/>
    </row>
    <row r="760" customHeight="1" spans="1:52">
      <c r="A760" s="70">
        <v>760</v>
      </c>
      <c r="B760" s="70" t="s">
        <v>751</v>
      </c>
      <c r="C760" s="70" t="s">
        <v>38</v>
      </c>
      <c r="D760" s="71" t="s">
        <v>2838</v>
      </c>
      <c r="E760" s="71" t="s">
        <v>189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2839</v>
      </c>
      <c r="L760" s="104">
        <f t="shared" si="237"/>
        <v>46170</v>
      </c>
      <c r="M760" s="105">
        <f ca="1" t="shared" si="238"/>
        <v>-143</v>
      </c>
      <c r="N760" s="70"/>
      <c r="O760" s="70" t="s">
        <v>751</v>
      </c>
      <c r="P760" s="70" t="s">
        <v>38</v>
      </c>
      <c r="Q760" s="71" t="s">
        <v>2838</v>
      </c>
      <c r="R760" s="71" t="s">
        <v>189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2840</v>
      </c>
      <c r="Y760" s="104">
        <f t="shared" si="247"/>
        <v>46253</v>
      </c>
      <c r="Z760" s="105">
        <f ca="1" t="shared" si="248"/>
        <v>-60</v>
      </c>
      <c r="AA760" s="70"/>
      <c r="AB760" s="70" t="s">
        <v>751</v>
      </c>
      <c r="AC760" s="70" t="s">
        <v>38</v>
      </c>
      <c r="AD760" s="71" t="s">
        <v>2838</v>
      </c>
      <c r="AE760" s="71" t="s">
        <v>189</v>
      </c>
      <c r="AF760" s="72"/>
      <c r="AG760" s="73"/>
      <c r="AH760" s="114" t="s">
        <v>16</v>
      </c>
      <c r="AI760" s="102">
        <v>46258</v>
      </c>
      <c r="AJ760" s="70">
        <v>3</v>
      </c>
      <c r="AK760" s="103" t="s">
        <v>2841</v>
      </c>
      <c r="AL760" s="104">
        <f t="shared" si="249"/>
        <v>46350</v>
      </c>
      <c r="AM760" s="105">
        <f ca="1" t="shared" si="250"/>
        <v>37</v>
      </c>
      <c r="AN760" s="115"/>
      <c r="AO760" s="115"/>
      <c r="AP760" s="115"/>
      <c r="AQ760" s="93"/>
      <c r="AR760" s="93"/>
      <c r="AS760" s="94"/>
      <c r="AT760" s="95"/>
      <c r="AU760" s="79"/>
      <c r="AV760" s="117"/>
      <c r="AW760" s="115"/>
      <c r="AX760" s="106"/>
      <c r="AY760" s="104"/>
      <c r="AZ760" s="105"/>
    </row>
    <row r="761" customHeight="1" spans="1:52">
      <c r="A761" s="70">
        <v>761</v>
      </c>
      <c r="B761" s="70" t="s">
        <v>751</v>
      </c>
      <c r="C761" s="70" t="s">
        <v>264</v>
      </c>
      <c r="D761" s="71" t="s">
        <v>752</v>
      </c>
      <c r="E761" s="71" t="s">
        <v>753</v>
      </c>
      <c r="F761" s="72"/>
      <c r="G761" s="73"/>
      <c r="H761" s="75"/>
      <c r="I761" s="102">
        <v>46081</v>
      </c>
      <c r="J761" s="70" t="s">
        <v>767</v>
      </c>
      <c r="K761" s="106"/>
      <c r="L761" s="104" t="e">
        <f t="shared" si="237"/>
        <v>#VALUE!</v>
      </c>
      <c r="M761" s="105" t="e">
        <f ca="1" t="shared" si="238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247"/>
        <v>0</v>
      </c>
      <c r="Z761" s="105">
        <f ca="1" t="shared" si="248"/>
        <v>-46313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>
        <f t="shared" si="249"/>
        <v>0</v>
      </c>
      <c r="AM761" s="105">
        <f ca="1" t="shared" si="250"/>
        <v>-46313</v>
      </c>
      <c r="AN761" s="115"/>
      <c r="AO761" s="115"/>
      <c r="AP761" s="115"/>
      <c r="AQ761" s="93"/>
      <c r="AR761" s="93"/>
      <c r="AS761" s="94"/>
      <c r="AT761" s="95"/>
      <c r="AU761" s="79"/>
      <c r="AV761" s="117"/>
      <c r="AW761" s="115"/>
      <c r="AX761" s="106"/>
      <c r="AY761" s="104"/>
      <c r="AZ761" s="105"/>
    </row>
    <row r="762" customHeight="1" spans="1:52">
      <c r="A762" s="70">
        <v>762</v>
      </c>
      <c r="B762" s="70" t="s">
        <v>1860</v>
      </c>
      <c r="C762" s="70" t="s">
        <v>38</v>
      </c>
      <c r="D762" s="71" t="s">
        <v>2842</v>
      </c>
      <c r="E762" s="71" t="s">
        <v>332</v>
      </c>
      <c r="F762" s="72"/>
      <c r="G762" s="73"/>
      <c r="H762" s="75"/>
      <c r="I762" s="102">
        <v>46081</v>
      </c>
      <c r="J762" s="70">
        <v>3</v>
      </c>
      <c r="K762" s="106" t="s">
        <v>2843</v>
      </c>
      <c r="L762" s="104">
        <f t="shared" si="237"/>
        <v>46170</v>
      </c>
      <c r="M762" s="105">
        <f ca="1" t="shared" si="238"/>
        <v>-143</v>
      </c>
      <c r="N762" s="70"/>
      <c r="O762" s="70" t="s">
        <v>1860</v>
      </c>
      <c r="P762" s="70" t="s">
        <v>38</v>
      </c>
      <c r="Q762" s="71" t="s">
        <v>2842</v>
      </c>
      <c r="R762" s="71" t="s">
        <v>332</v>
      </c>
      <c r="S762" s="72"/>
      <c r="T762" s="73"/>
      <c r="U762" s="75"/>
      <c r="V762" s="102">
        <v>46175</v>
      </c>
      <c r="W762" s="70">
        <v>3</v>
      </c>
      <c r="X762" s="103" t="s">
        <v>2844</v>
      </c>
      <c r="Y762" s="104">
        <f t="shared" si="247"/>
        <v>46267</v>
      </c>
      <c r="Z762" s="105">
        <f ca="1" t="shared" si="248"/>
        <v>-46</v>
      </c>
      <c r="AA762" s="70"/>
      <c r="AB762" s="70" t="s">
        <v>1860</v>
      </c>
      <c r="AC762" s="70" t="s">
        <v>38</v>
      </c>
      <c r="AD762" s="71" t="s">
        <v>2842</v>
      </c>
      <c r="AE762" s="71" t="s">
        <v>332</v>
      </c>
      <c r="AF762" s="72"/>
      <c r="AG762" s="73"/>
      <c r="AH762" s="75"/>
      <c r="AI762" s="102">
        <v>46309</v>
      </c>
      <c r="AJ762" s="70">
        <v>3</v>
      </c>
      <c r="AK762" s="103"/>
      <c r="AL762" s="104">
        <f t="shared" si="249"/>
        <v>46401</v>
      </c>
      <c r="AM762" s="105">
        <f ca="1" t="shared" si="250"/>
        <v>88</v>
      </c>
      <c r="AN762" s="115"/>
      <c r="AO762" s="115"/>
      <c r="AP762" s="115"/>
      <c r="AQ762" s="93"/>
      <c r="AR762" s="93"/>
      <c r="AS762" s="94"/>
      <c r="AT762" s="95"/>
      <c r="AU762" s="79"/>
      <c r="AV762" s="117"/>
      <c r="AW762" s="115"/>
      <c r="AX762" s="106"/>
      <c r="AY762" s="104"/>
      <c r="AZ762" s="105"/>
    </row>
    <row r="763" customHeight="1" spans="1:52">
      <c r="A763" s="70">
        <v>763</v>
      </c>
      <c r="B763" s="70" t="s">
        <v>1908</v>
      </c>
      <c r="C763" s="70" t="s">
        <v>38</v>
      </c>
      <c r="D763" s="71" t="s">
        <v>2845</v>
      </c>
      <c r="E763" s="71" t="s">
        <v>2846</v>
      </c>
      <c r="F763" s="72"/>
      <c r="G763" s="73"/>
      <c r="H763" s="75"/>
      <c r="I763" s="102">
        <v>46081</v>
      </c>
      <c r="J763" s="70">
        <v>3</v>
      </c>
      <c r="K763" s="106" t="s">
        <v>2627</v>
      </c>
      <c r="L763" s="104">
        <f t="shared" si="237"/>
        <v>46170</v>
      </c>
      <c r="M763" s="105">
        <f ca="1" t="shared" si="238"/>
        <v>-143</v>
      </c>
      <c r="N763" s="70"/>
      <c r="O763" s="70" t="s">
        <v>1908</v>
      </c>
      <c r="P763" s="70" t="s">
        <v>38</v>
      </c>
      <c r="Q763" s="71" t="s">
        <v>2845</v>
      </c>
      <c r="R763" s="71" t="s">
        <v>2846</v>
      </c>
      <c r="S763" s="72"/>
      <c r="T763" s="73"/>
      <c r="U763" s="75"/>
      <c r="V763" s="102">
        <v>46160</v>
      </c>
      <c r="W763" s="70">
        <v>3</v>
      </c>
      <c r="X763" s="103" t="s">
        <v>2847</v>
      </c>
      <c r="Y763" s="104">
        <f t="shared" si="247"/>
        <v>46252</v>
      </c>
      <c r="Z763" s="105">
        <f ca="1" t="shared" si="248"/>
        <v>-61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>
        <f t="shared" si="249"/>
        <v>0</v>
      </c>
      <c r="AM763" s="105">
        <f ca="1" t="shared" si="250"/>
        <v>-46313</v>
      </c>
      <c r="AN763" s="115"/>
      <c r="AO763" s="115"/>
      <c r="AP763" s="115"/>
      <c r="AQ763" s="93"/>
      <c r="AR763" s="93"/>
      <c r="AS763" s="94"/>
      <c r="AT763" s="95"/>
      <c r="AU763" s="79"/>
      <c r="AV763" s="117"/>
      <c r="AW763" s="115"/>
      <c r="AX763" s="106"/>
      <c r="AY763" s="104"/>
      <c r="AZ763" s="105"/>
    </row>
    <row r="764" customHeight="1" spans="1:52">
      <c r="A764" s="70">
        <v>764</v>
      </c>
      <c r="B764" s="70" t="s">
        <v>1359</v>
      </c>
      <c r="C764" s="70" t="s">
        <v>13</v>
      </c>
      <c r="D764" s="71" t="s">
        <v>2848</v>
      </c>
      <c r="E764" s="71" t="s">
        <v>2849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2850</v>
      </c>
      <c r="L764" s="104">
        <f t="shared" si="237"/>
        <v>46170</v>
      </c>
      <c r="M764" s="105">
        <f ca="1" t="shared" si="238"/>
        <v>-143</v>
      </c>
      <c r="N764" s="70"/>
      <c r="O764" s="70" t="s">
        <v>1359</v>
      </c>
      <c r="P764" s="70" t="s">
        <v>13</v>
      </c>
      <c r="Q764" s="71" t="s">
        <v>2848</v>
      </c>
      <c r="R764" s="71" t="s">
        <v>2849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2851</v>
      </c>
      <c r="Y764" s="104">
        <f t="shared" si="247"/>
        <v>46285</v>
      </c>
      <c r="Z764" s="105">
        <f ca="1" t="shared" si="248"/>
        <v>-28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>
        <f t="shared" si="249"/>
        <v>0</v>
      </c>
      <c r="AM764" s="105">
        <f ca="1" t="shared" si="250"/>
        <v>-46313</v>
      </c>
      <c r="AN764" s="115"/>
      <c r="AO764" s="115"/>
      <c r="AP764" s="115"/>
      <c r="AQ764" s="93"/>
      <c r="AR764" s="93"/>
      <c r="AS764" s="94"/>
      <c r="AT764" s="95"/>
      <c r="AU764" s="79"/>
      <c r="AV764" s="117"/>
      <c r="AW764" s="115"/>
      <c r="AX764" s="106"/>
      <c r="AY764" s="104"/>
      <c r="AZ764" s="105"/>
    </row>
    <row r="765" customHeight="1" spans="1:52">
      <c r="A765" s="70">
        <v>765</v>
      </c>
      <c r="B765" s="70" t="s">
        <v>519</v>
      </c>
      <c r="C765" s="70" t="s">
        <v>13</v>
      </c>
      <c r="D765" s="71" t="s">
        <v>2852</v>
      </c>
      <c r="E765" s="71" t="s">
        <v>989</v>
      </c>
      <c r="F765" s="72"/>
      <c r="G765" s="73"/>
      <c r="H765" s="75" t="s">
        <v>434</v>
      </c>
      <c r="I765" s="102">
        <v>46081</v>
      </c>
      <c r="J765" s="70">
        <v>3</v>
      </c>
      <c r="K765" s="106" t="s">
        <v>2853</v>
      </c>
      <c r="L765" s="104">
        <f t="shared" si="237"/>
        <v>46170</v>
      </c>
      <c r="M765" s="105">
        <f ca="1" t="shared" si="238"/>
        <v>-143</v>
      </c>
      <c r="N765" s="70"/>
      <c r="O765" s="70" t="s">
        <v>519</v>
      </c>
      <c r="P765" s="70" t="s">
        <v>13</v>
      </c>
      <c r="Q765" s="71" t="s">
        <v>2852</v>
      </c>
      <c r="R765" s="71" t="s">
        <v>989</v>
      </c>
      <c r="S765" s="72"/>
      <c r="T765" s="73"/>
      <c r="U765" s="75" t="s">
        <v>434</v>
      </c>
      <c r="V765" s="102">
        <v>46164</v>
      </c>
      <c r="W765" s="70">
        <v>3</v>
      </c>
      <c r="X765" s="103" t="s">
        <v>2854</v>
      </c>
      <c r="Y765" s="104">
        <f t="shared" si="247"/>
        <v>46256</v>
      </c>
      <c r="Z765" s="105">
        <f ca="1" t="shared" si="248"/>
        <v>-57</v>
      </c>
      <c r="AA765" s="70"/>
      <c r="AB765" s="70" t="s">
        <v>519</v>
      </c>
      <c r="AC765" s="70" t="s">
        <v>13</v>
      </c>
      <c r="AD765" s="71" t="s">
        <v>2852</v>
      </c>
      <c r="AE765" s="71" t="s">
        <v>989</v>
      </c>
      <c r="AF765" s="72"/>
      <c r="AG765" s="73"/>
      <c r="AH765" s="75" t="s">
        <v>434</v>
      </c>
      <c r="AI765" s="102">
        <v>46251</v>
      </c>
      <c r="AJ765" s="70">
        <v>3</v>
      </c>
      <c r="AK765" s="103" t="s">
        <v>2855</v>
      </c>
      <c r="AL765" s="104">
        <f t="shared" si="249"/>
        <v>46343</v>
      </c>
      <c r="AM765" s="105">
        <f ca="1" t="shared" si="250"/>
        <v>30</v>
      </c>
      <c r="AN765" s="115"/>
      <c r="AO765" s="115"/>
      <c r="AP765" s="115"/>
      <c r="AQ765" s="93"/>
      <c r="AR765" s="93"/>
      <c r="AS765" s="94"/>
      <c r="AT765" s="95"/>
      <c r="AU765" s="79"/>
      <c r="AV765" s="117"/>
      <c r="AW765" s="115"/>
      <c r="AX765" s="106"/>
      <c r="AY765" s="104"/>
      <c r="AZ765" s="105"/>
    </row>
    <row r="766" customHeight="1" spans="1:52">
      <c r="A766" s="70">
        <v>766</v>
      </c>
      <c r="B766" s="70" t="s">
        <v>2191</v>
      </c>
      <c r="C766" s="70" t="s">
        <v>38</v>
      </c>
      <c r="D766" s="71" t="s">
        <v>2856</v>
      </c>
      <c r="E766" s="71" t="s">
        <v>2636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2857</v>
      </c>
      <c r="L766" s="104">
        <f t="shared" si="237"/>
        <v>46174</v>
      </c>
      <c r="M766" s="105">
        <f ca="1" t="shared" si="238"/>
        <v>-139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247"/>
        <v>0</v>
      </c>
      <c r="Z766" s="105">
        <f ca="1" t="shared" si="248"/>
        <v>-46313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>
        <f t="shared" si="249"/>
        <v>0</v>
      </c>
      <c r="AM766" s="105">
        <f ca="1" t="shared" si="250"/>
        <v>-46313</v>
      </c>
      <c r="AN766" s="115"/>
      <c r="AO766" s="115"/>
      <c r="AP766" s="115"/>
      <c r="AQ766" s="93"/>
      <c r="AR766" s="93"/>
      <c r="AS766" s="94"/>
      <c r="AT766" s="95"/>
      <c r="AU766" s="79"/>
      <c r="AV766" s="117"/>
      <c r="AW766" s="115"/>
      <c r="AX766" s="106"/>
      <c r="AY766" s="104"/>
      <c r="AZ766" s="105"/>
    </row>
    <row r="767" customHeight="1" spans="1:52">
      <c r="A767" s="70">
        <v>767</v>
      </c>
      <c r="B767" s="70" t="s">
        <v>2205</v>
      </c>
      <c r="C767" s="70" t="s">
        <v>264</v>
      </c>
      <c r="D767" s="71" t="s">
        <v>955</v>
      </c>
      <c r="E767" s="71" t="s">
        <v>764</v>
      </c>
      <c r="F767" s="72"/>
      <c r="G767" s="73"/>
      <c r="H767" s="75"/>
      <c r="I767" s="102">
        <v>46082</v>
      </c>
      <c r="J767" s="70" t="s">
        <v>767</v>
      </c>
      <c r="K767" s="106"/>
      <c r="L767" s="104" t="e">
        <f t="shared" si="237"/>
        <v>#VALUE!</v>
      </c>
      <c r="M767" s="105" t="e">
        <f ca="1" t="shared" si="238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251">EDATE(V767,W767)</f>
        <v>0</v>
      </c>
      <c r="Z767" s="105">
        <f ca="1" t="shared" ref="Z767:Z776" si="252">Y767-TODAY()</f>
        <v>-46313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>
        <f t="shared" si="249"/>
        <v>0</v>
      </c>
      <c r="AM767" s="105">
        <f ca="1" t="shared" si="250"/>
        <v>-46313</v>
      </c>
      <c r="AN767" s="115"/>
      <c r="AO767" s="115"/>
      <c r="AP767" s="115"/>
      <c r="AQ767" s="93"/>
      <c r="AR767" s="93"/>
      <c r="AS767" s="94"/>
      <c r="AT767" s="95"/>
      <c r="AU767" s="79"/>
      <c r="AV767" s="117"/>
      <c r="AW767" s="115"/>
      <c r="AX767" s="106"/>
      <c r="AY767" s="104"/>
      <c r="AZ767" s="105"/>
    </row>
    <row r="768" customHeight="1" spans="1:52">
      <c r="A768" s="70">
        <v>768</v>
      </c>
      <c r="B768" s="70" t="s">
        <v>1359</v>
      </c>
      <c r="C768" s="70" t="s">
        <v>13</v>
      </c>
      <c r="D768" s="200" t="s">
        <v>2858</v>
      </c>
      <c r="E768" s="71" t="s">
        <v>2859</v>
      </c>
      <c r="F768" s="72"/>
      <c r="G768" s="73"/>
      <c r="H768" s="75"/>
      <c r="I768" s="102">
        <v>46082</v>
      </c>
      <c r="J768" s="70">
        <v>3</v>
      </c>
      <c r="K768" s="106" t="s">
        <v>2860</v>
      </c>
      <c r="L768" s="104">
        <f t="shared" si="237"/>
        <v>46174</v>
      </c>
      <c r="M768" s="105">
        <f ca="1" t="shared" si="238"/>
        <v>-139</v>
      </c>
      <c r="N768" s="70"/>
      <c r="O768" s="70" t="s">
        <v>1359</v>
      </c>
      <c r="P768" s="70" t="s">
        <v>13</v>
      </c>
      <c r="Q768" s="200" t="s">
        <v>2858</v>
      </c>
      <c r="R768" s="71" t="s">
        <v>2859</v>
      </c>
      <c r="S768" s="72"/>
      <c r="T768" s="73"/>
      <c r="U768" s="75"/>
      <c r="V768" s="102">
        <v>46181</v>
      </c>
      <c r="W768" s="70">
        <v>3</v>
      </c>
      <c r="X768" s="103" t="s">
        <v>2861</v>
      </c>
      <c r="Y768" s="104">
        <f t="shared" si="251"/>
        <v>46273</v>
      </c>
      <c r="Z768" s="105">
        <f ca="1" t="shared" si="252"/>
        <v>-40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>
        <f t="shared" si="249"/>
        <v>0</v>
      </c>
      <c r="AM768" s="105">
        <f ca="1" t="shared" si="250"/>
        <v>-46313</v>
      </c>
      <c r="AN768" s="115"/>
      <c r="AO768" s="115"/>
      <c r="AP768" s="115"/>
      <c r="AQ768" s="93"/>
      <c r="AR768" s="93"/>
      <c r="AS768" s="94"/>
      <c r="AT768" s="95"/>
      <c r="AU768" s="79"/>
      <c r="AV768" s="117"/>
      <c r="AW768" s="115"/>
      <c r="AX768" s="106"/>
      <c r="AY768" s="104"/>
      <c r="AZ768" s="105"/>
    </row>
    <row r="769" customHeight="1" spans="1:52">
      <c r="A769" s="70">
        <v>769</v>
      </c>
      <c r="B769" s="70" t="s">
        <v>1359</v>
      </c>
      <c r="C769" s="70" t="s">
        <v>13</v>
      </c>
      <c r="D769" s="71" t="s">
        <v>2858</v>
      </c>
      <c r="E769" s="71" t="s">
        <v>2859</v>
      </c>
      <c r="F769" s="72"/>
      <c r="G769" s="73"/>
      <c r="H769" s="75"/>
      <c r="I769" s="102">
        <v>46083</v>
      </c>
      <c r="J769" s="70" t="s">
        <v>767</v>
      </c>
      <c r="K769" s="106"/>
      <c r="L769" s="104" t="e">
        <f t="shared" ref="L769:L832" si="253">EDATE(I769,J769)</f>
        <v>#VALUE!</v>
      </c>
      <c r="M769" s="105" t="e">
        <f ca="1" t="shared" ref="M769:M832" si="254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251"/>
        <v>0</v>
      </c>
      <c r="Z769" s="105">
        <f ca="1" t="shared" si="252"/>
        <v>-46313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>
        <f t="shared" si="249"/>
        <v>0</v>
      </c>
      <c r="AM769" s="105">
        <f ca="1" t="shared" si="250"/>
        <v>-46313</v>
      </c>
      <c r="AN769" s="115"/>
      <c r="AO769" s="115"/>
      <c r="AP769" s="115"/>
      <c r="AQ769" s="93"/>
      <c r="AR769" s="93"/>
      <c r="AS769" s="94"/>
      <c r="AT769" s="95"/>
      <c r="AU769" s="79"/>
      <c r="AV769" s="117"/>
      <c r="AW769" s="115"/>
      <c r="AX769" s="106"/>
      <c r="AY769" s="104"/>
      <c r="AZ769" s="105"/>
    </row>
    <row r="770" customHeight="1" spans="1:52">
      <c r="A770" s="70">
        <v>770</v>
      </c>
      <c r="B770" s="70" t="s">
        <v>270</v>
      </c>
      <c r="C770" s="70" t="s">
        <v>264</v>
      </c>
      <c r="D770" s="71" t="s">
        <v>367</v>
      </c>
      <c r="E770" s="71" t="s">
        <v>368</v>
      </c>
      <c r="F770" s="72"/>
      <c r="G770" s="73"/>
      <c r="H770" s="75"/>
      <c r="I770" s="102">
        <v>46083</v>
      </c>
      <c r="J770" s="70" t="s">
        <v>767</v>
      </c>
      <c r="K770" s="106"/>
      <c r="L770" s="104" t="e">
        <f t="shared" si="253"/>
        <v>#VALUE!</v>
      </c>
      <c r="M770" s="105" t="e">
        <f ca="1" t="shared" si="254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251"/>
        <v>0</v>
      </c>
      <c r="Z770" s="105">
        <f ca="1" t="shared" si="252"/>
        <v>-46313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5"/>
      <c r="AO770" s="70"/>
      <c r="AP770" s="70"/>
      <c r="AQ770" s="71"/>
      <c r="AR770" s="71"/>
      <c r="AS770" s="72"/>
      <c r="AT770" s="73"/>
      <c r="AU770" s="79"/>
      <c r="AV770" s="117"/>
      <c r="AW770" s="115"/>
      <c r="AX770" s="106"/>
      <c r="AY770" s="104"/>
      <c r="AZ770" s="105"/>
    </row>
    <row r="771" customHeight="1" spans="1:52">
      <c r="A771" s="70">
        <v>771</v>
      </c>
      <c r="B771" s="70" t="s">
        <v>1234</v>
      </c>
      <c r="C771" s="70" t="s">
        <v>264</v>
      </c>
      <c r="D771" s="71" t="s">
        <v>2543</v>
      </c>
      <c r="E771" s="71" t="s">
        <v>753</v>
      </c>
      <c r="F771" s="72"/>
      <c r="G771" s="73"/>
      <c r="H771" s="75"/>
      <c r="I771" s="102">
        <v>46083</v>
      </c>
      <c r="J771" s="70" t="s">
        <v>767</v>
      </c>
      <c r="K771" s="106"/>
      <c r="L771" s="104" t="e">
        <f t="shared" si="253"/>
        <v>#VALUE!</v>
      </c>
      <c r="M771" s="105" t="e">
        <f ca="1" t="shared" si="254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251"/>
        <v>0</v>
      </c>
      <c r="Z771" s="105">
        <f ca="1" t="shared" si="252"/>
        <v>-46313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5"/>
      <c r="AO771" s="115"/>
      <c r="AP771" s="115"/>
      <c r="AQ771" s="93"/>
      <c r="AR771" s="93"/>
      <c r="AS771" s="94"/>
      <c r="AT771" s="95"/>
      <c r="AU771" s="79"/>
      <c r="AV771" s="117"/>
      <c r="AW771" s="115"/>
      <c r="AX771" s="106"/>
      <c r="AY771" s="104"/>
      <c r="AZ771" s="105"/>
    </row>
    <row r="772" customHeight="1" spans="1:52">
      <c r="A772" s="70">
        <v>772</v>
      </c>
      <c r="B772" s="70" t="s">
        <v>2862</v>
      </c>
      <c r="C772" s="70" t="s">
        <v>374</v>
      </c>
      <c r="D772" s="71" t="s">
        <v>2863</v>
      </c>
      <c r="E772" s="71" t="s">
        <v>883</v>
      </c>
      <c r="F772" s="72"/>
      <c r="G772" s="73"/>
      <c r="H772" s="75"/>
      <c r="I772" s="102">
        <v>46083</v>
      </c>
      <c r="J772" s="70">
        <v>3</v>
      </c>
      <c r="K772" s="106" t="s">
        <v>2864</v>
      </c>
      <c r="L772" s="104">
        <f t="shared" si="253"/>
        <v>46175</v>
      </c>
      <c r="M772" s="105">
        <f ca="1" t="shared" si="254"/>
        <v>-138</v>
      </c>
      <c r="N772" s="70"/>
      <c r="O772" s="70" t="s">
        <v>2862</v>
      </c>
      <c r="P772" s="70" t="s">
        <v>374</v>
      </c>
      <c r="Q772" s="71" t="s">
        <v>2863</v>
      </c>
      <c r="R772" s="71" t="s">
        <v>883</v>
      </c>
      <c r="S772" s="72"/>
      <c r="T772" s="73"/>
      <c r="U772" s="75"/>
      <c r="V772" s="102">
        <v>46184</v>
      </c>
      <c r="W772" s="70">
        <v>3</v>
      </c>
      <c r="X772" s="103" t="s">
        <v>2865</v>
      </c>
      <c r="Y772" s="104">
        <f t="shared" si="251"/>
        <v>46276</v>
      </c>
      <c r="Z772" s="105">
        <f ca="1" t="shared" si="252"/>
        <v>-37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5"/>
      <c r="AO772" s="115"/>
      <c r="AP772" s="115"/>
      <c r="AQ772" s="93"/>
      <c r="AR772" s="93"/>
      <c r="AS772" s="94"/>
      <c r="AT772" s="95"/>
      <c r="AU772" s="79"/>
      <c r="AV772" s="117"/>
      <c r="AW772" s="115"/>
      <c r="AX772" s="106"/>
      <c r="AY772" s="104"/>
      <c r="AZ772" s="105"/>
    </row>
    <row r="773" customHeight="1" spans="1:52">
      <c r="A773" s="70">
        <v>773</v>
      </c>
      <c r="B773" s="70" t="s">
        <v>2866</v>
      </c>
      <c r="C773" s="70" t="s">
        <v>13</v>
      </c>
      <c r="D773" s="71" t="s">
        <v>2867</v>
      </c>
      <c r="E773" s="71" t="s">
        <v>2757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2868</v>
      </c>
      <c r="L773" s="104">
        <f t="shared" si="253"/>
        <v>46175</v>
      </c>
      <c r="M773" s="105">
        <f ca="1" t="shared" si="254"/>
        <v>-138</v>
      </c>
      <c r="N773" s="70"/>
      <c r="O773" s="70" t="s">
        <v>2866</v>
      </c>
      <c r="P773" s="70" t="s">
        <v>13</v>
      </c>
      <c r="Q773" s="71" t="s">
        <v>2867</v>
      </c>
      <c r="R773" s="71" t="s">
        <v>2757</v>
      </c>
      <c r="S773" s="72"/>
      <c r="T773" s="73"/>
      <c r="U773" s="79"/>
      <c r="V773" s="102">
        <v>46233</v>
      </c>
      <c r="W773" s="70">
        <v>3</v>
      </c>
      <c r="X773" s="103" t="s">
        <v>2869</v>
      </c>
      <c r="Y773" s="104">
        <f t="shared" si="251"/>
        <v>46325</v>
      </c>
      <c r="Z773" s="105">
        <f ca="1" t="shared" si="252"/>
        <v>12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5"/>
      <c r="AO773" s="115"/>
      <c r="AP773" s="115"/>
      <c r="AQ773" s="93"/>
      <c r="AR773" s="93"/>
      <c r="AS773" s="94"/>
      <c r="AT773" s="95"/>
      <c r="AU773" s="79"/>
      <c r="AV773" s="117"/>
      <c r="AW773" s="115"/>
      <c r="AX773" s="106"/>
      <c r="AY773" s="104"/>
      <c r="AZ773" s="105"/>
    </row>
    <row r="774" customHeight="1" spans="1:52">
      <c r="A774" s="70">
        <v>774</v>
      </c>
      <c r="B774" s="70" t="s">
        <v>1036</v>
      </c>
      <c r="C774" s="70" t="s">
        <v>374</v>
      </c>
      <c r="D774" s="71" t="s">
        <v>2870</v>
      </c>
      <c r="E774" s="71" t="s">
        <v>1312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2871</v>
      </c>
      <c r="L774" s="104">
        <f t="shared" si="253"/>
        <v>46175</v>
      </c>
      <c r="M774" s="105">
        <f ca="1" t="shared" si="254"/>
        <v>-138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251"/>
        <v>0</v>
      </c>
      <c r="Z774" s="105">
        <f ca="1" t="shared" si="252"/>
        <v>-46313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5"/>
      <c r="AO774" s="115"/>
      <c r="AP774" s="115"/>
      <c r="AQ774" s="93"/>
      <c r="AR774" s="93"/>
      <c r="AS774" s="94"/>
      <c r="AT774" s="95"/>
      <c r="AU774" s="79"/>
      <c r="AV774" s="117"/>
      <c r="AW774" s="115"/>
      <c r="AX774" s="106"/>
      <c r="AY774" s="104"/>
      <c r="AZ774" s="105"/>
    </row>
    <row r="775" customHeight="1" spans="1:52">
      <c r="A775" s="70">
        <v>775</v>
      </c>
      <c r="B775" s="70" t="s">
        <v>2872</v>
      </c>
      <c r="C775" s="70" t="s">
        <v>374</v>
      </c>
      <c r="D775" s="71" t="s">
        <v>2873</v>
      </c>
      <c r="E775" s="71" t="s">
        <v>2874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2875</v>
      </c>
      <c r="L775" s="104">
        <f t="shared" si="253"/>
        <v>46175</v>
      </c>
      <c r="M775" s="105">
        <f ca="1" t="shared" si="254"/>
        <v>-138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251"/>
        <v>0</v>
      </c>
      <c r="Z775" s="105">
        <f ca="1" t="shared" si="252"/>
        <v>-46313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5"/>
      <c r="AO775" s="115"/>
      <c r="AP775" s="115"/>
      <c r="AQ775" s="93"/>
      <c r="AR775" s="93"/>
      <c r="AS775" s="94"/>
      <c r="AT775" s="95"/>
      <c r="AU775" s="79"/>
      <c r="AV775" s="117"/>
      <c r="AW775" s="115"/>
      <c r="AX775" s="106"/>
      <c r="AY775" s="104"/>
      <c r="AZ775" s="105"/>
    </row>
    <row r="776" customHeight="1" spans="1:52">
      <c r="A776" s="70">
        <v>776</v>
      </c>
      <c r="B776" s="70" t="s">
        <v>685</v>
      </c>
      <c r="C776" s="70" t="s">
        <v>13</v>
      </c>
      <c r="D776" s="71" t="s">
        <v>2876</v>
      </c>
      <c r="E776" s="71" t="s">
        <v>2877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2878</v>
      </c>
      <c r="L776" s="104">
        <f t="shared" si="253"/>
        <v>46176</v>
      </c>
      <c r="M776" s="105">
        <f ca="1" t="shared" si="254"/>
        <v>-137</v>
      </c>
      <c r="N776" s="70"/>
      <c r="O776" s="70" t="s">
        <v>685</v>
      </c>
      <c r="P776" s="70" t="s">
        <v>13</v>
      </c>
      <c r="Q776" s="71" t="s">
        <v>2876</v>
      </c>
      <c r="R776" s="71" t="s">
        <v>2877</v>
      </c>
      <c r="S776" s="72"/>
      <c r="T776" s="73"/>
      <c r="U776" s="74" t="s">
        <v>16</v>
      </c>
      <c r="V776" s="102">
        <v>46267</v>
      </c>
      <c r="W776" s="70">
        <v>3</v>
      </c>
      <c r="X776" s="103" t="s">
        <v>2879</v>
      </c>
      <c r="Y776" s="104">
        <f t="shared" si="251"/>
        <v>46358</v>
      </c>
      <c r="Z776" s="105">
        <f ca="1" t="shared" si="252"/>
        <v>45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5"/>
      <c r="AO776" s="115"/>
      <c r="AP776" s="115"/>
      <c r="AQ776" s="93"/>
      <c r="AR776" s="93"/>
      <c r="AS776" s="94"/>
      <c r="AT776" s="95"/>
      <c r="AU776" s="79"/>
      <c r="AV776" s="117"/>
      <c r="AW776" s="115"/>
      <c r="AX776" s="106"/>
      <c r="AY776" s="104"/>
      <c r="AZ776" s="105"/>
    </row>
    <row r="777" customHeight="1" spans="1:52">
      <c r="A777" s="70">
        <v>777</v>
      </c>
      <c r="B777" s="70" t="s">
        <v>519</v>
      </c>
      <c r="C777" s="70" t="s">
        <v>13</v>
      </c>
      <c r="D777" s="71" t="s">
        <v>2880</v>
      </c>
      <c r="E777" s="71" t="s">
        <v>126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2881</v>
      </c>
      <c r="L777" s="104">
        <f t="shared" si="253"/>
        <v>46176</v>
      </c>
      <c r="M777" s="105">
        <f ca="1" t="shared" si="254"/>
        <v>-137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5"/>
      <c r="AO777" s="115"/>
      <c r="AP777" s="115"/>
      <c r="AQ777" s="93"/>
      <c r="AR777" s="93"/>
      <c r="AS777" s="94"/>
      <c r="AT777" s="95"/>
      <c r="AU777" s="79"/>
      <c r="AV777" s="117"/>
      <c r="AW777" s="115"/>
      <c r="AX777" s="106"/>
      <c r="AY777" s="104"/>
      <c r="AZ777" s="105"/>
    </row>
    <row r="778" customHeight="1" spans="1:52">
      <c r="A778" s="70">
        <v>778</v>
      </c>
      <c r="B778" s="70" t="s">
        <v>519</v>
      </c>
      <c r="C778" s="70" t="s">
        <v>13</v>
      </c>
      <c r="D778" s="71" t="s">
        <v>2882</v>
      </c>
      <c r="E778" s="71" t="s">
        <v>393</v>
      </c>
      <c r="F778" s="72"/>
      <c r="G778" s="73"/>
      <c r="H778" s="74" t="s">
        <v>16</v>
      </c>
      <c r="I778" s="102">
        <v>46084</v>
      </c>
      <c r="J778" s="70">
        <v>3</v>
      </c>
      <c r="K778" s="106" t="s">
        <v>2883</v>
      </c>
      <c r="L778" s="104">
        <f t="shared" si="253"/>
        <v>46176</v>
      </c>
      <c r="M778" s="105">
        <f ca="1" t="shared" si="254"/>
        <v>-137</v>
      </c>
      <c r="N778" s="70"/>
      <c r="O778" s="70" t="s">
        <v>519</v>
      </c>
      <c r="P778" s="70" t="s">
        <v>13</v>
      </c>
      <c r="Q778" s="71" t="s">
        <v>2882</v>
      </c>
      <c r="R778" s="71" t="s">
        <v>393</v>
      </c>
      <c r="S778" s="72"/>
      <c r="T778" s="73"/>
      <c r="U778" s="75" t="s">
        <v>434</v>
      </c>
      <c r="V778" s="102">
        <v>46168</v>
      </c>
      <c r="W778" s="70">
        <v>3</v>
      </c>
      <c r="X778" s="103" t="s">
        <v>2884</v>
      </c>
      <c r="Y778" s="104">
        <f t="shared" ref="Y778:Y780" si="255">EDATE(V778,W778)</f>
        <v>46260</v>
      </c>
      <c r="Z778" s="105">
        <f ca="1" t="shared" ref="Z778:Z780" si="256">Y778-TODAY()</f>
        <v>-53</v>
      </c>
      <c r="AA778" s="70"/>
      <c r="AB778" s="70" t="s">
        <v>519</v>
      </c>
      <c r="AC778" s="70" t="s">
        <v>13</v>
      </c>
      <c r="AD778" s="71" t="s">
        <v>2882</v>
      </c>
      <c r="AE778" s="201" t="s">
        <v>393</v>
      </c>
      <c r="AF778" s="202"/>
      <c r="AG778" s="203"/>
      <c r="AH778" s="75" t="s">
        <v>434</v>
      </c>
      <c r="AI778" s="102">
        <v>46251</v>
      </c>
      <c r="AJ778" s="70">
        <v>3</v>
      </c>
      <c r="AK778" s="103" t="s">
        <v>2885</v>
      </c>
      <c r="AL778" s="104">
        <f t="shared" ref="AL778:AL807" si="257">EDATE(AI778,AJ778)</f>
        <v>46343</v>
      </c>
      <c r="AM778" s="105">
        <f ca="1" t="shared" ref="AM778:AM807" si="258">AL778-TODAY()</f>
        <v>30</v>
      </c>
      <c r="AN778" s="115"/>
      <c r="AO778" s="115"/>
      <c r="AP778" s="115"/>
      <c r="AQ778" s="93"/>
      <c r="AR778" s="93"/>
      <c r="AS778" s="94"/>
      <c r="AT778" s="95"/>
      <c r="AU778" s="79"/>
      <c r="AV778" s="117"/>
      <c r="AW778" s="115"/>
      <c r="AX778" s="106"/>
      <c r="AY778" s="104"/>
      <c r="AZ778" s="105"/>
    </row>
    <row r="779" customHeight="1" spans="1:52">
      <c r="A779" s="70">
        <v>779</v>
      </c>
      <c r="B779" s="70" t="s">
        <v>519</v>
      </c>
      <c r="C779" s="70" t="s">
        <v>13</v>
      </c>
      <c r="D779" s="71" t="s">
        <v>2886</v>
      </c>
      <c r="E779" s="71" t="s">
        <v>34</v>
      </c>
      <c r="F779" s="72"/>
      <c r="G779" s="73"/>
      <c r="H779" s="74" t="s">
        <v>16</v>
      </c>
      <c r="I779" s="102">
        <v>46084</v>
      </c>
      <c r="J779" s="70">
        <v>3</v>
      </c>
      <c r="K779" s="106" t="s">
        <v>2887</v>
      </c>
      <c r="L779" s="104">
        <f t="shared" si="253"/>
        <v>46176</v>
      </c>
      <c r="M779" s="105">
        <f ca="1" t="shared" si="254"/>
        <v>-137</v>
      </c>
      <c r="N779" s="70"/>
      <c r="O779" s="70" t="s">
        <v>519</v>
      </c>
      <c r="P779" s="70" t="s">
        <v>13</v>
      </c>
      <c r="Q779" s="71" t="s">
        <v>2886</v>
      </c>
      <c r="R779" s="71" t="s">
        <v>34</v>
      </c>
      <c r="S779" s="72"/>
      <c r="T779" s="73"/>
      <c r="U779" s="79" t="s">
        <v>16</v>
      </c>
      <c r="V779" s="102">
        <v>46246</v>
      </c>
      <c r="W779" s="70">
        <v>3</v>
      </c>
      <c r="X779" s="103" t="s">
        <v>2888</v>
      </c>
      <c r="Y779" s="104">
        <f t="shared" si="255"/>
        <v>46338</v>
      </c>
      <c r="Z779" s="105">
        <f ca="1" t="shared" si="256"/>
        <v>25</v>
      </c>
      <c r="AA779" s="70"/>
      <c r="AB779" s="70"/>
      <c r="AC779" s="70"/>
      <c r="AD779" s="71"/>
      <c r="AE779" s="201"/>
      <c r="AF779" s="202"/>
      <c r="AG779" s="203"/>
      <c r="AH779" s="79"/>
      <c r="AI779" s="102"/>
      <c r="AJ779" s="70"/>
      <c r="AK779" s="103"/>
      <c r="AL779" s="104">
        <f t="shared" si="257"/>
        <v>0</v>
      </c>
      <c r="AM779" s="105">
        <f ca="1" t="shared" si="258"/>
        <v>-46313</v>
      </c>
      <c r="AN779" s="115"/>
      <c r="AO779" s="115"/>
      <c r="AP779" s="115"/>
      <c r="AQ779" s="93"/>
      <c r="AR779" s="93"/>
      <c r="AS779" s="94"/>
      <c r="AT779" s="95"/>
      <c r="AU779" s="79"/>
      <c r="AV779" s="117"/>
      <c r="AW779" s="115"/>
      <c r="AX779" s="106"/>
      <c r="AY779" s="104"/>
      <c r="AZ779" s="105"/>
    </row>
    <row r="780" customHeight="1" spans="1:52">
      <c r="A780" s="70">
        <v>780</v>
      </c>
      <c r="B780" s="70" t="s">
        <v>519</v>
      </c>
      <c r="C780" s="70" t="s">
        <v>13</v>
      </c>
      <c r="D780" s="71" t="s">
        <v>2889</v>
      </c>
      <c r="E780" s="71" t="s">
        <v>34</v>
      </c>
      <c r="F780" s="72"/>
      <c r="G780" s="73"/>
      <c r="H780" s="74" t="s">
        <v>16</v>
      </c>
      <c r="I780" s="102">
        <v>46084</v>
      </c>
      <c r="J780" s="70">
        <v>3</v>
      </c>
      <c r="K780" s="106" t="s">
        <v>2890</v>
      </c>
      <c r="L780" s="104">
        <f t="shared" si="253"/>
        <v>46176</v>
      </c>
      <c r="M780" s="105">
        <f ca="1" t="shared" si="254"/>
        <v>-137</v>
      </c>
      <c r="N780" s="70"/>
      <c r="O780" s="70" t="s">
        <v>519</v>
      </c>
      <c r="P780" s="70" t="s">
        <v>13</v>
      </c>
      <c r="Q780" s="71" t="s">
        <v>2889</v>
      </c>
      <c r="R780" s="71" t="s">
        <v>34</v>
      </c>
      <c r="S780" s="72"/>
      <c r="T780" s="73"/>
      <c r="U780" s="74" t="s">
        <v>16</v>
      </c>
      <c r="V780" s="102">
        <v>46280</v>
      </c>
      <c r="W780" s="70">
        <v>3</v>
      </c>
      <c r="X780" s="103" t="s">
        <v>2891</v>
      </c>
      <c r="Y780" s="104">
        <f t="shared" si="255"/>
        <v>46371</v>
      </c>
      <c r="Z780" s="105">
        <f ca="1" t="shared" si="256"/>
        <v>58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>
        <f t="shared" si="257"/>
        <v>0</v>
      </c>
      <c r="AM780" s="105">
        <f ca="1" t="shared" si="258"/>
        <v>-46313</v>
      </c>
      <c r="AN780" s="115"/>
      <c r="AO780" s="115"/>
      <c r="AP780" s="115"/>
      <c r="AQ780" s="93"/>
      <c r="AR780" s="93"/>
      <c r="AS780" s="94"/>
      <c r="AT780" s="95"/>
      <c r="AU780" s="79"/>
      <c r="AV780" s="117"/>
      <c r="AW780" s="115"/>
      <c r="AX780" s="106"/>
      <c r="AY780" s="104"/>
      <c r="AZ780" s="105"/>
    </row>
    <row r="781" customHeight="1" spans="1:52">
      <c r="A781" s="70">
        <v>781</v>
      </c>
      <c r="B781" s="70" t="s">
        <v>92</v>
      </c>
      <c r="C781" s="70" t="s">
        <v>13</v>
      </c>
      <c r="D781" s="71" t="s">
        <v>2892</v>
      </c>
      <c r="E781" s="71" t="s">
        <v>1003</v>
      </c>
      <c r="F781" s="72"/>
      <c r="G781" s="73"/>
      <c r="H781" s="75"/>
      <c r="I781" s="102">
        <v>46084</v>
      </c>
      <c r="J781" s="70">
        <v>3</v>
      </c>
      <c r="K781" s="106" t="s">
        <v>2893</v>
      </c>
      <c r="L781" s="104">
        <f t="shared" si="253"/>
        <v>46176</v>
      </c>
      <c r="M781" s="105">
        <f ca="1" t="shared" si="254"/>
        <v>-137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259">EDATE(V781,W781)</f>
        <v>0</v>
      </c>
      <c r="Z781" s="105">
        <f ca="1" t="shared" ref="Z781:Z793" si="260">Y781-TODAY()</f>
        <v>-46313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>
        <f t="shared" si="257"/>
        <v>0</v>
      </c>
      <c r="AM781" s="105">
        <f ca="1" t="shared" si="258"/>
        <v>-46313</v>
      </c>
      <c r="AN781" s="115"/>
      <c r="AO781" s="115"/>
      <c r="AP781" s="115"/>
      <c r="AQ781" s="93"/>
      <c r="AR781" s="93"/>
      <c r="AS781" s="94"/>
      <c r="AT781" s="95"/>
      <c r="AU781" s="79"/>
      <c r="AV781" s="117"/>
      <c r="AW781" s="115"/>
      <c r="AX781" s="106"/>
      <c r="AY781" s="104"/>
      <c r="AZ781" s="105"/>
    </row>
    <row r="782" customHeight="1" spans="1:52">
      <c r="A782" s="70">
        <v>782</v>
      </c>
      <c r="B782" s="70" t="s">
        <v>1234</v>
      </c>
      <c r="C782" s="70" t="s">
        <v>264</v>
      </c>
      <c r="D782" s="71" t="s">
        <v>1235</v>
      </c>
      <c r="E782" s="71" t="s">
        <v>264</v>
      </c>
      <c r="F782" s="72"/>
      <c r="G782" s="73"/>
      <c r="H782" s="75"/>
      <c r="I782" s="102">
        <v>46084</v>
      </c>
      <c r="J782" s="70" t="s">
        <v>767</v>
      </c>
      <c r="K782" s="106"/>
      <c r="L782" s="104" t="e">
        <f t="shared" si="253"/>
        <v>#VALUE!</v>
      </c>
      <c r="M782" s="105" t="e">
        <f ca="1" t="shared" si="254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259"/>
        <v>0</v>
      </c>
      <c r="Z782" s="105">
        <f ca="1" t="shared" si="260"/>
        <v>-46313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>
        <f t="shared" si="257"/>
        <v>0</v>
      </c>
      <c r="AM782" s="105">
        <f ca="1" t="shared" si="258"/>
        <v>-46313</v>
      </c>
      <c r="AN782" s="115"/>
      <c r="AO782" s="115"/>
      <c r="AP782" s="115"/>
      <c r="AQ782" s="93"/>
      <c r="AR782" s="93"/>
      <c r="AS782" s="94"/>
      <c r="AT782" s="95"/>
      <c r="AU782" s="79"/>
      <c r="AV782" s="117"/>
      <c r="AW782" s="115"/>
      <c r="AX782" s="106"/>
      <c r="AY782" s="104"/>
      <c r="AZ782" s="105"/>
    </row>
    <row r="783" customHeight="1" spans="1:52">
      <c r="A783" s="70">
        <v>783</v>
      </c>
      <c r="B783" s="70" t="s">
        <v>366</v>
      </c>
      <c r="C783" s="70" t="s">
        <v>264</v>
      </c>
      <c r="D783" s="71" t="s">
        <v>367</v>
      </c>
      <c r="E783" s="71" t="s">
        <v>368</v>
      </c>
      <c r="F783" s="72"/>
      <c r="G783" s="73"/>
      <c r="H783" s="75"/>
      <c r="I783" s="102">
        <v>46084</v>
      </c>
      <c r="J783" s="70" t="s">
        <v>767</v>
      </c>
      <c r="K783" s="106"/>
      <c r="L783" s="104" t="e">
        <f t="shared" si="253"/>
        <v>#VALUE!</v>
      </c>
      <c r="M783" s="105" t="e">
        <f ca="1" t="shared" si="254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259"/>
        <v>0</v>
      </c>
      <c r="Z783" s="105">
        <f ca="1" t="shared" si="260"/>
        <v>-46313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>
        <f t="shared" si="257"/>
        <v>0</v>
      </c>
      <c r="AM783" s="105">
        <f ca="1" t="shared" si="258"/>
        <v>-46313</v>
      </c>
      <c r="AN783" s="115"/>
      <c r="AO783" s="115"/>
      <c r="AP783" s="115"/>
      <c r="AQ783" s="93"/>
      <c r="AR783" s="93"/>
      <c r="AS783" s="94"/>
      <c r="AT783" s="95"/>
      <c r="AU783" s="79"/>
      <c r="AV783" s="117"/>
      <c r="AW783" s="115"/>
      <c r="AX783" s="106"/>
      <c r="AY783" s="104"/>
      <c r="AZ783" s="105"/>
    </row>
    <row r="784" customHeight="1" spans="1:52">
      <c r="A784" s="70">
        <v>784</v>
      </c>
      <c r="B784" s="70" t="s">
        <v>270</v>
      </c>
      <c r="C784" s="70" t="s">
        <v>264</v>
      </c>
      <c r="D784" s="71" t="s">
        <v>276</v>
      </c>
      <c r="E784" s="71" t="s">
        <v>277</v>
      </c>
      <c r="F784" s="72"/>
      <c r="G784" s="73"/>
      <c r="H784" s="75"/>
      <c r="I784" s="102">
        <v>46084</v>
      </c>
      <c r="J784" s="70" t="s">
        <v>767</v>
      </c>
      <c r="K784" s="106"/>
      <c r="L784" s="104" t="e">
        <f t="shared" si="253"/>
        <v>#VALUE!</v>
      </c>
      <c r="M784" s="105" t="e">
        <f ca="1" t="shared" si="254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259"/>
        <v>0</v>
      </c>
      <c r="Z784" s="105">
        <f ca="1" t="shared" si="260"/>
        <v>-46313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>
        <f t="shared" si="257"/>
        <v>0</v>
      </c>
      <c r="AM784" s="105">
        <f ca="1" t="shared" si="258"/>
        <v>-46313</v>
      </c>
      <c r="AN784" s="115"/>
      <c r="AO784" s="115"/>
      <c r="AP784" s="115"/>
      <c r="AQ784" s="93"/>
      <c r="AR784" s="93"/>
      <c r="AS784" s="94"/>
      <c r="AT784" s="95"/>
      <c r="AU784" s="79"/>
      <c r="AV784" s="117"/>
      <c r="AW784" s="115"/>
      <c r="AX784" s="106"/>
      <c r="AY784" s="104"/>
      <c r="AZ784" s="105"/>
    </row>
    <row r="785" customHeight="1" spans="1:52">
      <c r="A785" s="70">
        <v>785</v>
      </c>
      <c r="B785" s="70" t="s">
        <v>2894</v>
      </c>
      <c r="C785" s="70" t="s">
        <v>374</v>
      </c>
      <c r="D785" s="71" t="s">
        <v>2895</v>
      </c>
      <c r="E785" s="71" t="s">
        <v>2896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2897</v>
      </c>
      <c r="L785" s="104">
        <f t="shared" si="253"/>
        <v>46176</v>
      </c>
      <c r="M785" s="105">
        <f ca="1" t="shared" si="254"/>
        <v>-137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259"/>
        <v>0</v>
      </c>
      <c r="Z785" s="105">
        <f ca="1" t="shared" si="260"/>
        <v>-46313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>
        <f t="shared" si="257"/>
        <v>0</v>
      </c>
      <c r="AM785" s="105">
        <f ca="1" t="shared" si="258"/>
        <v>-46313</v>
      </c>
      <c r="AN785" s="115"/>
      <c r="AO785" s="115"/>
      <c r="AP785" s="115"/>
      <c r="AQ785" s="93"/>
      <c r="AR785" s="93"/>
      <c r="AS785" s="94"/>
      <c r="AT785" s="95"/>
      <c r="AU785" s="79"/>
      <c r="AV785" s="117"/>
      <c r="AW785" s="115"/>
      <c r="AX785" s="106"/>
      <c r="AY785" s="104"/>
      <c r="AZ785" s="105"/>
    </row>
    <row r="786" customHeight="1" spans="1:52">
      <c r="A786" s="70">
        <v>786</v>
      </c>
      <c r="B786" s="70" t="s">
        <v>55</v>
      </c>
      <c r="C786" s="70" t="s">
        <v>13</v>
      </c>
      <c r="D786" s="71" t="s">
        <v>2898</v>
      </c>
      <c r="E786" s="71" t="s">
        <v>126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2899</v>
      </c>
      <c r="L786" s="104">
        <f t="shared" si="253"/>
        <v>46177</v>
      </c>
      <c r="M786" s="105">
        <f ca="1" t="shared" si="254"/>
        <v>-136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259"/>
        <v>0</v>
      </c>
      <c r="Z786" s="105">
        <f ca="1" t="shared" si="260"/>
        <v>-46313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>
        <f t="shared" si="257"/>
        <v>0</v>
      </c>
      <c r="AM786" s="105">
        <f ca="1" t="shared" si="258"/>
        <v>-46313</v>
      </c>
      <c r="AN786" s="115"/>
      <c r="AO786" s="115"/>
      <c r="AP786" s="115"/>
      <c r="AQ786" s="93"/>
      <c r="AR786" s="93"/>
      <c r="AS786" s="94"/>
      <c r="AT786" s="95"/>
      <c r="AU786" s="79"/>
      <c r="AV786" s="117"/>
      <c r="AW786" s="115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2900</v>
      </c>
      <c r="E787" s="71" t="s">
        <v>126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2901</v>
      </c>
      <c r="L787" s="104">
        <f t="shared" si="253"/>
        <v>46177</v>
      </c>
      <c r="M787" s="105">
        <f ca="1" t="shared" si="254"/>
        <v>-136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259"/>
        <v>0</v>
      </c>
      <c r="Z787" s="105">
        <f ca="1" t="shared" si="260"/>
        <v>-46313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>
        <f t="shared" si="257"/>
        <v>0</v>
      </c>
      <c r="AM787" s="105">
        <f ca="1" t="shared" si="258"/>
        <v>-46313</v>
      </c>
      <c r="AN787" s="115"/>
      <c r="AO787" s="115"/>
      <c r="AP787" s="115"/>
      <c r="AQ787" s="93"/>
      <c r="AR787" s="93"/>
      <c r="AS787" s="94"/>
      <c r="AT787" s="95"/>
      <c r="AU787" s="79"/>
      <c r="AV787" s="117"/>
      <c r="AW787" s="115"/>
      <c r="AX787" s="106"/>
      <c r="AY787" s="104"/>
      <c r="AZ787" s="105"/>
    </row>
    <row r="788" customHeight="1" spans="1:52">
      <c r="A788" s="70">
        <v>788</v>
      </c>
      <c r="B788" s="70" t="s">
        <v>2902</v>
      </c>
      <c r="C788" s="70" t="s">
        <v>13</v>
      </c>
      <c r="D788" s="71" t="s">
        <v>2903</v>
      </c>
      <c r="E788" s="71" t="s">
        <v>76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2904</v>
      </c>
      <c r="L788" s="104">
        <f t="shared" si="253"/>
        <v>46177</v>
      </c>
      <c r="M788" s="105">
        <f ca="1" t="shared" si="254"/>
        <v>-136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259"/>
        <v>0</v>
      </c>
      <c r="Z788" s="105">
        <f ca="1" t="shared" si="260"/>
        <v>-46313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>
        <f t="shared" si="257"/>
        <v>0</v>
      </c>
      <c r="AM788" s="105">
        <f ca="1" t="shared" si="258"/>
        <v>-46313</v>
      </c>
      <c r="AN788" s="115"/>
      <c r="AO788" s="115"/>
      <c r="AP788" s="115"/>
      <c r="AQ788" s="93"/>
      <c r="AR788" s="93"/>
      <c r="AS788" s="94"/>
      <c r="AT788" s="95"/>
      <c r="AU788" s="79"/>
      <c r="AV788" s="117"/>
      <c r="AW788" s="115"/>
      <c r="AX788" s="106"/>
      <c r="AY788" s="104"/>
      <c r="AZ788" s="105"/>
    </row>
    <row r="789" customHeight="1" spans="1:52">
      <c r="A789" s="70">
        <v>789</v>
      </c>
      <c r="B789" s="70" t="s">
        <v>2902</v>
      </c>
      <c r="C789" s="70" t="s">
        <v>38</v>
      </c>
      <c r="D789" s="71" t="s">
        <v>2905</v>
      </c>
      <c r="E789" s="71" t="s">
        <v>189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2906</v>
      </c>
      <c r="L789" s="104">
        <f t="shared" si="253"/>
        <v>46177</v>
      </c>
      <c r="M789" s="105">
        <f ca="1" t="shared" si="254"/>
        <v>-136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259"/>
        <v>0</v>
      </c>
      <c r="Z789" s="105">
        <f ca="1" t="shared" si="260"/>
        <v>-46313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>
        <f t="shared" si="257"/>
        <v>0</v>
      </c>
      <c r="AM789" s="105">
        <f ca="1" t="shared" si="258"/>
        <v>-46313</v>
      </c>
      <c r="AN789" s="115"/>
      <c r="AO789" s="115"/>
      <c r="AP789" s="115"/>
      <c r="AQ789" s="93"/>
      <c r="AR789" s="93"/>
      <c r="AS789" s="94"/>
      <c r="AT789" s="95"/>
      <c r="AU789" s="79"/>
      <c r="AV789" s="117"/>
      <c r="AW789" s="115"/>
      <c r="AX789" s="106"/>
      <c r="AY789" s="104"/>
      <c r="AZ789" s="105"/>
    </row>
    <row r="790" customHeight="1" spans="1:52">
      <c r="A790" s="70">
        <v>790</v>
      </c>
      <c r="B790" s="70" t="s">
        <v>2501</v>
      </c>
      <c r="C790" s="70" t="s">
        <v>13</v>
      </c>
      <c r="D790" s="71" t="s">
        <v>2907</v>
      </c>
      <c r="E790" s="71" t="s">
        <v>1291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2908</v>
      </c>
      <c r="L790" s="104">
        <f t="shared" si="253"/>
        <v>46177</v>
      </c>
      <c r="M790" s="105">
        <f ca="1" t="shared" si="254"/>
        <v>-136</v>
      </c>
      <c r="N790" s="70"/>
      <c r="O790" s="70" t="s">
        <v>2501</v>
      </c>
      <c r="P790" s="70" t="s">
        <v>13</v>
      </c>
      <c r="Q790" s="71" t="s">
        <v>2907</v>
      </c>
      <c r="R790" s="71" t="s">
        <v>1291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2909</v>
      </c>
      <c r="Y790" s="104">
        <f t="shared" si="259"/>
        <v>46263</v>
      </c>
      <c r="Z790" s="105">
        <f ca="1" t="shared" si="260"/>
        <v>-50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>
        <f t="shared" si="257"/>
        <v>0</v>
      </c>
      <c r="AM790" s="105">
        <f ca="1" t="shared" si="258"/>
        <v>-46313</v>
      </c>
      <c r="AN790" s="115"/>
      <c r="AO790" s="115"/>
      <c r="AP790" s="115"/>
      <c r="AQ790" s="93"/>
      <c r="AR790" s="93"/>
      <c r="AS790" s="94"/>
      <c r="AT790" s="95"/>
      <c r="AU790" s="79"/>
      <c r="AV790" s="117"/>
      <c r="AW790" s="115"/>
      <c r="AX790" s="106"/>
      <c r="AY790" s="104"/>
      <c r="AZ790" s="105"/>
    </row>
    <row r="791" customHeight="1" spans="1:52">
      <c r="A791" s="70">
        <v>791</v>
      </c>
      <c r="B791" s="70" t="s">
        <v>270</v>
      </c>
      <c r="C791" s="70" t="s">
        <v>264</v>
      </c>
      <c r="D791" s="71" t="s">
        <v>2910</v>
      </c>
      <c r="E791" s="71" t="s">
        <v>277</v>
      </c>
      <c r="F791" s="72"/>
      <c r="G791" s="73"/>
      <c r="H791" s="75"/>
      <c r="I791" s="102">
        <v>46085</v>
      </c>
      <c r="J791" s="70">
        <v>3</v>
      </c>
      <c r="K791" s="106" t="s">
        <v>2911</v>
      </c>
      <c r="L791" s="104">
        <f t="shared" si="253"/>
        <v>46177</v>
      </c>
      <c r="M791" s="105">
        <f ca="1" t="shared" si="254"/>
        <v>-136</v>
      </c>
      <c r="N791" s="70"/>
      <c r="O791" s="70" t="s">
        <v>270</v>
      </c>
      <c r="P791" s="70" t="s">
        <v>264</v>
      </c>
      <c r="Q791" s="71" t="s">
        <v>2910</v>
      </c>
      <c r="R791" s="71" t="s">
        <v>277</v>
      </c>
      <c r="S791" s="72"/>
      <c r="T791" s="73"/>
      <c r="U791" s="75"/>
      <c r="V791" s="102">
        <v>46162</v>
      </c>
      <c r="W791" s="70">
        <v>3</v>
      </c>
      <c r="X791" s="103" t="s">
        <v>2912</v>
      </c>
      <c r="Y791" s="104">
        <f t="shared" si="259"/>
        <v>46254</v>
      </c>
      <c r="Z791" s="105">
        <f ca="1" t="shared" si="260"/>
        <v>-59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>
        <f t="shared" si="257"/>
        <v>0</v>
      </c>
      <c r="AM791" s="105">
        <f ca="1" t="shared" si="258"/>
        <v>-46313</v>
      </c>
      <c r="AN791" s="115"/>
      <c r="AO791" s="115"/>
      <c r="AP791" s="115"/>
      <c r="AQ791" s="93"/>
      <c r="AR791" s="93"/>
      <c r="AS791" s="94"/>
      <c r="AT791" s="95"/>
      <c r="AU791" s="79"/>
      <c r="AV791" s="117"/>
      <c r="AW791" s="115"/>
      <c r="AX791" s="106"/>
      <c r="AY791" s="104"/>
      <c r="AZ791" s="105"/>
    </row>
    <row r="792" customHeight="1" spans="1:52">
      <c r="A792" s="70">
        <v>792</v>
      </c>
      <c r="B792" s="70" t="s">
        <v>270</v>
      </c>
      <c r="C792" s="70" t="s">
        <v>264</v>
      </c>
      <c r="D792" s="71" t="s">
        <v>2913</v>
      </c>
      <c r="E792" s="71" t="s">
        <v>277</v>
      </c>
      <c r="F792" s="72"/>
      <c r="G792" s="73"/>
      <c r="H792" s="75"/>
      <c r="I792" s="102">
        <v>46085</v>
      </c>
      <c r="J792" s="70">
        <v>3</v>
      </c>
      <c r="K792" s="106" t="s">
        <v>2914</v>
      </c>
      <c r="L792" s="104">
        <f t="shared" si="253"/>
        <v>46177</v>
      </c>
      <c r="M792" s="105">
        <f ca="1" t="shared" si="254"/>
        <v>-136</v>
      </c>
      <c r="N792" s="70"/>
      <c r="O792" s="70" t="s">
        <v>270</v>
      </c>
      <c r="P792" s="70" t="s">
        <v>264</v>
      </c>
      <c r="Q792" s="71" t="s">
        <v>2913</v>
      </c>
      <c r="R792" s="71" t="s">
        <v>277</v>
      </c>
      <c r="S792" s="72"/>
      <c r="T792" s="73"/>
      <c r="U792" s="75"/>
      <c r="V792" s="102">
        <v>46164</v>
      </c>
      <c r="W792" s="70">
        <v>3</v>
      </c>
      <c r="X792" s="103" t="s">
        <v>2915</v>
      </c>
      <c r="Y792" s="104">
        <f t="shared" si="259"/>
        <v>46256</v>
      </c>
      <c r="Z792" s="105">
        <f ca="1" t="shared" si="260"/>
        <v>-57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>
        <f t="shared" si="257"/>
        <v>0</v>
      </c>
      <c r="AM792" s="105">
        <f ca="1" t="shared" si="258"/>
        <v>-46313</v>
      </c>
      <c r="AN792" s="115"/>
      <c r="AO792" s="115"/>
      <c r="AP792" s="115"/>
      <c r="AQ792" s="93"/>
      <c r="AR792" s="93"/>
      <c r="AS792" s="94"/>
      <c r="AT792" s="95"/>
      <c r="AU792" s="79"/>
      <c r="AV792" s="117"/>
      <c r="AW792" s="115"/>
      <c r="AX792" s="106"/>
      <c r="AY792" s="104"/>
      <c r="AZ792" s="105"/>
    </row>
    <row r="793" customHeight="1" spans="1:52">
      <c r="A793" s="70">
        <v>793</v>
      </c>
      <c r="B793" s="70" t="s">
        <v>2916</v>
      </c>
      <c r="C793" s="70" t="s">
        <v>264</v>
      </c>
      <c r="D793" s="71" t="s">
        <v>1235</v>
      </c>
      <c r="E793" s="71" t="s">
        <v>264</v>
      </c>
      <c r="F793" s="72"/>
      <c r="G793" s="73"/>
      <c r="H793" s="75"/>
      <c r="I793" s="102">
        <v>46085</v>
      </c>
      <c r="J793" s="70" t="s">
        <v>767</v>
      </c>
      <c r="K793" s="106" t="s">
        <v>2917</v>
      </c>
      <c r="L793" s="104" t="e">
        <f t="shared" si="253"/>
        <v>#VALUE!</v>
      </c>
      <c r="M793" s="105" t="e">
        <f ca="1" t="shared" si="254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259"/>
        <v>0</v>
      </c>
      <c r="Z793" s="105">
        <f ca="1" t="shared" si="260"/>
        <v>-46313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>
        <f t="shared" si="257"/>
        <v>0</v>
      </c>
      <c r="AM793" s="105">
        <f ca="1" t="shared" si="258"/>
        <v>-46313</v>
      </c>
      <c r="AN793" s="115"/>
      <c r="AO793" s="115"/>
      <c r="AP793" s="115"/>
      <c r="AQ793" s="93"/>
      <c r="AR793" s="93"/>
      <c r="AS793" s="94"/>
      <c r="AT793" s="95"/>
      <c r="AU793" s="79"/>
      <c r="AV793" s="117"/>
      <c r="AW793" s="115"/>
      <c r="AX793" s="106"/>
      <c r="AY793" s="104"/>
      <c r="AZ793" s="105"/>
    </row>
    <row r="794" customHeight="1" spans="1:52">
      <c r="A794" s="70">
        <v>794</v>
      </c>
      <c r="B794" s="70" t="s">
        <v>2918</v>
      </c>
      <c r="C794" s="70" t="s">
        <v>38</v>
      </c>
      <c r="D794" s="71" t="s">
        <v>2919</v>
      </c>
      <c r="E794" s="71" t="s">
        <v>1928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2920</v>
      </c>
      <c r="L794" s="104">
        <f t="shared" si="253"/>
        <v>46177</v>
      </c>
      <c r="M794" s="105">
        <f ca="1" t="shared" si="254"/>
        <v>-136</v>
      </c>
      <c r="N794" s="70"/>
      <c r="O794" s="70" t="s">
        <v>2918</v>
      </c>
      <c r="P794" s="70" t="s">
        <v>38</v>
      </c>
      <c r="Q794" s="71" t="s">
        <v>2919</v>
      </c>
      <c r="R794" s="71" t="s">
        <v>1928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2921</v>
      </c>
      <c r="Y794" s="104">
        <f t="shared" ref="Y791:Y799" si="261">EDATE(V794,W794)</f>
        <v>46281</v>
      </c>
      <c r="Z794" s="105">
        <f ca="1" t="shared" ref="Z791:Z799" si="262">Y794-TODAY()</f>
        <v>-32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>
        <f t="shared" si="257"/>
        <v>0</v>
      </c>
      <c r="AM794" s="105">
        <f ca="1" t="shared" si="258"/>
        <v>-46313</v>
      </c>
      <c r="AN794" s="115"/>
      <c r="AO794" s="115"/>
      <c r="AP794" s="115"/>
      <c r="AQ794" s="93"/>
      <c r="AR794" s="93"/>
      <c r="AS794" s="94"/>
      <c r="AT794" s="95"/>
      <c r="AU794" s="79"/>
      <c r="AV794" s="117"/>
      <c r="AW794" s="115"/>
      <c r="AX794" s="106"/>
      <c r="AY794" s="104"/>
      <c r="AZ794" s="105"/>
    </row>
    <row r="795" customHeight="1" spans="1:52">
      <c r="A795" s="70">
        <v>795</v>
      </c>
      <c r="B795" s="70" t="s">
        <v>134</v>
      </c>
      <c r="C795" s="70" t="s">
        <v>13</v>
      </c>
      <c r="D795" s="71" t="s">
        <v>2922</v>
      </c>
      <c r="E795" s="71" t="s">
        <v>34</v>
      </c>
      <c r="F795" s="72"/>
      <c r="G795" s="73"/>
      <c r="H795" s="75"/>
      <c r="I795" s="102">
        <v>46086</v>
      </c>
      <c r="J795" s="70">
        <v>3</v>
      </c>
      <c r="K795" s="106" t="s">
        <v>2923</v>
      </c>
      <c r="L795" s="104">
        <f t="shared" si="253"/>
        <v>46178</v>
      </c>
      <c r="M795" s="105">
        <f ca="1" t="shared" si="254"/>
        <v>-135</v>
      </c>
      <c r="N795" s="70"/>
      <c r="O795" s="70" t="s">
        <v>134</v>
      </c>
      <c r="P795" s="70" t="s">
        <v>13</v>
      </c>
      <c r="Q795" s="71" t="s">
        <v>2922</v>
      </c>
      <c r="R795" s="71" t="s">
        <v>34</v>
      </c>
      <c r="S795" s="72"/>
      <c r="T795" s="73"/>
      <c r="U795" s="75"/>
      <c r="V795" s="102">
        <v>46182</v>
      </c>
      <c r="W795" s="70">
        <v>3</v>
      </c>
      <c r="X795" s="103" t="s">
        <v>2924</v>
      </c>
      <c r="Y795" s="104">
        <f t="shared" si="261"/>
        <v>46274</v>
      </c>
      <c r="Z795" s="105">
        <f ca="1" t="shared" si="262"/>
        <v>-39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>
        <f t="shared" si="257"/>
        <v>0</v>
      </c>
      <c r="AM795" s="105">
        <f ca="1" t="shared" si="258"/>
        <v>-46313</v>
      </c>
      <c r="AN795" s="115"/>
      <c r="AO795" s="115"/>
      <c r="AP795" s="115"/>
      <c r="AQ795" s="93"/>
      <c r="AR795" s="93"/>
      <c r="AS795" s="94"/>
      <c r="AT795" s="95"/>
      <c r="AU795" s="79"/>
      <c r="AV795" s="117"/>
      <c r="AW795" s="115"/>
      <c r="AX795" s="106"/>
      <c r="AY795" s="104"/>
      <c r="AZ795" s="105"/>
    </row>
    <row r="796" customHeight="1" spans="1:52">
      <c r="A796" s="70">
        <v>796</v>
      </c>
      <c r="B796" s="70" t="s">
        <v>134</v>
      </c>
      <c r="C796" s="70" t="s">
        <v>13</v>
      </c>
      <c r="D796" s="71" t="s">
        <v>2925</v>
      </c>
      <c r="E796" s="71" t="s">
        <v>76</v>
      </c>
      <c r="F796" s="72"/>
      <c r="G796" s="73"/>
      <c r="H796" s="75"/>
      <c r="I796" s="102">
        <v>46086</v>
      </c>
      <c r="J796" s="70">
        <v>3</v>
      </c>
      <c r="K796" s="106" t="s">
        <v>2926</v>
      </c>
      <c r="L796" s="104">
        <f t="shared" si="253"/>
        <v>46178</v>
      </c>
      <c r="M796" s="105">
        <f ca="1" t="shared" si="254"/>
        <v>-135</v>
      </c>
      <c r="N796" s="70"/>
      <c r="O796" s="70" t="s">
        <v>134</v>
      </c>
      <c r="P796" s="70" t="s">
        <v>13</v>
      </c>
      <c r="Q796" s="71" t="s">
        <v>2925</v>
      </c>
      <c r="R796" s="71" t="s">
        <v>76</v>
      </c>
      <c r="S796" s="72"/>
      <c r="T796" s="73"/>
      <c r="U796" s="75"/>
      <c r="V796" s="102">
        <v>46206</v>
      </c>
      <c r="W796" s="70">
        <v>3</v>
      </c>
      <c r="X796" s="103" t="s">
        <v>2927</v>
      </c>
      <c r="Y796" s="104">
        <f t="shared" si="261"/>
        <v>46298</v>
      </c>
      <c r="Z796" s="105">
        <f ca="1" t="shared" si="262"/>
        <v>-15</v>
      </c>
      <c r="AA796" s="70"/>
      <c r="AB796" s="70" t="s">
        <v>134</v>
      </c>
      <c r="AC796" s="70" t="s">
        <v>13</v>
      </c>
      <c r="AD796" s="71" t="s">
        <v>2925</v>
      </c>
      <c r="AE796" s="71" t="s">
        <v>76</v>
      </c>
      <c r="AF796" s="72"/>
      <c r="AG796" s="73"/>
      <c r="AH796" s="75"/>
      <c r="AI796" s="102">
        <v>46302</v>
      </c>
      <c r="AJ796" s="70">
        <v>3</v>
      </c>
      <c r="AK796" s="103" t="s">
        <v>2928</v>
      </c>
      <c r="AL796" s="104">
        <f t="shared" si="257"/>
        <v>46394</v>
      </c>
      <c r="AM796" s="105">
        <f ca="1" t="shared" si="258"/>
        <v>81</v>
      </c>
      <c r="AN796" s="115"/>
      <c r="AO796" s="115"/>
      <c r="AP796" s="115"/>
      <c r="AQ796" s="93"/>
      <c r="AR796" s="93"/>
      <c r="AS796" s="94"/>
      <c r="AT796" s="95"/>
      <c r="AU796" s="79"/>
      <c r="AV796" s="117"/>
      <c r="AW796" s="115"/>
      <c r="AX796" s="106"/>
      <c r="AY796" s="104"/>
      <c r="AZ796" s="105"/>
    </row>
    <row r="797" customHeight="1" spans="1:52">
      <c r="A797" s="70">
        <v>797</v>
      </c>
      <c r="B797" s="70" t="s">
        <v>229</v>
      </c>
      <c r="C797" s="70" t="s">
        <v>13</v>
      </c>
      <c r="D797" s="71" t="s">
        <v>2929</v>
      </c>
      <c r="E797" s="71" t="s">
        <v>126</v>
      </c>
      <c r="F797" s="72"/>
      <c r="G797" s="73"/>
      <c r="H797" s="75"/>
      <c r="I797" s="102">
        <v>46086</v>
      </c>
      <c r="J797" s="70">
        <v>3</v>
      </c>
      <c r="K797" s="106" t="s">
        <v>2930</v>
      </c>
      <c r="L797" s="104">
        <f t="shared" si="253"/>
        <v>46178</v>
      </c>
      <c r="M797" s="105">
        <f ca="1" t="shared" si="254"/>
        <v>-135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261"/>
        <v>0</v>
      </c>
      <c r="Z797" s="105">
        <f ca="1" t="shared" si="262"/>
        <v>-46313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>
        <f t="shared" si="257"/>
        <v>0</v>
      </c>
      <c r="AM797" s="105">
        <f ca="1" t="shared" si="258"/>
        <v>-46313</v>
      </c>
      <c r="AN797" s="115"/>
      <c r="AO797" s="115"/>
      <c r="AP797" s="115"/>
      <c r="AQ797" s="93"/>
      <c r="AR797" s="93"/>
      <c r="AS797" s="94"/>
      <c r="AT797" s="95"/>
      <c r="AU797" s="79"/>
      <c r="AV797" s="117"/>
      <c r="AW797" s="115"/>
      <c r="AX797" s="106"/>
      <c r="AY797" s="104"/>
      <c r="AZ797" s="105"/>
    </row>
    <row r="798" customHeight="1" spans="1:52">
      <c r="A798" s="70">
        <v>798</v>
      </c>
      <c r="B798" s="70" t="s">
        <v>74</v>
      </c>
      <c r="C798" s="70" t="s">
        <v>38</v>
      </c>
      <c r="D798" s="71" t="s">
        <v>2931</v>
      </c>
      <c r="E798" s="71" t="s">
        <v>51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2932</v>
      </c>
      <c r="L798" s="104">
        <f t="shared" si="253"/>
        <v>46178</v>
      </c>
      <c r="M798" s="105">
        <f ca="1" t="shared" si="254"/>
        <v>-135</v>
      </c>
      <c r="N798" s="70"/>
      <c r="O798" s="70" t="s">
        <v>74</v>
      </c>
      <c r="P798" s="70" t="s">
        <v>38</v>
      </c>
      <c r="Q798" s="71" t="s">
        <v>2931</v>
      </c>
      <c r="R798" s="71" t="s">
        <v>51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2933</v>
      </c>
      <c r="Y798" s="104">
        <f t="shared" si="261"/>
        <v>46275</v>
      </c>
      <c r="Z798" s="105">
        <f ca="1" t="shared" si="262"/>
        <v>-38</v>
      </c>
      <c r="AA798" s="70"/>
      <c r="AB798" s="70" t="s">
        <v>74</v>
      </c>
      <c r="AC798" s="70" t="s">
        <v>38</v>
      </c>
      <c r="AD798" s="71" t="s">
        <v>2931</v>
      </c>
      <c r="AE798" s="71" t="s">
        <v>51</v>
      </c>
      <c r="AF798" s="72"/>
      <c r="AG798" s="73"/>
      <c r="AH798" s="74" t="s">
        <v>16</v>
      </c>
      <c r="AI798" s="102">
        <v>46281</v>
      </c>
      <c r="AJ798" s="70">
        <v>3</v>
      </c>
      <c r="AK798" s="103" t="s">
        <v>2934</v>
      </c>
      <c r="AL798" s="104">
        <f t="shared" si="257"/>
        <v>46372</v>
      </c>
      <c r="AM798" s="105">
        <f ca="1" t="shared" si="258"/>
        <v>59</v>
      </c>
      <c r="AN798" s="115"/>
      <c r="AO798" s="115"/>
      <c r="AP798" s="115"/>
      <c r="AQ798" s="93"/>
      <c r="AR798" s="93"/>
      <c r="AS798" s="94"/>
      <c r="AT798" s="95"/>
      <c r="AU798" s="79"/>
      <c r="AV798" s="117"/>
      <c r="AW798" s="115"/>
      <c r="AX798" s="106"/>
      <c r="AY798" s="104"/>
      <c r="AZ798" s="105"/>
    </row>
    <row r="799" customHeight="1" spans="1:52">
      <c r="A799" s="70">
        <v>799</v>
      </c>
      <c r="B799" s="70" t="s">
        <v>1918</v>
      </c>
      <c r="C799" s="70" t="s">
        <v>264</v>
      </c>
      <c r="D799" s="71" t="s">
        <v>955</v>
      </c>
      <c r="E799" s="71" t="s">
        <v>764</v>
      </c>
      <c r="F799" s="72"/>
      <c r="G799" s="73"/>
      <c r="H799" s="151"/>
      <c r="I799" s="102">
        <v>46086</v>
      </c>
      <c r="J799" s="70" t="s">
        <v>767</v>
      </c>
      <c r="K799" s="106"/>
      <c r="L799" s="104" t="e">
        <f t="shared" si="253"/>
        <v>#VALUE!</v>
      </c>
      <c r="M799" s="105" t="e">
        <f ca="1" t="shared" si="254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261"/>
        <v>0</v>
      </c>
      <c r="Z799" s="105">
        <f ca="1" t="shared" si="262"/>
        <v>-46313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>
        <f t="shared" si="257"/>
        <v>0</v>
      </c>
      <c r="AM799" s="105">
        <f ca="1" t="shared" si="258"/>
        <v>-46313</v>
      </c>
      <c r="AN799" s="115"/>
      <c r="AO799" s="115"/>
      <c r="AP799" s="115"/>
      <c r="AQ799" s="93"/>
      <c r="AR799" s="93"/>
      <c r="AS799" s="94"/>
      <c r="AT799" s="95"/>
      <c r="AU799" s="79"/>
      <c r="AV799" s="117"/>
      <c r="AW799" s="115"/>
      <c r="AX799" s="106"/>
      <c r="AY799" s="104"/>
      <c r="AZ799" s="105"/>
    </row>
    <row r="800" customHeight="1" spans="1:52">
      <c r="A800" s="70">
        <v>800</v>
      </c>
      <c r="B800" s="70" t="s">
        <v>263</v>
      </c>
      <c r="C800" s="70" t="s">
        <v>264</v>
      </c>
      <c r="D800" s="71" t="s">
        <v>955</v>
      </c>
      <c r="E800" s="71" t="s">
        <v>764</v>
      </c>
      <c r="F800" s="72"/>
      <c r="G800" s="73"/>
      <c r="H800" s="151"/>
      <c r="I800" s="102">
        <v>46086</v>
      </c>
      <c r="J800" s="70" t="s">
        <v>767</v>
      </c>
      <c r="K800" s="106"/>
      <c r="L800" s="104" t="e">
        <f t="shared" si="253"/>
        <v>#VALUE!</v>
      </c>
      <c r="M800" s="105" t="e">
        <f ca="1" t="shared" si="254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263">EDATE(V800,W800)</f>
        <v>0</v>
      </c>
      <c r="Z800" s="105">
        <f ca="1" t="shared" ref="Z800:Z824" si="264">Y800-TODAY()</f>
        <v>-46313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>
        <f t="shared" si="257"/>
        <v>0</v>
      </c>
      <c r="AM800" s="105">
        <f ca="1" t="shared" si="258"/>
        <v>-46313</v>
      </c>
      <c r="AN800" s="115"/>
      <c r="AO800" s="115"/>
      <c r="AP800" s="115"/>
      <c r="AQ800" s="93"/>
      <c r="AR800" s="93"/>
      <c r="AS800" s="94"/>
      <c r="AT800" s="95"/>
      <c r="AU800" s="79"/>
      <c r="AV800" s="117"/>
      <c r="AW800" s="115"/>
      <c r="AX800" s="106"/>
      <c r="AY800" s="104"/>
      <c r="AZ800" s="105"/>
    </row>
    <row r="801" customHeight="1" spans="1:52">
      <c r="A801" s="70">
        <v>801</v>
      </c>
      <c r="B801" s="70" t="s">
        <v>2205</v>
      </c>
      <c r="C801" s="70" t="s">
        <v>264</v>
      </c>
      <c r="D801" s="71" t="s">
        <v>955</v>
      </c>
      <c r="E801" s="71" t="s">
        <v>764</v>
      </c>
      <c r="F801" s="72"/>
      <c r="G801" s="73"/>
      <c r="H801" s="151"/>
      <c r="I801" s="102">
        <v>46086</v>
      </c>
      <c r="J801" s="70" t="s">
        <v>767</v>
      </c>
      <c r="K801" s="106"/>
      <c r="L801" s="104" t="e">
        <f t="shared" si="253"/>
        <v>#VALUE!</v>
      </c>
      <c r="M801" s="105" t="e">
        <f ca="1" t="shared" si="254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263"/>
        <v>0</v>
      </c>
      <c r="Z801" s="105">
        <f ca="1" t="shared" si="264"/>
        <v>-46313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>
        <f t="shared" si="257"/>
        <v>0</v>
      </c>
      <c r="AM801" s="105">
        <f ca="1" t="shared" si="258"/>
        <v>-46313</v>
      </c>
      <c r="AN801" s="115"/>
      <c r="AO801" s="115"/>
      <c r="AP801" s="115"/>
      <c r="AQ801" s="93"/>
      <c r="AR801" s="93"/>
      <c r="AS801" s="94"/>
      <c r="AT801" s="95"/>
      <c r="AU801" s="79"/>
      <c r="AV801" s="117"/>
      <c r="AW801" s="115"/>
      <c r="AX801" s="106"/>
      <c r="AY801" s="104"/>
      <c r="AZ801" s="105"/>
    </row>
    <row r="802" customHeight="1" spans="1:52">
      <c r="A802" s="70">
        <v>802</v>
      </c>
      <c r="B802" s="70" t="s">
        <v>263</v>
      </c>
      <c r="C802" s="70" t="s">
        <v>264</v>
      </c>
      <c r="D802" s="71" t="s">
        <v>763</v>
      </c>
      <c r="E802" s="71" t="s">
        <v>753</v>
      </c>
      <c r="F802" s="72"/>
      <c r="G802" s="73"/>
      <c r="H802" s="151"/>
      <c r="I802" s="102">
        <v>46086</v>
      </c>
      <c r="J802" s="70" t="s">
        <v>767</v>
      </c>
      <c r="K802" s="106"/>
      <c r="L802" s="104" t="e">
        <f t="shared" si="253"/>
        <v>#VALUE!</v>
      </c>
      <c r="M802" s="105" t="e">
        <f ca="1" t="shared" si="254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263"/>
        <v>0</v>
      </c>
      <c r="Z802" s="105">
        <f ca="1" t="shared" si="264"/>
        <v>-46313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>
        <f t="shared" si="257"/>
        <v>0</v>
      </c>
      <c r="AM802" s="105">
        <f ca="1" t="shared" si="258"/>
        <v>-46313</v>
      </c>
      <c r="AN802" s="115"/>
      <c r="AO802" s="115"/>
      <c r="AP802" s="115"/>
      <c r="AQ802" s="93"/>
      <c r="AR802" s="93"/>
      <c r="AS802" s="94"/>
      <c r="AT802" s="95"/>
      <c r="AU802" s="79"/>
      <c r="AV802" s="117"/>
      <c r="AW802" s="115"/>
      <c r="AX802" s="106"/>
      <c r="AY802" s="104"/>
      <c r="AZ802" s="105"/>
    </row>
    <row r="803" customHeight="1" spans="1:52">
      <c r="A803" s="70">
        <v>803</v>
      </c>
      <c r="B803" s="70" t="s">
        <v>270</v>
      </c>
      <c r="C803" s="70" t="s">
        <v>264</v>
      </c>
      <c r="D803" s="71" t="s">
        <v>2935</v>
      </c>
      <c r="E803" s="71" t="s">
        <v>2936</v>
      </c>
      <c r="F803" s="72"/>
      <c r="G803" s="73"/>
      <c r="H803" s="151"/>
      <c r="I803" s="102">
        <v>46086</v>
      </c>
      <c r="J803" s="70">
        <v>3</v>
      </c>
      <c r="K803" s="106" t="s">
        <v>2937</v>
      </c>
      <c r="L803" s="104">
        <f t="shared" si="253"/>
        <v>46178</v>
      </c>
      <c r="M803" s="105">
        <f ca="1" t="shared" si="254"/>
        <v>-135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263"/>
        <v>0</v>
      </c>
      <c r="Z803" s="105">
        <f ca="1" t="shared" si="264"/>
        <v>-46313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>
        <f t="shared" si="257"/>
        <v>0</v>
      </c>
      <c r="AM803" s="105">
        <f ca="1" t="shared" si="258"/>
        <v>-46313</v>
      </c>
      <c r="AN803" s="115"/>
      <c r="AO803" s="115"/>
      <c r="AP803" s="115"/>
      <c r="AQ803" s="93"/>
      <c r="AR803" s="93"/>
      <c r="AS803" s="94"/>
      <c r="AT803" s="95"/>
      <c r="AU803" s="79"/>
      <c r="AV803" s="117"/>
      <c r="AW803" s="115"/>
      <c r="AX803" s="106"/>
      <c r="AY803" s="104"/>
      <c r="AZ803" s="105"/>
    </row>
    <row r="804" customHeight="1" spans="1:52">
      <c r="A804" s="70">
        <v>804</v>
      </c>
      <c r="B804" s="70" t="s">
        <v>281</v>
      </c>
      <c r="C804" s="70" t="s">
        <v>264</v>
      </c>
      <c r="D804" s="71" t="s">
        <v>2938</v>
      </c>
      <c r="E804" s="71" t="s">
        <v>2734</v>
      </c>
      <c r="F804" s="72"/>
      <c r="G804" s="73"/>
      <c r="H804" s="151"/>
      <c r="I804" s="102">
        <v>46086</v>
      </c>
      <c r="J804" s="70">
        <v>3</v>
      </c>
      <c r="K804" s="106" t="s">
        <v>2939</v>
      </c>
      <c r="L804" s="104">
        <f t="shared" si="253"/>
        <v>46178</v>
      </c>
      <c r="M804" s="105">
        <f ca="1" t="shared" si="254"/>
        <v>-135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263"/>
        <v>0</v>
      </c>
      <c r="Z804" s="105">
        <f ca="1" t="shared" si="264"/>
        <v>-46313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>
        <f t="shared" si="257"/>
        <v>0</v>
      </c>
      <c r="AM804" s="105">
        <f ca="1" t="shared" si="258"/>
        <v>-46313</v>
      </c>
      <c r="AN804" s="115"/>
      <c r="AO804" s="115"/>
      <c r="AP804" s="115"/>
      <c r="AQ804" s="93"/>
      <c r="AR804" s="93"/>
      <c r="AS804" s="94"/>
      <c r="AT804" s="95"/>
      <c r="AU804" s="79"/>
      <c r="AV804" s="117"/>
      <c r="AW804" s="115"/>
      <c r="AX804" s="106"/>
      <c r="AY804" s="104"/>
      <c r="AZ804" s="105"/>
    </row>
    <row r="805" customHeight="1" spans="1:52">
      <c r="A805" s="70">
        <v>805</v>
      </c>
      <c r="B805" s="70" t="s">
        <v>648</v>
      </c>
      <c r="C805" s="70" t="s">
        <v>264</v>
      </c>
      <c r="D805" s="71" t="s">
        <v>2940</v>
      </c>
      <c r="E805" s="71" t="s">
        <v>2941</v>
      </c>
      <c r="F805" s="72"/>
      <c r="G805" s="73"/>
      <c r="H805" s="151"/>
      <c r="I805" s="102">
        <v>46086</v>
      </c>
      <c r="J805" s="70">
        <v>3</v>
      </c>
      <c r="K805" s="106" t="s">
        <v>2942</v>
      </c>
      <c r="L805" s="104">
        <f t="shared" si="253"/>
        <v>46178</v>
      </c>
      <c r="M805" s="105">
        <f ca="1" t="shared" si="254"/>
        <v>-135</v>
      </c>
      <c r="N805" s="70"/>
      <c r="O805" s="70" t="s">
        <v>648</v>
      </c>
      <c r="P805" s="70" t="s">
        <v>264</v>
      </c>
      <c r="Q805" s="71" t="s">
        <v>2940</v>
      </c>
      <c r="R805" s="71" t="s">
        <v>2941</v>
      </c>
      <c r="S805" s="72"/>
      <c r="T805" s="73"/>
      <c r="U805" s="151"/>
      <c r="V805" s="102">
        <v>46189</v>
      </c>
      <c r="W805" s="70">
        <v>3</v>
      </c>
      <c r="X805" s="103" t="s">
        <v>2943</v>
      </c>
      <c r="Y805" s="104">
        <f t="shared" si="263"/>
        <v>46281</v>
      </c>
      <c r="Z805" s="105">
        <f ca="1" t="shared" si="264"/>
        <v>-32</v>
      </c>
      <c r="AA805" s="70"/>
      <c r="AB805" s="70" t="s">
        <v>648</v>
      </c>
      <c r="AC805" s="70" t="s">
        <v>264</v>
      </c>
      <c r="AD805" s="71" t="s">
        <v>2940</v>
      </c>
      <c r="AE805" s="71" t="s">
        <v>2941</v>
      </c>
      <c r="AF805" s="72"/>
      <c r="AG805" s="73"/>
      <c r="AH805" s="151"/>
      <c r="AI805" s="102">
        <v>46276</v>
      </c>
      <c r="AJ805" s="70">
        <v>3</v>
      </c>
      <c r="AK805" s="103" t="s">
        <v>2944</v>
      </c>
      <c r="AL805" s="104">
        <f t="shared" si="257"/>
        <v>46367</v>
      </c>
      <c r="AM805" s="105">
        <f ca="1" t="shared" si="258"/>
        <v>54</v>
      </c>
      <c r="AN805" s="115"/>
      <c r="AO805" s="115"/>
      <c r="AP805" s="115"/>
      <c r="AQ805" s="93"/>
      <c r="AR805" s="93"/>
      <c r="AS805" s="94"/>
      <c r="AT805" s="95"/>
      <c r="AU805" s="79"/>
      <c r="AV805" s="117"/>
      <c r="AW805" s="115"/>
      <c r="AX805" s="106"/>
      <c r="AY805" s="104"/>
      <c r="AZ805" s="105"/>
    </row>
    <row r="806" customHeight="1" spans="1:52">
      <c r="A806" s="70">
        <v>806</v>
      </c>
      <c r="B806" s="70" t="s">
        <v>1238</v>
      </c>
      <c r="C806" s="70" t="s">
        <v>264</v>
      </c>
      <c r="D806" s="71" t="s">
        <v>2702</v>
      </c>
      <c r="E806" s="71" t="s">
        <v>364</v>
      </c>
      <c r="F806" s="72"/>
      <c r="G806" s="73"/>
      <c r="H806" s="151"/>
      <c r="I806" s="102">
        <v>46086</v>
      </c>
      <c r="J806" s="70" t="s">
        <v>767</v>
      </c>
      <c r="K806" s="106"/>
      <c r="L806" s="104" t="e">
        <f t="shared" si="253"/>
        <v>#VALUE!</v>
      </c>
      <c r="M806" s="105" t="e">
        <f ca="1" t="shared" si="254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263"/>
        <v>0</v>
      </c>
      <c r="Z806" s="105">
        <f ca="1" t="shared" si="264"/>
        <v>-46313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>
        <f t="shared" si="257"/>
        <v>0</v>
      </c>
      <c r="AM806" s="105">
        <f ca="1" t="shared" si="258"/>
        <v>-46313</v>
      </c>
      <c r="AN806" s="115"/>
      <c r="AO806" s="115"/>
      <c r="AP806" s="115"/>
      <c r="AQ806" s="93"/>
      <c r="AR806" s="93"/>
      <c r="AS806" s="94"/>
      <c r="AT806" s="95"/>
      <c r="AU806" s="79"/>
      <c r="AV806" s="117"/>
      <c r="AW806" s="115"/>
      <c r="AX806" s="106"/>
      <c r="AY806" s="104"/>
      <c r="AZ806" s="105"/>
    </row>
    <row r="807" customHeight="1" spans="1:52">
      <c r="A807" s="70">
        <v>807</v>
      </c>
      <c r="B807" s="70" t="s">
        <v>782</v>
      </c>
      <c r="C807" s="70" t="s">
        <v>374</v>
      </c>
      <c r="D807" s="71" t="s">
        <v>2945</v>
      </c>
      <c r="E807" s="71" t="s">
        <v>2946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2947</v>
      </c>
      <c r="L807" s="104">
        <f t="shared" si="253"/>
        <v>46178</v>
      </c>
      <c r="M807" s="105">
        <f ca="1" t="shared" si="254"/>
        <v>-135</v>
      </c>
      <c r="N807" s="70"/>
      <c r="O807" s="70" t="s">
        <v>782</v>
      </c>
      <c r="P807" s="70" t="s">
        <v>374</v>
      </c>
      <c r="Q807" s="71" t="s">
        <v>2945</v>
      </c>
      <c r="R807" s="71" t="s">
        <v>2946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2948</v>
      </c>
      <c r="Y807" s="104">
        <f t="shared" si="263"/>
        <v>46328</v>
      </c>
      <c r="Z807" s="105">
        <f ca="1" t="shared" si="264"/>
        <v>15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>
        <f t="shared" si="257"/>
        <v>0</v>
      </c>
      <c r="AM807" s="105">
        <f ca="1" t="shared" si="258"/>
        <v>-46313</v>
      </c>
      <c r="AN807" s="115"/>
      <c r="AO807" s="115"/>
      <c r="AP807" s="115"/>
      <c r="AQ807" s="93"/>
      <c r="AR807" s="93"/>
      <c r="AS807" s="94"/>
      <c r="AT807" s="95"/>
      <c r="AU807" s="79"/>
      <c r="AV807" s="117"/>
      <c r="AW807" s="115"/>
      <c r="AX807" s="106"/>
      <c r="AY807" s="104"/>
      <c r="AZ807" s="105"/>
    </row>
    <row r="808" customHeight="1" spans="1:52">
      <c r="A808" s="70">
        <v>808</v>
      </c>
      <c r="B808" s="70" t="s">
        <v>134</v>
      </c>
      <c r="C808" s="70" t="s">
        <v>38</v>
      </c>
      <c r="D808" s="71" t="s">
        <v>2949</v>
      </c>
      <c r="E808" s="71" t="s">
        <v>69</v>
      </c>
      <c r="F808" s="72"/>
      <c r="G808" s="73"/>
      <c r="H808" s="75"/>
      <c r="I808" s="102">
        <v>46087</v>
      </c>
      <c r="J808" s="70">
        <v>3</v>
      </c>
      <c r="K808" s="106" t="s">
        <v>2950</v>
      </c>
      <c r="L808" s="104">
        <f t="shared" si="253"/>
        <v>46179</v>
      </c>
      <c r="M808" s="105">
        <f ca="1" t="shared" si="254"/>
        <v>-134</v>
      </c>
      <c r="N808" s="70"/>
      <c r="O808" s="70" t="s">
        <v>134</v>
      </c>
      <c r="P808" s="70" t="s">
        <v>38</v>
      </c>
      <c r="Q808" s="71" t="s">
        <v>2949</v>
      </c>
      <c r="R808" s="71" t="s">
        <v>69</v>
      </c>
      <c r="S808" s="72"/>
      <c r="T808" s="73"/>
      <c r="U808" s="75"/>
      <c r="V808" s="102">
        <v>46206</v>
      </c>
      <c r="W808" s="70">
        <v>3</v>
      </c>
      <c r="X808" s="103" t="s">
        <v>2951</v>
      </c>
      <c r="Y808" s="104">
        <f t="shared" si="263"/>
        <v>46298</v>
      </c>
      <c r="Z808" s="105">
        <f ca="1" t="shared" si="264"/>
        <v>-15</v>
      </c>
      <c r="AA808" s="70"/>
      <c r="AB808" s="70" t="s">
        <v>134</v>
      </c>
      <c r="AC808" s="70" t="s">
        <v>38</v>
      </c>
      <c r="AD808" s="71" t="s">
        <v>2949</v>
      </c>
      <c r="AE808" s="71" t="s">
        <v>69</v>
      </c>
      <c r="AF808" s="72"/>
      <c r="AG808" s="73"/>
      <c r="AH808" s="75"/>
      <c r="AI808" s="102">
        <v>46292</v>
      </c>
      <c r="AJ808" s="70">
        <v>3</v>
      </c>
      <c r="AK808" s="103" t="s">
        <v>2952</v>
      </c>
      <c r="AL808" s="104">
        <f t="shared" ref="AL808:AL830" si="265">EDATE(AI808,AJ808)</f>
        <v>46383</v>
      </c>
      <c r="AM808" s="105">
        <f ca="1" t="shared" ref="AM808:AM830" si="266">AL808-TODAY()</f>
        <v>70</v>
      </c>
      <c r="AN808" s="115"/>
      <c r="AO808" s="115"/>
      <c r="AP808" s="115"/>
      <c r="AQ808" s="93"/>
      <c r="AR808" s="93"/>
      <c r="AS808" s="94"/>
      <c r="AT808" s="95"/>
      <c r="AU808" s="79"/>
      <c r="AV808" s="117"/>
      <c r="AW808" s="115"/>
      <c r="AX808" s="106"/>
      <c r="AY808" s="104"/>
      <c r="AZ808" s="105"/>
    </row>
    <row r="809" customHeight="1" spans="1:52">
      <c r="A809" s="70">
        <v>809</v>
      </c>
      <c r="B809" s="70" t="s">
        <v>134</v>
      </c>
      <c r="C809" s="70" t="s">
        <v>38</v>
      </c>
      <c r="D809" s="71" t="s">
        <v>2953</v>
      </c>
      <c r="E809" s="71" t="s">
        <v>2954</v>
      </c>
      <c r="F809" s="72"/>
      <c r="G809" s="73"/>
      <c r="H809" s="75"/>
      <c r="I809" s="102">
        <v>46087</v>
      </c>
      <c r="J809" s="70">
        <v>3</v>
      </c>
      <c r="K809" s="106" t="s">
        <v>2955</v>
      </c>
      <c r="L809" s="104">
        <f t="shared" si="253"/>
        <v>46179</v>
      </c>
      <c r="M809" s="105">
        <f ca="1" t="shared" si="254"/>
        <v>-134</v>
      </c>
      <c r="N809" s="70"/>
      <c r="O809" s="70" t="s">
        <v>134</v>
      </c>
      <c r="P809" s="70" t="s">
        <v>38</v>
      </c>
      <c r="Q809" s="71" t="s">
        <v>2953</v>
      </c>
      <c r="R809" s="71" t="s">
        <v>2954</v>
      </c>
      <c r="S809" s="72"/>
      <c r="T809" s="73"/>
      <c r="U809" s="75"/>
      <c r="V809" s="102">
        <v>46207</v>
      </c>
      <c r="W809" s="70">
        <v>3</v>
      </c>
      <c r="X809" s="103" t="s">
        <v>2956</v>
      </c>
      <c r="Y809" s="104">
        <f t="shared" si="263"/>
        <v>46299</v>
      </c>
      <c r="Z809" s="105">
        <f ca="1" t="shared" si="264"/>
        <v>-14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>
        <f t="shared" si="265"/>
        <v>0</v>
      </c>
      <c r="AM809" s="105">
        <f ca="1" t="shared" si="266"/>
        <v>-46313</v>
      </c>
      <c r="AN809" s="115"/>
      <c r="AO809" s="115"/>
      <c r="AP809" s="115"/>
      <c r="AQ809" s="93"/>
      <c r="AR809" s="93"/>
      <c r="AS809" s="94"/>
      <c r="AT809" s="95"/>
      <c r="AU809" s="79"/>
      <c r="AV809" s="117"/>
      <c r="AW809" s="115"/>
      <c r="AX809" s="106"/>
      <c r="AY809" s="104"/>
      <c r="AZ809" s="105"/>
    </row>
    <row r="810" customHeight="1" spans="1:52">
      <c r="A810" s="70">
        <v>810</v>
      </c>
      <c r="B810" s="70" t="s">
        <v>134</v>
      </c>
      <c r="C810" s="70" t="s">
        <v>38</v>
      </c>
      <c r="D810" s="71" t="s">
        <v>2957</v>
      </c>
      <c r="E810" s="71" t="s">
        <v>28</v>
      </c>
      <c r="F810" s="72"/>
      <c r="G810" s="73"/>
      <c r="H810" s="75"/>
      <c r="I810" s="102">
        <v>46087</v>
      </c>
      <c r="J810" s="70">
        <v>3</v>
      </c>
      <c r="K810" s="106" t="s">
        <v>2958</v>
      </c>
      <c r="L810" s="104">
        <f t="shared" si="253"/>
        <v>46179</v>
      </c>
      <c r="M810" s="105">
        <f ca="1" t="shared" si="254"/>
        <v>-134</v>
      </c>
      <c r="N810" s="70"/>
      <c r="O810" s="70" t="s">
        <v>134</v>
      </c>
      <c r="P810" s="70" t="s">
        <v>38</v>
      </c>
      <c r="Q810" s="71" t="s">
        <v>2957</v>
      </c>
      <c r="R810" s="71" t="s">
        <v>28</v>
      </c>
      <c r="S810" s="72"/>
      <c r="T810" s="73"/>
      <c r="U810" s="75"/>
      <c r="V810" s="102">
        <v>46215</v>
      </c>
      <c r="W810" s="70">
        <v>3</v>
      </c>
      <c r="X810" s="103" t="s">
        <v>2959</v>
      </c>
      <c r="Y810" s="104">
        <f t="shared" si="263"/>
        <v>46307</v>
      </c>
      <c r="Z810" s="105">
        <f ca="1" t="shared" si="264"/>
        <v>-6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>
        <f t="shared" si="265"/>
        <v>0</v>
      </c>
      <c r="AM810" s="105">
        <f ca="1" t="shared" si="266"/>
        <v>-46313</v>
      </c>
      <c r="AN810" s="115"/>
      <c r="AO810" s="115"/>
      <c r="AP810" s="115"/>
      <c r="AQ810" s="93"/>
      <c r="AR810" s="93"/>
      <c r="AS810" s="94"/>
      <c r="AT810" s="95"/>
      <c r="AU810" s="79"/>
      <c r="AV810" s="117"/>
      <c r="AW810" s="115"/>
      <c r="AX810" s="106"/>
      <c r="AY810" s="104"/>
      <c r="AZ810" s="105"/>
    </row>
    <row r="811" customHeight="1" spans="1:52">
      <c r="A811" s="70">
        <v>811</v>
      </c>
      <c r="B811" s="70" t="s">
        <v>134</v>
      </c>
      <c r="C811" s="70" t="s">
        <v>13</v>
      </c>
      <c r="D811" s="71" t="s">
        <v>2960</v>
      </c>
      <c r="E811" s="71" t="s">
        <v>76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2961</v>
      </c>
      <c r="L811" s="104">
        <f t="shared" si="253"/>
        <v>46179</v>
      </c>
      <c r="M811" s="105">
        <f ca="1" t="shared" si="254"/>
        <v>-134</v>
      </c>
      <c r="N811" s="70"/>
      <c r="O811" s="70" t="s">
        <v>134</v>
      </c>
      <c r="P811" s="70" t="s">
        <v>13</v>
      </c>
      <c r="Q811" s="71" t="s">
        <v>2960</v>
      </c>
      <c r="R811" s="71" t="s">
        <v>76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2962</v>
      </c>
      <c r="Y811" s="104">
        <f t="shared" si="263"/>
        <v>46308</v>
      </c>
      <c r="Z811" s="105">
        <f ca="1" t="shared" si="264"/>
        <v>-5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>
        <f t="shared" si="265"/>
        <v>0</v>
      </c>
      <c r="AM811" s="105">
        <f ca="1" t="shared" si="266"/>
        <v>-46313</v>
      </c>
      <c r="AN811" s="115"/>
      <c r="AO811" s="115"/>
      <c r="AP811" s="115"/>
      <c r="AQ811" s="93"/>
      <c r="AR811" s="93"/>
      <c r="AS811" s="94"/>
      <c r="AT811" s="95"/>
      <c r="AU811" s="79"/>
      <c r="AV811" s="117"/>
      <c r="AW811" s="115"/>
      <c r="AX811" s="106"/>
      <c r="AY811" s="104"/>
      <c r="AZ811" s="105"/>
    </row>
    <row r="812" customHeight="1" spans="1:52">
      <c r="A812" s="70">
        <v>812</v>
      </c>
      <c r="B812" s="70" t="s">
        <v>134</v>
      </c>
      <c r="C812" s="70" t="s">
        <v>13</v>
      </c>
      <c r="D812" s="71" t="s">
        <v>2963</v>
      </c>
      <c r="E812" s="71" t="s">
        <v>820</v>
      </c>
      <c r="F812" s="72"/>
      <c r="G812" s="73"/>
      <c r="H812" s="75"/>
      <c r="I812" s="102">
        <v>46087</v>
      </c>
      <c r="J812" s="70">
        <v>3</v>
      </c>
      <c r="K812" s="106" t="s">
        <v>2964</v>
      </c>
      <c r="L812" s="104">
        <f t="shared" si="253"/>
        <v>46179</v>
      </c>
      <c r="M812" s="105">
        <f ca="1" t="shared" si="254"/>
        <v>-134</v>
      </c>
      <c r="N812" s="70"/>
      <c r="O812" s="70" t="s">
        <v>134</v>
      </c>
      <c r="P812" s="70" t="s">
        <v>13</v>
      </c>
      <c r="Q812" s="71" t="s">
        <v>2963</v>
      </c>
      <c r="R812" s="71" t="s">
        <v>820</v>
      </c>
      <c r="S812" s="72"/>
      <c r="T812" s="73"/>
      <c r="U812" s="75" t="s">
        <v>434</v>
      </c>
      <c r="V812" s="102">
        <v>46178</v>
      </c>
      <c r="W812" s="70">
        <v>3</v>
      </c>
      <c r="X812" s="103" t="s">
        <v>2965</v>
      </c>
      <c r="Y812" s="104">
        <f t="shared" si="263"/>
        <v>46270</v>
      </c>
      <c r="Z812" s="105">
        <f ca="1" t="shared" si="264"/>
        <v>-43</v>
      </c>
      <c r="AA812" s="70"/>
      <c r="AB812" s="70" t="s">
        <v>134</v>
      </c>
      <c r="AC812" s="70" t="s">
        <v>13</v>
      </c>
      <c r="AD812" s="71" t="s">
        <v>2963</v>
      </c>
      <c r="AE812" s="71" t="s">
        <v>820</v>
      </c>
      <c r="AF812" s="72"/>
      <c r="AG812" s="73"/>
      <c r="AH812" s="75" t="s">
        <v>434</v>
      </c>
      <c r="AI812" s="102">
        <v>46261</v>
      </c>
      <c r="AJ812" s="70">
        <v>3</v>
      </c>
      <c r="AK812" s="103" t="s">
        <v>2966</v>
      </c>
      <c r="AL812" s="104">
        <f t="shared" si="265"/>
        <v>46353</v>
      </c>
      <c r="AM812" s="105">
        <f ca="1" t="shared" si="266"/>
        <v>40</v>
      </c>
      <c r="AN812" s="115"/>
      <c r="AO812" s="115"/>
      <c r="AP812" s="115"/>
      <c r="AQ812" s="93"/>
      <c r="AR812" s="93"/>
      <c r="AS812" s="94"/>
      <c r="AT812" s="95"/>
      <c r="AU812" s="79"/>
      <c r="AV812" s="117"/>
      <c r="AW812" s="115"/>
      <c r="AX812" s="106"/>
      <c r="AY812" s="104"/>
      <c r="AZ812" s="105"/>
    </row>
    <row r="813" customHeight="1" spans="1:52">
      <c r="A813" s="70">
        <v>813</v>
      </c>
      <c r="B813" s="70" t="s">
        <v>134</v>
      </c>
      <c r="C813" s="70" t="s">
        <v>13</v>
      </c>
      <c r="D813" s="71" t="s">
        <v>2967</v>
      </c>
      <c r="E813" s="71" t="s">
        <v>989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2968</v>
      </c>
      <c r="L813" s="104">
        <f t="shared" si="253"/>
        <v>46179</v>
      </c>
      <c r="M813" s="105">
        <f ca="1" t="shared" si="254"/>
        <v>-134</v>
      </c>
      <c r="N813" s="70"/>
      <c r="O813" s="70" t="s">
        <v>134</v>
      </c>
      <c r="P813" s="70" t="s">
        <v>13</v>
      </c>
      <c r="Q813" s="71" t="s">
        <v>2967</v>
      </c>
      <c r="R813" s="71" t="s">
        <v>989</v>
      </c>
      <c r="S813" s="72"/>
      <c r="T813" s="73"/>
      <c r="U813" s="75" t="s">
        <v>434</v>
      </c>
      <c r="V813" s="102">
        <v>46205</v>
      </c>
      <c r="W813" s="70">
        <v>3</v>
      </c>
      <c r="X813" s="103" t="s">
        <v>2969</v>
      </c>
      <c r="Y813" s="104">
        <f t="shared" si="263"/>
        <v>46297</v>
      </c>
      <c r="Z813" s="105">
        <f ca="1" t="shared" si="264"/>
        <v>-16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>
        <f t="shared" si="265"/>
        <v>0</v>
      </c>
      <c r="AM813" s="105">
        <f ca="1" t="shared" si="266"/>
        <v>-46313</v>
      </c>
      <c r="AN813" s="115"/>
      <c r="AO813" s="115"/>
      <c r="AP813" s="115"/>
      <c r="AQ813" s="93"/>
      <c r="AR813" s="93"/>
      <c r="AS813" s="94"/>
      <c r="AT813" s="95"/>
      <c r="AU813" s="79"/>
      <c r="AV813" s="117"/>
      <c r="AW813" s="115"/>
      <c r="AX813" s="106"/>
      <c r="AY813" s="104"/>
      <c r="AZ813" s="105"/>
    </row>
    <row r="814" customHeight="1" spans="1:52">
      <c r="A814" s="70">
        <v>814</v>
      </c>
      <c r="B814" s="70" t="s">
        <v>134</v>
      </c>
      <c r="C814" s="70" t="s">
        <v>13</v>
      </c>
      <c r="D814" s="71" t="s">
        <v>2970</v>
      </c>
      <c r="E814" s="71" t="s">
        <v>34</v>
      </c>
      <c r="F814" s="72"/>
      <c r="G814" s="73"/>
      <c r="H814" s="75"/>
      <c r="I814" s="102">
        <v>46087</v>
      </c>
      <c r="J814" s="70">
        <v>3</v>
      </c>
      <c r="K814" s="106" t="s">
        <v>2971</v>
      </c>
      <c r="L814" s="104">
        <f t="shared" si="253"/>
        <v>46179</v>
      </c>
      <c r="M814" s="105">
        <f ca="1" t="shared" si="254"/>
        <v>-134</v>
      </c>
      <c r="N814" s="70"/>
      <c r="O814" s="70" t="s">
        <v>134</v>
      </c>
      <c r="P814" s="70" t="s">
        <v>13</v>
      </c>
      <c r="Q814" s="71" t="s">
        <v>2970</v>
      </c>
      <c r="R814" s="71" t="s">
        <v>34</v>
      </c>
      <c r="S814" s="72"/>
      <c r="T814" s="73"/>
      <c r="U814" s="75"/>
      <c r="V814" s="102">
        <v>46181</v>
      </c>
      <c r="W814" s="70">
        <v>3</v>
      </c>
      <c r="X814" s="103" t="s">
        <v>2972</v>
      </c>
      <c r="Y814" s="104">
        <f t="shared" si="263"/>
        <v>46273</v>
      </c>
      <c r="Z814" s="105">
        <f ca="1" t="shared" si="264"/>
        <v>-40</v>
      </c>
      <c r="AA814" s="70"/>
      <c r="AB814" s="70" t="s">
        <v>134</v>
      </c>
      <c r="AC814" s="70" t="s">
        <v>13</v>
      </c>
      <c r="AD814" s="71" t="s">
        <v>2970</v>
      </c>
      <c r="AE814" s="71" t="s">
        <v>34</v>
      </c>
      <c r="AF814" s="72"/>
      <c r="AG814" s="73"/>
      <c r="AH814" s="75"/>
      <c r="AI814" s="102">
        <v>46293</v>
      </c>
      <c r="AJ814" s="70">
        <v>3</v>
      </c>
      <c r="AK814" s="103" t="s">
        <v>2973</v>
      </c>
      <c r="AL814" s="104">
        <f t="shared" si="265"/>
        <v>46384</v>
      </c>
      <c r="AM814" s="105">
        <f ca="1" t="shared" si="266"/>
        <v>71</v>
      </c>
      <c r="AN814" s="115"/>
      <c r="AO814" s="115"/>
      <c r="AP814" s="115"/>
      <c r="AQ814" s="93"/>
      <c r="AR814" s="93"/>
      <c r="AS814" s="94"/>
      <c r="AT814" s="95"/>
      <c r="AU814" s="79"/>
      <c r="AV814" s="117"/>
      <c r="AW814" s="115"/>
      <c r="AX814" s="106"/>
      <c r="AY814" s="104"/>
      <c r="AZ814" s="105"/>
    </row>
    <row r="815" customHeight="1" spans="1:52">
      <c r="A815" s="70">
        <v>815</v>
      </c>
      <c r="B815" s="70" t="s">
        <v>782</v>
      </c>
      <c r="C815" s="70" t="s">
        <v>374</v>
      </c>
      <c r="D815" s="71" t="s">
        <v>2974</v>
      </c>
      <c r="E815" s="71" t="s">
        <v>2975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2976</v>
      </c>
      <c r="L815" s="104">
        <f t="shared" si="253"/>
        <v>46179</v>
      </c>
      <c r="M815" s="105">
        <f ca="1" t="shared" si="254"/>
        <v>-134</v>
      </c>
      <c r="N815" s="70"/>
      <c r="O815" s="70" t="s">
        <v>782</v>
      </c>
      <c r="P815" s="70" t="s">
        <v>374</v>
      </c>
      <c r="Q815" s="71" t="s">
        <v>2974</v>
      </c>
      <c r="R815" s="71" t="s">
        <v>2975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2977</v>
      </c>
      <c r="Y815" s="104">
        <f t="shared" si="263"/>
        <v>46335</v>
      </c>
      <c r="Z815" s="105">
        <f ca="1" t="shared" si="264"/>
        <v>22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>
        <f t="shared" si="265"/>
        <v>0</v>
      </c>
      <c r="AM815" s="105">
        <f ca="1" t="shared" si="266"/>
        <v>-46313</v>
      </c>
      <c r="AN815" s="115"/>
      <c r="AO815" s="115"/>
      <c r="AP815" s="115"/>
      <c r="AQ815" s="93"/>
      <c r="AR815" s="93"/>
      <c r="AS815" s="94"/>
      <c r="AT815" s="95"/>
      <c r="AU815" s="79"/>
      <c r="AV815" s="117"/>
      <c r="AW815" s="115"/>
      <c r="AX815" s="106"/>
      <c r="AY815" s="104"/>
      <c r="AZ815" s="105"/>
    </row>
    <row r="816" customHeight="1" spans="1:52">
      <c r="A816" s="70">
        <v>816</v>
      </c>
      <c r="B816" s="70" t="s">
        <v>1036</v>
      </c>
      <c r="C816" s="70" t="s">
        <v>374</v>
      </c>
      <c r="D816" s="71" t="s">
        <v>2978</v>
      </c>
      <c r="E816" s="71" t="s">
        <v>2979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2980</v>
      </c>
      <c r="L816" s="104">
        <f t="shared" si="253"/>
        <v>46179</v>
      </c>
      <c r="M816" s="105">
        <f ca="1" t="shared" si="254"/>
        <v>-134</v>
      </c>
      <c r="N816" s="70"/>
      <c r="O816" s="70" t="s">
        <v>1036</v>
      </c>
      <c r="P816" s="70" t="s">
        <v>374</v>
      </c>
      <c r="Q816" s="71" t="s">
        <v>2978</v>
      </c>
      <c r="R816" s="71" t="s">
        <v>2979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2981</v>
      </c>
      <c r="Y816" s="104">
        <f t="shared" si="263"/>
        <v>46264</v>
      </c>
      <c r="Z816" s="105">
        <f ca="1" t="shared" si="264"/>
        <v>-49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>
        <f t="shared" si="265"/>
        <v>0</v>
      </c>
      <c r="AM816" s="105">
        <f ca="1" t="shared" si="266"/>
        <v>-46313</v>
      </c>
      <c r="AN816" s="115"/>
      <c r="AO816" s="115"/>
      <c r="AP816" s="115"/>
      <c r="AQ816" s="93"/>
      <c r="AR816" s="93"/>
      <c r="AS816" s="94"/>
      <c r="AT816" s="95"/>
      <c r="AU816" s="79"/>
      <c r="AV816" s="117"/>
      <c r="AW816" s="115"/>
      <c r="AX816" s="106"/>
      <c r="AY816" s="104"/>
      <c r="AZ816" s="105"/>
    </row>
    <row r="817" customHeight="1" spans="1:52">
      <c r="A817" s="70">
        <v>817</v>
      </c>
      <c r="B817" s="70" t="s">
        <v>373</v>
      </c>
      <c r="C817" s="70" t="s">
        <v>374</v>
      </c>
      <c r="D817" s="71" t="s">
        <v>2982</v>
      </c>
      <c r="E817" s="71" t="s">
        <v>376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2983</v>
      </c>
      <c r="L817" s="104">
        <f t="shared" si="253"/>
        <v>46179</v>
      </c>
      <c r="M817" s="105">
        <f ca="1" t="shared" si="254"/>
        <v>-134</v>
      </c>
      <c r="N817" s="70"/>
      <c r="O817" s="70" t="s">
        <v>373</v>
      </c>
      <c r="P817" s="70" t="s">
        <v>374</v>
      </c>
      <c r="Q817" s="71" t="s">
        <v>2982</v>
      </c>
      <c r="R817" s="71" t="s">
        <v>376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2984</v>
      </c>
      <c r="Y817" s="104">
        <f t="shared" si="263"/>
        <v>46338</v>
      </c>
      <c r="Z817" s="105">
        <f ca="1" t="shared" si="264"/>
        <v>25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>
        <f t="shared" si="265"/>
        <v>0</v>
      </c>
      <c r="AM817" s="105">
        <f ca="1" t="shared" si="266"/>
        <v>-46313</v>
      </c>
      <c r="AN817" s="115"/>
      <c r="AO817" s="115"/>
      <c r="AP817" s="115"/>
      <c r="AQ817" s="93"/>
      <c r="AR817" s="93"/>
      <c r="AS817" s="94"/>
      <c r="AT817" s="95"/>
      <c r="AU817" s="79"/>
      <c r="AV817" s="117"/>
      <c r="AW817" s="115"/>
      <c r="AX817" s="106"/>
      <c r="AY817" s="104"/>
      <c r="AZ817" s="105"/>
    </row>
    <row r="818" customHeight="1" spans="1:52">
      <c r="A818" s="70">
        <v>818</v>
      </c>
      <c r="B818" s="70" t="s">
        <v>373</v>
      </c>
      <c r="C818" s="70" t="s">
        <v>374</v>
      </c>
      <c r="D818" s="71" t="s">
        <v>2985</v>
      </c>
      <c r="E818" s="71" t="s">
        <v>2986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2987</v>
      </c>
      <c r="L818" s="104">
        <f t="shared" si="253"/>
        <v>46179</v>
      </c>
      <c r="M818" s="105">
        <f ca="1" t="shared" si="254"/>
        <v>-134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263"/>
        <v>0</v>
      </c>
      <c r="Z818" s="105">
        <f ca="1" t="shared" si="264"/>
        <v>-46313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>
        <f t="shared" si="265"/>
        <v>0</v>
      </c>
      <c r="AM818" s="105">
        <f ca="1" t="shared" si="266"/>
        <v>-46313</v>
      </c>
      <c r="AN818" s="115"/>
      <c r="AO818" s="115"/>
      <c r="AP818" s="115"/>
      <c r="AQ818" s="93"/>
      <c r="AR818" s="93"/>
      <c r="AS818" s="94"/>
      <c r="AT818" s="95"/>
      <c r="AU818" s="79"/>
      <c r="AV818" s="117"/>
      <c r="AW818" s="115"/>
      <c r="AX818" s="106"/>
      <c r="AY818" s="104"/>
      <c r="AZ818" s="105"/>
    </row>
    <row r="819" customHeight="1" spans="1:52">
      <c r="A819" s="70">
        <v>819</v>
      </c>
      <c r="B819" s="70" t="s">
        <v>134</v>
      </c>
      <c r="C819" s="70" t="s">
        <v>13</v>
      </c>
      <c r="D819" s="71" t="s">
        <v>2988</v>
      </c>
      <c r="E819" s="71" t="s">
        <v>2989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2990</v>
      </c>
      <c r="L819" s="104">
        <f t="shared" si="253"/>
        <v>46180</v>
      </c>
      <c r="M819" s="105">
        <f ca="1" t="shared" si="254"/>
        <v>-133</v>
      </c>
      <c r="N819" s="70"/>
      <c r="O819" s="70" t="s">
        <v>134</v>
      </c>
      <c r="P819" s="70" t="s">
        <v>13</v>
      </c>
      <c r="Q819" s="71" t="s">
        <v>2988</v>
      </c>
      <c r="R819" s="71" t="s">
        <v>2989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2991</v>
      </c>
      <c r="Y819" s="104">
        <f t="shared" si="263"/>
        <v>46311</v>
      </c>
      <c r="Z819" s="105">
        <f ca="1" t="shared" si="264"/>
        <v>-2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>
        <f t="shared" si="265"/>
        <v>0</v>
      </c>
      <c r="AM819" s="105">
        <f ca="1" t="shared" si="266"/>
        <v>-46313</v>
      </c>
      <c r="AN819" s="115"/>
      <c r="AO819" s="115"/>
      <c r="AP819" s="115"/>
      <c r="AQ819" s="93"/>
      <c r="AR819" s="93"/>
      <c r="AS819" s="94"/>
      <c r="AT819" s="95"/>
      <c r="AU819" s="79"/>
      <c r="AV819" s="117"/>
      <c r="AW819" s="115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38</v>
      </c>
      <c r="D820" s="71" t="s">
        <v>2992</v>
      </c>
      <c r="E820" s="71" t="s">
        <v>28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2993</v>
      </c>
      <c r="L820" s="104">
        <f t="shared" si="253"/>
        <v>46180</v>
      </c>
      <c r="M820" s="105">
        <f ca="1" t="shared" si="254"/>
        <v>-133</v>
      </c>
      <c r="N820" s="70"/>
      <c r="O820" s="70" t="s">
        <v>12</v>
      </c>
      <c r="P820" s="70" t="s">
        <v>38</v>
      </c>
      <c r="Q820" s="71" t="s">
        <v>2992</v>
      </c>
      <c r="R820" s="71" t="s">
        <v>28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2994</v>
      </c>
      <c r="Y820" s="104">
        <f t="shared" si="263"/>
        <v>46316</v>
      </c>
      <c r="Z820" s="105">
        <f ca="1" t="shared" si="264"/>
        <v>3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>
        <f t="shared" si="265"/>
        <v>0</v>
      </c>
      <c r="AM820" s="105">
        <f ca="1" t="shared" si="266"/>
        <v>-46313</v>
      </c>
      <c r="AN820" s="115"/>
      <c r="AO820" s="115"/>
      <c r="AP820" s="115"/>
      <c r="AQ820" s="93"/>
      <c r="AR820" s="93"/>
      <c r="AS820" s="94"/>
      <c r="AT820" s="95"/>
      <c r="AU820" s="79"/>
      <c r="AV820" s="117"/>
      <c r="AW820" s="115"/>
      <c r="AX820" s="106"/>
      <c r="AY820" s="104"/>
      <c r="AZ820" s="105"/>
    </row>
    <row r="821" customHeight="1" spans="1:52">
      <c r="A821" s="70">
        <v>821</v>
      </c>
      <c r="B821" s="70" t="s">
        <v>721</v>
      </c>
      <c r="C821" s="70" t="s">
        <v>13</v>
      </c>
      <c r="D821" s="71" t="s">
        <v>2995</v>
      </c>
      <c r="E821" s="71" t="s">
        <v>34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2996</v>
      </c>
      <c r="L821" s="104">
        <f t="shared" si="253"/>
        <v>46180</v>
      </c>
      <c r="M821" s="105">
        <f ca="1" t="shared" si="254"/>
        <v>-133</v>
      </c>
      <c r="N821" s="70"/>
      <c r="O821" s="70" t="s">
        <v>721</v>
      </c>
      <c r="P821" s="70" t="s">
        <v>13</v>
      </c>
      <c r="Q821" s="71" t="s">
        <v>2995</v>
      </c>
      <c r="R821" s="71" t="s">
        <v>34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2997</v>
      </c>
      <c r="Y821" s="104">
        <f t="shared" si="263"/>
        <v>46270</v>
      </c>
      <c r="Z821" s="105">
        <f ca="1" t="shared" si="264"/>
        <v>-43</v>
      </c>
      <c r="AA821" s="70"/>
      <c r="AB821" s="70" t="s">
        <v>721</v>
      </c>
      <c r="AC821" s="70" t="s">
        <v>13</v>
      </c>
      <c r="AD821" s="71" t="s">
        <v>2995</v>
      </c>
      <c r="AE821" s="71" t="s">
        <v>34</v>
      </c>
      <c r="AF821" s="72"/>
      <c r="AG821" s="73"/>
      <c r="AH821" s="79" t="s">
        <v>16</v>
      </c>
      <c r="AI821" s="102">
        <v>46271</v>
      </c>
      <c r="AJ821" s="70">
        <v>3</v>
      </c>
      <c r="AK821" s="103" t="s">
        <v>2998</v>
      </c>
      <c r="AL821" s="104">
        <f t="shared" si="265"/>
        <v>46362</v>
      </c>
      <c r="AM821" s="105">
        <f ca="1" t="shared" si="266"/>
        <v>49</v>
      </c>
      <c r="AN821" s="115"/>
      <c r="AO821" s="115"/>
      <c r="AP821" s="115"/>
      <c r="AQ821" s="93"/>
      <c r="AR821" s="93"/>
      <c r="AS821" s="94"/>
      <c r="AT821" s="95"/>
      <c r="AU821" s="79"/>
      <c r="AV821" s="117"/>
      <c r="AW821" s="115"/>
      <c r="AX821" s="106"/>
      <c r="AY821" s="104"/>
      <c r="AZ821" s="105"/>
    </row>
    <row r="822" customHeight="1" spans="1:52">
      <c r="A822" s="70">
        <v>822</v>
      </c>
      <c r="B822" s="70" t="s">
        <v>731</v>
      </c>
      <c r="C822" s="70" t="s">
        <v>13</v>
      </c>
      <c r="D822" s="71" t="s">
        <v>2999</v>
      </c>
      <c r="E822" s="71" t="s">
        <v>28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3000</v>
      </c>
      <c r="L822" s="104">
        <f t="shared" si="253"/>
        <v>46180</v>
      </c>
      <c r="M822" s="105">
        <f ca="1" t="shared" si="254"/>
        <v>-133</v>
      </c>
      <c r="N822" s="70"/>
      <c r="O822" s="70" t="s">
        <v>731</v>
      </c>
      <c r="P822" s="70" t="s">
        <v>13</v>
      </c>
      <c r="Q822" s="71" t="s">
        <v>2999</v>
      </c>
      <c r="R822" s="71" t="s">
        <v>28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3001</v>
      </c>
      <c r="Y822" s="104">
        <f t="shared" si="263"/>
        <v>46264</v>
      </c>
      <c r="Z822" s="105">
        <f ca="1" t="shared" si="264"/>
        <v>-49</v>
      </c>
      <c r="AA822" s="70"/>
      <c r="AB822" s="70" t="s">
        <v>731</v>
      </c>
      <c r="AC822" s="70" t="s">
        <v>13</v>
      </c>
      <c r="AD822" s="71" t="s">
        <v>2999</v>
      </c>
      <c r="AE822" s="71" t="s">
        <v>28</v>
      </c>
      <c r="AF822" s="72"/>
      <c r="AG822" s="73"/>
      <c r="AH822" s="79" t="s">
        <v>16</v>
      </c>
      <c r="AI822" s="102">
        <v>46254</v>
      </c>
      <c r="AJ822" s="70">
        <v>3</v>
      </c>
      <c r="AK822" s="103" t="s">
        <v>3002</v>
      </c>
      <c r="AL822" s="104">
        <f t="shared" si="265"/>
        <v>46346</v>
      </c>
      <c r="AM822" s="105">
        <f ca="1" t="shared" si="266"/>
        <v>33</v>
      </c>
      <c r="AN822" s="115"/>
      <c r="AO822" s="115"/>
      <c r="AP822" s="115"/>
      <c r="AQ822" s="93"/>
      <c r="AR822" s="93"/>
      <c r="AS822" s="94"/>
      <c r="AT822" s="95"/>
      <c r="AU822" s="79"/>
      <c r="AV822" s="117"/>
      <c r="AW822" s="115"/>
      <c r="AX822" s="106"/>
      <c r="AY822" s="104"/>
      <c r="AZ822" s="105"/>
    </row>
    <row r="823" customHeight="1" spans="1:52">
      <c r="A823" s="70">
        <v>823</v>
      </c>
      <c r="B823" s="70" t="s">
        <v>270</v>
      </c>
      <c r="C823" s="70" t="s">
        <v>264</v>
      </c>
      <c r="D823" s="71" t="s">
        <v>276</v>
      </c>
      <c r="E823" s="71" t="s">
        <v>277</v>
      </c>
      <c r="F823" s="72"/>
      <c r="G823" s="73"/>
      <c r="H823" s="75"/>
      <c r="I823" s="102">
        <v>46088</v>
      </c>
      <c r="J823" s="70" t="s">
        <v>767</v>
      </c>
      <c r="K823" s="106"/>
      <c r="L823" s="104" t="e">
        <f t="shared" si="253"/>
        <v>#VALUE!</v>
      </c>
      <c r="M823" s="105" t="e">
        <f ca="1" t="shared" si="254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263"/>
        <v>0</v>
      </c>
      <c r="Z823" s="105">
        <f ca="1" t="shared" si="264"/>
        <v>-46313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>
        <f t="shared" si="265"/>
        <v>0</v>
      </c>
      <c r="AM823" s="105">
        <f ca="1" t="shared" si="266"/>
        <v>-46313</v>
      </c>
      <c r="AN823" s="115"/>
      <c r="AO823" s="115"/>
      <c r="AP823" s="115"/>
      <c r="AQ823" s="93"/>
      <c r="AR823" s="93"/>
      <c r="AS823" s="94"/>
      <c r="AT823" s="95"/>
      <c r="AU823" s="79"/>
      <c r="AV823" s="117"/>
      <c r="AW823" s="115"/>
      <c r="AX823" s="106"/>
      <c r="AY823" s="104"/>
      <c r="AZ823" s="105"/>
    </row>
    <row r="824" customHeight="1" spans="1:52">
      <c r="A824" s="70">
        <v>824</v>
      </c>
      <c r="B824" s="70" t="s">
        <v>270</v>
      </c>
      <c r="C824" s="70" t="s">
        <v>264</v>
      </c>
      <c r="D824" s="71" t="s">
        <v>1580</v>
      </c>
      <c r="E824" s="71" t="s">
        <v>3003</v>
      </c>
      <c r="F824" s="72"/>
      <c r="G824" s="73"/>
      <c r="H824" s="75"/>
      <c r="I824" s="102">
        <v>46088</v>
      </c>
      <c r="J824" s="70" t="s">
        <v>767</v>
      </c>
      <c r="K824" s="106"/>
      <c r="L824" s="104" t="e">
        <f t="shared" si="253"/>
        <v>#VALUE!</v>
      </c>
      <c r="M824" s="105" t="e">
        <f ca="1" t="shared" si="254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263"/>
        <v>0</v>
      </c>
      <c r="Z824" s="105">
        <f ca="1" t="shared" si="264"/>
        <v>-46313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>
        <f t="shared" si="265"/>
        <v>0</v>
      </c>
      <c r="AM824" s="105">
        <f ca="1" t="shared" si="266"/>
        <v>-46313</v>
      </c>
      <c r="AN824" s="115"/>
      <c r="AO824" s="115"/>
      <c r="AP824" s="115"/>
      <c r="AQ824" s="93"/>
      <c r="AR824" s="93"/>
      <c r="AS824" s="94"/>
      <c r="AT824" s="95"/>
      <c r="AU824" s="79"/>
      <c r="AV824" s="117"/>
      <c r="AW824" s="115"/>
      <c r="AX824" s="106"/>
      <c r="AY824" s="104"/>
      <c r="AZ824" s="105"/>
    </row>
    <row r="825" customHeight="1" spans="1:52">
      <c r="A825" s="70">
        <v>825</v>
      </c>
      <c r="B825" s="70" t="s">
        <v>757</v>
      </c>
      <c r="C825" s="70" t="s">
        <v>264</v>
      </c>
      <c r="D825" s="71" t="s">
        <v>758</v>
      </c>
      <c r="E825" s="71" t="s">
        <v>2941</v>
      </c>
      <c r="F825" s="72"/>
      <c r="G825" s="73"/>
      <c r="H825" s="75"/>
      <c r="I825" s="102">
        <v>46088</v>
      </c>
      <c r="J825" s="70" t="s">
        <v>767</v>
      </c>
      <c r="K825" s="106"/>
      <c r="L825" s="104" t="e">
        <f t="shared" si="253"/>
        <v>#VALUE!</v>
      </c>
      <c r="M825" s="105" t="e">
        <f ca="1" t="shared" si="254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267">EDATE(V825,W825)</f>
        <v>0</v>
      </c>
      <c r="Z825" s="105">
        <f ca="1" t="shared" ref="Z824:Z841" si="268">Y825-TODAY()</f>
        <v>-46313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>
        <f t="shared" si="265"/>
        <v>0</v>
      </c>
      <c r="AM825" s="105">
        <f ca="1" t="shared" si="266"/>
        <v>-46313</v>
      </c>
      <c r="AN825" s="115"/>
      <c r="AO825" s="115"/>
      <c r="AP825" s="115"/>
      <c r="AQ825" s="93"/>
      <c r="AR825" s="93"/>
      <c r="AS825" s="94"/>
      <c r="AT825" s="95"/>
      <c r="AU825" s="79"/>
      <c r="AV825" s="117"/>
      <c r="AW825" s="115"/>
      <c r="AX825" s="106"/>
      <c r="AY825" s="104"/>
      <c r="AZ825" s="105"/>
    </row>
    <row r="826" customHeight="1" spans="1:52">
      <c r="A826" s="70">
        <v>826</v>
      </c>
      <c r="B826" s="70" t="s">
        <v>757</v>
      </c>
      <c r="C826" s="70" t="s">
        <v>264</v>
      </c>
      <c r="D826" s="71" t="s">
        <v>758</v>
      </c>
      <c r="E826" s="71" t="s">
        <v>2941</v>
      </c>
      <c r="F826" s="72"/>
      <c r="G826" s="73"/>
      <c r="H826" s="75"/>
      <c r="I826" s="102">
        <v>46088</v>
      </c>
      <c r="J826" s="70" t="s">
        <v>767</v>
      </c>
      <c r="K826" s="106"/>
      <c r="L826" s="104" t="e">
        <f t="shared" si="253"/>
        <v>#VALUE!</v>
      </c>
      <c r="M826" s="105" t="e">
        <f ca="1" t="shared" si="254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267"/>
        <v>0</v>
      </c>
      <c r="Z826" s="105">
        <f ca="1" t="shared" si="268"/>
        <v>-46313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>
        <f t="shared" si="265"/>
        <v>0</v>
      </c>
      <c r="AM826" s="105">
        <f ca="1" t="shared" si="266"/>
        <v>-46313</v>
      </c>
      <c r="AN826" s="115"/>
      <c r="AO826" s="115"/>
      <c r="AP826" s="115"/>
      <c r="AQ826" s="93"/>
      <c r="AR826" s="93"/>
      <c r="AS826" s="94"/>
      <c r="AT826" s="95"/>
      <c r="AU826" s="79"/>
      <c r="AV826" s="117"/>
      <c r="AW826" s="115"/>
      <c r="AX826" s="106"/>
      <c r="AY826" s="104"/>
      <c r="AZ826" s="105"/>
    </row>
    <row r="827" customHeight="1" spans="1:52">
      <c r="A827" s="70">
        <v>827</v>
      </c>
      <c r="B827" s="70" t="s">
        <v>535</v>
      </c>
      <c r="C827" s="70" t="s">
        <v>374</v>
      </c>
      <c r="D827" s="71" t="s">
        <v>2756</v>
      </c>
      <c r="E827" s="71" t="s">
        <v>3004</v>
      </c>
      <c r="F827" s="72"/>
      <c r="G827" s="73"/>
      <c r="H827" s="75"/>
      <c r="I827" s="102">
        <v>46088</v>
      </c>
      <c r="J827" s="70" t="s">
        <v>434</v>
      </c>
      <c r="K827" s="106" t="s">
        <v>3005</v>
      </c>
      <c r="L827" s="104" t="e">
        <f t="shared" si="253"/>
        <v>#VALUE!</v>
      </c>
      <c r="M827" s="105" t="e">
        <f ca="1" t="shared" si="254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267"/>
        <v>0</v>
      </c>
      <c r="Z827" s="105">
        <f ca="1" t="shared" si="268"/>
        <v>-46313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>
        <f t="shared" si="265"/>
        <v>0</v>
      </c>
      <c r="AM827" s="105">
        <f ca="1" t="shared" si="266"/>
        <v>-46313</v>
      </c>
      <c r="AN827" s="115"/>
      <c r="AO827" s="115"/>
      <c r="AP827" s="115"/>
      <c r="AQ827" s="93"/>
      <c r="AR827" s="93"/>
      <c r="AS827" s="94"/>
      <c r="AT827" s="95"/>
      <c r="AU827" s="79"/>
      <c r="AV827" s="117"/>
      <c r="AW827" s="115"/>
      <c r="AX827" s="106"/>
      <c r="AY827" s="104"/>
      <c r="AZ827" s="105"/>
    </row>
    <row r="828" customHeight="1" spans="1:52">
      <c r="A828" s="70">
        <v>828</v>
      </c>
      <c r="B828" s="70" t="s">
        <v>134</v>
      </c>
      <c r="C828" s="70" t="s">
        <v>13</v>
      </c>
      <c r="D828" s="71" t="s">
        <v>3006</v>
      </c>
      <c r="E828" s="71" t="s">
        <v>604</v>
      </c>
      <c r="F828" s="72"/>
      <c r="G828" s="73"/>
      <c r="H828" s="75"/>
      <c r="I828" s="102">
        <v>46088</v>
      </c>
      <c r="J828" s="70">
        <v>3</v>
      </c>
      <c r="K828" s="106" t="s">
        <v>3007</v>
      </c>
      <c r="L828" s="104">
        <f t="shared" si="253"/>
        <v>46180</v>
      </c>
      <c r="M828" s="105">
        <f ca="1" t="shared" si="254"/>
        <v>-133</v>
      </c>
      <c r="N828" s="70"/>
      <c r="O828" s="70" t="s">
        <v>134</v>
      </c>
      <c r="P828" s="70" t="s">
        <v>13</v>
      </c>
      <c r="Q828" s="71" t="s">
        <v>3006</v>
      </c>
      <c r="R828" s="71" t="s">
        <v>604</v>
      </c>
      <c r="S828" s="72"/>
      <c r="T828" s="73"/>
      <c r="U828" s="75"/>
      <c r="V828" s="102">
        <v>46208</v>
      </c>
      <c r="W828" s="70">
        <v>3</v>
      </c>
      <c r="X828" s="103" t="s">
        <v>3008</v>
      </c>
      <c r="Y828" s="104">
        <f t="shared" si="267"/>
        <v>46300</v>
      </c>
      <c r="Z828" s="105">
        <f ca="1" t="shared" si="268"/>
        <v>-13</v>
      </c>
      <c r="AA828" s="70"/>
      <c r="AB828" s="70" t="s">
        <v>134</v>
      </c>
      <c r="AC828" s="70" t="s">
        <v>13</v>
      </c>
      <c r="AD828" s="71" t="s">
        <v>3006</v>
      </c>
      <c r="AE828" s="71" t="s">
        <v>604</v>
      </c>
      <c r="AF828" s="72"/>
      <c r="AG828" s="73"/>
      <c r="AH828" s="75"/>
      <c r="AI828" s="102">
        <v>46302</v>
      </c>
      <c r="AJ828" s="70">
        <v>3</v>
      </c>
      <c r="AK828" s="103" t="s">
        <v>3009</v>
      </c>
      <c r="AL828" s="104">
        <f t="shared" si="265"/>
        <v>46394</v>
      </c>
      <c r="AM828" s="105">
        <f ca="1" t="shared" si="266"/>
        <v>81</v>
      </c>
      <c r="AN828" s="115"/>
      <c r="AO828" s="115"/>
      <c r="AP828" s="115"/>
      <c r="AQ828" s="93"/>
      <c r="AR828" s="93"/>
      <c r="AS828" s="94"/>
      <c r="AT828" s="95"/>
      <c r="AU828" s="79"/>
      <c r="AV828" s="117"/>
      <c r="AW828" s="115"/>
      <c r="AX828" s="106"/>
      <c r="AY828" s="104"/>
      <c r="AZ828" s="105"/>
    </row>
    <row r="829" customHeight="1" spans="1:52">
      <c r="A829" s="70">
        <v>829</v>
      </c>
      <c r="B829" s="70" t="s">
        <v>1205</v>
      </c>
      <c r="C829" s="70" t="s">
        <v>38</v>
      </c>
      <c r="D829" s="71" t="s">
        <v>3010</v>
      </c>
      <c r="E829" s="71" t="s">
        <v>189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3011</v>
      </c>
      <c r="L829" s="104">
        <f t="shared" si="253"/>
        <v>46181</v>
      </c>
      <c r="M829" s="105">
        <f ca="1" t="shared" si="254"/>
        <v>-132</v>
      </c>
      <c r="N829" s="70"/>
      <c r="O829" s="70" t="s">
        <v>1205</v>
      </c>
      <c r="P829" s="70" t="s">
        <v>38</v>
      </c>
      <c r="Q829" s="71" t="s">
        <v>3010</v>
      </c>
      <c r="R829" s="71" t="s">
        <v>189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3012</v>
      </c>
      <c r="Y829" s="104">
        <f t="shared" si="267"/>
        <v>46338</v>
      </c>
      <c r="Z829" s="105">
        <f ca="1" t="shared" si="268"/>
        <v>25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>
        <f t="shared" si="265"/>
        <v>0</v>
      </c>
      <c r="AM829" s="105">
        <f ca="1" t="shared" si="266"/>
        <v>-46313</v>
      </c>
      <c r="AN829" s="115"/>
      <c r="AO829" s="115"/>
      <c r="AP829" s="115"/>
      <c r="AQ829" s="93"/>
      <c r="AR829" s="93"/>
      <c r="AS829" s="94"/>
      <c r="AT829" s="95"/>
      <c r="AU829" s="79"/>
      <c r="AV829" s="117"/>
      <c r="AW829" s="115"/>
      <c r="AX829" s="106"/>
      <c r="AY829" s="104"/>
      <c r="AZ829" s="105"/>
    </row>
    <row r="830" customHeight="1" spans="1:52">
      <c r="A830" s="70">
        <v>830</v>
      </c>
      <c r="B830" s="70" t="s">
        <v>1205</v>
      </c>
      <c r="C830" s="70" t="s">
        <v>13</v>
      </c>
      <c r="D830" s="71" t="s">
        <v>3013</v>
      </c>
      <c r="E830" s="71" t="s">
        <v>76</v>
      </c>
      <c r="F830" s="72"/>
      <c r="G830" s="73"/>
      <c r="H830" s="75"/>
      <c r="I830" s="102">
        <v>46089</v>
      </c>
      <c r="J830" s="70">
        <v>3</v>
      </c>
      <c r="K830" s="106" t="s">
        <v>3014</v>
      </c>
      <c r="L830" s="104">
        <f t="shared" si="253"/>
        <v>46181</v>
      </c>
      <c r="M830" s="105">
        <f ca="1" t="shared" si="254"/>
        <v>-132</v>
      </c>
      <c r="N830" s="70"/>
      <c r="O830" s="70" t="s">
        <v>1205</v>
      </c>
      <c r="P830" s="70" t="s">
        <v>13</v>
      </c>
      <c r="Q830" s="71" t="s">
        <v>3013</v>
      </c>
      <c r="R830" s="71" t="s">
        <v>76</v>
      </c>
      <c r="S830" s="72"/>
      <c r="T830" s="73"/>
      <c r="U830" s="75"/>
      <c r="V830" s="102">
        <v>46245</v>
      </c>
      <c r="W830" s="70">
        <v>3</v>
      </c>
      <c r="X830" s="103" t="s">
        <v>3015</v>
      </c>
      <c r="Y830" s="104">
        <f t="shared" si="267"/>
        <v>46337</v>
      </c>
      <c r="Z830" s="105">
        <f ca="1" t="shared" si="268"/>
        <v>24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>
        <f t="shared" si="265"/>
        <v>0</v>
      </c>
      <c r="AM830" s="105">
        <f ca="1" t="shared" si="266"/>
        <v>-46313</v>
      </c>
      <c r="AN830" s="115"/>
      <c r="AO830" s="115"/>
      <c r="AP830" s="115"/>
      <c r="AQ830" s="93"/>
      <c r="AR830" s="93"/>
      <c r="AS830" s="94"/>
      <c r="AT830" s="95"/>
      <c r="AU830" s="79"/>
      <c r="AV830" s="117"/>
      <c r="AW830" s="115"/>
      <c r="AX830" s="106"/>
      <c r="AY830" s="104"/>
      <c r="AZ830" s="105"/>
    </row>
    <row r="831" customHeight="1" spans="1:52">
      <c r="A831" s="70">
        <v>831</v>
      </c>
      <c r="B831" s="70" t="s">
        <v>143</v>
      </c>
      <c r="C831" s="70" t="s">
        <v>38</v>
      </c>
      <c r="D831" s="71" t="s">
        <v>3016</v>
      </c>
      <c r="E831" s="71" t="s">
        <v>189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3017</v>
      </c>
      <c r="L831" s="104">
        <f t="shared" si="253"/>
        <v>46181</v>
      </c>
      <c r="M831" s="105">
        <f ca="1" t="shared" si="254"/>
        <v>-132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267"/>
        <v>0</v>
      </c>
      <c r="Z831" s="105">
        <f ca="1" t="shared" si="268"/>
        <v>-46313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5"/>
      <c r="AO831" s="115"/>
      <c r="AP831" s="115"/>
      <c r="AQ831" s="93"/>
      <c r="AR831" s="93"/>
      <c r="AS831" s="94"/>
      <c r="AT831" s="95"/>
      <c r="AU831" s="79"/>
      <c r="AV831" s="117"/>
      <c r="AW831" s="115"/>
      <c r="AX831" s="106"/>
      <c r="AY831" s="104"/>
      <c r="AZ831" s="105"/>
    </row>
    <row r="832" customHeight="1" spans="1:52">
      <c r="A832" s="70">
        <v>832</v>
      </c>
      <c r="B832" s="70" t="s">
        <v>281</v>
      </c>
      <c r="C832" s="70" t="s">
        <v>264</v>
      </c>
      <c r="D832" s="71" t="s">
        <v>3018</v>
      </c>
      <c r="E832" s="71" t="s">
        <v>277</v>
      </c>
      <c r="F832" s="72"/>
      <c r="G832" s="73"/>
      <c r="H832" s="75"/>
      <c r="I832" s="102">
        <v>46089</v>
      </c>
      <c r="J832" s="70">
        <v>3</v>
      </c>
      <c r="K832" s="106" t="s">
        <v>3019</v>
      </c>
      <c r="L832" s="104">
        <f t="shared" si="253"/>
        <v>46181</v>
      </c>
      <c r="M832" s="105">
        <f ca="1" t="shared" si="254"/>
        <v>-132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267"/>
        <v>0</v>
      </c>
      <c r="Z832" s="105">
        <f ca="1" t="shared" si="268"/>
        <v>-46313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5"/>
      <c r="AO832" s="115"/>
      <c r="AP832" s="115"/>
      <c r="AQ832" s="93"/>
      <c r="AR832" s="93"/>
      <c r="AS832" s="94"/>
      <c r="AT832" s="95"/>
      <c r="AU832" s="79"/>
      <c r="AV832" s="117"/>
      <c r="AW832" s="115"/>
      <c r="AX832" s="106"/>
      <c r="AY832" s="104"/>
      <c r="AZ832" s="105"/>
    </row>
    <row r="833" customHeight="1" spans="1:52">
      <c r="A833" s="70">
        <v>833</v>
      </c>
      <c r="B833" s="70" t="s">
        <v>281</v>
      </c>
      <c r="C833" s="70" t="s">
        <v>264</v>
      </c>
      <c r="D833" s="71" t="s">
        <v>2618</v>
      </c>
      <c r="E833" s="71" t="s">
        <v>364</v>
      </c>
      <c r="F833" s="72"/>
      <c r="G833" s="73"/>
      <c r="H833" s="75"/>
      <c r="I833" s="102">
        <v>46089</v>
      </c>
      <c r="J833" s="70" t="s">
        <v>767</v>
      </c>
      <c r="K833" s="106"/>
      <c r="L833" s="104" t="e">
        <f t="shared" ref="L833:L896" si="269">EDATE(I833,J833)</f>
        <v>#VALUE!</v>
      </c>
      <c r="M833" s="105" t="e">
        <f ca="1" t="shared" ref="M833:M896" si="270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267"/>
        <v>0</v>
      </c>
      <c r="Z833" s="105">
        <f ca="1" t="shared" si="268"/>
        <v>-46313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>
        <f t="shared" ref="AL833:AL856" si="271">EDATE(AI833,AJ833)</f>
        <v>0</v>
      </c>
      <c r="AM833" s="105">
        <f ca="1" t="shared" ref="AM833:AM856" si="272">AL833-TODAY()</f>
        <v>-46313</v>
      </c>
      <c r="AN833" s="115"/>
      <c r="AO833" s="115"/>
      <c r="AP833" s="115"/>
      <c r="AQ833" s="93"/>
      <c r="AR833" s="93"/>
      <c r="AS833" s="94"/>
      <c r="AT833" s="95"/>
      <c r="AU833" s="79"/>
      <c r="AV833" s="117"/>
      <c r="AW833" s="115"/>
      <c r="AX833" s="106"/>
      <c r="AY833" s="104"/>
      <c r="AZ833" s="105"/>
    </row>
    <row r="834" customHeight="1" spans="1:52">
      <c r="A834" s="70">
        <v>834</v>
      </c>
      <c r="B834" s="70" t="s">
        <v>295</v>
      </c>
      <c r="C834" s="70" t="s">
        <v>264</v>
      </c>
      <c r="D834" s="71" t="s">
        <v>3020</v>
      </c>
      <c r="E834" s="71" t="s">
        <v>3021</v>
      </c>
      <c r="F834" s="72"/>
      <c r="G834" s="73"/>
      <c r="H834" s="75"/>
      <c r="I834" s="102">
        <v>46089</v>
      </c>
      <c r="J834" s="70">
        <v>3</v>
      </c>
      <c r="K834" s="106" t="s">
        <v>3022</v>
      </c>
      <c r="L834" s="104">
        <f t="shared" si="269"/>
        <v>46181</v>
      </c>
      <c r="M834" s="105">
        <f ca="1" t="shared" si="270"/>
        <v>-132</v>
      </c>
      <c r="N834" s="70"/>
      <c r="O834" s="70" t="s">
        <v>295</v>
      </c>
      <c r="P834" s="70" t="s">
        <v>264</v>
      </c>
      <c r="Q834" s="71" t="s">
        <v>3020</v>
      </c>
      <c r="R834" s="71" t="s">
        <v>3021</v>
      </c>
      <c r="S834" s="72"/>
      <c r="T834" s="73"/>
      <c r="U834" s="75"/>
      <c r="V834" s="102">
        <v>46171</v>
      </c>
      <c r="W834" s="70">
        <v>3</v>
      </c>
      <c r="X834" s="103" t="s">
        <v>3023</v>
      </c>
      <c r="Y834" s="104">
        <f t="shared" si="267"/>
        <v>46263</v>
      </c>
      <c r="Z834" s="105">
        <f ca="1" t="shared" si="268"/>
        <v>-50</v>
      </c>
      <c r="AA834" s="70"/>
      <c r="AB834" s="70" t="s">
        <v>295</v>
      </c>
      <c r="AC834" s="70" t="s">
        <v>264</v>
      </c>
      <c r="AD834" s="71" t="s">
        <v>3020</v>
      </c>
      <c r="AE834" s="71" t="s">
        <v>3024</v>
      </c>
      <c r="AF834" s="72"/>
      <c r="AG834" s="73"/>
      <c r="AH834" s="75"/>
      <c r="AI834" s="102">
        <v>46253</v>
      </c>
      <c r="AJ834" s="70">
        <v>3</v>
      </c>
      <c r="AK834" s="103" t="s">
        <v>3025</v>
      </c>
      <c r="AL834" s="104">
        <f t="shared" si="271"/>
        <v>46345</v>
      </c>
      <c r="AM834" s="105">
        <f ca="1" t="shared" si="272"/>
        <v>32</v>
      </c>
      <c r="AN834" s="115"/>
      <c r="AO834" s="115"/>
      <c r="AP834" s="115"/>
      <c r="AQ834" s="93"/>
      <c r="AR834" s="93"/>
      <c r="AS834" s="94"/>
      <c r="AT834" s="95"/>
      <c r="AU834" s="79"/>
      <c r="AV834" s="117"/>
      <c r="AW834" s="115"/>
      <c r="AX834" s="106"/>
      <c r="AY834" s="104"/>
      <c r="AZ834" s="105"/>
    </row>
    <row r="835" customHeight="1" spans="1:52">
      <c r="A835" s="70">
        <v>835</v>
      </c>
      <c r="B835" s="70" t="s">
        <v>295</v>
      </c>
      <c r="C835" s="70" t="s">
        <v>264</v>
      </c>
      <c r="D835" s="71" t="s">
        <v>2694</v>
      </c>
      <c r="E835" s="71" t="s">
        <v>2734</v>
      </c>
      <c r="F835" s="72"/>
      <c r="G835" s="73"/>
      <c r="H835" s="75"/>
      <c r="I835" s="102">
        <v>46089</v>
      </c>
      <c r="J835" s="70" t="s">
        <v>767</v>
      </c>
      <c r="K835" s="106"/>
      <c r="L835" s="104" t="e">
        <f t="shared" si="269"/>
        <v>#VALUE!</v>
      </c>
      <c r="M835" s="105" t="e">
        <f ca="1" t="shared" si="270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267"/>
        <v>0</v>
      </c>
      <c r="Z835" s="105">
        <f ca="1" t="shared" si="268"/>
        <v>-46313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>
        <f t="shared" si="271"/>
        <v>0</v>
      </c>
      <c r="AM835" s="105">
        <f ca="1" t="shared" si="272"/>
        <v>-46313</v>
      </c>
      <c r="AN835" s="115"/>
      <c r="AO835" s="115"/>
      <c r="AP835" s="115"/>
      <c r="AQ835" s="93"/>
      <c r="AR835" s="93"/>
      <c r="AS835" s="94"/>
      <c r="AT835" s="95"/>
      <c r="AU835" s="79"/>
      <c r="AV835" s="117"/>
      <c r="AW835" s="115"/>
      <c r="AX835" s="106"/>
      <c r="AY835" s="104"/>
      <c r="AZ835" s="105"/>
    </row>
    <row r="836" customHeight="1" spans="1:52">
      <c r="A836" s="70">
        <v>836</v>
      </c>
      <c r="B836" s="70" t="s">
        <v>757</v>
      </c>
      <c r="C836" s="70" t="s">
        <v>264</v>
      </c>
      <c r="D836" s="71" t="s">
        <v>1678</v>
      </c>
      <c r="E836" s="93" t="s">
        <v>951</v>
      </c>
      <c r="F836" s="94"/>
      <c r="G836" s="95"/>
      <c r="H836" s="75"/>
      <c r="I836" s="102">
        <v>46089</v>
      </c>
      <c r="J836" s="70" t="s">
        <v>767</v>
      </c>
      <c r="K836" s="106"/>
      <c r="L836" s="104" t="e">
        <f t="shared" si="269"/>
        <v>#VALUE!</v>
      </c>
      <c r="M836" s="105" t="e">
        <f ca="1" t="shared" si="270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267"/>
        <v>0</v>
      </c>
      <c r="Z836" s="105">
        <f ca="1" t="shared" si="268"/>
        <v>-46313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>
        <f t="shared" si="271"/>
        <v>0</v>
      </c>
      <c r="AM836" s="105">
        <f ca="1" t="shared" si="272"/>
        <v>-46313</v>
      </c>
      <c r="AN836" s="115"/>
      <c r="AO836" s="115"/>
      <c r="AP836" s="115"/>
      <c r="AQ836" s="93"/>
      <c r="AR836" s="93"/>
      <c r="AS836" s="94"/>
      <c r="AT836" s="95"/>
      <c r="AU836" s="79"/>
      <c r="AV836" s="117"/>
      <c r="AW836" s="115"/>
      <c r="AX836" s="106"/>
      <c r="AY836" s="104"/>
      <c r="AZ836" s="105"/>
    </row>
    <row r="837" customHeight="1" spans="1:52">
      <c r="A837" s="70">
        <v>837</v>
      </c>
      <c r="B837" s="70" t="s">
        <v>366</v>
      </c>
      <c r="C837" s="70" t="s">
        <v>264</v>
      </c>
      <c r="D837" s="71" t="s">
        <v>367</v>
      </c>
      <c r="E837" s="71" t="s">
        <v>368</v>
      </c>
      <c r="F837" s="72"/>
      <c r="G837" s="73"/>
      <c r="H837" s="75"/>
      <c r="I837" s="102">
        <v>46089</v>
      </c>
      <c r="J837" s="70" t="s">
        <v>767</v>
      </c>
      <c r="K837" s="106"/>
      <c r="L837" s="104" t="e">
        <f t="shared" si="269"/>
        <v>#VALUE!</v>
      </c>
      <c r="M837" s="105" t="e">
        <f ca="1" t="shared" si="270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267"/>
        <v>0</v>
      </c>
      <c r="Z837" s="105">
        <f ca="1" t="shared" si="268"/>
        <v>-46313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>
        <f t="shared" si="271"/>
        <v>0</v>
      </c>
      <c r="AM837" s="105">
        <f ca="1" t="shared" si="272"/>
        <v>-46313</v>
      </c>
      <c r="AN837" s="115"/>
      <c r="AO837" s="115"/>
      <c r="AP837" s="115"/>
      <c r="AQ837" s="93"/>
      <c r="AR837" s="93"/>
      <c r="AS837" s="94"/>
      <c r="AT837" s="95"/>
      <c r="AU837" s="79"/>
      <c r="AV837" s="117"/>
      <c r="AW837" s="115"/>
      <c r="AX837" s="106"/>
      <c r="AY837" s="104"/>
      <c r="AZ837" s="105"/>
    </row>
    <row r="838" customHeight="1" spans="1:52">
      <c r="A838" s="70">
        <v>838</v>
      </c>
      <c r="B838" s="70" t="s">
        <v>782</v>
      </c>
      <c r="C838" s="70" t="s">
        <v>374</v>
      </c>
      <c r="D838" s="71" t="s">
        <v>3026</v>
      </c>
      <c r="E838" s="71" t="s">
        <v>3027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3028</v>
      </c>
      <c r="L838" s="104">
        <f t="shared" si="269"/>
        <v>46181</v>
      </c>
      <c r="M838" s="105">
        <f ca="1" t="shared" si="270"/>
        <v>-132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267"/>
        <v>0</v>
      </c>
      <c r="Z838" s="105">
        <f ca="1" t="shared" si="268"/>
        <v>-46313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>
        <f t="shared" si="271"/>
        <v>0</v>
      </c>
      <c r="AM838" s="105">
        <f ca="1" t="shared" si="272"/>
        <v>-46313</v>
      </c>
      <c r="AN838" s="115"/>
      <c r="AO838" s="115"/>
      <c r="AP838" s="115"/>
      <c r="AQ838" s="93"/>
      <c r="AR838" s="93"/>
      <c r="AS838" s="94"/>
      <c r="AT838" s="95"/>
      <c r="AU838" s="79"/>
      <c r="AV838" s="117"/>
      <c r="AW838" s="115"/>
      <c r="AX838" s="106"/>
      <c r="AY838" s="104"/>
      <c r="AZ838" s="105"/>
    </row>
    <row r="839" customHeight="1" spans="1:52">
      <c r="A839" s="70">
        <v>838</v>
      </c>
      <c r="B839" s="70" t="s">
        <v>782</v>
      </c>
      <c r="C839" s="70" t="s">
        <v>374</v>
      </c>
      <c r="D839" s="71" t="s">
        <v>3029</v>
      </c>
      <c r="E839" s="93" t="s">
        <v>2946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3030</v>
      </c>
      <c r="L839" s="104">
        <f t="shared" si="269"/>
        <v>46181</v>
      </c>
      <c r="M839" s="105">
        <f ca="1" t="shared" si="270"/>
        <v>-132</v>
      </c>
      <c r="N839" s="70"/>
      <c r="O839" s="70" t="s">
        <v>782</v>
      </c>
      <c r="P839" s="70" t="s">
        <v>374</v>
      </c>
      <c r="Q839" s="71" t="s">
        <v>3029</v>
      </c>
      <c r="R839" s="93" t="s">
        <v>2946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3031</v>
      </c>
      <c r="Y839" s="104">
        <f t="shared" si="267"/>
        <v>46276</v>
      </c>
      <c r="Z839" s="105">
        <f ca="1" t="shared" si="268"/>
        <v>-37</v>
      </c>
      <c r="AA839" s="70"/>
      <c r="AB839" s="70" t="s">
        <v>782</v>
      </c>
      <c r="AC839" s="70" t="s">
        <v>374</v>
      </c>
      <c r="AD839" s="71" t="s">
        <v>3029</v>
      </c>
      <c r="AE839" s="93" t="s">
        <v>2946</v>
      </c>
      <c r="AF839" s="94"/>
      <c r="AG839" s="95"/>
      <c r="AH839" s="79" t="s">
        <v>16</v>
      </c>
      <c r="AI839" s="102">
        <v>46284</v>
      </c>
      <c r="AJ839" s="70">
        <v>3</v>
      </c>
      <c r="AK839" s="103" t="s">
        <v>3032</v>
      </c>
      <c r="AL839" s="104">
        <f t="shared" si="271"/>
        <v>46375</v>
      </c>
      <c r="AM839" s="105">
        <f ca="1" t="shared" si="272"/>
        <v>62</v>
      </c>
      <c r="AN839" s="115"/>
      <c r="AO839" s="115"/>
      <c r="AP839" s="115"/>
      <c r="AQ839" s="93"/>
      <c r="AR839" s="93"/>
      <c r="AS839" s="94"/>
      <c r="AT839" s="95"/>
      <c r="AU839" s="79"/>
      <c r="AV839" s="117"/>
      <c r="AW839" s="115"/>
      <c r="AX839" s="106"/>
      <c r="AY839" s="104"/>
      <c r="AZ839" s="105"/>
    </row>
    <row r="840" customHeight="1" spans="1:52">
      <c r="A840" s="70">
        <v>839</v>
      </c>
      <c r="B840" s="70" t="s">
        <v>782</v>
      </c>
      <c r="C840" s="70" t="s">
        <v>374</v>
      </c>
      <c r="D840" s="71" t="s">
        <v>3033</v>
      </c>
      <c r="E840" s="71" t="s">
        <v>3034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3035</v>
      </c>
      <c r="L840" s="104">
        <f t="shared" si="269"/>
        <v>46181</v>
      </c>
      <c r="M840" s="105">
        <f ca="1" t="shared" si="270"/>
        <v>-132</v>
      </c>
      <c r="N840" s="70"/>
      <c r="O840" s="70" t="s">
        <v>782</v>
      </c>
      <c r="P840" s="70" t="s">
        <v>374</v>
      </c>
      <c r="Q840" s="71" t="s">
        <v>3033</v>
      </c>
      <c r="R840" s="71" t="s">
        <v>3034</v>
      </c>
      <c r="S840" s="72"/>
      <c r="T840" s="73"/>
      <c r="U840" s="79" t="s">
        <v>16</v>
      </c>
      <c r="V840" s="102">
        <v>46256</v>
      </c>
      <c r="W840" s="70">
        <v>3</v>
      </c>
      <c r="X840" s="103" t="s">
        <v>3036</v>
      </c>
      <c r="Y840" s="104">
        <f t="shared" si="267"/>
        <v>46348</v>
      </c>
      <c r="Z840" s="105">
        <f ca="1" t="shared" si="268"/>
        <v>35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>
        <f t="shared" si="271"/>
        <v>0</v>
      </c>
      <c r="AM840" s="105">
        <f ca="1" t="shared" si="272"/>
        <v>-46313</v>
      </c>
      <c r="AN840" s="115"/>
      <c r="AO840" s="115"/>
      <c r="AP840" s="115"/>
      <c r="AQ840" s="93"/>
      <c r="AR840" s="93"/>
      <c r="AS840" s="94"/>
      <c r="AT840" s="95"/>
      <c r="AU840" s="79"/>
      <c r="AV840" s="117"/>
      <c r="AW840" s="115"/>
      <c r="AX840" s="106"/>
      <c r="AY840" s="104"/>
      <c r="AZ840" s="105"/>
    </row>
    <row r="841" customHeight="1" spans="1:52">
      <c r="A841" s="70">
        <v>840</v>
      </c>
      <c r="B841" s="70" t="s">
        <v>782</v>
      </c>
      <c r="C841" s="70" t="s">
        <v>374</v>
      </c>
      <c r="D841" s="71" t="s">
        <v>3037</v>
      </c>
      <c r="E841" s="71" t="s">
        <v>2946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3038</v>
      </c>
      <c r="L841" s="104">
        <f t="shared" si="269"/>
        <v>46181</v>
      </c>
      <c r="M841" s="105">
        <f ca="1" t="shared" si="270"/>
        <v>-132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267"/>
        <v>0</v>
      </c>
      <c r="Z841" s="105">
        <f ca="1" t="shared" si="268"/>
        <v>-46313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>
        <f t="shared" si="271"/>
        <v>0</v>
      </c>
      <c r="AM841" s="105">
        <f ca="1" t="shared" si="272"/>
        <v>-46313</v>
      </c>
      <c r="AN841" s="115"/>
      <c r="AO841" s="115"/>
      <c r="AP841" s="115"/>
      <c r="AQ841" s="93"/>
      <c r="AR841" s="93"/>
      <c r="AS841" s="94"/>
      <c r="AT841" s="95"/>
      <c r="AU841" s="79"/>
      <c r="AV841" s="117"/>
      <c r="AW841" s="115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3039</v>
      </c>
      <c r="E842" s="71" t="s">
        <v>126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3040</v>
      </c>
      <c r="L842" s="104">
        <f t="shared" si="269"/>
        <v>46182</v>
      </c>
      <c r="M842" s="105">
        <f ca="1" t="shared" si="270"/>
        <v>-131</v>
      </c>
      <c r="N842" s="70"/>
      <c r="O842" s="70" t="s">
        <v>12</v>
      </c>
      <c r="P842" s="70" t="s">
        <v>13</v>
      </c>
      <c r="Q842" s="71" t="s">
        <v>3039</v>
      </c>
      <c r="R842" s="71" t="s">
        <v>126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3041</v>
      </c>
      <c r="Y842" s="104">
        <f t="shared" ref="Y840:Y875" si="273">EDATE(V842,W842)</f>
        <v>46316</v>
      </c>
      <c r="Z842" s="105">
        <f ca="1" t="shared" ref="Z840:Z875" si="274">Y842-TODAY()</f>
        <v>3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>
        <f t="shared" si="271"/>
        <v>0</v>
      </c>
      <c r="AM842" s="105">
        <f ca="1" t="shared" si="272"/>
        <v>-46313</v>
      </c>
      <c r="AN842" s="115"/>
      <c r="AO842" s="115"/>
      <c r="AP842" s="115"/>
      <c r="AQ842" s="93"/>
      <c r="AR842" s="93"/>
      <c r="AS842" s="94"/>
      <c r="AT842" s="95"/>
      <c r="AU842" s="79"/>
      <c r="AV842" s="117"/>
      <c r="AW842" s="115"/>
      <c r="AX842" s="106"/>
      <c r="AY842" s="104"/>
      <c r="AZ842" s="105"/>
    </row>
    <row r="843" customHeight="1" spans="1:52">
      <c r="A843" s="70">
        <v>842</v>
      </c>
      <c r="B843" s="70" t="s">
        <v>2575</v>
      </c>
      <c r="C843" s="70" t="s">
        <v>38</v>
      </c>
      <c r="D843" s="71" t="s">
        <v>3042</v>
      </c>
      <c r="E843" s="71" t="s">
        <v>145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3043</v>
      </c>
      <c r="L843" s="104">
        <f t="shared" si="269"/>
        <v>46182</v>
      </c>
      <c r="M843" s="105">
        <f ca="1" t="shared" si="270"/>
        <v>-131</v>
      </c>
      <c r="N843" s="70"/>
      <c r="O843" s="70" t="s">
        <v>2575</v>
      </c>
      <c r="P843" s="70" t="s">
        <v>38</v>
      </c>
      <c r="Q843" s="71" t="s">
        <v>3042</v>
      </c>
      <c r="R843" s="71" t="s">
        <v>145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3044</v>
      </c>
      <c r="Y843" s="104">
        <f t="shared" si="273"/>
        <v>46305</v>
      </c>
      <c r="Z843" s="105">
        <f ca="1" t="shared" si="274"/>
        <v>-8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>
        <f t="shared" si="271"/>
        <v>0</v>
      </c>
      <c r="AM843" s="105">
        <f ca="1" t="shared" si="272"/>
        <v>-46313</v>
      </c>
      <c r="AN843" s="115"/>
      <c r="AO843" s="70"/>
      <c r="AP843" s="70"/>
      <c r="AQ843" s="71"/>
      <c r="AR843" s="71"/>
      <c r="AS843" s="72"/>
      <c r="AT843" s="73"/>
      <c r="AU843" s="79"/>
      <c r="AV843" s="117"/>
      <c r="AW843" s="115"/>
      <c r="AX843" s="106"/>
      <c r="AY843" s="104"/>
      <c r="AZ843" s="105"/>
    </row>
    <row r="844" customHeight="1" spans="1:52">
      <c r="A844" s="70">
        <v>843</v>
      </c>
      <c r="B844" s="70" t="s">
        <v>2575</v>
      </c>
      <c r="C844" s="70" t="s">
        <v>38</v>
      </c>
      <c r="D844" s="71" t="s">
        <v>3045</v>
      </c>
      <c r="E844" s="71" t="s">
        <v>28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3046</v>
      </c>
      <c r="L844" s="104">
        <f t="shared" si="269"/>
        <v>46182</v>
      </c>
      <c r="M844" s="105">
        <f ca="1" t="shared" si="270"/>
        <v>-131</v>
      </c>
      <c r="N844" s="70"/>
      <c r="O844" s="70" t="s">
        <v>2575</v>
      </c>
      <c r="P844" s="70" t="s">
        <v>38</v>
      </c>
      <c r="Q844" s="71" t="s">
        <v>3045</v>
      </c>
      <c r="R844" s="71" t="s">
        <v>28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3047</v>
      </c>
      <c r="Y844" s="104">
        <f t="shared" si="273"/>
        <v>46259</v>
      </c>
      <c r="Z844" s="105">
        <f ca="1" t="shared" si="274"/>
        <v>-54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>
        <f t="shared" si="271"/>
        <v>0</v>
      </c>
      <c r="AM844" s="105">
        <f ca="1" t="shared" si="272"/>
        <v>-46313</v>
      </c>
      <c r="AN844" s="115"/>
      <c r="AO844" s="115"/>
      <c r="AP844" s="115"/>
      <c r="AQ844" s="93"/>
      <c r="AR844" s="93"/>
      <c r="AS844" s="94"/>
      <c r="AT844" s="95"/>
      <c r="AU844" s="79"/>
      <c r="AV844" s="117"/>
      <c r="AW844" s="115"/>
      <c r="AX844" s="106"/>
      <c r="AY844" s="104"/>
      <c r="AZ844" s="105"/>
    </row>
    <row r="845" customHeight="1" spans="1:52">
      <c r="A845" s="70">
        <v>844</v>
      </c>
      <c r="B845" s="70" t="s">
        <v>2575</v>
      </c>
      <c r="C845" s="70" t="s">
        <v>38</v>
      </c>
      <c r="D845" s="71" t="s">
        <v>3048</v>
      </c>
      <c r="E845" s="71" t="s">
        <v>3049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3050</v>
      </c>
      <c r="L845" s="104">
        <f t="shared" si="269"/>
        <v>46182</v>
      </c>
      <c r="M845" s="105">
        <f ca="1" t="shared" si="270"/>
        <v>-131</v>
      </c>
      <c r="N845" s="70"/>
      <c r="O845" s="70" t="s">
        <v>2575</v>
      </c>
      <c r="P845" s="70" t="s">
        <v>38</v>
      </c>
      <c r="Q845" s="71" t="s">
        <v>3048</v>
      </c>
      <c r="R845" s="71" t="s">
        <v>3049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3051</v>
      </c>
      <c r="Y845" s="104">
        <f t="shared" si="273"/>
        <v>46259</v>
      </c>
      <c r="Z845" s="105">
        <f ca="1" t="shared" si="274"/>
        <v>-54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>
        <f t="shared" si="271"/>
        <v>0</v>
      </c>
      <c r="AM845" s="105">
        <f ca="1" t="shared" si="272"/>
        <v>-46313</v>
      </c>
      <c r="AN845" s="115"/>
      <c r="AO845" s="115"/>
      <c r="AP845" s="115"/>
      <c r="AQ845" s="93"/>
      <c r="AR845" s="93"/>
      <c r="AS845" s="94"/>
      <c r="AT845" s="95"/>
      <c r="AU845" s="79"/>
      <c r="AV845" s="117"/>
      <c r="AW845" s="115"/>
      <c r="AX845" s="106"/>
      <c r="AY845" s="104"/>
      <c r="AZ845" s="105"/>
    </row>
    <row r="846" customHeight="1" spans="1:52">
      <c r="A846" s="70">
        <v>845</v>
      </c>
      <c r="B846" s="70" t="s">
        <v>2575</v>
      </c>
      <c r="C846" s="70" t="s">
        <v>38</v>
      </c>
      <c r="D846" s="71" t="s">
        <v>3052</v>
      </c>
      <c r="E846" s="71" t="s">
        <v>145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3053</v>
      </c>
      <c r="L846" s="104">
        <f t="shared" si="269"/>
        <v>46182</v>
      </c>
      <c r="M846" s="105">
        <f ca="1" t="shared" si="270"/>
        <v>-131</v>
      </c>
      <c r="N846" s="70"/>
      <c r="O846" s="70" t="s">
        <v>2575</v>
      </c>
      <c r="P846" s="70" t="s">
        <v>38</v>
      </c>
      <c r="Q846" s="71" t="s">
        <v>3052</v>
      </c>
      <c r="R846" s="71" t="s">
        <v>145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3054</v>
      </c>
      <c r="Y846" s="104">
        <f t="shared" si="273"/>
        <v>46259</v>
      </c>
      <c r="Z846" s="105">
        <f ca="1" t="shared" si="274"/>
        <v>-54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>
        <f t="shared" si="271"/>
        <v>0</v>
      </c>
      <c r="AM846" s="105">
        <f ca="1" t="shared" si="272"/>
        <v>-46313</v>
      </c>
      <c r="AN846" s="115"/>
      <c r="AO846" s="115"/>
      <c r="AP846" s="115"/>
      <c r="AQ846" s="93"/>
      <c r="AR846" s="93"/>
      <c r="AS846" s="94"/>
      <c r="AT846" s="95"/>
      <c r="AU846" s="79"/>
      <c r="AV846" s="117"/>
      <c r="AW846" s="115"/>
      <c r="AX846" s="106"/>
      <c r="AY846" s="104"/>
      <c r="AZ846" s="105"/>
    </row>
    <row r="847" customHeight="1" spans="1:52">
      <c r="A847" s="70">
        <v>846</v>
      </c>
      <c r="B847" s="70" t="s">
        <v>2575</v>
      </c>
      <c r="C847" s="70" t="s">
        <v>13</v>
      </c>
      <c r="D847" s="71" t="s">
        <v>3055</v>
      </c>
      <c r="E847" s="71" t="s">
        <v>3056</v>
      </c>
      <c r="F847" s="72"/>
      <c r="G847" s="73"/>
      <c r="H847" s="151"/>
      <c r="I847" s="102">
        <v>46090</v>
      </c>
      <c r="J847" s="70">
        <v>3</v>
      </c>
      <c r="K847" s="106" t="s">
        <v>3057</v>
      </c>
      <c r="L847" s="104">
        <f t="shared" si="269"/>
        <v>46182</v>
      </c>
      <c r="M847" s="105">
        <f ca="1" t="shared" si="270"/>
        <v>-131</v>
      </c>
      <c r="N847" s="70"/>
      <c r="O847" s="70" t="s">
        <v>2575</v>
      </c>
      <c r="P847" s="70" t="s">
        <v>13</v>
      </c>
      <c r="Q847" s="71" t="s">
        <v>3055</v>
      </c>
      <c r="R847" s="71" t="s">
        <v>3056</v>
      </c>
      <c r="S847" s="72"/>
      <c r="T847" s="73"/>
      <c r="U847" s="151"/>
      <c r="V847" s="102">
        <v>46213</v>
      </c>
      <c r="W847" s="70">
        <v>3</v>
      </c>
      <c r="X847" s="103" t="s">
        <v>3058</v>
      </c>
      <c r="Y847" s="104">
        <f t="shared" si="273"/>
        <v>46305</v>
      </c>
      <c r="Z847" s="105">
        <f ca="1" t="shared" si="274"/>
        <v>-8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>
        <f t="shared" si="271"/>
        <v>0</v>
      </c>
      <c r="AM847" s="105">
        <f ca="1" t="shared" si="272"/>
        <v>-46313</v>
      </c>
      <c r="AN847" s="115"/>
      <c r="AO847" s="115"/>
      <c r="AP847" s="115"/>
      <c r="AQ847" s="93"/>
      <c r="AR847" s="93"/>
      <c r="AS847" s="94"/>
      <c r="AT847" s="95"/>
      <c r="AU847" s="79"/>
      <c r="AV847" s="117"/>
      <c r="AW847" s="115"/>
      <c r="AX847" s="106"/>
      <c r="AY847" s="104"/>
      <c r="AZ847" s="105"/>
    </row>
    <row r="848" customHeight="1" spans="1:52">
      <c r="A848" s="70">
        <v>847</v>
      </c>
      <c r="B848" s="70" t="s">
        <v>2575</v>
      </c>
      <c r="C848" s="70" t="s">
        <v>13</v>
      </c>
      <c r="D848" s="71" t="s">
        <v>3059</v>
      </c>
      <c r="E848" s="71" t="s">
        <v>3060</v>
      </c>
      <c r="F848" s="72"/>
      <c r="G848" s="73"/>
      <c r="H848" s="151"/>
      <c r="I848" s="102">
        <v>46090</v>
      </c>
      <c r="J848" s="70">
        <v>3</v>
      </c>
      <c r="K848" s="106" t="s">
        <v>3061</v>
      </c>
      <c r="L848" s="104">
        <f t="shared" si="269"/>
        <v>46182</v>
      </c>
      <c r="M848" s="105">
        <f ca="1" t="shared" si="270"/>
        <v>-131</v>
      </c>
      <c r="N848" s="70"/>
      <c r="O848" s="70" t="s">
        <v>2575</v>
      </c>
      <c r="P848" s="70" t="s">
        <v>13</v>
      </c>
      <c r="Q848" s="71" t="s">
        <v>3059</v>
      </c>
      <c r="R848" s="71" t="s">
        <v>3060</v>
      </c>
      <c r="S848" s="72"/>
      <c r="T848" s="73"/>
      <c r="U848" s="151"/>
      <c r="V848" s="102">
        <v>46213</v>
      </c>
      <c r="W848" s="70">
        <v>3</v>
      </c>
      <c r="X848" s="103" t="s">
        <v>3062</v>
      </c>
      <c r="Y848" s="104">
        <f t="shared" si="273"/>
        <v>46305</v>
      </c>
      <c r="Z848" s="105">
        <f ca="1" t="shared" si="274"/>
        <v>-8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>
        <f t="shared" si="271"/>
        <v>0</v>
      </c>
      <c r="AM848" s="105">
        <f ca="1" t="shared" si="272"/>
        <v>-46313</v>
      </c>
      <c r="AN848" s="115"/>
      <c r="AO848" s="115"/>
      <c r="AP848" s="115"/>
      <c r="AQ848" s="93"/>
      <c r="AR848" s="93"/>
      <c r="AS848" s="94"/>
      <c r="AT848" s="95"/>
      <c r="AU848" s="79"/>
      <c r="AV848" s="117"/>
      <c r="AW848" s="115"/>
      <c r="AX848" s="106"/>
      <c r="AY848" s="104"/>
      <c r="AZ848" s="105"/>
    </row>
    <row r="849" customHeight="1" spans="1:52">
      <c r="A849" s="70">
        <v>848</v>
      </c>
      <c r="B849" s="70" t="s">
        <v>844</v>
      </c>
      <c r="C849" s="70" t="s">
        <v>13</v>
      </c>
      <c r="D849" s="71" t="s">
        <v>3063</v>
      </c>
      <c r="E849" s="71" t="s">
        <v>189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3064</v>
      </c>
      <c r="L849" s="104">
        <f t="shared" si="269"/>
        <v>46182</v>
      </c>
      <c r="M849" s="105">
        <f ca="1" t="shared" si="270"/>
        <v>-131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273"/>
        <v>0</v>
      </c>
      <c r="Z849" s="105">
        <f ca="1" t="shared" si="274"/>
        <v>-46313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>
        <f t="shared" si="271"/>
        <v>0</v>
      </c>
      <c r="AM849" s="105">
        <f ca="1" t="shared" si="272"/>
        <v>-46313</v>
      </c>
      <c r="AN849" s="115"/>
      <c r="AO849" s="115"/>
      <c r="AP849" s="115"/>
      <c r="AQ849" s="93"/>
      <c r="AR849" s="93"/>
      <c r="AS849" s="94"/>
      <c r="AT849" s="95"/>
      <c r="AU849" s="79"/>
      <c r="AV849" s="117"/>
      <c r="AW849" s="115"/>
      <c r="AX849" s="106"/>
      <c r="AY849" s="104"/>
      <c r="AZ849" s="105"/>
    </row>
    <row r="850" customHeight="1" spans="1:52">
      <c r="A850" s="70">
        <v>849</v>
      </c>
      <c r="B850" s="70" t="s">
        <v>844</v>
      </c>
      <c r="C850" s="70" t="s">
        <v>38</v>
      </c>
      <c r="D850" s="71" t="s">
        <v>3065</v>
      </c>
      <c r="E850" s="71" t="s">
        <v>189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3066</v>
      </c>
      <c r="L850" s="104">
        <f t="shared" si="269"/>
        <v>46182</v>
      </c>
      <c r="M850" s="105">
        <f ca="1" t="shared" si="270"/>
        <v>-131</v>
      </c>
      <c r="N850" s="70"/>
      <c r="O850" s="70" t="s">
        <v>3067</v>
      </c>
      <c r="P850" s="70" t="s">
        <v>38</v>
      </c>
      <c r="Q850" s="71" t="s">
        <v>3065</v>
      </c>
      <c r="R850" s="71" t="s">
        <v>189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3068</v>
      </c>
      <c r="Y850" s="104">
        <f t="shared" si="273"/>
        <v>46311</v>
      </c>
      <c r="Z850" s="105">
        <f ca="1" t="shared" si="274"/>
        <v>-2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>
        <f t="shared" si="271"/>
        <v>0</v>
      </c>
      <c r="AM850" s="105">
        <f ca="1" t="shared" si="272"/>
        <v>-46313</v>
      </c>
      <c r="AN850" s="115"/>
      <c r="AO850" s="115"/>
      <c r="AP850" s="115"/>
      <c r="AQ850" s="93"/>
      <c r="AR850" s="93"/>
      <c r="AS850" s="94"/>
      <c r="AT850" s="95"/>
      <c r="AU850" s="79"/>
      <c r="AV850" s="117"/>
      <c r="AW850" s="115"/>
      <c r="AX850" s="106"/>
      <c r="AY850" s="104"/>
      <c r="AZ850" s="105"/>
    </row>
    <row r="851" customHeight="1" spans="1:52">
      <c r="A851" s="70">
        <v>850</v>
      </c>
      <c r="B851" s="70" t="s">
        <v>844</v>
      </c>
      <c r="C851" s="70" t="s">
        <v>13</v>
      </c>
      <c r="D851" s="71" t="s">
        <v>3069</v>
      </c>
      <c r="E851" s="71" t="s">
        <v>76</v>
      </c>
      <c r="F851" s="72"/>
      <c r="G851" s="73"/>
      <c r="H851" s="151"/>
      <c r="I851" s="102">
        <v>46090</v>
      </c>
      <c r="J851" s="70">
        <v>3</v>
      </c>
      <c r="K851" s="106" t="s">
        <v>3070</v>
      </c>
      <c r="L851" s="104">
        <f t="shared" si="269"/>
        <v>46182</v>
      </c>
      <c r="M851" s="105">
        <f ca="1" t="shared" si="270"/>
        <v>-131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273"/>
        <v>0</v>
      </c>
      <c r="Z851" s="105">
        <f ca="1" t="shared" si="274"/>
        <v>-46313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>
        <f t="shared" si="271"/>
        <v>0</v>
      </c>
      <c r="AM851" s="105">
        <f ca="1" t="shared" si="272"/>
        <v>-46313</v>
      </c>
      <c r="AN851" s="115"/>
      <c r="AO851" s="115"/>
      <c r="AP851" s="115"/>
      <c r="AQ851" s="93"/>
      <c r="AR851" s="93"/>
      <c r="AS851" s="94"/>
      <c r="AT851" s="95"/>
      <c r="AU851" s="79"/>
      <c r="AV851" s="117"/>
      <c r="AW851" s="115"/>
      <c r="AX851" s="106"/>
      <c r="AY851" s="104"/>
      <c r="AZ851" s="105"/>
    </row>
    <row r="852" customHeight="1" spans="1:52">
      <c r="A852" s="70">
        <v>851</v>
      </c>
      <c r="B852" s="70" t="s">
        <v>844</v>
      </c>
      <c r="C852" s="70" t="s">
        <v>13</v>
      </c>
      <c r="D852" s="71" t="s">
        <v>3071</v>
      </c>
      <c r="E852" s="71" t="s">
        <v>76</v>
      </c>
      <c r="F852" s="72"/>
      <c r="G852" s="73"/>
      <c r="H852" s="151"/>
      <c r="I852" s="102">
        <v>46090</v>
      </c>
      <c r="J852" s="70">
        <v>3</v>
      </c>
      <c r="K852" s="106" t="s">
        <v>3072</v>
      </c>
      <c r="L852" s="104">
        <f t="shared" si="269"/>
        <v>46182</v>
      </c>
      <c r="M852" s="105">
        <f ca="1" t="shared" si="270"/>
        <v>-131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273"/>
        <v>0</v>
      </c>
      <c r="Z852" s="105">
        <f ca="1" t="shared" si="274"/>
        <v>-46313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>
        <f t="shared" si="271"/>
        <v>0</v>
      </c>
      <c r="AM852" s="105">
        <f ca="1" t="shared" si="272"/>
        <v>-46313</v>
      </c>
      <c r="AN852" s="115"/>
      <c r="AO852" s="115"/>
      <c r="AP852" s="115"/>
      <c r="AQ852" s="93"/>
      <c r="AR852" s="93"/>
      <c r="AS852" s="94"/>
      <c r="AT852" s="95"/>
      <c r="AU852" s="79"/>
      <c r="AV852" s="117"/>
      <c r="AW852" s="115"/>
      <c r="AX852" s="106"/>
      <c r="AY852" s="104"/>
      <c r="AZ852" s="105"/>
    </row>
    <row r="853" customHeight="1" spans="1:52">
      <c r="A853" s="70">
        <v>852</v>
      </c>
      <c r="B853" s="70" t="s">
        <v>844</v>
      </c>
      <c r="C853" s="70" t="s">
        <v>13</v>
      </c>
      <c r="D853" s="71" t="s">
        <v>3073</v>
      </c>
      <c r="E853" s="71" t="s">
        <v>76</v>
      </c>
      <c r="F853" s="72"/>
      <c r="G853" s="73"/>
      <c r="H853" s="151"/>
      <c r="I853" s="102">
        <v>46090</v>
      </c>
      <c r="J853" s="70">
        <v>3</v>
      </c>
      <c r="K853" s="106" t="s">
        <v>3074</v>
      </c>
      <c r="L853" s="104">
        <f t="shared" si="269"/>
        <v>46182</v>
      </c>
      <c r="M853" s="105">
        <f ca="1" t="shared" si="270"/>
        <v>-131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273"/>
        <v>0</v>
      </c>
      <c r="Z853" s="105">
        <f ca="1" t="shared" si="274"/>
        <v>-46313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>
        <f t="shared" si="271"/>
        <v>0</v>
      </c>
      <c r="AM853" s="105">
        <f ca="1" t="shared" si="272"/>
        <v>-46313</v>
      </c>
      <c r="AN853" s="115"/>
      <c r="AO853" s="115"/>
      <c r="AP853" s="115"/>
      <c r="AQ853" s="93"/>
      <c r="AR853" s="93"/>
      <c r="AS853" s="94"/>
      <c r="AT853" s="95"/>
      <c r="AU853" s="79"/>
      <c r="AV853" s="117"/>
      <c r="AW853" s="115"/>
      <c r="AX853" s="106"/>
      <c r="AY853" s="104"/>
      <c r="AZ853" s="105"/>
    </row>
    <row r="854" customHeight="1" spans="1:52">
      <c r="A854" s="70">
        <v>853</v>
      </c>
      <c r="B854" s="70" t="s">
        <v>844</v>
      </c>
      <c r="C854" s="70" t="s">
        <v>13</v>
      </c>
      <c r="D854" s="71" t="s">
        <v>3075</v>
      </c>
      <c r="E854" s="71" t="s">
        <v>76</v>
      </c>
      <c r="F854" s="72"/>
      <c r="G854" s="73"/>
      <c r="H854" s="151"/>
      <c r="I854" s="102">
        <v>46090</v>
      </c>
      <c r="J854" s="70">
        <v>3</v>
      </c>
      <c r="K854" s="106" t="s">
        <v>3076</v>
      </c>
      <c r="L854" s="104">
        <f t="shared" si="269"/>
        <v>46182</v>
      </c>
      <c r="M854" s="105">
        <f ca="1" t="shared" si="270"/>
        <v>-131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273"/>
        <v>0</v>
      </c>
      <c r="Z854" s="105">
        <f ca="1" t="shared" si="274"/>
        <v>-46313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>
        <f t="shared" si="271"/>
        <v>0</v>
      </c>
      <c r="AM854" s="105">
        <f ca="1" t="shared" si="272"/>
        <v>-46313</v>
      </c>
      <c r="AN854" s="115"/>
      <c r="AO854" s="115"/>
      <c r="AP854" s="115"/>
      <c r="AQ854" s="93"/>
      <c r="AR854" s="93"/>
      <c r="AS854" s="94"/>
      <c r="AT854" s="95"/>
      <c r="AU854" s="79"/>
      <c r="AV854" s="117"/>
      <c r="AW854" s="115"/>
      <c r="AX854" s="106"/>
      <c r="AY854" s="104"/>
      <c r="AZ854" s="105"/>
    </row>
    <row r="855" customHeight="1" spans="1:52">
      <c r="A855" s="70">
        <v>854</v>
      </c>
      <c r="B855" s="70" t="s">
        <v>1205</v>
      </c>
      <c r="C855" s="70" t="s">
        <v>13</v>
      </c>
      <c r="D855" s="71" t="s">
        <v>3077</v>
      </c>
      <c r="E855" s="71" t="s">
        <v>76</v>
      </c>
      <c r="F855" s="72"/>
      <c r="G855" s="73"/>
      <c r="H855" s="151"/>
      <c r="I855" s="102">
        <v>46090</v>
      </c>
      <c r="J855" s="70">
        <v>3</v>
      </c>
      <c r="K855" s="106" t="s">
        <v>3078</v>
      </c>
      <c r="L855" s="104">
        <f t="shared" si="269"/>
        <v>46182</v>
      </c>
      <c r="M855" s="105">
        <f ca="1" t="shared" si="270"/>
        <v>-131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273"/>
        <v>0</v>
      </c>
      <c r="Z855" s="105">
        <f ca="1" t="shared" si="274"/>
        <v>-46313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>
        <f t="shared" si="271"/>
        <v>0</v>
      </c>
      <c r="AM855" s="105">
        <f ca="1" t="shared" si="272"/>
        <v>-46313</v>
      </c>
      <c r="AN855" s="115"/>
      <c r="AO855" s="115"/>
      <c r="AP855" s="115"/>
      <c r="AQ855" s="93"/>
      <c r="AR855" s="93"/>
      <c r="AS855" s="94"/>
      <c r="AT855" s="95"/>
      <c r="AU855" s="79"/>
      <c r="AV855" s="117"/>
      <c r="AW855" s="115"/>
      <c r="AX855" s="106"/>
      <c r="AY855" s="104"/>
      <c r="AZ855" s="105"/>
    </row>
    <row r="856" customHeight="1" spans="1:52">
      <c r="A856" s="70">
        <v>855</v>
      </c>
      <c r="B856" s="70" t="s">
        <v>1205</v>
      </c>
      <c r="C856" s="70" t="s">
        <v>13</v>
      </c>
      <c r="D856" s="71" t="s">
        <v>3079</v>
      </c>
      <c r="E856" s="71" t="s">
        <v>76</v>
      </c>
      <c r="F856" s="72"/>
      <c r="G856" s="73"/>
      <c r="H856" s="151"/>
      <c r="I856" s="102">
        <v>46090</v>
      </c>
      <c r="J856" s="70">
        <v>3</v>
      </c>
      <c r="K856" s="106" t="s">
        <v>3080</v>
      </c>
      <c r="L856" s="104">
        <f t="shared" si="269"/>
        <v>46182</v>
      </c>
      <c r="M856" s="105">
        <f ca="1" t="shared" si="270"/>
        <v>-131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273"/>
        <v>0</v>
      </c>
      <c r="Z856" s="105">
        <f ca="1" t="shared" si="274"/>
        <v>-46313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>
        <f t="shared" si="271"/>
        <v>0</v>
      </c>
      <c r="AM856" s="105">
        <f ca="1" t="shared" si="272"/>
        <v>-46313</v>
      </c>
      <c r="AN856" s="115"/>
      <c r="AO856" s="115"/>
      <c r="AP856" s="115"/>
      <c r="AQ856" s="93"/>
      <c r="AR856" s="93"/>
      <c r="AS856" s="94"/>
      <c r="AT856" s="95"/>
      <c r="AU856" s="79"/>
      <c r="AV856" s="117"/>
      <c r="AW856" s="115"/>
      <c r="AX856" s="106"/>
      <c r="AY856" s="104"/>
      <c r="AZ856" s="105"/>
    </row>
    <row r="857" customHeight="1" spans="1:52">
      <c r="A857" s="70">
        <v>856</v>
      </c>
      <c r="B857" s="70" t="s">
        <v>3081</v>
      </c>
      <c r="C857" s="70" t="s">
        <v>38</v>
      </c>
      <c r="D857" s="71" t="s">
        <v>3082</v>
      </c>
      <c r="E857" s="71" t="s">
        <v>189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3083</v>
      </c>
      <c r="L857" s="104">
        <f t="shared" si="269"/>
        <v>46182</v>
      </c>
      <c r="M857" s="105">
        <f ca="1" t="shared" si="270"/>
        <v>-131</v>
      </c>
      <c r="N857" s="70"/>
      <c r="O857" s="70" t="s">
        <v>12</v>
      </c>
      <c r="P857" s="70" t="s">
        <v>38</v>
      </c>
      <c r="Q857" s="71" t="s">
        <v>3082</v>
      </c>
      <c r="R857" s="71" t="s">
        <v>189</v>
      </c>
      <c r="S857" s="72"/>
      <c r="T857" s="73"/>
      <c r="U857" s="79" t="s">
        <v>16</v>
      </c>
      <c r="V857" s="102">
        <v>46258</v>
      </c>
      <c r="W857" s="70">
        <v>3</v>
      </c>
      <c r="X857" s="103" t="s">
        <v>3084</v>
      </c>
      <c r="Y857" s="104">
        <f t="shared" si="273"/>
        <v>46350</v>
      </c>
      <c r="Z857" s="105">
        <f ca="1" t="shared" si="274"/>
        <v>37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5"/>
      <c r="AO857" s="115"/>
      <c r="AP857" s="115"/>
      <c r="AQ857" s="93"/>
      <c r="AR857" s="93"/>
      <c r="AS857" s="94"/>
      <c r="AT857" s="95"/>
      <c r="AU857" s="79"/>
      <c r="AV857" s="117"/>
      <c r="AW857" s="115"/>
      <c r="AX857" s="106"/>
      <c r="AY857" s="104"/>
      <c r="AZ857" s="105"/>
    </row>
    <row r="858" customHeight="1" spans="1:52">
      <c r="A858" s="70">
        <v>857</v>
      </c>
      <c r="B858" s="70" t="s">
        <v>718</v>
      </c>
      <c r="C858" s="70" t="s">
        <v>13</v>
      </c>
      <c r="D858" s="71" t="s">
        <v>3085</v>
      </c>
      <c r="E858" s="71" t="s">
        <v>3086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3087</v>
      </c>
      <c r="L858" s="104">
        <f t="shared" si="269"/>
        <v>46182</v>
      </c>
      <c r="M858" s="105">
        <f ca="1" t="shared" si="270"/>
        <v>-131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273"/>
        <v>0</v>
      </c>
      <c r="Z858" s="105">
        <f ca="1" t="shared" si="274"/>
        <v>-46313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5"/>
      <c r="AO858" s="115"/>
      <c r="AP858" s="115"/>
      <c r="AQ858" s="93"/>
      <c r="AR858" s="93"/>
      <c r="AS858" s="94"/>
      <c r="AT858" s="95"/>
      <c r="AU858" s="79"/>
      <c r="AV858" s="117"/>
      <c r="AW858" s="115"/>
      <c r="AX858" s="106"/>
      <c r="AY858" s="104"/>
      <c r="AZ858" s="105"/>
    </row>
    <row r="859" customHeight="1" spans="1:52">
      <c r="A859" s="70">
        <v>858</v>
      </c>
      <c r="B859" s="70" t="s">
        <v>798</v>
      </c>
      <c r="C859" s="70" t="s">
        <v>38</v>
      </c>
      <c r="D859" s="71" t="s">
        <v>3088</v>
      </c>
      <c r="E859" s="71" t="s">
        <v>189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3089</v>
      </c>
      <c r="L859" s="104">
        <f t="shared" si="269"/>
        <v>46182</v>
      </c>
      <c r="M859" s="105">
        <f ca="1" t="shared" si="270"/>
        <v>-131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273"/>
        <v>0</v>
      </c>
      <c r="Z859" s="105">
        <f ca="1" t="shared" si="274"/>
        <v>-46313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5"/>
      <c r="AO859" s="115"/>
      <c r="AP859" s="115"/>
      <c r="AQ859" s="93"/>
      <c r="AR859" s="93"/>
      <c r="AS859" s="94"/>
      <c r="AT859" s="95"/>
      <c r="AU859" s="79"/>
      <c r="AV859" s="117"/>
      <c r="AW859" s="115"/>
      <c r="AX859" s="106"/>
      <c r="AY859" s="104"/>
      <c r="AZ859" s="105"/>
    </row>
    <row r="860" customHeight="1" spans="1:52">
      <c r="A860" s="70">
        <v>859</v>
      </c>
      <c r="B860" s="70" t="s">
        <v>798</v>
      </c>
      <c r="C860" s="70" t="s">
        <v>13</v>
      </c>
      <c r="D860" s="71" t="s">
        <v>3090</v>
      </c>
      <c r="E860" s="71" t="s">
        <v>45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3091</v>
      </c>
      <c r="L860" s="104">
        <f t="shared" si="269"/>
        <v>46182</v>
      </c>
      <c r="M860" s="105">
        <f ca="1" t="shared" si="270"/>
        <v>-131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273"/>
        <v>0</v>
      </c>
      <c r="Z860" s="105">
        <f ca="1" t="shared" si="274"/>
        <v>-46313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5"/>
      <c r="AO860" s="115"/>
      <c r="AP860" s="115"/>
      <c r="AQ860" s="93"/>
      <c r="AR860" s="93"/>
      <c r="AS860" s="94"/>
      <c r="AT860" s="95"/>
      <c r="AU860" s="79"/>
      <c r="AV860" s="117"/>
      <c r="AW860" s="115"/>
      <c r="AX860" s="106"/>
      <c r="AY860" s="104"/>
      <c r="AZ860" s="105"/>
    </row>
    <row r="861" customHeight="1" spans="1:52">
      <c r="A861" s="70">
        <v>860</v>
      </c>
      <c r="B861" s="70" t="s">
        <v>2187</v>
      </c>
      <c r="C861" s="70" t="s">
        <v>38</v>
      </c>
      <c r="D861" s="71" t="s">
        <v>3092</v>
      </c>
      <c r="E861" s="71" t="s">
        <v>1928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3093</v>
      </c>
      <c r="L861" s="104">
        <f t="shared" si="269"/>
        <v>46182</v>
      </c>
      <c r="M861" s="105">
        <f ca="1" t="shared" si="270"/>
        <v>-131</v>
      </c>
      <c r="N861" s="70"/>
      <c r="O861" s="70" t="s">
        <v>2187</v>
      </c>
      <c r="P861" s="70" t="s">
        <v>38</v>
      </c>
      <c r="Q861" s="71" t="s">
        <v>3092</v>
      </c>
      <c r="R861" s="71" t="s">
        <v>1928</v>
      </c>
      <c r="S861" s="72"/>
      <c r="T861" s="73"/>
      <c r="U861" s="79" t="s">
        <v>16</v>
      </c>
      <c r="V861" s="102">
        <v>46308</v>
      </c>
      <c r="W861" s="70">
        <v>3</v>
      </c>
      <c r="X861" s="103"/>
      <c r="Y861" s="104">
        <f t="shared" si="273"/>
        <v>46400</v>
      </c>
      <c r="Z861" s="105">
        <f ca="1" t="shared" si="274"/>
        <v>87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5"/>
      <c r="AO861" s="125"/>
      <c r="AP861" s="115"/>
      <c r="AQ861" s="93"/>
      <c r="AR861" s="93"/>
      <c r="AS861" s="94"/>
      <c r="AT861" s="95"/>
      <c r="AU861" s="79"/>
      <c r="AV861" s="117"/>
      <c r="AW861" s="115"/>
      <c r="AX861" s="106"/>
      <c r="AY861" s="104"/>
      <c r="AZ861" s="105"/>
    </row>
    <row r="862" customHeight="1" spans="1:52">
      <c r="A862" s="70">
        <v>861</v>
      </c>
      <c r="B862" s="70" t="s">
        <v>3094</v>
      </c>
      <c r="C862" s="70" t="s">
        <v>38</v>
      </c>
      <c r="D862" s="71" t="s">
        <v>3095</v>
      </c>
      <c r="E862" s="71" t="s">
        <v>3096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3097</v>
      </c>
      <c r="L862" s="104">
        <f t="shared" si="269"/>
        <v>46182</v>
      </c>
      <c r="M862" s="105">
        <f ca="1" t="shared" si="270"/>
        <v>-131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273"/>
        <v>0</v>
      </c>
      <c r="Z862" s="105">
        <f ca="1" t="shared" si="274"/>
        <v>-46313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5"/>
      <c r="AO862" s="115"/>
      <c r="AP862" s="115"/>
      <c r="AQ862" s="93"/>
      <c r="AR862" s="93"/>
      <c r="AS862" s="94"/>
      <c r="AT862" s="95"/>
      <c r="AU862" s="79"/>
      <c r="AV862" s="117"/>
      <c r="AW862" s="115"/>
      <c r="AX862" s="106"/>
      <c r="AY862" s="104"/>
      <c r="AZ862" s="105"/>
    </row>
    <row r="863" customHeight="1" spans="1:52">
      <c r="A863" s="70">
        <v>862</v>
      </c>
      <c r="B863" s="70" t="s">
        <v>55</v>
      </c>
      <c r="C863" s="70" t="s">
        <v>13</v>
      </c>
      <c r="D863" s="71" t="s">
        <v>3098</v>
      </c>
      <c r="E863" s="71" t="s">
        <v>126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3099</v>
      </c>
      <c r="L863" s="104">
        <f t="shared" si="269"/>
        <v>46183</v>
      </c>
      <c r="M863" s="105">
        <f ca="1" t="shared" si="270"/>
        <v>-130</v>
      </c>
      <c r="N863" s="70"/>
      <c r="O863" s="70" t="s">
        <v>55</v>
      </c>
      <c r="P863" s="70" t="s">
        <v>13</v>
      </c>
      <c r="Q863" s="71" t="s">
        <v>3098</v>
      </c>
      <c r="R863" s="71" t="s">
        <v>126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3100</v>
      </c>
      <c r="Y863" s="104">
        <f t="shared" si="273"/>
        <v>46278</v>
      </c>
      <c r="Z863" s="105">
        <f ca="1" t="shared" si="274"/>
        <v>-35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5"/>
      <c r="AO863" s="115"/>
      <c r="AP863" s="115"/>
      <c r="AQ863" s="93"/>
      <c r="AR863" s="93"/>
      <c r="AS863" s="94"/>
      <c r="AT863" s="95"/>
      <c r="AU863" s="79"/>
      <c r="AV863" s="117"/>
      <c r="AW863" s="115"/>
      <c r="AX863" s="106"/>
      <c r="AY863" s="104"/>
      <c r="AZ863" s="105"/>
    </row>
    <row r="864" customHeight="1" spans="1:52">
      <c r="A864" s="70">
        <v>863</v>
      </c>
      <c r="B864" s="70" t="s">
        <v>164</v>
      </c>
      <c r="C864" s="70" t="s">
        <v>38</v>
      </c>
      <c r="D864" s="71" t="s">
        <v>3101</v>
      </c>
      <c r="E864" s="71" t="s">
        <v>189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3102</v>
      </c>
      <c r="L864" s="104">
        <f t="shared" si="269"/>
        <v>46183</v>
      </c>
      <c r="M864" s="105">
        <f ca="1" t="shared" si="270"/>
        <v>-130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273"/>
        <v>0</v>
      </c>
      <c r="Z864" s="105">
        <f ca="1" t="shared" si="274"/>
        <v>-46313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>
        <f t="shared" ref="AL864:AL900" si="275">EDATE(AI864,AJ864)</f>
        <v>0</v>
      </c>
      <c r="AM864" s="105">
        <f ca="1" t="shared" ref="AM864:AM900" si="276">AL864-TODAY()</f>
        <v>-46313</v>
      </c>
      <c r="AN864" s="115"/>
      <c r="AO864" s="115"/>
      <c r="AP864" s="115"/>
      <c r="AQ864" s="93"/>
      <c r="AR864" s="93"/>
      <c r="AS864" s="94"/>
      <c r="AT864" s="95"/>
      <c r="AU864" s="79"/>
      <c r="AV864" s="117"/>
      <c r="AW864" s="115"/>
      <c r="AX864" s="106"/>
      <c r="AY864" s="104"/>
      <c r="AZ864" s="105"/>
    </row>
    <row r="865" customHeight="1" spans="1:52">
      <c r="A865" s="70">
        <v>864</v>
      </c>
      <c r="B865" s="70" t="s">
        <v>791</v>
      </c>
      <c r="C865" s="70" t="s">
        <v>374</v>
      </c>
      <c r="D865" s="71" t="s">
        <v>3103</v>
      </c>
      <c r="E865" s="71" t="s">
        <v>793</v>
      </c>
      <c r="F865" s="72"/>
      <c r="G865" s="73"/>
      <c r="H865" s="151"/>
      <c r="I865" s="102">
        <v>46091</v>
      </c>
      <c r="J865" s="70">
        <v>3</v>
      </c>
      <c r="K865" s="106" t="s">
        <v>3104</v>
      </c>
      <c r="L865" s="104">
        <f t="shared" si="269"/>
        <v>46183</v>
      </c>
      <c r="M865" s="105">
        <f ca="1" t="shared" si="270"/>
        <v>-130</v>
      </c>
      <c r="N865" s="70"/>
      <c r="O865" s="70" t="s">
        <v>791</v>
      </c>
      <c r="P865" s="70" t="s">
        <v>374</v>
      </c>
      <c r="Q865" s="71" t="s">
        <v>3103</v>
      </c>
      <c r="R865" s="71" t="s">
        <v>793</v>
      </c>
      <c r="S865" s="72"/>
      <c r="T865" s="73"/>
      <c r="U865" s="151"/>
      <c r="V865" s="102">
        <v>46218</v>
      </c>
      <c r="W865" s="70">
        <v>3</v>
      </c>
      <c r="X865" s="103" t="s">
        <v>3105</v>
      </c>
      <c r="Y865" s="104">
        <f t="shared" si="273"/>
        <v>46310</v>
      </c>
      <c r="Z865" s="105">
        <f ca="1" t="shared" si="274"/>
        <v>-3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>
        <f t="shared" si="275"/>
        <v>0</v>
      </c>
      <c r="AM865" s="105">
        <f ca="1" t="shared" si="276"/>
        <v>-46313</v>
      </c>
      <c r="AN865" s="115"/>
      <c r="AO865" s="115"/>
      <c r="AP865" s="115"/>
      <c r="AQ865" s="93"/>
      <c r="AR865" s="93"/>
      <c r="AS865" s="94"/>
      <c r="AT865" s="95"/>
      <c r="AU865" s="79"/>
      <c r="AV865" s="117"/>
      <c r="AW865" s="115"/>
      <c r="AX865" s="106"/>
      <c r="AY865" s="104"/>
      <c r="AZ865" s="105"/>
    </row>
    <row r="866" customHeight="1" spans="1:52">
      <c r="A866" s="70">
        <v>865</v>
      </c>
      <c r="B866" s="70" t="s">
        <v>791</v>
      </c>
      <c r="C866" s="70" t="s">
        <v>374</v>
      </c>
      <c r="D866" s="71" t="s">
        <v>3106</v>
      </c>
      <c r="E866" s="71" t="s">
        <v>793</v>
      </c>
      <c r="F866" s="72"/>
      <c r="G866" s="73"/>
      <c r="H866" s="151"/>
      <c r="I866" s="102">
        <v>46091</v>
      </c>
      <c r="J866" s="70">
        <v>3</v>
      </c>
      <c r="K866" s="106" t="s">
        <v>3107</v>
      </c>
      <c r="L866" s="104">
        <f t="shared" si="269"/>
        <v>46183</v>
      </c>
      <c r="M866" s="105">
        <f ca="1" t="shared" si="270"/>
        <v>-130</v>
      </c>
      <c r="N866" s="70"/>
      <c r="O866" s="70" t="s">
        <v>791</v>
      </c>
      <c r="P866" s="70" t="s">
        <v>374</v>
      </c>
      <c r="Q866" s="71" t="s">
        <v>3106</v>
      </c>
      <c r="R866" s="71" t="s">
        <v>793</v>
      </c>
      <c r="S866" s="72"/>
      <c r="T866" s="73"/>
      <c r="U866" s="151"/>
      <c r="V866" s="102">
        <v>46218</v>
      </c>
      <c r="W866" s="70">
        <v>3</v>
      </c>
      <c r="X866" s="103" t="s">
        <v>3108</v>
      </c>
      <c r="Y866" s="104">
        <f t="shared" si="273"/>
        <v>46310</v>
      </c>
      <c r="Z866" s="105">
        <f ca="1" t="shared" si="274"/>
        <v>-3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>
        <f t="shared" si="275"/>
        <v>0</v>
      </c>
      <c r="AM866" s="105">
        <f ca="1" t="shared" si="276"/>
        <v>-46313</v>
      </c>
      <c r="AN866" s="115"/>
      <c r="AO866" s="115"/>
      <c r="AP866" s="115"/>
      <c r="AQ866" s="93"/>
      <c r="AR866" s="93"/>
      <c r="AS866" s="94"/>
      <c r="AT866" s="95"/>
      <c r="AU866" s="79"/>
      <c r="AV866" s="117"/>
      <c r="AW866" s="115"/>
      <c r="AX866" s="106"/>
      <c r="AY866" s="104"/>
      <c r="AZ866" s="105"/>
    </row>
    <row r="867" customHeight="1" spans="1:52">
      <c r="A867" s="70">
        <v>866</v>
      </c>
      <c r="B867" s="70" t="s">
        <v>3109</v>
      </c>
      <c r="C867" s="70" t="s">
        <v>374</v>
      </c>
      <c r="D867" s="71" t="s">
        <v>3110</v>
      </c>
      <c r="E867" s="71" t="s">
        <v>3111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3112</v>
      </c>
      <c r="L867" s="104">
        <f t="shared" si="269"/>
        <v>46183</v>
      </c>
      <c r="M867" s="105">
        <f ca="1" t="shared" si="270"/>
        <v>-130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273"/>
        <v>0</v>
      </c>
      <c r="Z867" s="105">
        <f ca="1" t="shared" si="274"/>
        <v>-46313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>
        <f t="shared" si="275"/>
        <v>0</v>
      </c>
      <c r="AM867" s="105">
        <f ca="1" t="shared" si="276"/>
        <v>-46313</v>
      </c>
      <c r="AN867" s="115"/>
      <c r="AO867" s="115"/>
      <c r="AP867" s="115"/>
      <c r="AQ867" s="93"/>
      <c r="AR867" s="93"/>
      <c r="AS867" s="94"/>
      <c r="AT867" s="95"/>
      <c r="AU867" s="79"/>
      <c r="AV867" s="117"/>
      <c r="AW867" s="115"/>
      <c r="AX867" s="106"/>
      <c r="AY867" s="104"/>
      <c r="AZ867" s="105"/>
    </row>
    <row r="868" customHeight="1" spans="1:52">
      <c r="A868" s="70">
        <v>867</v>
      </c>
      <c r="B868" s="70" t="s">
        <v>648</v>
      </c>
      <c r="C868" s="70" t="s">
        <v>264</v>
      </c>
      <c r="D868" s="71" t="s">
        <v>2940</v>
      </c>
      <c r="E868" s="71" t="s">
        <v>368</v>
      </c>
      <c r="F868" s="72"/>
      <c r="G868" s="73"/>
      <c r="H868" s="151"/>
      <c r="I868" s="102">
        <v>46091</v>
      </c>
      <c r="J868" s="70" t="s">
        <v>767</v>
      </c>
      <c r="K868" s="106"/>
      <c r="L868" s="104" t="e">
        <f t="shared" si="269"/>
        <v>#VALUE!</v>
      </c>
      <c r="M868" s="105" t="e">
        <f ca="1" t="shared" si="270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273"/>
        <v>0</v>
      </c>
      <c r="Z868" s="105">
        <f ca="1" t="shared" si="274"/>
        <v>-46313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>
        <f t="shared" si="275"/>
        <v>0</v>
      </c>
      <c r="AM868" s="105">
        <f ca="1" t="shared" si="276"/>
        <v>-46313</v>
      </c>
      <c r="AN868" s="115"/>
      <c r="AO868" s="115"/>
      <c r="AP868" s="115"/>
      <c r="AQ868" s="93"/>
      <c r="AR868" s="93"/>
      <c r="AS868" s="94"/>
      <c r="AT868" s="95"/>
      <c r="AU868" s="79"/>
      <c r="AV868" s="117"/>
      <c r="AW868" s="115"/>
      <c r="AX868" s="106"/>
      <c r="AY868" s="104"/>
      <c r="AZ868" s="105"/>
    </row>
    <row r="869" customHeight="1" spans="1:52">
      <c r="A869" s="70">
        <v>868</v>
      </c>
      <c r="B869" s="70" t="s">
        <v>270</v>
      </c>
      <c r="C869" s="70" t="s">
        <v>264</v>
      </c>
      <c r="D869" s="71" t="s">
        <v>3113</v>
      </c>
      <c r="E869" s="71" t="s">
        <v>277</v>
      </c>
      <c r="F869" s="72"/>
      <c r="G869" s="73"/>
      <c r="H869" s="151"/>
      <c r="I869" s="102">
        <v>46091</v>
      </c>
      <c r="J869" s="70">
        <v>3</v>
      </c>
      <c r="K869" s="106" t="s">
        <v>3114</v>
      </c>
      <c r="L869" s="104">
        <f t="shared" si="269"/>
        <v>46183</v>
      </c>
      <c r="M869" s="105">
        <f ca="1" t="shared" si="270"/>
        <v>-130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273"/>
        <v>0</v>
      </c>
      <c r="Z869" s="105">
        <f ca="1" t="shared" si="274"/>
        <v>-46313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>
        <f t="shared" si="275"/>
        <v>0</v>
      </c>
      <c r="AM869" s="105">
        <f ca="1" t="shared" si="276"/>
        <v>-46313</v>
      </c>
      <c r="AN869" s="115"/>
      <c r="AO869" s="115"/>
      <c r="AP869" s="115"/>
      <c r="AQ869" s="93"/>
      <c r="AR869" s="93"/>
      <c r="AS869" s="94"/>
      <c r="AT869" s="95"/>
      <c r="AU869" s="79"/>
      <c r="AV869" s="117"/>
      <c r="AW869" s="115"/>
      <c r="AX869" s="106"/>
      <c r="AY869" s="104"/>
      <c r="AZ869" s="105"/>
    </row>
    <row r="870" customHeight="1" spans="1:52">
      <c r="A870" s="70">
        <v>869</v>
      </c>
      <c r="B870" s="70" t="s">
        <v>270</v>
      </c>
      <c r="C870" s="70" t="s">
        <v>264</v>
      </c>
      <c r="D870" s="71" t="s">
        <v>3115</v>
      </c>
      <c r="E870" s="71" t="s">
        <v>277</v>
      </c>
      <c r="F870" s="72"/>
      <c r="G870" s="73"/>
      <c r="H870" s="151"/>
      <c r="I870" s="102">
        <v>46091</v>
      </c>
      <c r="J870" s="70">
        <v>3</v>
      </c>
      <c r="K870" s="106" t="s">
        <v>3116</v>
      </c>
      <c r="L870" s="104">
        <f t="shared" si="269"/>
        <v>46183</v>
      </c>
      <c r="M870" s="105">
        <f ca="1" t="shared" si="270"/>
        <v>-130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273"/>
        <v>0</v>
      </c>
      <c r="Z870" s="105">
        <f ca="1" t="shared" si="274"/>
        <v>-46313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>
        <f t="shared" si="275"/>
        <v>0</v>
      </c>
      <c r="AM870" s="105">
        <f ca="1" t="shared" si="276"/>
        <v>-46313</v>
      </c>
      <c r="AN870" s="115"/>
      <c r="AO870" s="115"/>
      <c r="AP870" s="115"/>
      <c r="AQ870" s="93"/>
      <c r="AR870" s="93"/>
      <c r="AS870" s="94"/>
      <c r="AT870" s="95"/>
      <c r="AU870" s="79"/>
      <c r="AV870" s="117"/>
      <c r="AW870" s="115"/>
      <c r="AX870" s="106"/>
      <c r="AY870" s="104"/>
      <c r="AZ870" s="105"/>
    </row>
    <row r="871" customHeight="1" spans="1:52">
      <c r="A871" s="70">
        <v>870</v>
      </c>
      <c r="B871" s="70" t="s">
        <v>270</v>
      </c>
      <c r="C871" s="70" t="s">
        <v>264</v>
      </c>
      <c r="D871" s="71" t="s">
        <v>3117</v>
      </c>
      <c r="E871" s="71" t="s">
        <v>277</v>
      </c>
      <c r="F871" s="72"/>
      <c r="G871" s="73"/>
      <c r="H871" s="151"/>
      <c r="I871" s="102">
        <v>46091</v>
      </c>
      <c r="J871" s="70">
        <v>3</v>
      </c>
      <c r="K871" s="106" t="s">
        <v>3118</v>
      </c>
      <c r="L871" s="104">
        <f t="shared" si="269"/>
        <v>46183</v>
      </c>
      <c r="M871" s="105">
        <f ca="1" t="shared" si="270"/>
        <v>-130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273"/>
        <v>0</v>
      </c>
      <c r="Z871" s="105">
        <f ca="1" t="shared" si="274"/>
        <v>-46313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>
        <f t="shared" si="275"/>
        <v>0</v>
      </c>
      <c r="AM871" s="105">
        <f ca="1" t="shared" si="276"/>
        <v>-46313</v>
      </c>
      <c r="AN871" s="115"/>
      <c r="AO871" s="115"/>
      <c r="AP871" s="115"/>
      <c r="AQ871" s="93"/>
      <c r="AR871" s="93"/>
      <c r="AS871" s="94"/>
      <c r="AT871" s="95"/>
      <c r="AU871" s="79"/>
      <c r="AV871" s="117"/>
      <c r="AW871" s="115"/>
      <c r="AX871" s="106"/>
      <c r="AY871" s="104"/>
      <c r="AZ871" s="105"/>
    </row>
    <row r="872" customHeight="1" spans="1:52">
      <c r="A872" s="70">
        <v>871</v>
      </c>
      <c r="B872" s="70" t="s">
        <v>270</v>
      </c>
      <c r="C872" s="70" t="s">
        <v>264</v>
      </c>
      <c r="D872" s="71" t="s">
        <v>3119</v>
      </c>
      <c r="E872" s="71" t="s">
        <v>277</v>
      </c>
      <c r="F872" s="72"/>
      <c r="G872" s="73"/>
      <c r="H872" s="151"/>
      <c r="I872" s="102">
        <v>46091</v>
      </c>
      <c r="J872" s="70">
        <v>3</v>
      </c>
      <c r="K872" s="106" t="s">
        <v>3120</v>
      </c>
      <c r="L872" s="104">
        <f t="shared" si="269"/>
        <v>46183</v>
      </c>
      <c r="M872" s="105">
        <f ca="1" t="shared" si="270"/>
        <v>-130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273"/>
        <v>0</v>
      </c>
      <c r="Z872" s="105">
        <f ca="1" t="shared" si="274"/>
        <v>-46313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>
        <f t="shared" si="275"/>
        <v>0</v>
      </c>
      <c r="AM872" s="105">
        <f ca="1" t="shared" si="276"/>
        <v>-46313</v>
      </c>
      <c r="AN872" s="115"/>
      <c r="AO872" s="115"/>
      <c r="AP872" s="115"/>
      <c r="AQ872" s="93"/>
      <c r="AR872" s="93"/>
      <c r="AS872" s="94"/>
      <c r="AT872" s="95"/>
      <c r="AU872" s="79"/>
      <c r="AV872" s="117"/>
      <c r="AW872" s="115"/>
      <c r="AX872" s="106"/>
      <c r="AY872" s="104"/>
      <c r="AZ872" s="105"/>
    </row>
    <row r="873" customHeight="1" spans="1:52">
      <c r="A873" s="70">
        <v>872</v>
      </c>
      <c r="B873" s="70" t="s">
        <v>270</v>
      </c>
      <c r="C873" s="70" t="s">
        <v>264</v>
      </c>
      <c r="D873" s="71" t="s">
        <v>3121</v>
      </c>
      <c r="E873" s="71" t="s">
        <v>277</v>
      </c>
      <c r="F873" s="72"/>
      <c r="G873" s="73"/>
      <c r="H873" s="151"/>
      <c r="I873" s="102">
        <v>46091</v>
      </c>
      <c r="J873" s="70">
        <v>3</v>
      </c>
      <c r="K873" s="106" t="s">
        <v>3122</v>
      </c>
      <c r="L873" s="104">
        <f t="shared" si="269"/>
        <v>46183</v>
      </c>
      <c r="M873" s="105">
        <f ca="1" t="shared" si="270"/>
        <v>-130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273"/>
        <v>0</v>
      </c>
      <c r="Z873" s="105">
        <f ca="1" t="shared" si="274"/>
        <v>-46313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>
        <f t="shared" si="275"/>
        <v>0</v>
      </c>
      <c r="AM873" s="105">
        <f ca="1" t="shared" si="276"/>
        <v>-46313</v>
      </c>
      <c r="AN873" s="115"/>
      <c r="AO873" s="115"/>
      <c r="AP873" s="115"/>
      <c r="AQ873" s="93"/>
      <c r="AR873" s="93"/>
      <c r="AS873" s="94"/>
      <c r="AT873" s="95"/>
      <c r="AU873" s="79"/>
      <c r="AV873" s="117"/>
      <c r="AW873" s="115"/>
      <c r="AX873" s="106"/>
      <c r="AY873" s="104"/>
      <c r="AZ873" s="105"/>
    </row>
    <row r="874" customHeight="1" spans="1:52">
      <c r="A874" s="70">
        <v>873</v>
      </c>
      <c r="B874" s="70" t="s">
        <v>270</v>
      </c>
      <c r="C874" s="70" t="s">
        <v>264</v>
      </c>
      <c r="D874" s="71" t="s">
        <v>3123</v>
      </c>
      <c r="E874" s="71" t="s">
        <v>277</v>
      </c>
      <c r="F874" s="72"/>
      <c r="G874" s="73"/>
      <c r="H874" s="151"/>
      <c r="I874" s="102">
        <v>46091</v>
      </c>
      <c r="J874" s="70">
        <v>3</v>
      </c>
      <c r="K874" s="106" t="s">
        <v>3124</v>
      </c>
      <c r="L874" s="104">
        <f t="shared" si="269"/>
        <v>46183</v>
      </c>
      <c r="M874" s="105">
        <f ca="1" t="shared" si="270"/>
        <v>-130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273"/>
        <v>0</v>
      </c>
      <c r="Z874" s="105">
        <f ca="1" t="shared" si="274"/>
        <v>-46313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>
        <f t="shared" si="275"/>
        <v>0</v>
      </c>
      <c r="AM874" s="105">
        <f ca="1" t="shared" si="276"/>
        <v>-46313</v>
      </c>
      <c r="AN874" s="115"/>
      <c r="AO874" s="115"/>
      <c r="AP874" s="115"/>
      <c r="AQ874" s="93"/>
      <c r="AR874" s="93"/>
      <c r="AS874" s="94"/>
      <c r="AT874" s="95"/>
      <c r="AU874" s="79"/>
      <c r="AV874" s="117"/>
      <c r="AW874" s="115"/>
      <c r="AX874" s="106"/>
      <c r="AY874" s="104"/>
      <c r="AZ874" s="105"/>
    </row>
    <row r="875" customHeight="1" spans="1:52">
      <c r="A875" s="70">
        <v>874</v>
      </c>
      <c r="B875" s="70" t="s">
        <v>644</v>
      </c>
      <c r="C875" s="70" t="s">
        <v>264</v>
      </c>
      <c r="D875" s="71" t="s">
        <v>2433</v>
      </c>
      <c r="E875" s="71" t="s">
        <v>266</v>
      </c>
      <c r="F875" s="72"/>
      <c r="G875" s="73"/>
      <c r="H875" s="151"/>
      <c r="I875" s="102">
        <v>46091</v>
      </c>
      <c r="J875" s="70" t="s">
        <v>767</v>
      </c>
      <c r="K875" s="106"/>
      <c r="L875" s="104" t="e">
        <f t="shared" si="269"/>
        <v>#VALUE!</v>
      </c>
      <c r="M875" s="105" t="e">
        <f ca="1" t="shared" si="270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273"/>
        <v>0</v>
      </c>
      <c r="Z875" s="105">
        <f ca="1" t="shared" si="274"/>
        <v>-46313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>
        <f t="shared" si="275"/>
        <v>0</v>
      </c>
      <c r="AM875" s="105">
        <f ca="1" t="shared" si="276"/>
        <v>-46313</v>
      </c>
      <c r="AN875" s="115"/>
      <c r="AO875" s="115"/>
      <c r="AP875" s="115"/>
      <c r="AQ875" s="93"/>
      <c r="AR875" s="93"/>
      <c r="AS875" s="94"/>
      <c r="AT875" s="95"/>
      <c r="AU875" s="79"/>
      <c r="AV875" s="117"/>
      <c r="AW875" s="115"/>
      <c r="AX875" s="106"/>
      <c r="AY875" s="104"/>
      <c r="AZ875" s="105"/>
    </row>
    <row r="876" customHeight="1" spans="1:52">
      <c r="A876" s="70">
        <v>875</v>
      </c>
      <c r="B876" s="70" t="s">
        <v>134</v>
      </c>
      <c r="C876" s="70" t="s">
        <v>13</v>
      </c>
      <c r="D876" s="71" t="s">
        <v>3125</v>
      </c>
      <c r="E876" s="71" t="s">
        <v>3126</v>
      </c>
      <c r="F876" s="72"/>
      <c r="G876" s="73"/>
      <c r="H876" s="151"/>
      <c r="I876" s="102">
        <v>46092</v>
      </c>
      <c r="J876" s="70">
        <v>3</v>
      </c>
      <c r="K876" s="106" t="s">
        <v>3127</v>
      </c>
      <c r="L876" s="104">
        <f t="shared" si="269"/>
        <v>46184</v>
      </c>
      <c r="M876" s="105">
        <f ca="1" t="shared" si="270"/>
        <v>-129</v>
      </c>
      <c r="N876" s="70"/>
      <c r="O876" s="70" t="s">
        <v>134</v>
      </c>
      <c r="P876" s="70" t="s">
        <v>13</v>
      </c>
      <c r="Q876" s="71" t="s">
        <v>3125</v>
      </c>
      <c r="R876" s="71" t="s">
        <v>3126</v>
      </c>
      <c r="S876" s="72"/>
      <c r="T876" s="73"/>
      <c r="U876" s="151"/>
      <c r="V876" s="102">
        <v>46180</v>
      </c>
      <c r="W876" s="70">
        <v>3</v>
      </c>
      <c r="X876" s="103" t="s">
        <v>3128</v>
      </c>
      <c r="Y876" s="104">
        <f t="shared" ref="Y874:Y937" si="277">EDATE(V876,W876)</f>
        <v>46272</v>
      </c>
      <c r="Z876" s="105">
        <f ca="1" t="shared" ref="Z874:Z937" si="278">Y876-TODAY()</f>
        <v>-41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>
        <f t="shared" si="275"/>
        <v>0</v>
      </c>
      <c r="AM876" s="105">
        <f ca="1" t="shared" si="276"/>
        <v>-46313</v>
      </c>
      <c r="AN876" s="115"/>
      <c r="AO876" s="115"/>
      <c r="AP876" s="115"/>
      <c r="AQ876" s="93"/>
      <c r="AR876" s="93"/>
      <c r="AS876" s="94"/>
      <c r="AT876" s="95"/>
      <c r="AU876" s="79"/>
      <c r="AV876" s="117"/>
      <c r="AW876" s="115"/>
      <c r="AX876" s="106"/>
      <c r="AY876" s="104"/>
      <c r="AZ876" s="105"/>
    </row>
    <row r="877" customHeight="1" spans="1:52">
      <c r="A877" s="70">
        <v>876</v>
      </c>
      <c r="B877" s="70" t="s">
        <v>1393</v>
      </c>
      <c r="C877" s="70" t="s">
        <v>38</v>
      </c>
      <c r="D877" s="71" t="s">
        <v>3129</v>
      </c>
      <c r="E877" s="71" t="s">
        <v>3130</v>
      </c>
      <c r="F877" s="72"/>
      <c r="G877" s="73"/>
      <c r="H877" s="151"/>
      <c r="I877" s="102">
        <v>46092</v>
      </c>
      <c r="J877" s="70">
        <v>3</v>
      </c>
      <c r="K877" s="106" t="s">
        <v>3131</v>
      </c>
      <c r="L877" s="104">
        <f t="shared" si="269"/>
        <v>46184</v>
      </c>
      <c r="M877" s="105">
        <f ca="1" t="shared" si="270"/>
        <v>-129</v>
      </c>
      <c r="N877" s="70"/>
      <c r="O877" s="70" t="s">
        <v>1393</v>
      </c>
      <c r="P877" s="70" t="s">
        <v>38</v>
      </c>
      <c r="Q877" s="71" t="s">
        <v>3129</v>
      </c>
      <c r="R877" s="71" t="s">
        <v>3130</v>
      </c>
      <c r="S877" s="72"/>
      <c r="T877" s="73"/>
      <c r="U877" s="151"/>
      <c r="V877" s="102">
        <v>46217</v>
      </c>
      <c r="W877" s="70">
        <v>3</v>
      </c>
      <c r="X877" s="103" t="s">
        <v>3132</v>
      </c>
      <c r="Y877" s="104">
        <f t="shared" si="277"/>
        <v>46309</v>
      </c>
      <c r="Z877" s="105">
        <f ca="1" t="shared" si="278"/>
        <v>-4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>
        <f t="shared" si="275"/>
        <v>0</v>
      </c>
      <c r="AM877" s="105">
        <f ca="1" t="shared" si="276"/>
        <v>-46313</v>
      </c>
      <c r="AN877" s="115"/>
      <c r="AO877" s="115"/>
      <c r="AP877" s="115"/>
      <c r="AQ877" s="93"/>
      <c r="AR877" s="93"/>
      <c r="AS877" s="94"/>
      <c r="AT877" s="95"/>
      <c r="AU877" s="79"/>
      <c r="AV877" s="117"/>
      <c r="AW877" s="115"/>
      <c r="AX877" s="106"/>
      <c r="AY877" s="104"/>
      <c r="AZ877" s="105"/>
    </row>
    <row r="878" customHeight="1" spans="1:52">
      <c r="A878" s="70">
        <v>877</v>
      </c>
      <c r="B878" s="70" t="s">
        <v>1393</v>
      </c>
      <c r="C878" s="70" t="s">
        <v>38</v>
      </c>
      <c r="D878" s="71" t="s">
        <v>3133</v>
      </c>
      <c r="E878" s="71" t="s">
        <v>1395</v>
      </c>
      <c r="F878" s="72"/>
      <c r="G878" s="73"/>
      <c r="H878" s="151"/>
      <c r="I878" s="102">
        <v>46092</v>
      </c>
      <c r="J878" s="70">
        <v>3</v>
      </c>
      <c r="K878" s="106" t="s">
        <v>3134</v>
      </c>
      <c r="L878" s="104">
        <f t="shared" si="269"/>
        <v>46184</v>
      </c>
      <c r="M878" s="105">
        <f ca="1" t="shared" si="270"/>
        <v>-129</v>
      </c>
      <c r="N878" s="70"/>
      <c r="O878" s="70" t="s">
        <v>1393</v>
      </c>
      <c r="P878" s="70" t="s">
        <v>38</v>
      </c>
      <c r="Q878" s="71" t="s">
        <v>3133</v>
      </c>
      <c r="R878" s="71" t="s">
        <v>1395</v>
      </c>
      <c r="S878" s="72"/>
      <c r="T878" s="73"/>
      <c r="U878" s="151"/>
      <c r="V878" s="102">
        <v>46175</v>
      </c>
      <c r="W878" s="70">
        <v>3</v>
      </c>
      <c r="X878" s="103" t="s">
        <v>3135</v>
      </c>
      <c r="Y878" s="104">
        <f t="shared" si="277"/>
        <v>46267</v>
      </c>
      <c r="Z878" s="105">
        <f ca="1" t="shared" si="278"/>
        <v>-46</v>
      </c>
      <c r="AA878" s="70"/>
      <c r="AB878" s="70" t="s">
        <v>1393</v>
      </c>
      <c r="AC878" s="70" t="s">
        <v>38</v>
      </c>
      <c r="AD878" s="71" t="s">
        <v>3133</v>
      </c>
      <c r="AE878" s="71" t="s">
        <v>1395</v>
      </c>
      <c r="AF878" s="72"/>
      <c r="AG878" s="73"/>
      <c r="AH878" s="151"/>
      <c r="AI878" s="102">
        <v>46300</v>
      </c>
      <c r="AJ878" s="70">
        <v>3</v>
      </c>
      <c r="AK878" s="103" t="s">
        <v>3136</v>
      </c>
      <c r="AL878" s="104">
        <f t="shared" si="275"/>
        <v>46392</v>
      </c>
      <c r="AM878" s="105">
        <f ca="1" t="shared" si="276"/>
        <v>79</v>
      </c>
      <c r="AN878" s="115"/>
      <c r="AO878" s="115"/>
      <c r="AP878" s="115"/>
      <c r="AQ878" s="93"/>
      <c r="AR878" s="93"/>
      <c r="AS878" s="94"/>
      <c r="AT878" s="95"/>
      <c r="AU878" s="79"/>
      <c r="AV878" s="117"/>
      <c r="AW878" s="115"/>
      <c r="AX878" s="106"/>
      <c r="AY878" s="104"/>
      <c r="AZ878" s="105"/>
    </row>
    <row r="879" customHeight="1" spans="1:52">
      <c r="A879" s="70">
        <v>878</v>
      </c>
      <c r="B879" s="70" t="s">
        <v>535</v>
      </c>
      <c r="C879" s="70" t="s">
        <v>13</v>
      </c>
      <c r="D879" s="71" t="s">
        <v>3137</v>
      </c>
      <c r="E879" s="71" t="s">
        <v>3138</v>
      </c>
      <c r="F879" s="72"/>
      <c r="G879" s="73"/>
      <c r="H879" s="151"/>
      <c r="I879" s="102">
        <v>46092</v>
      </c>
      <c r="J879" s="70">
        <v>3</v>
      </c>
      <c r="K879" s="106" t="s">
        <v>3139</v>
      </c>
      <c r="L879" s="104">
        <f t="shared" si="269"/>
        <v>46184</v>
      </c>
      <c r="M879" s="105">
        <f ca="1" t="shared" si="270"/>
        <v>-129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277"/>
        <v>0</v>
      </c>
      <c r="Z879" s="105">
        <f ca="1" t="shared" si="278"/>
        <v>-46313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>
        <f t="shared" si="275"/>
        <v>0</v>
      </c>
      <c r="AM879" s="105">
        <f ca="1" t="shared" si="276"/>
        <v>-46313</v>
      </c>
      <c r="AN879" s="115"/>
      <c r="AO879" s="115"/>
      <c r="AP879" s="115"/>
      <c r="AQ879" s="93"/>
      <c r="AR879" s="93"/>
      <c r="AS879" s="94"/>
      <c r="AT879" s="95"/>
      <c r="AU879" s="79"/>
      <c r="AV879" s="117"/>
      <c r="AW879" s="115"/>
      <c r="AX879" s="106"/>
      <c r="AY879" s="104"/>
      <c r="AZ879" s="105"/>
    </row>
    <row r="880" customHeight="1" spans="1:52">
      <c r="A880" s="70">
        <v>879</v>
      </c>
      <c r="B880" s="70" t="s">
        <v>535</v>
      </c>
      <c r="C880" s="70" t="s">
        <v>13</v>
      </c>
      <c r="D880" s="71" t="s">
        <v>3140</v>
      </c>
      <c r="E880" s="71" t="s">
        <v>537</v>
      </c>
      <c r="F880" s="72"/>
      <c r="G880" s="73"/>
      <c r="H880" s="151"/>
      <c r="I880" s="102">
        <v>46092</v>
      </c>
      <c r="J880" s="70">
        <v>3</v>
      </c>
      <c r="K880" s="106" t="s">
        <v>3141</v>
      </c>
      <c r="L880" s="104">
        <f t="shared" si="269"/>
        <v>46184</v>
      </c>
      <c r="M880" s="105">
        <f ca="1" t="shared" si="270"/>
        <v>-129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277"/>
        <v>0</v>
      </c>
      <c r="Z880" s="105">
        <f ca="1" t="shared" si="278"/>
        <v>-46313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>
        <f t="shared" si="275"/>
        <v>0</v>
      </c>
      <c r="AM880" s="105">
        <f ca="1" t="shared" si="276"/>
        <v>-46313</v>
      </c>
      <c r="AN880" s="115"/>
      <c r="AO880" s="115"/>
      <c r="AP880" s="115"/>
      <c r="AQ880" s="93"/>
      <c r="AR880" s="93"/>
      <c r="AS880" s="94"/>
      <c r="AT880" s="95"/>
      <c r="AU880" s="79"/>
      <c r="AV880" s="117"/>
      <c r="AW880" s="115"/>
      <c r="AX880" s="106"/>
      <c r="AY880" s="104"/>
      <c r="AZ880" s="105"/>
    </row>
    <row r="881" customHeight="1" spans="1:52">
      <c r="A881" s="70">
        <v>880</v>
      </c>
      <c r="B881" s="70" t="s">
        <v>535</v>
      </c>
      <c r="C881" s="70" t="s">
        <v>13</v>
      </c>
      <c r="D881" s="71" t="s">
        <v>3142</v>
      </c>
      <c r="E881" s="71" t="s">
        <v>3143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3144</v>
      </c>
      <c r="L881" s="104">
        <f t="shared" si="269"/>
        <v>46184</v>
      </c>
      <c r="M881" s="105">
        <f ca="1" t="shared" si="270"/>
        <v>-129</v>
      </c>
      <c r="N881" s="70"/>
      <c r="O881" s="70" t="s">
        <v>535</v>
      </c>
      <c r="P881" s="70" t="s">
        <v>13</v>
      </c>
      <c r="Q881" s="71" t="s">
        <v>3142</v>
      </c>
      <c r="R881" s="71" t="s">
        <v>3143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3145</v>
      </c>
      <c r="Y881" s="104">
        <f t="shared" si="277"/>
        <v>46312</v>
      </c>
      <c r="Z881" s="105">
        <f ca="1" t="shared" si="278"/>
        <v>-1</v>
      </c>
      <c r="AA881" s="70"/>
      <c r="AB881" s="70" t="s">
        <v>535</v>
      </c>
      <c r="AC881" s="70" t="s">
        <v>13</v>
      </c>
      <c r="AD881" s="71" t="s">
        <v>3142</v>
      </c>
      <c r="AE881" s="71" t="s">
        <v>3143</v>
      </c>
      <c r="AF881" s="72"/>
      <c r="AG881" s="73"/>
      <c r="AH881" s="79" t="s">
        <v>16</v>
      </c>
      <c r="AI881" s="102">
        <v>46311</v>
      </c>
      <c r="AJ881" s="70">
        <v>3</v>
      </c>
      <c r="AK881" s="103"/>
      <c r="AL881" s="104">
        <f t="shared" si="275"/>
        <v>46403</v>
      </c>
      <c r="AM881" s="105">
        <f ca="1" t="shared" si="276"/>
        <v>90</v>
      </c>
      <c r="AN881" s="115"/>
      <c r="AO881" s="115"/>
      <c r="AP881" s="115"/>
      <c r="AQ881" s="93"/>
      <c r="AR881" s="93"/>
      <c r="AS881" s="94"/>
      <c r="AT881" s="95"/>
      <c r="AU881" s="79"/>
      <c r="AV881" s="117"/>
      <c r="AW881" s="115"/>
      <c r="AX881" s="106"/>
      <c r="AY881" s="104"/>
      <c r="AZ881" s="105"/>
    </row>
    <row r="882" customHeight="1" spans="1:52">
      <c r="A882" s="70">
        <v>881</v>
      </c>
      <c r="B882" s="70" t="s">
        <v>535</v>
      </c>
      <c r="C882" s="70" t="s">
        <v>13</v>
      </c>
      <c r="D882" s="71" t="s">
        <v>3146</v>
      </c>
      <c r="E882" s="71" t="s">
        <v>3147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3148</v>
      </c>
      <c r="L882" s="104">
        <f t="shared" si="269"/>
        <v>46184</v>
      </c>
      <c r="M882" s="105">
        <f ca="1" t="shared" si="270"/>
        <v>-129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277"/>
        <v>0</v>
      </c>
      <c r="Z882" s="105">
        <f ca="1" t="shared" si="278"/>
        <v>-46313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>
        <f t="shared" si="275"/>
        <v>0</v>
      </c>
      <c r="AM882" s="105">
        <f ca="1" t="shared" si="276"/>
        <v>-46313</v>
      </c>
      <c r="AN882" s="115"/>
      <c r="AO882" s="115"/>
      <c r="AP882" s="115"/>
      <c r="AQ882" s="93"/>
      <c r="AR882" s="93"/>
      <c r="AS882" s="94"/>
      <c r="AT882" s="95"/>
      <c r="AU882" s="79"/>
      <c r="AV882" s="117"/>
      <c r="AW882" s="115"/>
      <c r="AX882" s="106"/>
      <c r="AY882" s="104"/>
      <c r="AZ882" s="105"/>
    </row>
    <row r="883" customHeight="1" spans="1:52">
      <c r="A883" s="70">
        <v>882</v>
      </c>
      <c r="B883" s="70" t="s">
        <v>561</v>
      </c>
      <c r="C883" s="70" t="s">
        <v>374</v>
      </c>
      <c r="D883" s="71" t="s">
        <v>3149</v>
      </c>
      <c r="E883" s="71" t="s">
        <v>568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3150</v>
      </c>
      <c r="L883" s="104">
        <f t="shared" si="269"/>
        <v>46184</v>
      </c>
      <c r="M883" s="105">
        <f ca="1" t="shared" si="270"/>
        <v>-129</v>
      </c>
      <c r="N883" s="70"/>
      <c r="O883" s="70" t="s">
        <v>561</v>
      </c>
      <c r="P883" s="70" t="s">
        <v>374</v>
      </c>
      <c r="Q883" s="71" t="s">
        <v>3149</v>
      </c>
      <c r="R883" s="71" t="s">
        <v>568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3151</v>
      </c>
      <c r="Y883" s="104">
        <f t="shared" si="277"/>
        <v>46311</v>
      </c>
      <c r="Z883" s="105">
        <f ca="1" t="shared" si="278"/>
        <v>-2</v>
      </c>
      <c r="AA883" s="70"/>
      <c r="AB883" s="70" t="s">
        <v>561</v>
      </c>
      <c r="AC883" s="70" t="s">
        <v>374</v>
      </c>
      <c r="AD883" s="71" t="s">
        <v>3149</v>
      </c>
      <c r="AE883" s="71" t="s">
        <v>568</v>
      </c>
      <c r="AF883" s="72"/>
      <c r="AG883" s="73"/>
      <c r="AH883" s="79" t="s">
        <v>16</v>
      </c>
      <c r="AI883" s="102">
        <v>46310</v>
      </c>
      <c r="AJ883" s="70">
        <v>3</v>
      </c>
      <c r="AK883" s="103"/>
      <c r="AL883" s="104">
        <f t="shared" si="275"/>
        <v>46402</v>
      </c>
      <c r="AM883" s="105">
        <f ca="1" t="shared" si="276"/>
        <v>89</v>
      </c>
      <c r="AN883" s="115"/>
      <c r="AO883" s="115"/>
      <c r="AP883" s="115"/>
      <c r="AQ883" s="93"/>
      <c r="AR883" s="93"/>
      <c r="AS883" s="94"/>
      <c r="AT883" s="95"/>
      <c r="AU883" s="79"/>
      <c r="AV883" s="117"/>
      <c r="AW883" s="115"/>
      <c r="AX883" s="106"/>
      <c r="AY883" s="104"/>
      <c r="AZ883" s="105"/>
    </row>
    <row r="884" customHeight="1" spans="1:52">
      <c r="A884" s="70">
        <v>883</v>
      </c>
      <c r="B884" s="70" t="s">
        <v>648</v>
      </c>
      <c r="C884" s="70" t="s">
        <v>264</v>
      </c>
      <c r="D884" s="71" t="s">
        <v>649</v>
      </c>
      <c r="E884" s="71" t="s">
        <v>3152</v>
      </c>
      <c r="F884" s="72"/>
      <c r="G884" s="73"/>
      <c r="H884" s="75"/>
      <c r="I884" s="102">
        <v>46092</v>
      </c>
      <c r="J884" s="70" t="s">
        <v>767</v>
      </c>
      <c r="K884" s="106"/>
      <c r="L884" s="104" t="e">
        <f t="shared" si="269"/>
        <v>#VALUE!</v>
      </c>
      <c r="M884" s="105" t="e">
        <f ca="1" t="shared" si="270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277"/>
        <v>0</v>
      </c>
      <c r="Z884" s="105">
        <f ca="1" t="shared" si="278"/>
        <v>-46313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>
        <f t="shared" si="275"/>
        <v>0</v>
      </c>
      <c r="AM884" s="105">
        <f ca="1" t="shared" si="276"/>
        <v>-46313</v>
      </c>
      <c r="AN884" s="115"/>
      <c r="AO884" s="115"/>
      <c r="AP884" s="115"/>
      <c r="AQ884" s="93"/>
      <c r="AR884" s="93"/>
      <c r="AS884" s="94"/>
      <c r="AT884" s="95"/>
      <c r="AU884" s="79"/>
      <c r="AV884" s="117"/>
      <c r="AW884" s="115"/>
      <c r="AX884" s="106"/>
      <c r="AY884" s="104"/>
      <c r="AZ884" s="105"/>
    </row>
    <row r="885" customHeight="1" spans="1:52">
      <c r="A885" s="70">
        <v>884</v>
      </c>
      <c r="B885" s="70" t="s">
        <v>648</v>
      </c>
      <c r="C885" s="70" t="s">
        <v>264</v>
      </c>
      <c r="D885" s="71" t="s">
        <v>2699</v>
      </c>
      <c r="E885" s="71" t="s">
        <v>2700</v>
      </c>
      <c r="F885" s="72"/>
      <c r="G885" s="73"/>
      <c r="H885" s="75"/>
      <c r="I885" s="102">
        <v>46092</v>
      </c>
      <c r="J885" s="70" t="s">
        <v>767</v>
      </c>
      <c r="K885" s="106"/>
      <c r="L885" s="104" t="e">
        <f t="shared" si="269"/>
        <v>#VALUE!</v>
      </c>
      <c r="M885" s="105" t="e">
        <f ca="1" t="shared" si="270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277"/>
        <v>0</v>
      </c>
      <c r="Z885" s="105">
        <f ca="1" t="shared" si="278"/>
        <v>-46313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>
        <f t="shared" si="275"/>
        <v>0</v>
      </c>
      <c r="AM885" s="105">
        <f ca="1" t="shared" si="276"/>
        <v>-46313</v>
      </c>
      <c r="AN885" s="115"/>
      <c r="AO885" s="115"/>
      <c r="AP885" s="115"/>
      <c r="AQ885" s="93"/>
      <c r="AR885" s="93"/>
      <c r="AS885" s="94"/>
      <c r="AT885" s="95"/>
      <c r="AU885" s="79"/>
      <c r="AV885" s="117"/>
      <c r="AW885" s="115"/>
      <c r="AX885" s="106"/>
      <c r="AY885" s="104"/>
      <c r="AZ885" s="105"/>
    </row>
    <row r="886" customHeight="1" spans="1:52">
      <c r="A886" s="70">
        <v>885</v>
      </c>
      <c r="B886" s="70" t="s">
        <v>648</v>
      </c>
      <c r="C886" s="70" t="s">
        <v>264</v>
      </c>
      <c r="D886" s="71" t="s">
        <v>3153</v>
      </c>
      <c r="E886" s="71" t="s">
        <v>3154</v>
      </c>
      <c r="F886" s="72"/>
      <c r="G886" s="73"/>
      <c r="H886" s="75"/>
      <c r="I886" s="102">
        <v>46092</v>
      </c>
      <c r="J886" s="70">
        <v>3</v>
      </c>
      <c r="K886" s="106" t="s">
        <v>3155</v>
      </c>
      <c r="L886" s="104">
        <f t="shared" si="269"/>
        <v>46184</v>
      </c>
      <c r="M886" s="105">
        <f ca="1" t="shared" si="270"/>
        <v>-129</v>
      </c>
      <c r="N886" s="70"/>
      <c r="O886" s="70" t="s">
        <v>648</v>
      </c>
      <c r="P886" s="70" t="s">
        <v>264</v>
      </c>
      <c r="Q886" s="71" t="s">
        <v>3153</v>
      </c>
      <c r="R886" s="71" t="s">
        <v>3154</v>
      </c>
      <c r="S886" s="72"/>
      <c r="T886" s="73"/>
      <c r="U886" s="75"/>
      <c r="V886" s="102">
        <v>46310</v>
      </c>
      <c r="W886" s="70">
        <v>3</v>
      </c>
      <c r="X886" s="103"/>
      <c r="Y886" s="104">
        <f t="shared" si="277"/>
        <v>46402</v>
      </c>
      <c r="Z886" s="105">
        <f ca="1" t="shared" si="278"/>
        <v>89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>
        <f t="shared" si="275"/>
        <v>0</v>
      </c>
      <c r="AM886" s="105">
        <f ca="1" t="shared" si="276"/>
        <v>-46313</v>
      </c>
      <c r="AN886" s="115"/>
      <c r="AO886" s="115"/>
      <c r="AP886" s="115"/>
      <c r="AQ886" s="93"/>
      <c r="AR886" s="93"/>
      <c r="AS886" s="94"/>
      <c r="AT886" s="95"/>
      <c r="AU886" s="79"/>
      <c r="AV886" s="117"/>
      <c r="AW886" s="115"/>
      <c r="AX886" s="106"/>
      <c r="AY886" s="104"/>
      <c r="AZ886" s="105"/>
    </row>
    <row r="887" customHeight="1" spans="1:52">
      <c r="A887" s="70">
        <v>886</v>
      </c>
      <c r="B887" s="70" t="s">
        <v>134</v>
      </c>
      <c r="C887" s="70" t="s">
        <v>13</v>
      </c>
      <c r="D887" s="71" t="s">
        <v>3156</v>
      </c>
      <c r="E887" s="71" t="s">
        <v>126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3157</v>
      </c>
      <c r="L887" s="104">
        <f t="shared" si="269"/>
        <v>46185</v>
      </c>
      <c r="M887" s="105">
        <f ca="1" t="shared" si="270"/>
        <v>-128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277"/>
        <v>0</v>
      </c>
      <c r="Z887" s="105">
        <f ca="1" t="shared" si="278"/>
        <v>-46313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>
        <f t="shared" si="275"/>
        <v>0</v>
      </c>
      <c r="AM887" s="105">
        <f ca="1" t="shared" si="276"/>
        <v>-46313</v>
      </c>
      <c r="AN887" s="115"/>
      <c r="AO887" s="115"/>
      <c r="AP887" s="115"/>
      <c r="AQ887" s="93"/>
      <c r="AR887" s="93"/>
      <c r="AS887" s="94"/>
      <c r="AT887" s="95"/>
      <c r="AU887" s="79"/>
      <c r="AV887" s="117"/>
      <c r="AW887" s="115"/>
      <c r="AX887" s="106"/>
      <c r="AY887" s="104"/>
      <c r="AZ887" s="105"/>
    </row>
    <row r="888" customHeight="1" spans="1:52">
      <c r="A888" s="70">
        <v>887</v>
      </c>
      <c r="B888" s="70" t="s">
        <v>751</v>
      </c>
      <c r="C888" s="70" t="s">
        <v>38</v>
      </c>
      <c r="D888" s="71" t="s">
        <v>3158</v>
      </c>
      <c r="E888" s="71" t="s">
        <v>189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3159</v>
      </c>
      <c r="L888" s="104">
        <f t="shared" si="269"/>
        <v>46185</v>
      </c>
      <c r="M888" s="105">
        <f ca="1" t="shared" si="270"/>
        <v>-128</v>
      </c>
      <c r="N888" s="70"/>
      <c r="O888" s="70" t="s">
        <v>751</v>
      </c>
      <c r="P888" s="70" t="s">
        <v>38</v>
      </c>
      <c r="Q888" s="71" t="s">
        <v>3158</v>
      </c>
      <c r="R888" s="71" t="s">
        <v>189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3160</v>
      </c>
      <c r="Y888" s="104">
        <f t="shared" si="277"/>
        <v>46256</v>
      </c>
      <c r="Z888" s="105">
        <f ca="1" t="shared" si="278"/>
        <v>-57</v>
      </c>
      <c r="AA888" s="70"/>
      <c r="AB888" s="70" t="s">
        <v>751</v>
      </c>
      <c r="AC888" s="70" t="s">
        <v>38</v>
      </c>
      <c r="AD888" s="71" t="s">
        <v>3158</v>
      </c>
      <c r="AE888" s="71" t="s">
        <v>189</v>
      </c>
      <c r="AF888" s="72"/>
      <c r="AG888" s="73"/>
      <c r="AH888" s="114" t="s">
        <v>16</v>
      </c>
      <c r="AI888" s="102">
        <v>46258</v>
      </c>
      <c r="AJ888" s="70">
        <v>3</v>
      </c>
      <c r="AK888" s="103" t="s">
        <v>3161</v>
      </c>
      <c r="AL888" s="104">
        <f t="shared" si="275"/>
        <v>46350</v>
      </c>
      <c r="AM888" s="105">
        <f ca="1" t="shared" si="276"/>
        <v>37</v>
      </c>
      <c r="AN888" s="115"/>
      <c r="AO888" s="115"/>
      <c r="AP888" s="115"/>
      <c r="AQ888" s="93"/>
      <c r="AR888" s="93"/>
      <c r="AS888" s="94"/>
      <c r="AT888" s="95"/>
      <c r="AU888" s="79"/>
      <c r="AV888" s="117"/>
      <c r="AW888" s="115"/>
      <c r="AX888" s="106"/>
      <c r="AY888" s="104"/>
      <c r="AZ888" s="105"/>
    </row>
    <row r="889" customHeight="1" spans="1:52">
      <c r="A889" s="70">
        <v>888</v>
      </c>
      <c r="B889" s="70" t="s">
        <v>751</v>
      </c>
      <c r="C889" s="70" t="s">
        <v>13</v>
      </c>
      <c r="D889" s="71" t="s">
        <v>3162</v>
      </c>
      <c r="E889" s="71" t="s">
        <v>126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3163</v>
      </c>
      <c r="L889" s="104">
        <f t="shared" si="269"/>
        <v>46185</v>
      </c>
      <c r="M889" s="105">
        <f ca="1" t="shared" si="270"/>
        <v>-128</v>
      </c>
      <c r="N889" s="70"/>
      <c r="O889" s="70" t="s">
        <v>751</v>
      </c>
      <c r="P889" s="70" t="s">
        <v>13</v>
      </c>
      <c r="Q889" s="71" t="s">
        <v>3162</v>
      </c>
      <c r="R889" s="71" t="s">
        <v>126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3164</v>
      </c>
      <c r="Y889" s="104">
        <f t="shared" si="277"/>
        <v>46292</v>
      </c>
      <c r="Z889" s="105">
        <f ca="1" t="shared" si="278"/>
        <v>-21</v>
      </c>
      <c r="AA889" s="70"/>
      <c r="AB889" s="70" t="s">
        <v>751</v>
      </c>
      <c r="AC889" s="70" t="s">
        <v>13</v>
      </c>
      <c r="AD889" s="71" t="s">
        <v>3162</v>
      </c>
      <c r="AE889" s="71" t="s">
        <v>126</v>
      </c>
      <c r="AF889" s="72"/>
      <c r="AG889" s="73"/>
      <c r="AH889" s="114" t="s">
        <v>16</v>
      </c>
      <c r="AI889" s="102">
        <v>46294</v>
      </c>
      <c r="AJ889" s="70">
        <v>3</v>
      </c>
      <c r="AK889" s="103" t="s">
        <v>3165</v>
      </c>
      <c r="AL889" s="104">
        <f t="shared" si="275"/>
        <v>46385</v>
      </c>
      <c r="AM889" s="105">
        <f ca="1" t="shared" si="276"/>
        <v>72</v>
      </c>
      <c r="AN889" s="115"/>
      <c r="AO889" s="70"/>
      <c r="AP889" s="70"/>
      <c r="AQ889" s="71"/>
      <c r="AR889" s="93"/>
      <c r="AS889" s="94"/>
      <c r="AT889" s="95"/>
      <c r="AU889" s="75"/>
      <c r="AV889" s="117"/>
      <c r="AW889" s="115"/>
      <c r="AX889" s="106"/>
      <c r="AY889" s="104"/>
      <c r="AZ889" s="105"/>
    </row>
    <row r="890" customHeight="1" spans="1:52">
      <c r="A890" s="70">
        <v>889</v>
      </c>
      <c r="B890" s="70" t="s">
        <v>751</v>
      </c>
      <c r="C890" s="70" t="s">
        <v>13</v>
      </c>
      <c r="D890" s="71" t="s">
        <v>3166</v>
      </c>
      <c r="E890" s="71" t="s">
        <v>126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3167</v>
      </c>
      <c r="L890" s="104">
        <f t="shared" si="269"/>
        <v>46185</v>
      </c>
      <c r="M890" s="105">
        <f ca="1" t="shared" si="270"/>
        <v>-128</v>
      </c>
      <c r="N890" s="70"/>
      <c r="O890" s="70" t="s">
        <v>751</v>
      </c>
      <c r="P890" s="70" t="s">
        <v>13</v>
      </c>
      <c r="Q890" s="71" t="s">
        <v>3166</v>
      </c>
      <c r="R890" s="71" t="s">
        <v>126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3168</v>
      </c>
      <c r="Y890" s="104">
        <f t="shared" si="277"/>
        <v>46292</v>
      </c>
      <c r="Z890" s="105">
        <f ca="1" t="shared" si="278"/>
        <v>-21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>
        <f t="shared" si="275"/>
        <v>0</v>
      </c>
      <c r="AM890" s="105">
        <f ca="1" t="shared" si="276"/>
        <v>-46313</v>
      </c>
      <c r="AN890" s="115"/>
      <c r="AO890" s="115"/>
      <c r="AP890" s="115"/>
      <c r="AQ890" s="93"/>
      <c r="AR890" s="93"/>
      <c r="AS890" s="94"/>
      <c r="AT890" s="95"/>
      <c r="AU890" s="79"/>
      <c r="AV890" s="117"/>
      <c r="AW890" s="115"/>
      <c r="AX890" s="106"/>
      <c r="AY890" s="104"/>
      <c r="AZ890" s="105"/>
    </row>
    <row r="891" customHeight="1" spans="1:52">
      <c r="A891" s="70">
        <v>890</v>
      </c>
      <c r="B891" s="70" t="s">
        <v>751</v>
      </c>
      <c r="C891" s="70" t="s">
        <v>13</v>
      </c>
      <c r="D891" s="71" t="s">
        <v>3169</v>
      </c>
      <c r="E891" s="71" t="s">
        <v>1688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3170</v>
      </c>
      <c r="L891" s="104">
        <f t="shared" si="269"/>
        <v>46185</v>
      </c>
      <c r="M891" s="105">
        <f ca="1" t="shared" si="270"/>
        <v>-128</v>
      </c>
      <c r="N891" s="70"/>
      <c r="O891" s="70" t="s">
        <v>751</v>
      </c>
      <c r="P891" s="70" t="s">
        <v>13</v>
      </c>
      <c r="Q891" s="71" t="s">
        <v>3169</v>
      </c>
      <c r="R891" s="71" t="s">
        <v>1688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3171</v>
      </c>
      <c r="Y891" s="104">
        <f t="shared" si="277"/>
        <v>46285</v>
      </c>
      <c r="Z891" s="105">
        <f ca="1" t="shared" si="278"/>
        <v>-28</v>
      </c>
      <c r="AA891" s="70"/>
      <c r="AB891" s="70" t="s">
        <v>751</v>
      </c>
      <c r="AC891" s="70" t="s">
        <v>13</v>
      </c>
      <c r="AD891" s="71" t="s">
        <v>3169</v>
      </c>
      <c r="AE891" s="71" t="s">
        <v>1688</v>
      </c>
      <c r="AF891" s="72"/>
      <c r="AG891" s="73"/>
      <c r="AH891" s="114" t="s">
        <v>16</v>
      </c>
      <c r="AI891" s="102">
        <v>46294</v>
      </c>
      <c r="AJ891" s="70">
        <v>3</v>
      </c>
      <c r="AK891" s="103" t="s">
        <v>3172</v>
      </c>
      <c r="AL891" s="104">
        <f t="shared" si="275"/>
        <v>46385</v>
      </c>
      <c r="AM891" s="105">
        <f ca="1" t="shared" si="276"/>
        <v>72</v>
      </c>
      <c r="AN891" s="115"/>
      <c r="AO891" s="115"/>
      <c r="AP891" s="115"/>
      <c r="AQ891" s="93"/>
      <c r="AR891" s="93"/>
      <c r="AS891" s="94"/>
      <c r="AT891" s="95"/>
      <c r="AU891" s="79"/>
      <c r="AV891" s="117"/>
      <c r="AW891" s="115"/>
      <c r="AX891" s="106"/>
      <c r="AY891" s="104"/>
      <c r="AZ891" s="105"/>
    </row>
    <row r="892" customHeight="1" spans="1:52">
      <c r="A892" s="70">
        <v>891</v>
      </c>
      <c r="B892" s="70" t="s">
        <v>751</v>
      </c>
      <c r="C892" s="70" t="s">
        <v>13</v>
      </c>
      <c r="D892" s="71" t="s">
        <v>3173</v>
      </c>
      <c r="E892" s="71" t="s">
        <v>126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3174</v>
      </c>
      <c r="L892" s="104">
        <f t="shared" si="269"/>
        <v>46185</v>
      </c>
      <c r="M892" s="105">
        <f ca="1" t="shared" si="270"/>
        <v>-128</v>
      </c>
      <c r="N892" s="70"/>
      <c r="O892" s="70" t="s">
        <v>751</v>
      </c>
      <c r="P892" s="70" t="s">
        <v>13</v>
      </c>
      <c r="Q892" s="71" t="s">
        <v>3173</v>
      </c>
      <c r="R892" s="71" t="s">
        <v>126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3175</v>
      </c>
      <c r="Y892" s="104">
        <f t="shared" si="277"/>
        <v>46285</v>
      </c>
      <c r="Z892" s="105">
        <f ca="1" t="shared" si="278"/>
        <v>-28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>
        <f t="shared" si="275"/>
        <v>0</v>
      </c>
      <c r="AM892" s="105">
        <f ca="1" t="shared" si="276"/>
        <v>-46313</v>
      </c>
      <c r="AN892" s="115"/>
      <c r="AO892" s="115"/>
      <c r="AP892" s="115"/>
      <c r="AQ892" s="93"/>
      <c r="AR892" s="93"/>
      <c r="AS892" s="94"/>
      <c r="AT892" s="95"/>
      <c r="AU892" s="79"/>
      <c r="AV892" s="117"/>
      <c r="AW892" s="115"/>
      <c r="AX892" s="106"/>
      <c r="AY892" s="104"/>
      <c r="AZ892" s="105"/>
    </row>
    <row r="893" customHeight="1" spans="1:52">
      <c r="A893" s="70">
        <v>892</v>
      </c>
      <c r="B893" s="70" t="s">
        <v>751</v>
      </c>
      <c r="C893" s="70" t="s">
        <v>264</v>
      </c>
      <c r="D893" s="71" t="s">
        <v>3176</v>
      </c>
      <c r="E893" s="71" t="s">
        <v>2734</v>
      </c>
      <c r="F893" s="72"/>
      <c r="G893" s="73"/>
      <c r="H893" s="75"/>
      <c r="I893" s="102">
        <v>46093</v>
      </c>
      <c r="J893" s="70">
        <v>3</v>
      </c>
      <c r="K893" s="106" t="s">
        <v>3177</v>
      </c>
      <c r="L893" s="104">
        <f t="shared" si="269"/>
        <v>46185</v>
      </c>
      <c r="M893" s="105">
        <f ca="1" t="shared" si="270"/>
        <v>-128</v>
      </c>
      <c r="N893" s="70"/>
      <c r="O893" s="204" t="s">
        <v>751</v>
      </c>
      <c r="P893" s="70" t="s">
        <v>264</v>
      </c>
      <c r="Q893" s="205" t="s">
        <v>3176</v>
      </c>
      <c r="R893" s="71" t="s">
        <v>3021</v>
      </c>
      <c r="S893" s="72"/>
      <c r="T893" s="73"/>
      <c r="U893" s="75"/>
      <c r="V893" s="102">
        <v>46194</v>
      </c>
      <c r="W893" s="70">
        <v>3</v>
      </c>
      <c r="X893" s="103" t="s">
        <v>3178</v>
      </c>
      <c r="Y893" s="104">
        <f t="shared" si="277"/>
        <v>46286</v>
      </c>
      <c r="Z893" s="105">
        <f ca="1" t="shared" si="278"/>
        <v>-27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>
        <f t="shared" si="275"/>
        <v>0</v>
      </c>
      <c r="AM893" s="105">
        <f ca="1" t="shared" si="276"/>
        <v>-46313</v>
      </c>
      <c r="AN893" s="115"/>
      <c r="AO893" s="115"/>
      <c r="AP893" s="115"/>
      <c r="AQ893" s="93"/>
      <c r="AR893" s="93"/>
      <c r="AS893" s="94"/>
      <c r="AT893" s="95"/>
      <c r="AU893" s="79"/>
      <c r="AV893" s="117"/>
      <c r="AW893" s="115"/>
      <c r="AX893" s="106"/>
      <c r="AY893" s="104"/>
      <c r="AZ893" s="105"/>
    </row>
    <row r="894" customHeight="1" spans="1:52">
      <c r="A894" s="70">
        <v>893</v>
      </c>
      <c r="B894" s="70" t="s">
        <v>751</v>
      </c>
      <c r="C894" s="70" t="s">
        <v>264</v>
      </c>
      <c r="D894" s="71" t="s">
        <v>3179</v>
      </c>
      <c r="E894" s="71" t="s">
        <v>2744</v>
      </c>
      <c r="F894" s="72"/>
      <c r="G894" s="73"/>
      <c r="H894" s="75"/>
      <c r="I894" s="102">
        <v>46093</v>
      </c>
      <c r="J894" s="70">
        <v>3</v>
      </c>
      <c r="K894" s="106" t="s">
        <v>3180</v>
      </c>
      <c r="L894" s="104">
        <f t="shared" si="269"/>
        <v>46185</v>
      </c>
      <c r="M894" s="105">
        <f ca="1" t="shared" si="270"/>
        <v>-128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277"/>
        <v>0</v>
      </c>
      <c r="Z894" s="105">
        <f ca="1" t="shared" si="278"/>
        <v>-46313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>
        <f t="shared" si="275"/>
        <v>0</v>
      </c>
      <c r="AM894" s="105">
        <f ca="1" t="shared" si="276"/>
        <v>-46313</v>
      </c>
      <c r="AN894" s="115"/>
      <c r="AO894" s="115"/>
      <c r="AP894" s="115"/>
      <c r="AQ894" s="93"/>
      <c r="AR894" s="93"/>
      <c r="AS894" s="94"/>
      <c r="AT894" s="95"/>
      <c r="AU894" s="79"/>
      <c r="AV894" s="117"/>
      <c r="AW894" s="115"/>
      <c r="AX894" s="106"/>
      <c r="AY894" s="104"/>
      <c r="AZ894" s="105"/>
    </row>
    <row r="895" customHeight="1" spans="1:52">
      <c r="A895" s="70">
        <v>894</v>
      </c>
      <c r="B895" s="70" t="s">
        <v>751</v>
      </c>
      <c r="C895" s="70" t="s">
        <v>264</v>
      </c>
      <c r="D895" s="71" t="s">
        <v>3181</v>
      </c>
      <c r="E895" s="71" t="s">
        <v>3182</v>
      </c>
      <c r="F895" s="72"/>
      <c r="G895" s="73"/>
      <c r="H895" s="75"/>
      <c r="I895" s="102">
        <v>46093</v>
      </c>
      <c r="J895" s="70">
        <v>3</v>
      </c>
      <c r="K895" s="106" t="s">
        <v>3183</v>
      </c>
      <c r="L895" s="104">
        <f t="shared" si="269"/>
        <v>46185</v>
      </c>
      <c r="M895" s="105">
        <f ca="1" t="shared" si="270"/>
        <v>-128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277"/>
        <v>0</v>
      </c>
      <c r="Z895" s="105">
        <f ca="1" t="shared" si="278"/>
        <v>-46313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>
        <f t="shared" si="275"/>
        <v>0</v>
      </c>
      <c r="AM895" s="105">
        <f ca="1" t="shared" si="276"/>
        <v>-46313</v>
      </c>
      <c r="AN895" s="115"/>
      <c r="AO895" s="115"/>
      <c r="AP895" s="115"/>
      <c r="AQ895" s="93"/>
      <c r="AR895" s="93"/>
      <c r="AS895" s="94"/>
      <c r="AT895" s="95"/>
      <c r="AU895" s="79"/>
      <c r="AV895" s="117"/>
      <c r="AW895" s="115"/>
      <c r="AX895" s="106"/>
      <c r="AY895" s="104"/>
      <c r="AZ895" s="105"/>
    </row>
    <row r="896" customHeight="1" spans="1:52">
      <c r="A896" s="70">
        <v>895</v>
      </c>
      <c r="B896" s="70" t="s">
        <v>751</v>
      </c>
      <c r="C896" s="70" t="s">
        <v>264</v>
      </c>
      <c r="D896" s="71" t="s">
        <v>3184</v>
      </c>
      <c r="E896" s="71" t="s">
        <v>2734</v>
      </c>
      <c r="F896" s="72"/>
      <c r="G896" s="73"/>
      <c r="H896" s="75"/>
      <c r="I896" s="102">
        <v>46093</v>
      </c>
      <c r="J896" s="70">
        <v>3</v>
      </c>
      <c r="K896" s="106" t="s">
        <v>3185</v>
      </c>
      <c r="L896" s="104">
        <f t="shared" si="269"/>
        <v>46185</v>
      </c>
      <c r="M896" s="105">
        <f ca="1" t="shared" si="270"/>
        <v>-128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277"/>
        <v>0</v>
      </c>
      <c r="Z896" s="105">
        <f ca="1" t="shared" si="278"/>
        <v>-46313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>
        <f t="shared" si="275"/>
        <v>0</v>
      </c>
      <c r="AM896" s="105">
        <f ca="1" t="shared" si="276"/>
        <v>-46313</v>
      </c>
      <c r="AN896" s="115"/>
      <c r="AO896" s="115"/>
      <c r="AP896" s="115"/>
      <c r="AQ896" s="93"/>
      <c r="AR896" s="93"/>
      <c r="AS896" s="94"/>
      <c r="AT896" s="95"/>
      <c r="AU896" s="79"/>
      <c r="AV896" s="117"/>
      <c r="AW896" s="115"/>
      <c r="AX896" s="106"/>
      <c r="AY896" s="104"/>
      <c r="AZ896" s="105"/>
    </row>
    <row r="897" customHeight="1" spans="1:52">
      <c r="A897" s="70">
        <v>896</v>
      </c>
      <c r="B897" s="70" t="s">
        <v>751</v>
      </c>
      <c r="C897" s="70" t="s">
        <v>264</v>
      </c>
      <c r="D897" s="71" t="s">
        <v>3186</v>
      </c>
      <c r="E897" s="71" t="s">
        <v>3187</v>
      </c>
      <c r="F897" s="72"/>
      <c r="G897" s="73"/>
      <c r="H897" s="75"/>
      <c r="I897" s="102">
        <v>46093</v>
      </c>
      <c r="J897" s="70">
        <v>3</v>
      </c>
      <c r="K897" s="106" t="s">
        <v>3188</v>
      </c>
      <c r="L897" s="104">
        <f t="shared" ref="L897:L926" si="279">EDATE(I897,J897)</f>
        <v>46185</v>
      </c>
      <c r="M897" s="105">
        <f ca="1" t="shared" ref="M897:M926" si="280">L897-TODAY()</f>
        <v>-128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277"/>
        <v>0</v>
      </c>
      <c r="Z897" s="105">
        <f ca="1" t="shared" si="278"/>
        <v>-46313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>
        <f t="shared" si="275"/>
        <v>0</v>
      </c>
      <c r="AM897" s="105">
        <f ca="1" t="shared" si="276"/>
        <v>-46313</v>
      </c>
      <c r="AN897" s="115"/>
      <c r="AO897" s="115"/>
      <c r="AP897" s="115"/>
      <c r="AQ897" s="93"/>
      <c r="AR897" s="93"/>
      <c r="AS897" s="94"/>
      <c r="AT897" s="95"/>
      <c r="AU897" s="79"/>
      <c r="AV897" s="117"/>
      <c r="AW897" s="115"/>
      <c r="AX897" s="106"/>
      <c r="AY897" s="104"/>
      <c r="AZ897" s="105"/>
    </row>
    <row r="898" customHeight="1" spans="1:52">
      <c r="A898" s="70">
        <v>897</v>
      </c>
      <c r="B898" s="70" t="s">
        <v>648</v>
      </c>
      <c r="C898" s="70" t="s">
        <v>13</v>
      </c>
      <c r="D898" s="71" t="s">
        <v>3189</v>
      </c>
      <c r="E898" s="71" t="s">
        <v>3190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3191</v>
      </c>
      <c r="L898" s="104">
        <f t="shared" si="279"/>
        <v>46185</v>
      </c>
      <c r="M898" s="105">
        <f ca="1" t="shared" si="280"/>
        <v>-128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277"/>
        <v>0</v>
      </c>
      <c r="Z898" s="105">
        <f ca="1" t="shared" si="278"/>
        <v>-46313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>
        <f t="shared" si="275"/>
        <v>0</v>
      </c>
      <c r="AM898" s="105">
        <f ca="1" t="shared" si="276"/>
        <v>-46313</v>
      </c>
      <c r="AN898" s="115"/>
      <c r="AO898" s="115"/>
      <c r="AP898" s="115"/>
      <c r="AQ898" s="93"/>
      <c r="AR898" s="93"/>
      <c r="AS898" s="94"/>
      <c r="AT898" s="95"/>
      <c r="AU898" s="79"/>
      <c r="AV898" s="117"/>
      <c r="AW898" s="115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38</v>
      </c>
      <c r="D899" s="71" t="s">
        <v>3192</v>
      </c>
      <c r="E899" s="71" t="s">
        <v>189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3193</v>
      </c>
      <c r="L899" s="104">
        <f t="shared" si="279"/>
        <v>46186</v>
      </c>
      <c r="M899" s="105">
        <f ca="1" t="shared" si="280"/>
        <v>-127</v>
      </c>
      <c r="N899" s="70"/>
      <c r="O899" s="70" t="s">
        <v>610</v>
      </c>
      <c r="P899" s="70" t="s">
        <v>38</v>
      </c>
      <c r="Q899" s="71" t="s">
        <v>3192</v>
      </c>
      <c r="R899" s="71" t="s">
        <v>189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3194</v>
      </c>
      <c r="Y899" s="104">
        <f t="shared" si="277"/>
        <v>46269</v>
      </c>
      <c r="Z899" s="105">
        <f ca="1" t="shared" si="278"/>
        <v>-44</v>
      </c>
      <c r="AA899" s="70"/>
      <c r="AB899" s="70" t="s">
        <v>12</v>
      </c>
      <c r="AC899" s="70" t="s">
        <v>38</v>
      </c>
      <c r="AD899" s="71" t="s">
        <v>3192</v>
      </c>
      <c r="AE899" s="71" t="s">
        <v>189</v>
      </c>
      <c r="AF899" s="72"/>
      <c r="AG899" s="73"/>
      <c r="AH899" s="74" t="s">
        <v>16</v>
      </c>
      <c r="AI899" s="102">
        <v>46274</v>
      </c>
      <c r="AJ899" s="70">
        <v>3</v>
      </c>
      <c r="AK899" s="103" t="s">
        <v>3195</v>
      </c>
      <c r="AL899" s="104">
        <f t="shared" si="275"/>
        <v>46365</v>
      </c>
      <c r="AM899" s="105">
        <f ca="1" t="shared" si="276"/>
        <v>52</v>
      </c>
      <c r="AN899" s="115"/>
      <c r="AO899" s="115"/>
      <c r="AP899" s="115"/>
      <c r="AQ899" s="93"/>
      <c r="AR899" s="93"/>
      <c r="AS899" s="94"/>
      <c r="AT899" s="95"/>
      <c r="AU899" s="79"/>
      <c r="AV899" s="117"/>
      <c r="AW899" s="115"/>
      <c r="AX899" s="106"/>
      <c r="AY899" s="104"/>
      <c r="AZ899" s="105"/>
    </row>
    <row r="900" customHeight="1" spans="1:52">
      <c r="A900" s="70">
        <v>899</v>
      </c>
      <c r="B900" s="70" t="s">
        <v>74</v>
      </c>
      <c r="C900" s="70" t="s">
        <v>13</v>
      </c>
      <c r="D900" s="71" t="s">
        <v>3196</v>
      </c>
      <c r="E900" s="71" t="s">
        <v>76</v>
      </c>
      <c r="F900" s="72"/>
      <c r="G900" s="73"/>
      <c r="H900" s="75"/>
      <c r="I900" s="102">
        <v>46094</v>
      </c>
      <c r="J900" s="70">
        <v>3</v>
      </c>
      <c r="K900" s="106" t="s">
        <v>3197</v>
      </c>
      <c r="L900" s="104">
        <f t="shared" si="279"/>
        <v>46186</v>
      </c>
      <c r="M900" s="105">
        <f ca="1" t="shared" si="280"/>
        <v>-127</v>
      </c>
      <c r="N900" s="70"/>
      <c r="O900" s="70" t="s">
        <v>74</v>
      </c>
      <c r="P900" s="70" t="s">
        <v>13</v>
      </c>
      <c r="Q900" s="71" t="s">
        <v>3196</v>
      </c>
      <c r="R900" s="71" t="s">
        <v>76</v>
      </c>
      <c r="S900" s="72"/>
      <c r="T900" s="73"/>
      <c r="U900" s="75"/>
      <c r="V900" s="102">
        <v>46195</v>
      </c>
      <c r="W900" s="70">
        <v>3</v>
      </c>
      <c r="X900" s="103" t="s">
        <v>3198</v>
      </c>
      <c r="Y900" s="104">
        <f t="shared" si="277"/>
        <v>46287</v>
      </c>
      <c r="Z900" s="105">
        <f ca="1" t="shared" si="278"/>
        <v>-26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>
        <f t="shared" si="275"/>
        <v>0</v>
      </c>
      <c r="AM900" s="105">
        <f ca="1" t="shared" si="276"/>
        <v>-46313</v>
      </c>
      <c r="AN900" s="115"/>
      <c r="AO900" s="115"/>
      <c r="AP900" s="115"/>
      <c r="AQ900" s="93"/>
      <c r="AR900" s="93"/>
      <c r="AS900" s="94"/>
      <c r="AT900" s="95"/>
      <c r="AU900" s="79"/>
      <c r="AV900" s="117"/>
      <c r="AW900" s="115"/>
      <c r="AX900" s="106"/>
      <c r="AY900" s="104"/>
      <c r="AZ900" s="105"/>
    </row>
    <row r="901" customHeight="1" spans="1:52">
      <c r="A901" s="70">
        <v>900</v>
      </c>
      <c r="B901" s="70" t="s">
        <v>134</v>
      </c>
      <c r="C901" s="70" t="s">
        <v>13</v>
      </c>
      <c r="D901" s="71" t="s">
        <v>3199</v>
      </c>
      <c r="E901" s="71" t="s">
        <v>76</v>
      </c>
      <c r="F901" s="72"/>
      <c r="G901" s="73"/>
      <c r="H901" s="75"/>
      <c r="I901" s="102">
        <v>46094</v>
      </c>
      <c r="J901" s="70">
        <v>3</v>
      </c>
      <c r="K901" s="106" t="s">
        <v>3200</v>
      </c>
      <c r="L901" s="104">
        <f t="shared" si="279"/>
        <v>46186</v>
      </c>
      <c r="M901" s="105">
        <f ca="1" t="shared" si="280"/>
        <v>-127</v>
      </c>
      <c r="N901" s="70"/>
      <c r="O901" s="70" t="s">
        <v>134</v>
      </c>
      <c r="P901" s="70" t="s">
        <v>13</v>
      </c>
      <c r="Q901" s="71" t="s">
        <v>3199</v>
      </c>
      <c r="R901" s="71" t="s">
        <v>76</v>
      </c>
      <c r="S901" s="72"/>
      <c r="T901" s="73"/>
      <c r="U901" s="75"/>
      <c r="V901" s="102">
        <v>46182</v>
      </c>
      <c r="W901" s="70">
        <v>3</v>
      </c>
      <c r="X901" s="103" t="s">
        <v>3201</v>
      </c>
      <c r="Y901" s="104">
        <f t="shared" si="277"/>
        <v>46274</v>
      </c>
      <c r="Z901" s="105">
        <f ca="1" t="shared" si="278"/>
        <v>-39</v>
      </c>
      <c r="AA901" s="70"/>
      <c r="AB901" s="70" t="s">
        <v>134</v>
      </c>
      <c r="AC901" s="70" t="s">
        <v>13</v>
      </c>
      <c r="AD901" s="71" t="s">
        <v>3199</v>
      </c>
      <c r="AE901" s="71" t="s">
        <v>76</v>
      </c>
      <c r="AF901" s="72"/>
      <c r="AG901" s="73"/>
      <c r="AH901" s="75"/>
      <c r="AI901" s="102">
        <v>46272</v>
      </c>
      <c r="AJ901" s="70">
        <v>3</v>
      </c>
      <c r="AK901" s="103" t="s">
        <v>3202</v>
      </c>
      <c r="AL901" s="104">
        <f t="shared" ref="AL901:AL930" si="281">EDATE(AI901,AJ901)</f>
        <v>46363</v>
      </c>
      <c r="AM901" s="105">
        <f ca="1" t="shared" ref="AM901:AM930" si="282">AL901-TODAY()</f>
        <v>50</v>
      </c>
      <c r="AN901" s="115"/>
      <c r="AO901" s="70"/>
      <c r="AP901" s="70"/>
      <c r="AQ901" s="71"/>
      <c r="AR901" s="71"/>
      <c r="AS901" s="72"/>
      <c r="AT901" s="73"/>
      <c r="AU901" s="75"/>
      <c r="AV901" s="117"/>
      <c r="AW901" s="115"/>
      <c r="AX901" s="106"/>
      <c r="AY901" s="104"/>
      <c r="AZ901" s="105"/>
    </row>
    <row r="902" customHeight="1" spans="1:52">
      <c r="A902" s="70">
        <v>901</v>
      </c>
      <c r="B902" s="70" t="s">
        <v>134</v>
      </c>
      <c r="C902" s="70" t="s">
        <v>13</v>
      </c>
      <c r="D902" s="71" t="s">
        <v>3203</v>
      </c>
      <c r="E902" s="71" t="s">
        <v>126</v>
      </c>
      <c r="F902" s="72"/>
      <c r="G902" s="73"/>
      <c r="H902" s="75"/>
      <c r="I902" s="102">
        <v>46094</v>
      </c>
      <c r="J902" s="70">
        <v>3</v>
      </c>
      <c r="K902" s="106" t="s">
        <v>3204</v>
      </c>
      <c r="L902" s="104">
        <f t="shared" si="279"/>
        <v>46186</v>
      </c>
      <c r="M902" s="105">
        <f ca="1" t="shared" si="280"/>
        <v>-127</v>
      </c>
      <c r="N902" s="70"/>
      <c r="O902" s="70" t="s">
        <v>134</v>
      </c>
      <c r="P902" s="70" t="s">
        <v>13</v>
      </c>
      <c r="Q902" s="71" t="s">
        <v>3203</v>
      </c>
      <c r="R902" s="71" t="s">
        <v>126</v>
      </c>
      <c r="S902" s="72"/>
      <c r="T902" s="73"/>
      <c r="U902" s="75"/>
      <c r="V902" s="102">
        <v>46197</v>
      </c>
      <c r="W902" s="70">
        <v>3</v>
      </c>
      <c r="X902" s="103" t="s">
        <v>3205</v>
      </c>
      <c r="Y902" s="104">
        <f t="shared" si="277"/>
        <v>46289</v>
      </c>
      <c r="Z902" s="105">
        <f ca="1" t="shared" si="278"/>
        <v>-24</v>
      </c>
      <c r="AA902" s="70"/>
      <c r="AB902" s="70" t="s">
        <v>134</v>
      </c>
      <c r="AC902" s="70" t="s">
        <v>13</v>
      </c>
      <c r="AD902" s="71" t="s">
        <v>3203</v>
      </c>
      <c r="AE902" s="71" t="s">
        <v>126</v>
      </c>
      <c r="AF902" s="72"/>
      <c r="AG902" s="73"/>
      <c r="AH902" s="75"/>
      <c r="AI902" s="102">
        <v>46292</v>
      </c>
      <c r="AJ902" s="70">
        <v>3</v>
      </c>
      <c r="AK902" s="103" t="s">
        <v>3206</v>
      </c>
      <c r="AL902" s="104">
        <f t="shared" si="281"/>
        <v>46383</v>
      </c>
      <c r="AM902" s="105">
        <f ca="1" t="shared" si="282"/>
        <v>70</v>
      </c>
      <c r="AN902" s="115"/>
      <c r="AO902" s="115"/>
      <c r="AP902" s="115"/>
      <c r="AQ902" s="93"/>
      <c r="AR902" s="93"/>
      <c r="AS902" s="94"/>
      <c r="AT902" s="95"/>
      <c r="AU902" s="79"/>
      <c r="AV902" s="117"/>
      <c r="AW902" s="115"/>
      <c r="AX902" s="106"/>
      <c r="AY902" s="104"/>
      <c r="AZ902" s="105"/>
    </row>
    <row r="903" customHeight="1" spans="1:52">
      <c r="A903" s="70">
        <v>902</v>
      </c>
      <c r="B903" s="70" t="s">
        <v>134</v>
      </c>
      <c r="C903" s="70" t="s">
        <v>13</v>
      </c>
      <c r="D903" s="71" t="s">
        <v>3207</v>
      </c>
      <c r="E903" s="71" t="s">
        <v>34</v>
      </c>
      <c r="F903" s="72"/>
      <c r="G903" s="73"/>
      <c r="H903" s="75"/>
      <c r="I903" s="102">
        <v>46094</v>
      </c>
      <c r="J903" s="70">
        <v>3</v>
      </c>
      <c r="K903" s="106" t="s">
        <v>3208</v>
      </c>
      <c r="L903" s="104">
        <f t="shared" si="279"/>
        <v>46186</v>
      </c>
      <c r="M903" s="105">
        <f ca="1" t="shared" si="280"/>
        <v>-127</v>
      </c>
      <c r="N903" s="70"/>
      <c r="O903" s="70" t="s">
        <v>134</v>
      </c>
      <c r="P903" s="70" t="s">
        <v>13</v>
      </c>
      <c r="Q903" s="71" t="s">
        <v>3207</v>
      </c>
      <c r="R903" s="71" t="s">
        <v>34</v>
      </c>
      <c r="S903" s="72"/>
      <c r="T903" s="73"/>
      <c r="U903" s="75"/>
      <c r="V903" s="102">
        <v>46182</v>
      </c>
      <c r="W903" s="70">
        <v>3</v>
      </c>
      <c r="X903" s="103" t="s">
        <v>3209</v>
      </c>
      <c r="Y903" s="104">
        <f t="shared" si="277"/>
        <v>46274</v>
      </c>
      <c r="Z903" s="105">
        <f ca="1" t="shared" si="278"/>
        <v>-39</v>
      </c>
      <c r="AA903" s="70"/>
      <c r="AB903" s="70" t="s">
        <v>134</v>
      </c>
      <c r="AC903" s="70" t="s">
        <v>13</v>
      </c>
      <c r="AD903" s="71" t="s">
        <v>3207</v>
      </c>
      <c r="AE903" s="71" t="s">
        <v>34</v>
      </c>
      <c r="AF903" s="72"/>
      <c r="AG903" s="73"/>
      <c r="AH903" s="75"/>
      <c r="AI903" s="102">
        <v>46293</v>
      </c>
      <c r="AJ903" s="70">
        <v>3</v>
      </c>
      <c r="AK903" s="103" t="s">
        <v>3210</v>
      </c>
      <c r="AL903" s="104">
        <f t="shared" si="281"/>
        <v>46384</v>
      </c>
      <c r="AM903" s="105">
        <f ca="1" t="shared" si="282"/>
        <v>71</v>
      </c>
      <c r="AN903" s="115"/>
      <c r="AO903" s="115"/>
      <c r="AP903" s="115"/>
      <c r="AQ903" s="93"/>
      <c r="AR903" s="93"/>
      <c r="AS903" s="94"/>
      <c r="AT903" s="95"/>
      <c r="AU903" s="79"/>
      <c r="AV903" s="117"/>
      <c r="AW903" s="115"/>
      <c r="AX903" s="106"/>
      <c r="AY903" s="104"/>
      <c r="AZ903" s="105"/>
    </row>
    <row r="904" customHeight="1" spans="1:52">
      <c r="A904" s="70">
        <v>903</v>
      </c>
      <c r="B904" s="70" t="s">
        <v>751</v>
      </c>
      <c r="C904" s="70" t="s">
        <v>13</v>
      </c>
      <c r="D904" s="71" t="s">
        <v>3211</v>
      </c>
      <c r="E904" s="71" t="s">
        <v>126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3212</v>
      </c>
      <c r="L904" s="104">
        <f t="shared" si="279"/>
        <v>46186</v>
      </c>
      <c r="M904" s="105">
        <f ca="1" t="shared" si="280"/>
        <v>-127</v>
      </c>
      <c r="N904" s="70"/>
      <c r="O904" s="70" t="s">
        <v>751</v>
      </c>
      <c r="P904" s="70" t="s">
        <v>13</v>
      </c>
      <c r="Q904" s="71" t="s">
        <v>3211</v>
      </c>
      <c r="R904" s="71" t="s">
        <v>126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3213</v>
      </c>
      <c r="Y904" s="104">
        <f t="shared" si="277"/>
        <v>46292</v>
      </c>
      <c r="Z904" s="105">
        <f ca="1" t="shared" si="278"/>
        <v>-21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>
        <f t="shared" si="281"/>
        <v>0</v>
      </c>
      <c r="AM904" s="105">
        <f ca="1" t="shared" si="282"/>
        <v>-46313</v>
      </c>
      <c r="AN904" s="115"/>
      <c r="AO904" s="115"/>
      <c r="AP904" s="115"/>
      <c r="AQ904" s="93"/>
      <c r="AR904" s="93"/>
      <c r="AS904" s="94"/>
      <c r="AT904" s="95"/>
      <c r="AU904" s="79"/>
      <c r="AV904" s="117"/>
      <c r="AW904" s="115"/>
      <c r="AX904" s="106"/>
      <c r="AY904" s="104"/>
      <c r="AZ904" s="105"/>
    </row>
    <row r="905" customHeight="1" spans="1:52">
      <c r="A905" s="70">
        <v>904</v>
      </c>
      <c r="B905" s="70" t="s">
        <v>1205</v>
      </c>
      <c r="C905" s="70" t="s">
        <v>13</v>
      </c>
      <c r="D905" s="71" t="s">
        <v>3214</v>
      </c>
      <c r="E905" s="71" t="s">
        <v>76</v>
      </c>
      <c r="F905" s="72"/>
      <c r="G905" s="73"/>
      <c r="H905" s="75"/>
      <c r="I905" s="102">
        <v>46094</v>
      </c>
      <c r="J905" s="70">
        <v>3</v>
      </c>
      <c r="K905" s="106" t="s">
        <v>3215</v>
      </c>
      <c r="L905" s="104">
        <f t="shared" si="279"/>
        <v>46186</v>
      </c>
      <c r="M905" s="105">
        <f ca="1" t="shared" si="280"/>
        <v>-127</v>
      </c>
      <c r="N905" s="70"/>
      <c r="O905" s="70" t="s">
        <v>1205</v>
      </c>
      <c r="P905" s="70" t="s">
        <v>13</v>
      </c>
      <c r="Q905" s="71" t="s">
        <v>3214</v>
      </c>
      <c r="R905" s="71" t="s">
        <v>76</v>
      </c>
      <c r="S905" s="72"/>
      <c r="T905" s="73"/>
      <c r="U905" s="75"/>
      <c r="V905" s="102">
        <v>46261</v>
      </c>
      <c r="W905" s="70">
        <v>3</v>
      </c>
      <c r="X905" s="103" t="s">
        <v>3216</v>
      </c>
      <c r="Y905" s="104">
        <f t="shared" si="277"/>
        <v>46353</v>
      </c>
      <c r="Z905" s="105">
        <f ca="1" t="shared" si="278"/>
        <v>40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>
        <f t="shared" si="281"/>
        <v>0</v>
      </c>
      <c r="AM905" s="105">
        <f ca="1" t="shared" si="282"/>
        <v>-46313</v>
      </c>
      <c r="AN905" s="115"/>
      <c r="AO905" s="70"/>
      <c r="AP905" s="70"/>
      <c r="AQ905" s="71"/>
      <c r="AR905" s="71"/>
      <c r="AS905" s="72"/>
      <c r="AT905" s="73"/>
      <c r="AU905" s="79"/>
      <c r="AV905" s="117"/>
      <c r="AW905" s="115"/>
      <c r="AX905" s="106"/>
      <c r="AY905" s="104"/>
      <c r="AZ905" s="105"/>
    </row>
    <row r="906" customHeight="1" spans="1:52">
      <c r="A906" s="70">
        <v>905</v>
      </c>
      <c r="B906" s="70" t="s">
        <v>1275</v>
      </c>
      <c r="C906" s="70" t="s">
        <v>13</v>
      </c>
      <c r="D906" s="71" t="s">
        <v>3217</v>
      </c>
      <c r="E906" s="71" t="s">
        <v>80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3218</v>
      </c>
      <c r="L906" s="104">
        <f t="shared" si="279"/>
        <v>46186</v>
      </c>
      <c r="M906" s="105">
        <f ca="1" t="shared" si="280"/>
        <v>-127</v>
      </c>
      <c r="N906" s="70"/>
      <c r="O906" s="70" t="s">
        <v>1275</v>
      </c>
      <c r="P906" s="70" t="s">
        <v>13</v>
      </c>
      <c r="Q906" s="71" t="s">
        <v>3217</v>
      </c>
      <c r="R906" s="71" t="s">
        <v>80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3219</v>
      </c>
      <c r="Y906" s="104">
        <f t="shared" si="277"/>
        <v>46299</v>
      </c>
      <c r="Z906" s="105">
        <f ca="1" t="shared" si="278"/>
        <v>-14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>
        <f t="shared" si="281"/>
        <v>0</v>
      </c>
      <c r="AM906" s="105">
        <f ca="1" t="shared" si="282"/>
        <v>-46313</v>
      </c>
      <c r="AN906" s="115"/>
      <c r="AO906" s="115"/>
      <c r="AP906" s="115"/>
      <c r="AQ906" s="93"/>
      <c r="AR906" s="93"/>
      <c r="AS906" s="94"/>
      <c r="AT906" s="95"/>
      <c r="AU906" s="79"/>
      <c r="AV906" s="117"/>
      <c r="AW906" s="115"/>
      <c r="AX906" s="106"/>
      <c r="AY906" s="104"/>
      <c r="AZ906" s="105"/>
    </row>
    <row r="907" customHeight="1" spans="1:52">
      <c r="A907" s="70">
        <v>906</v>
      </c>
      <c r="B907" s="70" t="s">
        <v>1275</v>
      </c>
      <c r="C907" s="70" t="s">
        <v>13</v>
      </c>
      <c r="D907" s="71" t="s">
        <v>3220</v>
      </c>
      <c r="E907" s="71" t="s">
        <v>339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3221</v>
      </c>
      <c r="L907" s="104">
        <f t="shared" si="279"/>
        <v>46186</v>
      </c>
      <c r="M907" s="105">
        <f ca="1" t="shared" si="280"/>
        <v>-127</v>
      </c>
      <c r="N907" s="70"/>
      <c r="O907" s="70" t="s">
        <v>1275</v>
      </c>
      <c r="P907" s="70" t="s">
        <v>13</v>
      </c>
      <c r="Q907" s="71" t="s">
        <v>3220</v>
      </c>
      <c r="R907" s="71" t="s">
        <v>339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3222</v>
      </c>
      <c r="Y907" s="104">
        <f t="shared" si="277"/>
        <v>46299</v>
      </c>
      <c r="Z907" s="105">
        <f ca="1" t="shared" si="278"/>
        <v>-14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>
        <f t="shared" si="281"/>
        <v>0</v>
      </c>
      <c r="AM907" s="105">
        <f ca="1" t="shared" si="282"/>
        <v>-46313</v>
      </c>
      <c r="AN907" s="115"/>
      <c r="AO907" s="115"/>
      <c r="AP907" s="115"/>
      <c r="AQ907" s="93"/>
      <c r="AR907" s="93"/>
      <c r="AS907" s="94"/>
      <c r="AT907" s="95"/>
      <c r="AU907" s="79"/>
      <c r="AV907" s="117"/>
      <c r="AW907" s="115"/>
      <c r="AX907" s="106"/>
      <c r="AY907" s="104"/>
      <c r="AZ907" s="105"/>
    </row>
    <row r="908" customHeight="1" spans="1:52">
      <c r="A908" s="70">
        <v>907</v>
      </c>
      <c r="B908" s="70" t="s">
        <v>1275</v>
      </c>
      <c r="C908" s="70" t="s">
        <v>38</v>
      </c>
      <c r="D908" s="71" t="s">
        <v>3223</v>
      </c>
      <c r="E908" s="71" t="s">
        <v>189</v>
      </c>
      <c r="F908" s="72"/>
      <c r="G908" s="73"/>
      <c r="H908" s="75"/>
      <c r="I908" s="102">
        <v>46094</v>
      </c>
      <c r="J908" s="70">
        <v>3</v>
      </c>
      <c r="K908" s="106" t="s">
        <v>3224</v>
      </c>
      <c r="L908" s="104">
        <f t="shared" si="279"/>
        <v>46186</v>
      </c>
      <c r="M908" s="105">
        <f ca="1" t="shared" si="280"/>
        <v>-127</v>
      </c>
      <c r="N908" s="70"/>
      <c r="O908" s="70" t="s">
        <v>1275</v>
      </c>
      <c r="P908" s="70" t="s">
        <v>38</v>
      </c>
      <c r="Q908" s="71" t="s">
        <v>3223</v>
      </c>
      <c r="R908" s="71" t="s">
        <v>189</v>
      </c>
      <c r="S908" s="72"/>
      <c r="T908" s="73"/>
      <c r="U908" s="75"/>
      <c r="V908" s="102">
        <v>46207</v>
      </c>
      <c r="W908" s="70">
        <v>3</v>
      </c>
      <c r="X908" s="103" t="s">
        <v>3225</v>
      </c>
      <c r="Y908" s="104">
        <f t="shared" si="277"/>
        <v>46299</v>
      </c>
      <c r="Z908" s="105">
        <f ca="1" t="shared" si="278"/>
        <v>-14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>
        <f t="shared" si="281"/>
        <v>0</v>
      </c>
      <c r="AM908" s="105">
        <f ca="1" t="shared" si="282"/>
        <v>-46313</v>
      </c>
      <c r="AN908" s="115"/>
      <c r="AO908" s="115"/>
      <c r="AP908" s="115"/>
      <c r="AQ908" s="93"/>
      <c r="AR908" s="93"/>
      <c r="AS908" s="94"/>
      <c r="AT908" s="95"/>
      <c r="AU908" s="79"/>
      <c r="AV908" s="117"/>
      <c r="AW908" s="115"/>
      <c r="AX908" s="106"/>
      <c r="AY908" s="104"/>
      <c r="AZ908" s="105"/>
    </row>
    <row r="909" customHeight="1" spans="1:52">
      <c r="A909" s="70">
        <v>908</v>
      </c>
      <c r="B909" s="70" t="s">
        <v>535</v>
      </c>
      <c r="C909" s="70" t="s">
        <v>13</v>
      </c>
      <c r="D909" s="71" t="s">
        <v>3226</v>
      </c>
      <c r="E909" s="71" t="s">
        <v>3227</v>
      </c>
      <c r="F909" s="72"/>
      <c r="G909" s="73"/>
      <c r="H909" s="75"/>
      <c r="I909" s="102">
        <v>46094</v>
      </c>
      <c r="J909" s="70">
        <v>3</v>
      </c>
      <c r="K909" s="106" t="s">
        <v>3228</v>
      </c>
      <c r="L909" s="104">
        <f t="shared" si="279"/>
        <v>46186</v>
      </c>
      <c r="M909" s="105">
        <f ca="1" t="shared" si="280"/>
        <v>-127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277"/>
        <v>0</v>
      </c>
      <c r="Z909" s="105">
        <f ca="1" t="shared" si="278"/>
        <v>-46313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>
        <f t="shared" si="281"/>
        <v>0</v>
      </c>
      <c r="AM909" s="105">
        <f ca="1" t="shared" si="282"/>
        <v>-46313</v>
      </c>
      <c r="AN909" s="115"/>
      <c r="AO909" s="115"/>
      <c r="AP909" s="115"/>
      <c r="AQ909" s="93"/>
      <c r="AR909" s="93"/>
      <c r="AS909" s="94"/>
      <c r="AT909" s="95"/>
      <c r="AU909" s="79"/>
      <c r="AV909" s="117"/>
      <c r="AW909" s="115"/>
      <c r="AX909" s="106"/>
      <c r="AY909" s="104"/>
      <c r="AZ909" s="105"/>
    </row>
    <row r="910" customHeight="1" spans="1:52">
      <c r="A910" s="70">
        <v>909</v>
      </c>
      <c r="B910" s="70" t="s">
        <v>169</v>
      </c>
      <c r="C910" s="70" t="s">
        <v>38</v>
      </c>
      <c r="D910" s="71" t="s">
        <v>3229</v>
      </c>
      <c r="E910" s="71" t="s">
        <v>3230</v>
      </c>
      <c r="F910" s="72"/>
      <c r="G910" s="73"/>
      <c r="H910" s="75"/>
      <c r="I910" s="102">
        <v>46094</v>
      </c>
      <c r="J910" s="70">
        <v>3</v>
      </c>
      <c r="K910" s="106" t="s">
        <v>3231</v>
      </c>
      <c r="L910" s="104">
        <f t="shared" si="279"/>
        <v>46186</v>
      </c>
      <c r="M910" s="105">
        <f ca="1" t="shared" si="280"/>
        <v>-127</v>
      </c>
      <c r="N910" s="70"/>
      <c r="O910" s="70" t="s">
        <v>169</v>
      </c>
      <c r="P910" s="70" t="s">
        <v>38</v>
      </c>
      <c r="Q910" s="71" t="s">
        <v>3229</v>
      </c>
      <c r="R910" s="71" t="s">
        <v>3230</v>
      </c>
      <c r="S910" s="72"/>
      <c r="T910" s="73"/>
      <c r="U910" s="75"/>
      <c r="V910" s="102">
        <v>46278</v>
      </c>
      <c r="W910" s="70">
        <v>3</v>
      </c>
      <c r="X910" s="103" t="s">
        <v>3232</v>
      </c>
      <c r="Y910" s="104">
        <f t="shared" si="277"/>
        <v>46369</v>
      </c>
      <c r="Z910" s="105">
        <f ca="1" t="shared" si="278"/>
        <v>56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>
        <f t="shared" si="281"/>
        <v>0</v>
      </c>
      <c r="AM910" s="105">
        <f ca="1" t="shared" si="282"/>
        <v>-46313</v>
      </c>
      <c r="AN910" s="115"/>
      <c r="AO910" s="115"/>
      <c r="AP910" s="115"/>
      <c r="AQ910" s="93"/>
      <c r="AR910" s="93"/>
      <c r="AS910" s="94"/>
      <c r="AT910" s="95"/>
      <c r="AU910" s="79"/>
      <c r="AV910" s="117"/>
      <c r="AW910" s="115"/>
      <c r="AX910" s="106"/>
      <c r="AY910" s="104"/>
      <c r="AZ910" s="105"/>
    </row>
    <row r="911" customHeight="1" spans="1:52">
      <c r="A911" s="70">
        <v>910</v>
      </c>
      <c r="B911" s="70" t="s">
        <v>751</v>
      </c>
      <c r="C911" s="70" t="s">
        <v>264</v>
      </c>
      <c r="D911" s="71" t="s">
        <v>3233</v>
      </c>
      <c r="E911" s="71" t="s">
        <v>2741</v>
      </c>
      <c r="F911" s="72"/>
      <c r="G911" s="73"/>
      <c r="H911" s="75"/>
      <c r="I911" s="102">
        <v>46094</v>
      </c>
      <c r="J911" s="70">
        <v>3</v>
      </c>
      <c r="K911" s="106" t="s">
        <v>3234</v>
      </c>
      <c r="L911" s="104">
        <f t="shared" si="279"/>
        <v>46186</v>
      </c>
      <c r="M911" s="105">
        <f ca="1" t="shared" si="280"/>
        <v>-127</v>
      </c>
      <c r="N911" s="70"/>
      <c r="O911" s="70" t="s">
        <v>751</v>
      </c>
      <c r="P911" s="70" t="s">
        <v>264</v>
      </c>
      <c r="Q911" s="71" t="s">
        <v>3233</v>
      </c>
      <c r="R911" s="71" t="s">
        <v>2741</v>
      </c>
      <c r="S911" s="72"/>
      <c r="T911" s="73"/>
      <c r="U911" s="75"/>
      <c r="V911" s="102">
        <v>46194</v>
      </c>
      <c r="W911" s="70">
        <v>3</v>
      </c>
      <c r="X911" s="103" t="s">
        <v>3235</v>
      </c>
      <c r="Y911" s="104">
        <f t="shared" si="277"/>
        <v>46286</v>
      </c>
      <c r="Z911" s="105">
        <f ca="1" t="shared" si="278"/>
        <v>-27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>
        <f t="shared" si="281"/>
        <v>0</v>
      </c>
      <c r="AM911" s="105">
        <f ca="1" t="shared" si="282"/>
        <v>-46313</v>
      </c>
      <c r="AN911" s="115"/>
      <c r="AO911" s="115"/>
      <c r="AP911" s="115"/>
      <c r="AQ911" s="93"/>
      <c r="AR911" s="93"/>
      <c r="AS911" s="94"/>
      <c r="AT911" s="95"/>
      <c r="AU911" s="79"/>
      <c r="AV911" s="117"/>
      <c r="AW911" s="115"/>
      <c r="AX911" s="106"/>
      <c r="AY911" s="104"/>
      <c r="AZ911" s="105"/>
    </row>
    <row r="912" customHeight="1" spans="1:52">
      <c r="A912" s="70">
        <v>911</v>
      </c>
      <c r="B912" s="70" t="s">
        <v>751</v>
      </c>
      <c r="C912" s="70" t="s">
        <v>264</v>
      </c>
      <c r="D912" s="71" t="s">
        <v>3236</v>
      </c>
      <c r="E912" s="71" t="s">
        <v>2738</v>
      </c>
      <c r="F912" s="72"/>
      <c r="G912" s="73"/>
      <c r="H912" s="75"/>
      <c r="I912" s="102">
        <v>46094</v>
      </c>
      <c r="J912" s="70">
        <v>3</v>
      </c>
      <c r="K912" s="106" t="s">
        <v>3237</v>
      </c>
      <c r="L912" s="104">
        <f t="shared" si="279"/>
        <v>46186</v>
      </c>
      <c r="M912" s="105">
        <f ca="1" t="shared" si="280"/>
        <v>-127</v>
      </c>
      <c r="N912" s="70"/>
      <c r="O912" s="70" t="s">
        <v>751</v>
      </c>
      <c r="P912" s="70" t="s">
        <v>264</v>
      </c>
      <c r="Q912" s="71" t="s">
        <v>3236</v>
      </c>
      <c r="R912" s="71" t="s">
        <v>2738</v>
      </c>
      <c r="S912" s="72"/>
      <c r="T912" s="73"/>
      <c r="U912" s="75"/>
      <c r="V912" s="102">
        <v>46194</v>
      </c>
      <c r="W912" s="70">
        <v>3</v>
      </c>
      <c r="X912" s="103" t="s">
        <v>3238</v>
      </c>
      <c r="Y912" s="104">
        <f t="shared" si="277"/>
        <v>46286</v>
      </c>
      <c r="Z912" s="105">
        <f ca="1" t="shared" si="278"/>
        <v>-27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>
        <f t="shared" si="281"/>
        <v>0</v>
      </c>
      <c r="AM912" s="105">
        <f ca="1" t="shared" si="282"/>
        <v>-46313</v>
      </c>
      <c r="AN912" s="115"/>
      <c r="AO912" s="115"/>
      <c r="AP912" s="115"/>
      <c r="AQ912" s="93"/>
      <c r="AR912" s="93"/>
      <c r="AS912" s="94"/>
      <c r="AT912" s="95"/>
      <c r="AU912" s="79"/>
      <c r="AV912" s="117"/>
      <c r="AW912" s="115"/>
      <c r="AX912" s="106"/>
      <c r="AY912" s="104"/>
      <c r="AZ912" s="105"/>
    </row>
    <row r="913" customHeight="1" spans="1:52">
      <c r="A913" s="70">
        <v>912</v>
      </c>
      <c r="B913" s="70" t="s">
        <v>751</v>
      </c>
      <c r="C913" s="70" t="s">
        <v>264</v>
      </c>
      <c r="D913" s="71" t="s">
        <v>3239</v>
      </c>
      <c r="E913" s="71" t="s">
        <v>3240</v>
      </c>
      <c r="F913" s="72"/>
      <c r="G913" s="73"/>
      <c r="H913" s="75"/>
      <c r="I913" s="102">
        <v>46094</v>
      </c>
      <c r="J913" s="70">
        <v>3</v>
      </c>
      <c r="K913" s="106" t="s">
        <v>3241</v>
      </c>
      <c r="L913" s="104">
        <f t="shared" si="279"/>
        <v>46186</v>
      </c>
      <c r="M913" s="105">
        <f ca="1" t="shared" si="280"/>
        <v>-127</v>
      </c>
      <c r="N913" s="70"/>
      <c r="O913" s="70" t="s">
        <v>751</v>
      </c>
      <c r="P913" s="70" t="s">
        <v>264</v>
      </c>
      <c r="Q913" s="71" t="s">
        <v>3239</v>
      </c>
      <c r="R913" s="71" t="s">
        <v>3240</v>
      </c>
      <c r="S913" s="72"/>
      <c r="T913" s="73"/>
      <c r="U913" s="75"/>
      <c r="V913" s="102">
        <v>46194</v>
      </c>
      <c r="W913" s="70">
        <v>3</v>
      </c>
      <c r="X913" s="103" t="s">
        <v>3242</v>
      </c>
      <c r="Y913" s="104">
        <f t="shared" si="277"/>
        <v>46286</v>
      </c>
      <c r="Z913" s="105">
        <f ca="1" t="shared" si="278"/>
        <v>-27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>
        <f t="shared" si="281"/>
        <v>0</v>
      </c>
      <c r="AM913" s="105">
        <f ca="1" t="shared" si="282"/>
        <v>-46313</v>
      </c>
      <c r="AN913" s="115"/>
      <c r="AO913" s="115"/>
      <c r="AP913" s="115"/>
      <c r="AQ913" s="93"/>
      <c r="AR913" s="93"/>
      <c r="AS913" s="94"/>
      <c r="AT913" s="95"/>
      <c r="AU913" s="79"/>
      <c r="AV913" s="117"/>
      <c r="AW913" s="115"/>
      <c r="AX913" s="106"/>
      <c r="AY913" s="104"/>
      <c r="AZ913" s="105"/>
    </row>
    <row r="914" customHeight="1" spans="1:52">
      <c r="A914" s="70">
        <v>913</v>
      </c>
      <c r="B914" s="70" t="s">
        <v>3243</v>
      </c>
      <c r="C914" s="70" t="s">
        <v>374</v>
      </c>
      <c r="D914" s="71" t="s">
        <v>3244</v>
      </c>
      <c r="E914" s="71" t="s">
        <v>3245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3246</v>
      </c>
      <c r="L914" s="104">
        <f t="shared" si="279"/>
        <v>46186</v>
      </c>
      <c r="M914" s="105">
        <f ca="1" t="shared" si="280"/>
        <v>-127</v>
      </c>
      <c r="N914" s="70"/>
      <c r="O914" s="70" t="s">
        <v>3243</v>
      </c>
      <c r="P914" s="70" t="s">
        <v>374</v>
      </c>
      <c r="Q914" s="71" t="s">
        <v>3244</v>
      </c>
      <c r="R914" s="71" t="s">
        <v>3245</v>
      </c>
      <c r="S914" s="72"/>
      <c r="T914" s="73"/>
      <c r="U914" s="114" t="s">
        <v>16</v>
      </c>
      <c r="V914" s="102">
        <v>46306</v>
      </c>
      <c r="W914" s="70">
        <v>3</v>
      </c>
      <c r="X914" s="103"/>
      <c r="Y914" s="104">
        <f t="shared" si="277"/>
        <v>46398</v>
      </c>
      <c r="Z914" s="105">
        <f ca="1" t="shared" si="278"/>
        <v>85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>
        <f t="shared" si="281"/>
        <v>0</v>
      </c>
      <c r="AM914" s="105">
        <f ca="1" t="shared" si="282"/>
        <v>-46313</v>
      </c>
      <c r="AN914" s="115"/>
      <c r="AO914" s="115"/>
      <c r="AP914" s="115"/>
      <c r="AQ914" s="93"/>
      <c r="AR914" s="93"/>
      <c r="AS914" s="94"/>
      <c r="AT914" s="95"/>
      <c r="AU914" s="79"/>
      <c r="AV914" s="117"/>
      <c r="AW914" s="115"/>
      <c r="AX914" s="106"/>
      <c r="AY914" s="104"/>
      <c r="AZ914" s="105"/>
    </row>
    <row r="915" customHeight="1" spans="1:52">
      <c r="A915" s="70">
        <v>914</v>
      </c>
      <c r="B915" s="70" t="s">
        <v>3247</v>
      </c>
      <c r="C915" s="70" t="s">
        <v>374</v>
      </c>
      <c r="D915" s="71" t="s">
        <v>3248</v>
      </c>
      <c r="E915" s="71" t="s">
        <v>3249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3250</v>
      </c>
      <c r="L915" s="104">
        <f t="shared" si="279"/>
        <v>46186</v>
      </c>
      <c r="M915" s="105">
        <f ca="1" t="shared" si="280"/>
        <v>-127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277"/>
        <v>0</v>
      </c>
      <c r="Z915" s="105">
        <f ca="1" t="shared" si="278"/>
        <v>-46313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>
        <f t="shared" si="281"/>
        <v>0</v>
      </c>
      <c r="AM915" s="105">
        <f ca="1" t="shared" si="282"/>
        <v>-46313</v>
      </c>
      <c r="AN915" s="115"/>
      <c r="AO915" s="115"/>
      <c r="AP915" s="115"/>
      <c r="AQ915" s="93"/>
      <c r="AR915" s="93"/>
      <c r="AS915" s="94"/>
      <c r="AT915" s="95"/>
      <c r="AU915" s="79"/>
      <c r="AV915" s="117"/>
      <c r="AW915" s="115"/>
      <c r="AX915" s="106"/>
      <c r="AY915" s="104"/>
      <c r="AZ915" s="105"/>
    </row>
    <row r="916" customHeight="1" spans="1:52">
      <c r="A916" s="70">
        <v>915</v>
      </c>
      <c r="B916" s="70" t="s">
        <v>3247</v>
      </c>
      <c r="C916" s="70" t="s">
        <v>374</v>
      </c>
      <c r="D916" s="71" t="s">
        <v>3251</v>
      </c>
      <c r="E916" s="71" t="s">
        <v>3252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3253</v>
      </c>
      <c r="L916" s="104">
        <f t="shared" si="279"/>
        <v>46186</v>
      </c>
      <c r="M916" s="105">
        <f ca="1" t="shared" si="280"/>
        <v>-127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277"/>
        <v>0</v>
      </c>
      <c r="Z916" s="105">
        <f ca="1" t="shared" si="278"/>
        <v>-46313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>
        <f t="shared" si="281"/>
        <v>0</v>
      </c>
      <c r="AM916" s="105">
        <f ca="1" t="shared" si="282"/>
        <v>-46313</v>
      </c>
      <c r="AN916" s="115"/>
      <c r="AO916" s="115"/>
      <c r="AP916" s="115"/>
      <c r="AQ916" s="93"/>
      <c r="AR916" s="93"/>
      <c r="AS916" s="94"/>
      <c r="AT916" s="95"/>
      <c r="AU916" s="79"/>
      <c r="AV916" s="117"/>
      <c r="AW916" s="115"/>
      <c r="AX916" s="106"/>
      <c r="AY916" s="104"/>
      <c r="AZ916" s="105"/>
    </row>
    <row r="917" customHeight="1" spans="1:52">
      <c r="A917" s="70">
        <v>916</v>
      </c>
      <c r="B917" s="70" t="s">
        <v>1220</v>
      </c>
      <c r="C917" s="70" t="s">
        <v>38</v>
      </c>
      <c r="D917" s="71" t="s">
        <v>3254</v>
      </c>
      <c r="E917" s="71" t="s">
        <v>735</v>
      </c>
      <c r="F917" s="72"/>
      <c r="G917" s="73"/>
      <c r="H917" s="75"/>
      <c r="I917" s="102">
        <v>46095</v>
      </c>
      <c r="J917" s="70">
        <v>3</v>
      </c>
      <c r="K917" s="106" t="s">
        <v>3255</v>
      </c>
      <c r="L917" s="104">
        <f t="shared" si="279"/>
        <v>46187</v>
      </c>
      <c r="M917" s="105">
        <f ca="1" t="shared" si="280"/>
        <v>-126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277"/>
        <v>0</v>
      </c>
      <c r="Z917" s="105">
        <f ca="1" t="shared" si="278"/>
        <v>-46313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>
        <f t="shared" si="281"/>
        <v>0</v>
      </c>
      <c r="AM917" s="105">
        <f ca="1" t="shared" si="282"/>
        <v>-46313</v>
      </c>
      <c r="AN917" s="115"/>
      <c r="AO917" s="115"/>
      <c r="AP917" s="115"/>
      <c r="AQ917" s="93"/>
      <c r="AR917" s="93"/>
      <c r="AS917" s="94"/>
      <c r="AT917" s="95"/>
      <c r="AU917" s="79"/>
      <c r="AV917" s="117"/>
      <c r="AW917" s="115"/>
      <c r="AX917" s="106"/>
      <c r="AY917" s="104"/>
      <c r="AZ917" s="105"/>
    </row>
    <row r="918" customHeight="1" spans="1:52">
      <c r="A918" s="70">
        <v>917</v>
      </c>
      <c r="B918" s="70" t="s">
        <v>229</v>
      </c>
      <c r="C918" s="70" t="s">
        <v>13</v>
      </c>
      <c r="D918" s="71" t="s">
        <v>3256</v>
      </c>
      <c r="E918" s="71" t="s">
        <v>136</v>
      </c>
      <c r="F918" s="72"/>
      <c r="G918" s="73"/>
      <c r="H918" s="75"/>
      <c r="I918" s="102">
        <v>46095</v>
      </c>
      <c r="J918" s="70">
        <v>3</v>
      </c>
      <c r="K918" s="106" t="s">
        <v>3257</v>
      </c>
      <c r="L918" s="104">
        <f t="shared" si="279"/>
        <v>46187</v>
      </c>
      <c r="M918" s="105">
        <f ca="1" t="shared" si="280"/>
        <v>-126</v>
      </c>
      <c r="N918" s="70"/>
      <c r="O918" s="70" t="s">
        <v>229</v>
      </c>
      <c r="P918" s="70" t="s">
        <v>13</v>
      </c>
      <c r="Q918" s="71" t="s">
        <v>3256</v>
      </c>
      <c r="R918" s="71" t="s">
        <v>136</v>
      </c>
      <c r="S918" s="72"/>
      <c r="T918" s="73"/>
      <c r="U918" s="75"/>
      <c r="V918" s="102">
        <v>46202</v>
      </c>
      <c r="W918" s="70">
        <v>3</v>
      </c>
      <c r="X918" s="103" t="s">
        <v>3258</v>
      </c>
      <c r="Y918" s="104">
        <f t="shared" si="277"/>
        <v>46294</v>
      </c>
      <c r="Z918" s="105">
        <f ca="1" t="shared" si="278"/>
        <v>-19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>
        <f t="shared" si="281"/>
        <v>0</v>
      </c>
      <c r="AM918" s="105">
        <f ca="1" t="shared" si="282"/>
        <v>-46313</v>
      </c>
      <c r="AN918" s="115"/>
      <c r="AO918" s="115"/>
      <c r="AP918" s="115"/>
      <c r="AQ918" s="93"/>
      <c r="AR918" s="93"/>
      <c r="AS918" s="94"/>
      <c r="AT918" s="95"/>
      <c r="AU918" s="79"/>
      <c r="AV918" s="117"/>
      <c r="AW918" s="115"/>
      <c r="AX918" s="106"/>
      <c r="AY918" s="104"/>
      <c r="AZ918" s="105"/>
    </row>
    <row r="919" customHeight="1" spans="1:52">
      <c r="A919" s="70">
        <v>918</v>
      </c>
      <c r="B919" s="70" t="s">
        <v>1275</v>
      </c>
      <c r="C919" s="70" t="s">
        <v>13</v>
      </c>
      <c r="D919" s="71" t="s">
        <v>3259</v>
      </c>
      <c r="E919" s="71" t="s">
        <v>76</v>
      </c>
      <c r="F919" s="72"/>
      <c r="G919" s="73"/>
      <c r="H919" s="75"/>
      <c r="I919" s="102">
        <v>46095</v>
      </c>
      <c r="J919" s="70">
        <v>3</v>
      </c>
      <c r="K919" s="106" t="s">
        <v>3260</v>
      </c>
      <c r="L919" s="104">
        <f t="shared" si="279"/>
        <v>46187</v>
      </c>
      <c r="M919" s="105">
        <f ca="1" t="shared" si="280"/>
        <v>-126</v>
      </c>
      <c r="N919" s="70"/>
      <c r="O919" s="70" t="s">
        <v>1275</v>
      </c>
      <c r="P919" s="70" t="s">
        <v>13</v>
      </c>
      <c r="Q919" s="71" t="s">
        <v>3259</v>
      </c>
      <c r="R919" s="71" t="s">
        <v>76</v>
      </c>
      <c r="S919" s="72"/>
      <c r="T919" s="73"/>
      <c r="U919" s="75"/>
      <c r="V919" s="102">
        <v>46198</v>
      </c>
      <c r="W919" s="70">
        <v>3</v>
      </c>
      <c r="X919" s="103" t="s">
        <v>3261</v>
      </c>
      <c r="Y919" s="104">
        <f t="shared" si="277"/>
        <v>46290</v>
      </c>
      <c r="Z919" s="105">
        <f ca="1" t="shared" si="278"/>
        <v>-23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>
        <f t="shared" si="281"/>
        <v>0</v>
      </c>
      <c r="AM919" s="105">
        <f ca="1" t="shared" si="282"/>
        <v>-46313</v>
      </c>
      <c r="AN919" s="115"/>
      <c r="AO919" s="115"/>
      <c r="AP919" s="115"/>
      <c r="AQ919" s="93"/>
      <c r="AR919" s="93"/>
      <c r="AS919" s="94"/>
      <c r="AT919" s="95"/>
      <c r="AU919" s="79"/>
      <c r="AV919" s="117"/>
      <c r="AW919" s="115"/>
      <c r="AX919" s="106"/>
      <c r="AY919" s="104"/>
      <c r="AZ919" s="105"/>
    </row>
    <row r="920" customHeight="1" spans="1:52">
      <c r="A920" s="70">
        <v>919</v>
      </c>
      <c r="B920" s="70" t="s">
        <v>3262</v>
      </c>
      <c r="C920" s="70" t="s">
        <v>38</v>
      </c>
      <c r="D920" s="71" t="s">
        <v>3263</v>
      </c>
      <c r="E920" s="71" t="s">
        <v>3264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3265</v>
      </c>
      <c r="L920" s="104">
        <f t="shared" si="279"/>
        <v>46187</v>
      </c>
      <c r="M920" s="105">
        <f ca="1" t="shared" si="280"/>
        <v>-126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277"/>
        <v>0</v>
      </c>
      <c r="Z920" s="105">
        <f ca="1" t="shared" si="278"/>
        <v>-46313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>
        <f t="shared" si="281"/>
        <v>0</v>
      </c>
      <c r="AM920" s="105">
        <f ca="1" t="shared" si="282"/>
        <v>-46313</v>
      </c>
      <c r="AN920" s="115"/>
      <c r="AO920" s="115"/>
      <c r="AP920" s="115"/>
      <c r="AQ920" s="93"/>
      <c r="AR920" s="93"/>
      <c r="AS920" s="94"/>
      <c r="AT920" s="95"/>
      <c r="AU920" s="79"/>
      <c r="AV920" s="117"/>
      <c r="AW920" s="115"/>
      <c r="AX920" s="106"/>
      <c r="AY920" s="104"/>
      <c r="AZ920" s="105"/>
    </row>
    <row r="921" customHeight="1" spans="1:52">
      <c r="A921" s="70">
        <v>920</v>
      </c>
      <c r="B921" s="70" t="s">
        <v>2918</v>
      </c>
      <c r="C921" s="70" t="s">
        <v>38</v>
      </c>
      <c r="D921" s="71" t="s">
        <v>3266</v>
      </c>
      <c r="E921" s="71" t="s">
        <v>1928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3267</v>
      </c>
      <c r="L921" s="104">
        <f t="shared" si="279"/>
        <v>46187</v>
      </c>
      <c r="M921" s="105">
        <f ca="1" t="shared" si="280"/>
        <v>-126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277"/>
        <v>0</v>
      </c>
      <c r="Z921" s="105">
        <f ca="1" t="shared" si="278"/>
        <v>-46313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>
        <f t="shared" si="281"/>
        <v>0</v>
      </c>
      <c r="AM921" s="105">
        <f ca="1" t="shared" si="282"/>
        <v>-46313</v>
      </c>
      <c r="AN921" s="115"/>
      <c r="AO921" s="115"/>
      <c r="AP921" s="115"/>
      <c r="AQ921" s="93"/>
      <c r="AR921" s="93"/>
      <c r="AS921" s="94"/>
      <c r="AT921" s="95"/>
      <c r="AU921" s="79"/>
      <c r="AV921" s="117"/>
      <c r="AW921" s="115"/>
      <c r="AX921" s="106"/>
      <c r="AY921" s="104"/>
      <c r="AZ921" s="105"/>
    </row>
    <row r="922" customHeight="1" spans="1:52">
      <c r="A922" s="70">
        <v>921</v>
      </c>
      <c r="B922" s="70" t="s">
        <v>74</v>
      </c>
      <c r="C922" s="70" t="s">
        <v>374</v>
      </c>
      <c r="D922" s="71" t="s">
        <v>3268</v>
      </c>
      <c r="E922" s="71" t="s">
        <v>3269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3270</v>
      </c>
      <c r="L922" s="104">
        <f t="shared" si="279"/>
        <v>46187</v>
      </c>
      <c r="M922" s="105">
        <f ca="1" t="shared" si="280"/>
        <v>-126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277"/>
        <v>0</v>
      </c>
      <c r="Z922" s="105">
        <f ca="1" t="shared" si="278"/>
        <v>-46313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>
        <f t="shared" si="281"/>
        <v>0</v>
      </c>
      <c r="AM922" s="105">
        <f ca="1" t="shared" si="282"/>
        <v>-46313</v>
      </c>
      <c r="AN922" s="115"/>
      <c r="AO922" s="115"/>
      <c r="AP922" s="115"/>
      <c r="AQ922" s="93"/>
      <c r="AR922" s="93"/>
      <c r="AS922" s="94"/>
      <c r="AT922" s="95"/>
      <c r="AU922" s="79"/>
      <c r="AV922" s="117"/>
      <c r="AW922" s="115"/>
      <c r="AX922" s="106"/>
      <c r="AY922" s="104"/>
      <c r="AZ922" s="105"/>
    </row>
    <row r="923" customHeight="1" spans="1:52">
      <c r="A923" s="70">
        <v>922</v>
      </c>
      <c r="B923" s="70" t="s">
        <v>3271</v>
      </c>
      <c r="C923" s="70" t="s">
        <v>374</v>
      </c>
      <c r="D923" s="71" t="s">
        <v>3272</v>
      </c>
      <c r="E923" s="71" t="s">
        <v>3273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3274</v>
      </c>
      <c r="L923" s="104">
        <f t="shared" si="279"/>
        <v>46187</v>
      </c>
      <c r="M923" s="105">
        <f ca="1" t="shared" si="280"/>
        <v>-126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277"/>
        <v>0</v>
      </c>
      <c r="Z923" s="105">
        <f ca="1" t="shared" si="278"/>
        <v>-46313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>
        <f t="shared" si="281"/>
        <v>0</v>
      </c>
      <c r="AM923" s="105">
        <f ca="1" t="shared" si="282"/>
        <v>-46313</v>
      </c>
      <c r="AN923" s="115"/>
      <c r="AO923" s="115"/>
      <c r="AP923" s="115"/>
      <c r="AQ923" s="93"/>
      <c r="AR923" s="93"/>
      <c r="AS923" s="94"/>
      <c r="AT923" s="95"/>
      <c r="AU923" s="79"/>
      <c r="AV923" s="117"/>
      <c r="AW923" s="115"/>
      <c r="AX923" s="106"/>
      <c r="AY923" s="104"/>
      <c r="AZ923" s="105"/>
    </row>
    <row r="924" customHeight="1" spans="1:52">
      <c r="A924" s="70">
        <v>923</v>
      </c>
      <c r="B924" s="70" t="s">
        <v>3275</v>
      </c>
      <c r="C924" s="70" t="s">
        <v>374</v>
      </c>
      <c r="D924" s="71" t="s">
        <v>3276</v>
      </c>
      <c r="E924" s="71" t="s">
        <v>3277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3278</v>
      </c>
      <c r="L924" s="104">
        <f t="shared" si="279"/>
        <v>46187</v>
      </c>
      <c r="M924" s="105">
        <f ca="1" t="shared" si="280"/>
        <v>-126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277"/>
        <v>0</v>
      </c>
      <c r="Z924" s="105">
        <f ca="1" t="shared" si="278"/>
        <v>-46313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>
        <f t="shared" si="281"/>
        <v>0</v>
      </c>
      <c r="AM924" s="105">
        <f ca="1" t="shared" si="282"/>
        <v>-46313</v>
      </c>
      <c r="AN924" s="115"/>
      <c r="AO924" s="115"/>
      <c r="AP924" s="115"/>
      <c r="AQ924" s="93"/>
      <c r="AR924" s="93"/>
      <c r="AS924" s="94"/>
      <c r="AT924" s="95"/>
      <c r="AU924" s="79"/>
      <c r="AV924" s="117"/>
      <c r="AW924" s="115"/>
      <c r="AX924" s="106"/>
      <c r="AY924" s="104"/>
      <c r="AZ924" s="105"/>
    </row>
    <row r="925" customHeight="1" spans="1:52">
      <c r="A925" s="70">
        <v>924</v>
      </c>
      <c r="B925" s="70" t="s">
        <v>270</v>
      </c>
      <c r="C925" s="70" t="s">
        <v>264</v>
      </c>
      <c r="D925" s="71" t="s">
        <v>1580</v>
      </c>
      <c r="E925" s="71" t="s">
        <v>3279</v>
      </c>
      <c r="F925" s="72"/>
      <c r="G925" s="73"/>
      <c r="H925" s="75"/>
      <c r="I925" s="102">
        <v>46095</v>
      </c>
      <c r="J925" s="70" t="s">
        <v>767</v>
      </c>
      <c r="K925" s="106"/>
      <c r="L925" s="104" t="e">
        <f t="shared" si="279"/>
        <v>#VALUE!</v>
      </c>
      <c r="M925" s="105" t="e">
        <f ca="1" t="shared" si="280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277"/>
        <v>0</v>
      </c>
      <c r="Z925" s="105">
        <f ca="1" t="shared" si="278"/>
        <v>-46313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>
        <f t="shared" si="281"/>
        <v>0</v>
      </c>
      <c r="AM925" s="105">
        <f ca="1" t="shared" si="282"/>
        <v>-46313</v>
      </c>
      <c r="AN925" s="115"/>
      <c r="AO925" s="115"/>
      <c r="AP925" s="115"/>
      <c r="AQ925" s="93"/>
      <c r="AR925" s="93"/>
      <c r="AS925" s="94"/>
      <c r="AT925" s="95"/>
      <c r="AU925" s="79"/>
      <c r="AV925" s="117"/>
      <c r="AW925" s="115"/>
      <c r="AX925" s="106"/>
      <c r="AY925" s="104"/>
      <c r="AZ925" s="105"/>
    </row>
    <row r="926" customHeight="1" spans="1:52">
      <c r="A926" s="70">
        <v>925</v>
      </c>
      <c r="B926" s="70" t="s">
        <v>1275</v>
      </c>
      <c r="C926" s="70" t="s">
        <v>38</v>
      </c>
      <c r="D926" s="71" t="s">
        <v>3280</v>
      </c>
      <c r="E926" s="71" t="s">
        <v>189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3281</v>
      </c>
      <c r="L926" s="104">
        <f t="shared" si="279"/>
        <v>46187</v>
      </c>
      <c r="M926" s="105">
        <f ca="1" t="shared" si="280"/>
        <v>-126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277"/>
        <v>0</v>
      </c>
      <c r="Z926" s="105">
        <f ca="1" t="shared" si="278"/>
        <v>-46313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>
        <f t="shared" si="281"/>
        <v>0</v>
      </c>
      <c r="AM926" s="105">
        <f ca="1" t="shared" si="282"/>
        <v>-46313</v>
      </c>
      <c r="AN926" s="115"/>
      <c r="AO926" s="115"/>
      <c r="AP926" s="115"/>
      <c r="AQ926" s="93"/>
      <c r="AR926" s="93"/>
      <c r="AS926" s="94"/>
      <c r="AT926" s="95"/>
      <c r="AU926" s="79"/>
      <c r="AV926" s="117"/>
      <c r="AW926" s="115"/>
      <c r="AX926" s="106"/>
      <c r="AY926" s="104"/>
      <c r="AZ926" s="105"/>
    </row>
    <row r="927" customHeight="1" spans="1:52">
      <c r="A927" s="70">
        <v>926</v>
      </c>
      <c r="B927" s="70" t="s">
        <v>270</v>
      </c>
      <c r="C927" s="70" t="s">
        <v>264</v>
      </c>
      <c r="D927" s="71" t="s">
        <v>271</v>
      </c>
      <c r="E927" s="93" t="s">
        <v>272</v>
      </c>
      <c r="F927" s="94"/>
      <c r="G927" s="95"/>
      <c r="H927" s="75"/>
      <c r="I927" s="102">
        <v>46096</v>
      </c>
      <c r="J927" s="70" t="s">
        <v>767</v>
      </c>
      <c r="K927" s="106" t="s">
        <v>3282</v>
      </c>
      <c r="L927" s="104" t="e">
        <f t="shared" ref="L927:L983" si="283">EDATE(I927,J927)</f>
        <v>#VALUE!</v>
      </c>
      <c r="M927" s="105" t="e">
        <f ca="1" t="shared" ref="M927:M983" si="28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277"/>
        <v>0</v>
      </c>
      <c r="Z927" s="105">
        <f ca="1" t="shared" si="278"/>
        <v>-46313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>
        <f t="shared" si="281"/>
        <v>0</v>
      </c>
      <c r="AM927" s="105">
        <f ca="1" t="shared" si="282"/>
        <v>-46313</v>
      </c>
      <c r="AN927" s="115"/>
      <c r="AO927" s="115"/>
      <c r="AP927" s="115"/>
      <c r="AQ927" s="93"/>
      <c r="AR927" s="93"/>
      <c r="AS927" s="94"/>
      <c r="AT927" s="95"/>
      <c r="AU927" s="79"/>
      <c r="AV927" s="117"/>
      <c r="AW927" s="115"/>
      <c r="AX927" s="106"/>
      <c r="AY927" s="104"/>
      <c r="AZ927" s="105"/>
    </row>
    <row r="928" customHeight="1" spans="1:52">
      <c r="A928" s="70">
        <v>927</v>
      </c>
      <c r="B928" s="70" t="s">
        <v>366</v>
      </c>
      <c r="C928" s="70" t="s">
        <v>264</v>
      </c>
      <c r="D928" s="71" t="s">
        <v>367</v>
      </c>
      <c r="E928" s="71" t="s">
        <v>368</v>
      </c>
      <c r="F928" s="72"/>
      <c r="G928" s="73"/>
      <c r="H928" s="75"/>
      <c r="I928" s="102">
        <v>46096</v>
      </c>
      <c r="J928" s="70" t="s">
        <v>767</v>
      </c>
      <c r="K928" s="106" t="s">
        <v>3283</v>
      </c>
      <c r="L928" s="104" t="e">
        <f t="shared" si="283"/>
        <v>#VALUE!</v>
      </c>
      <c r="M928" s="105" t="e">
        <f ca="1" t="shared" si="28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277"/>
        <v>0</v>
      </c>
      <c r="Z928" s="105">
        <f ca="1" t="shared" si="278"/>
        <v>-46313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>
        <f t="shared" si="281"/>
        <v>0</v>
      </c>
      <c r="AM928" s="105">
        <f ca="1" t="shared" si="282"/>
        <v>-46313</v>
      </c>
      <c r="AN928" s="115"/>
      <c r="AO928" s="115"/>
      <c r="AP928" s="115"/>
      <c r="AQ928" s="93"/>
      <c r="AR928" s="93"/>
      <c r="AS928" s="94"/>
      <c r="AT928" s="95"/>
      <c r="AU928" s="79"/>
      <c r="AV928" s="117"/>
      <c r="AW928" s="115"/>
      <c r="AX928" s="106"/>
      <c r="AY928" s="104"/>
      <c r="AZ928" s="105"/>
    </row>
    <row r="929" customHeight="1" spans="1:52">
      <c r="A929" s="70">
        <v>928</v>
      </c>
      <c r="B929" s="70" t="s">
        <v>134</v>
      </c>
      <c r="C929" s="70" t="s">
        <v>38</v>
      </c>
      <c r="D929" s="71" t="s">
        <v>3284</v>
      </c>
      <c r="E929" s="71" t="s">
        <v>40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3285</v>
      </c>
      <c r="L929" s="104">
        <f t="shared" si="283"/>
        <v>46188</v>
      </c>
      <c r="M929" s="105">
        <f ca="1" t="shared" si="284"/>
        <v>-125</v>
      </c>
      <c r="N929" s="70"/>
      <c r="O929" s="70" t="s">
        <v>134</v>
      </c>
      <c r="P929" s="70" t="s">
        <v>38</v>
      </c>
      <c r="Q929" s="71" t="s">
        <v>3284</v>
      </c>
      <c r="R929" s="71" t="s">
        <v>40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3286</v>
      </c>
      <c r="Y929" s="104">
        <f t="shared" si="277"/>
        <v>46286</v>
      </c>
      <c r="Z929" s="105">
        <f ca="1" t="shared" si="278"/>
        <v>-27</v>
      </c>
      <c r="AA929" s="70"/>
      <c r="AB929" s="70" t="s">
        <v>134</v>
      </c>
      <c r="AC929" s="70" t="s">
        <v>38</v>
      </c>
      <c r="AD929" s="71" t="s">
        <v>3284</v>
      </c>
      <c r="AE929" s="71" t="s">
        <v>40</v>
      </c>
      <c r="AF929" s="72"/>
      <c r="AG929" s="73"/>
      <c r="AH929" s="79" t="s">
        <v>16</v>
      </c>
      <c r="AI929" s="102">
        <v>46287</v>
      </c>
      <c r="AJ929" s="70">
        <v>3</v>
      </c>
      <c r="AK929" s="103" t="s">
        <v>3287</v>
      </c>
      <c r="AL929" s="104">
        <f t="shared" si="281"/>
        <v>46378</v>
      </c>
      <c r="AM929" s="105">
        <f ca="1" t="shared" si="282"/>
        <v>65</v>
      </c>
      <c r="AN929" s="115"/>
      <c r="AO929" s="115"/>
      <c r="AP929" s="115"/>
      <c r="AQ929" s="93"/>
      <c r="AR929" s="93"/>
      <c r="AS929" s="94"/>
      <c r="AT929" s="95"/>
      <c r="AU929" s="79"/>
      <c r="AV929" s="117"/>
      <c r="AW929" s="115"/>
      <c r="AX929" s="106"/>
      <c r="AY929" s="104"/>
      <c r="AZ929" s="105"/>
    </row>
    <row r="930" customHeight="1" spans="1:52">
      <c r="A930" s="70">
        <v>929</v>
      </c>
      <c r="B930" s="70" t="s">
        <v>1359</v>
      </c>
      <c r="C930" s="70" t="s">
        <v>13</v>
      </c>
      <c r="D930" s="71" t="s">
        <v>3288</v>
      </c>
      <c r="E930" s="71" t="s">
        <v>311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3289</v>
      </c>
      <c r="L930" s="104">
        <f t="shared" si="283"/>
        <v>46189</v>
      </c>
      <c r="M930" s="105">
        <f ca="1" t="shared" si="284"/>
        <v>-124</v>
      </c>
      <c r="N930" s="70"/>
      <c r="O930" s="70" t="s">
        <v>1359</v>
      </c>
      <c r="P930" s="70" t="s">
        <v>13</v>
      </c>
      <c r="Q930" s="71" t="s">
        <v>3288</v>
      </c>
      <c r="R930" s="71" t="s">
        <v>311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3290</v>
      </c>
      <c r="Y930" s="104">
        <f t="shared" si="277"/>
        <v>46302</v>
      </c>
      <c r="Z930" s="105">
        <f ca="1" t="shared" si="278"/>
        <v>-11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>
        <f t="shared" si="281"/>
        <v>0</v>
      </c>
      <c r="AM930" s="105">
        <f ca="1" t="shared" si="282"/>
        <v>-46313</v>
      </c>
      <c r="AN930" s="115"/>
      <c r="AO930" s="115"/>
      <c r="AP930" s="115"/>
      <c r="AQ930" s="93"/>
      <c r="AR930" s="93"/>
      <c r="AS930" s="94"/>
      <c r="AT930" s="95"/>
      <c r="AU930" s="79"/>
      <c r="AV930" s="117"/>
      <c r="AW930" s="115"/>
      <c r="AX930" s="106"/>
      <c r="AY930" s="104"/>
      <c r="AZ930" s="105"/>
    </row>
    <row r="931" customHeight="1" spans="1:52">
      <c r="A931" s="70">
        <v>930</v>
      </c>
      <c r="B931" s="70" t="s">
        <v>1359</v>
      </c>
      <c r="C931" s="70" t="s">
        <v>13</v>
      </c>
      <c r="D931" s="71" t="s">
        <v>3291</v>
      </c>
      <c r="E931" s="71" t="s">
        <v>3292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3293</v>
      </c>
      <c r="L931" s="104">
        <f t="shared" si="283"/>
        <v>46189</v>
      </c>
      <c r="M931" s="105">
        <f ca="1" t="shared" si="284"/>
        <v>-124</v>
      </c>
      <c r="N931" s="70"/>
      <c r="O931" s="70" t="s">
        <v>1359</v>
      </c>
      <c r="P931" s="70" t="s">
        <v>13</v>
      </c>
      <c r="Q931" s="71" t="s">
        <v>3291</v>
      </c>
      <c r="R931" s="71" t="s">
        <v>3292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3294</v>
      </c>
      <c r="Y931" s="104">
        <f t="shared" si="277"/>
        <v>46302</v>
      </c>
      <c r="Z931" s="105">
        <f ca="1" t="shared" si="278"/>
        <v>-11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5"/>
      <c r="AO931" s="115"/>
      <c r="AP931" s="115"/>
      <c r="AQ931" s="93"/>
      <c r="AR931" s="93"/>
      <c r="AS931" s="94"/>
      <c r="AT931" s="95"/>
      <c r="AU931" s="79"/>
      <c r="AV931" s="117"/>
      <c r="AW931" s="115"/>
      <c r="AX931" s="106"/>
      <c r="AY931" s="104"/>
      <c r="AZ931" s="105"/>
    </row>
    <row r="932" customHeight="1" spans="1:52">
      <c r="A932" s="70">
        <v>931</v>
      </c>
      <c r="B932" s="70" t="s">
        <v>1359</v>
      </c>
      <c r="C932" s="70" t="s">
        <v>13</v>
      </c>
      <c r="D932" s="71" t="s">
        <v>3295</v>
      </c>
      <c r="E932" s="71" t="s">
        <v>3296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3297</v>
      </c>
      <c r="L932" s="104">
        <f t="shared" si="283"/>
        <v>46189</v>
      </c>
      <c r="M932" s="105">
        <f ca="1" t="shared" si="284"/>
        <v>-124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277"/>
        <v>0</v>
      </c>
      <c r="Z932" s="105">
        <f ca="1" t="shared" si="278"/>
        <v>-46313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5"/>
      <c r="AO932" s="115"/>
      <c r="AP932" s="115"/>
      <c r="AQ932" s="93"/>
      <c r="AR932" s="93"/>
      <c r="AS932" s="94"/>
      <c r="AT932" s="95"/>
      <c r="AU932" s="79"/>
      <c r="AV932" s="117"/>
      <c r="AW932" s="115"/>
      <c r="AX932" s="106"/>
      <c r="AY932" s="104"/>
      <c r="AZ932" s="105"/>
    </row>
    <row r="933" customHeight="1" spans="1:52">
      <c r="A933" s="70">
        <v>932</v>
      </c>
      <c r="B933" s="70" t="s">
        <v>3298</v>
      </c>
      <c r="C933" s="70" t="s">
        <v>38</v>
      </c>
      <c r="D933" s="71" t="s">
        <v>3299</v>
      </c>
      <c r="E933" s="71" t="s">
        <v>332</v>
      </c>
      <c r="F933" s="72"/>
      <c r="G933" s="73"/>
      <c r="H933" s="75"/>
      <c r="I933" s="102">
        <v>46097</v>
      </c>
      <c r="J933" s="70">
        <v>3</v>
      </c>
      <c r="K933" s="106" t="s">
        <v>3300</v>
      </c>
      <c r="L933" s="104">
        <f t="shared" si="283"/>
        <v>46189</v>
      </c>
      <c r="M933" s="105">
        <f ca="1" t="shared" si="284"/>
        <v>-124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277"/>
        <v>0</v>
      </c>
      <c r="Z933" s="105">
        <f ca="1" t="shared" si="278"/>
        <v>-46313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5"/>
      <c r="AO933" s="115"/>
      <c r="AP933" s="115"/>
      <c r="AQ933" s="93"/>
      <c r="AR933" s="93"/>
      <c r="AS933" s="94"/>
      <c r="AT933" s="95"/>
      <c r="AU933" s="79"/>
      <c r="AV933" s="117"/>
      <c r="AW933" s="115"/>
      <c r="AX933" s="106"/>
      <c r="AY933" s="104"/>
      <c r="AZ933" s="105"/>
    </row>
    <row r="934" customHeight="1" spans="1:52">
      <c r="A934" s="70">
        <v>933</v>
      </c>
      <c r="B934" s="70" t="s">
        <v>263</v>
      </c>
      <c r="C934" s="70" t="s">
        <v>264</v>
      </c>
      <c r="D934" s="71" t="s">
        <v>265</v>
      </c>
      <c r="E934" s="71" t="s">
        <v>266</v>
      </c>
      <c r="F934" s="72"/>
      <c r="G934" s="73"/>
      <c r="H934" s="75"/>
      <c r="I934" s="102">
        <v>46097</v>
      </c>
      <c r="J934" s="70" t="s">
        <v>767</v>
      </c>
      <c r="K934" s="106"/>
      <c r="L934" s="104" t="e">
        <f t="shared" si="283"/>
        <v>#VALUE!</v>
      </c>
      <c r="M934" s="105" t="e">
        <f ca="1" t="shared" si="28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277"/>
        <v>0</v>
      </c>
      <c r="Z934" s="105">
        <f ca="1" t="shared" si="278"/>
        <v>-46313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5"/>
      <c r="AO934" s="115"/>
      <c r="AP934" s="115"/>
      <c r="AQ934" s="93"/>
      <c r="AR934" s="93"/>
      <c r="AS934" s="94"/>
      <c r="AT934" s="95"/>
      <c r="AU934" s="79"/>
      <c r="AV934" s="117"/>
      <c r="AW934" s="115"/>
      <c r="AX934" s="106"/>
      <c r="AY934" s="104"/>
      <c r="AZ934" s="105"/>
    </row>
    <row r="935" customHeight="1" spans="1:52">
      <c r="A935" s="70">
        <v>934</v>
      </c>
      <c r="B935" s="70" t="s">
        <v>2552</v>
      </c>
      <c r="C935" s="70" t="s">
        <v>264</v>
      </c>
      <c r="D935" s="71" t="s">
        <v>3301</v>
      </c>
      <c r="E935" s="71" t="s">
        <v>277</v>
      </c>
      <c r="F935" s="72"/>
      <c r="G935" s="73"/>
      <c r="H935" s="75"/>
      <c r="I935" s="102">
        <v>46097</v>
      </c>
      <c r="J935" s="70">
        <v>3</v>
      </c>
      <c r="K935" s="106" t="s">
        <v>3302</v>
      </c>
      <c r="L935" s="104">
        <f t="shared" si="283"/>
        <v>46189</v>
      </c>
      <c r="M935" s="105">
        <f ca="1" t="shared" si="284"/>
        <v>-124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277"/>
        <v>0</v>
      </c>
      <c r="Z935" s="105">
        <f ca="1" t="shared" si="278"/>
        <v>-46313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5"/>
      <c r="AO935" s="115"/>
      <c r="AP935" s="115"/>
      <c r="AQ935" s="93"/>
      <c r="AR935" s="93"/>
      <c r="AS935" s="94"/>
      <c r="AT935" s="95"/>
      <c r="AU935" s="79"/>
      <c r="AV935" s="117"/>
      <c r="AW935" s="115"/>
      <c r="AX935" s="106"/>
      <c r="AY935" s="104"/>
      <c r="AZ935" s="105"/>
    </row>
    <row r="936" customHeight="1" spans="1:52">
      <c r="A936" s="70">
        <v>934</v>
      </c>
      <c r="B936" s="70" t="s">
        <v>1399</v>
      </c>
      <c r="C936" s="70" t="s">
        <v>374</v>
      </c>
      <c r="D936" s="206" t="s">
        <v>3303</v>
      </c>
      <c r="E936" s="71" t="s">
        <v>883</v>
      </c>
      <c r="F936" s="72"/>
      <c r="G936" s="73"/>
      <c r="H936" s="75"/>
      <c r="I936" s="102">
        <v>46097</v>
      </c>
      <c r="J936" s="70">
        <v>3</v>
      </c>
      <c r="K936" s="106" t="s">
        <v>3304</v>
      </c>
      <c r="L936" s="104">
        <f t="shared" si="283"/>
        <v>46189</v>
      </c>
      <c r="M936" s="105">
        <f ca="1" t="shared" si="284"/>
        <v>-124</v>
      </c>
      <c r="N936" s="70"/>
      <c r="O936" s="70" t="s">
        <v>1399</v>
      </c>
      <c r="P936" s="70" t="s">
        <v>374</v>
      </c>
      <c r="Q936" s="206" t="s">
        <v>3303</v>
      </c>
      <c r="R936" s="71" t="s">
        <v>883</v>
      </c>
      <c r="S936" s="72"/>
      <c r="T936" s="73"/>
      <c r="U936" s="75"/>
      <c r="V936" s="102">
        <v>46280</v>
      </c>
      <c r="W936" s="70">
        <v>3</v>
      </c>
      <c r="X936" s="103" t="s">
        <v>3305</v>
      </c>
      <c r="Y936" s="104">
        <f t="shared" si="277"/>
        <v>46371</v>
      </c>
      <c r="Z936" s="105">
        <f ca="1" t="shared" si="278"/>
        <v>58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5"/>
      <c r="AO936" s="115"/>
      <c r="AP936" s="115"/>
      <c r="AQ936" s="93"/>
      <c r="AR936" s="93"/>
      <c r="AS936" s="94"/>
      <c r="AT936" s="95"/>
      <c r="AU936" s="79"/>
      <c r="AV936" s="117"/>
      <c r="AW936" s="115"/>
      <c r="AX936" s="106"/>
      <c r="AY936" s="104"/>
      <c r="AZ936" s="105"/>
    </row>
    <row r="937" customHeight="1" spans="1:52">
      <c r="A937" s="70">
        <v>935</v>
      </c>
      <c r="B937" s="70" t="s">
        <v>1399</v>
      </c>
      <c r="C937" s="70" t="s">
        <v>374</v>
      </c>
      <c r="D937" s="206" t="s">
        <v>3306</v>
      </c>
      <c r="E937" s="71" t="s">
        <v>883</v>
      </c>
      <c r="F937" s="72"/>
      <c r="G937" s="73"/>
      <c r="H937" s="75"/>
      <c r="I937" s="102">
        <v>46097</v>
      </c>
      <c r="J937" s="70">
        <v>3</v>
      </c>
      <c r="K937" s="106" t="s">
        <v>3307</v>
      </c>
      <c r="L937" s="104">
        <f t="shared" si="283"/>
        <v>46189</v>
      </c>
      <c r="M937" s="105">
        <f ca="1" t="shared" si="284"/>
        <v>-124</v>
      </c>
      <c r="N937" s="70"/>
      <c r="O937" s="70" t="s">
        <v>1399</v>
      </c>
      <c r="P937" s="70" t="s">
        <v>374</v>
      </c>
      <c r="Q937" s="206" t="s">
        <v>3306</v>
      </c>
      <c r="R937" s="71" t="s">
        <v>883</v>
      </c>
      <c r="S937" s="72"/>
      <c r="T937" s="73"/>
      <c r="U937" s="75"/>
      <c r="V937" s="102">
        <v>46281</v>
      </c>
      <c r="W937" s="70">
        <v>3</v>
      </c>
      <c r="X937" s="103" t="s">
        <v>3308</v>
      </c>
      <c r="Y937" s="104">
        <f t="shared" si="277"/>
        <v>46372</v>
      </c>
      <c r="Z937" s="105">
        <f ca="1" t="shared" si="278"/>
        <v>59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5"/>
      <c r="AO937" s="115"/>
      <c r="AP937" s="115"/>
      <c r="AQ937" s="93"/>
      <c r="AR937" s="93"/>
      <c r="AS937" s="94"/>
      <c r="AT937" s="95"/>
      <c r="AU937" s="79"/>
      <c r="AV937" s="117"/>
      <c r="AW937" s="115"/>
      <c r="AX937" s="106"/>
      <c r="AY937" s="104"/>
      <c r="AZ937" s="105"/>
    </row>
    <row r="938" customHeight="1" spans="1:52">
      <c r="A938" s="70">
        <v>936</v>
      </c>
      <c r="B938" s="70" t="s">
        <v>1399</v>
      </c>
      <c r="C938" s="70" t="s">
        <v>374</v>
      </c>
      <c r="D938" s="206" t="s">
        <v>3309</v>
      </c>
      <c r="E938" s="71" t="s">
        <v>883</v>
      </c>
      <c r="F938" s="72"/>
      <c r="G938" s="73"/>
      <c r="H938" s="75"/>
      <c r="I938" s="102">
        <v>46097</v>
      </c>
      <c r="J938" s="70">
        <v>3</v>
      </c>
      <c r="K938" s="106" t="s">
        <v>3310</v>
      </c>
      <c r="L938" s="104">
        <f t="shared" si="283"/>
        <v>46189</v>
      </c>
      <c r="M938" s="105">
        <f ca="1" t="shared" si="284"/>
        <v>-124</v>
      </c>
      <c r="N938" s="70"/>
      <c r="O938" s="70" t="s">
        <v>1399</v>
      </c>
      <c r="P938" s="70" t="s">
        <v>374</v>
      </c>
      <c r="Q938" s="206" t="s">
        <v>3309</v>
      </c>
      <c r="R938" s="71" t="s">
        <v>883</v>
      </c>
      <c r="S938" s="72"/>
      <c r="T938" s="73"/>
      <c r="U938" s="75"/>
      <c r="V938" s="102">
        <v>46270</v>
      </c>
      <c r="W938" s="70">
        <v>3</v>
      </c>
      <c r="X938" s="103" t="s">
        <v>3311</v>
      </c>
      <c r="Y938" s="104">
        <f t="shared" ref="Y938:Y1001" si="285">EDATE(V938,W938)</f>
        <v>46361</v>
      </c>
      <c r="Z938" s="105">
        <f ca="1" t="shared" ref="Z938:Z1001" si="286">Y938-TODAY()</f>
        <v>48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5"/>
      <c r="AO938" s="115"/>
      <c r="AP938" s="115"/>
      <c r="AQ938" s="93"/>
      <c r="AR938" s="93"/>
      <c r="AS938" s="94"/>
      <c r="AT938" s="95"/>
      <c r="AU938" s="79"/>
      <c r="AV938" s="117"/>
      <c r="AW938" s="115"/>
      <c r="AX938" s="106"/>
      <c r="AY938" s="104"/>
      <c r="AZ938" s="105"/>
    </row>
    <row r="939" customHeight="1" spans="1:52">
      <c r="A939" s="70">
        <v>937</v>
      </c>
      <c r="B939" s="70" t="s">
        <v>1399</v>
      </c>
      <c r="C939" s="70" t="s">
        <v>374</v>
      </c>
      <c r="D939" s="206" t="s">
        <v>3312</v>
      </c>
      <c r="E939" s="71" t="s">
        <v>883</v>
      </c>
      <c r="F939" s="72"/>
      <c r="G939" s="73"/>
      <c r="H939" s="75"/>
      <c r="I939" s="102">
        <v>46097</v>
      </c>
      <c r="J939" s="70">
        <v>3</v>
      </c>
      <c r="K939" s="106" t="s">
        <v>3313</v>
      </c>
      <c r="L939" s="104">
        <f t="shared" si="283"/>
        <v>46189</v>
      </c>
      <c r="M939" s="105">
        <f ca="1" t="shared" si="284"/>
        <v>-124</v>
      </c>
      <c r="N939" s="70"/>
      <c r="O939" s="70" t="s">
        <v>1399</v>
      </c>
      <c r="P939" s="70" t="s">
        <v>374</v>
      </c>
      <c r="Q939" s="206" t="s">
        <v>3312</v>
      </c>
      <c r="R939" s="71" t="s">
        <v>883</v>
      </c>
      <c r="S939" s="72"/>
      <c r="T939" s="73"/>
      <c r="U939" s="75"/>
      <c r="V939" s="102">
        <v>46270</v>
      </c>
      <c r="W939" s="70">
        <v>3</v>
      </c>
      <c r="X939" s="103" t="s">
        <v>3314</v>
      </c>
      <c r="Y939" s="104">
        <f t="shared" si="285"/>
        <v>46361</v>
      </c>
      <c r="Z939" s="105">
        <f ca="1" t="shared" si="286"/>
        <v>48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5"/>
      <c r="AO939" s="115"/>
      <c r="AP939" s="115"/>
      <c r="AQ939" s="93"/>
      <c r="AR939" s="93"/>
      <c r="AS939" s="94"/>
      <c r="AT939" s="95"/>
      <c r="AU939" s="79"/>
      <c r="AV939" s="117"/>
      <c r="AW939" s="115"/>
      <c r="AX939" s="106"/>
      <c r="AY939" s="104"/>
      <c r="AZ939" s="105"/>
    </row>
    <row r="940" customHeight="1" spans="1:52">
      <c r="A940" s="70">
        <v>938</v>
      </c>
      <c r="B940" s="70" t="s">
        <v>1399</v>
      </c>
      <c r="C940" s="70" t="s">
        <v>374</v>
      </c>
      <c r="D940" s="206" t="s">
        <v>3315</v>
      </c>
      <c r="E940" s="71" t="s">
        <v>883</v>
      </c>
      <c r="F940" s="72"/>
      <c r="G940" s="73"/>
      <c r="H940" s="75"/>
      <c r="I940" s="102">
        <v>46097</v>
      </c>
      <c r="J940" s="70">
        <v>3</v>
      </c>
      <c r="K940" s="106" t="s">
        <v>3316</v>
      </c>
      <c r="L940" s="104">
        <f t="shared" si="283"/>
        <v>46189</v>
      </c>
      <c r="M940" s="105">
        <f ca="1" t="shared" si="284"/>
        <v>-124</v>
      </c>
      <c r="N940" s="70"/>
      <c r="O940" s="70" t="s">
        <v>1399</v>
      </c>
      <c r="P940" s="70" t="s">
        <v>374</v>
      </c>
      <c r="Q940" s="206" t="s">
        <v>3315</v>
      </c>
      <c r="R940" s="71" t="s">
        <v>883</v>
      </c>
      <c r="S940" s="72"/>
      <c r="T940" s="73"/>
      <c r="U940" s="75"/>
      <c r="V940" s="102">
        <v>46280</v>
      </c>
      <c r="W940" s="70">
        <v>3</v>
      </c>
      <c r="X940" s="103" t="s">
        <v>3317</v>
      </c>
      <c r="Y940" s="104">
        <f t="shared" si="285"/>
        <v>46371</v>
      </c>
      <c r="Z940" s="105">
        <f ca="1" t="shared" si="286"/>
        <v>58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5"/>
      <c r="AO940" s="115"/>
      <c r="AP940" s="115"/>
      <c r="AQ940" s="93"/>
      <c r="AR940" s="93"/>
      <c r="AS940" s="94"/>
      <c r="AT940" s="95"/>
      <c r="AU940" s="79"/>
      <c r="AV940" s="117"/>
      <c r="AW940" s="115"/>
      <c r="AX940" s="106"/>
      <c r="AY940" s="104"/>
      <c r="AZ940" s="105"/>
    </row>
    <row r="941" customHeight="1" spans="1:52">
      <c r="A941" s="70">
        <v>939</v>
      </c>
      <c r="B941" s="70" t="s">
        <v>1399</v>
      </c>
      <c r="C941" s="70" t="s">
        <v>374</v>
      </c>
      <c r="D941" s="206" t="s">
        <v>3318</v>
      </c>
      <c r="E941" s="71" t="s">
        <v>883</v>
      </c>
      <c r="F941" s="72"/>
      <c r="G941" s="73"/>
      <c r="H941" s="75"/>
      <c r="I941" s="102">
        <v>46097</v>
      </c>
      <c r="J941" s="70">
        <v>3</v>
      </c>
      <c r="K941" s="106" t="s">
        <v>3319</v>
      </c>
      <c r="L941" s="104">
        <f t="shared" si="283"/>
        <v>46189</v>
      </c>
      <c r="M941" s="105">
        <f ca="1" t="shared" si="284"/>
        <v>-124</v>
      </c>
      <c r="N941" s="70"/>
      <c r="O941" s="70" t="s">
        <v>1399</v>
      </c>
      <c r="P941" s="70" t="s">
        <v>374</v>
      </c>
      <c r="Q941" s="206" t="s">
        <v>3318</v>
      </c>
      <c r="R941" s="71" t="s">
        <v>883</v>
      </c>
      <c r="S941" s="72"/>
      <c r="T941" s="73"/>
      <c r="U941" s="75"/>
      <c r="V941" s="102">
        <v>46280</v>
      </c>
      <c r="W941" s="70">
        <v>3</v>
      </c>
      <c r="X941" s="103" t="s">
        <v>3320</v>
      </c>
      <c r="Y941" s="104">
        <f t="shared" si="285"/>
        <v>46371</v>
      </c>
      <c r="Z941" s="105">
        <f ca="1" t="shared" si="286"/>
        <v>58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5"/>
      <c r="AO941" s="115"/>
      <c r="AP941" s="115"/>
      <c r="AQ941" s="93"/>
      <c r="AR941" s="93"/>
      <c r="AS941" s="94"/>
      <c r="AT941" s="95"/>
      <c r="AU941" s="79"/>
      <c r="AV941" s="117"/>
      <c r="AW941" s="115"/>
      <c r="AX941" s="106"/>
      <c r="AY941" s="104"/>
      <c r="AZ941" s="105"/>
    </row>
    <row r="942" customHeight="1" spans="1:52">
      <c r="A942" s="70">
        <v>940</v>
      </c>
      <c r="B942" s="70" t="s">
        <v>1399</v>
      </c>
      <c r="C942" s="70" t="s">
        <v>374</v>
      </c>
      <c r="D942" s="206" t="s">
        <v>3321</v>
      </c>
      <c r="E942" s="71" t="s">
        <v>883</v>
      </c>
      <c r="F942" s="72"/>
      <c r="G942" s="73"/>
      <c r="H942" s="75"/>
      <c r="I942" s="102">
        <v>46097</v>
      </c>
      <c r="J942" s="70">
        <v>3</v>
      </c>
      <c r="K942" s="106" t="s">
        <v>3322</v>
      </c>
      <c r="L942" s="104">
        <f t="shared" si="283"/>
        <v>46189</v>
      </c>
      <c r="M942" s="105">
        <f ca="1" t="shared" si="284"/>
        <v>-124</v>
      </c>
      <c r="N942" s="70"/>
      <c r="O942" s="70" t="s">
        <v>1399</v>
      </c>
      <c r="P942" s="70" t="s">
        <v>374</v>
      </c>
      <c r="Q942" s="206" t="s">
        <v>3321</v>
      </c>
      <c r="R942" s="71" t="s">
        <v>883</v>
      </c>
      <c r="S942" s="72"/>
      <c r="T942" s="73"/>
      <c r="U942" s="75"/>
      <c r="V942" s="102">
        <v>46280</v>
      </c>
      <c r="W942" s="70">
        <v>3</v>
      </c>
      <c r="X942" s="103" t="s">
        <v>3323</v>
      </c>
      <c r="Y942" s="104">
        <f t="shared" si="285"/>
        <v>46371</v>
      </c>
      <c r="Z942" s="105">
        <f ca="1" t="shared" si="286"/>
        <v>58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5"/>
      <c r="AO942" s="115"/>
      <c r="AP942" s="115"/>
      <c r="AQ942" s="93"/>
      <c r="AR942" s="93"/>
      <c r="AS942" s="94"/>
      <c r="AT942" s="95"/>
      <c r="AU942" s="79"/>
      <c r="AV942" s="117"/>
      <c r="AW942" s="115"/>
      <c r="AX942" s="106"/>
      <c r="AY942" s="104"/>
      <c r="AZ942" s="105"/>
    </row>
    <row r="943" customHeight="1" spans="1:52">
      <c r="A943" s="70">
        <v>941</v>
      </c>
      <c r="B943" s="70" t="s">
        <v>1399</v>
      </c>
      <c r="C943" s="70" t="s">
        <v>374</v>
      </c>
      <c r="D943" s="206" t="s">
        <v>3324</v>
      </c>
      <c r="E943" s="71" t="s">
        <v>883</v>
      </c>
      <c r="F943" s="72"/>
      <c r="G943" s="73"/>
      <c r="H943" s="75"/>
      <c r="I943" s="102">
        <v>46097</v>
      </c>
      <c r="J943" s="70">
        <v>3</v>
      </c>
      <c r="K943" s="106" t="s">
        <v>3325</v>
      </c>
      <c r="L943" s="104">
        <f t="shared" si="283"/>
        <v>46189</v>
      </c>
      <c r="M943" s="105">
        <f ca="1" t="shared" si="284"/>
        <v>-124</v>
      </c>
      <c r="N943" s="70"/>
      <c r="O943" s="70" t="s">
        <v>1399</v>
      </c>
      <c r="P943" s="70" t="s">
        <v>374</v>
      </c>
      <c r="Q943" s="206" t="s">
        <v>3324</v>
      </c>
      <c r="R943" s="71" t="s">
        <v>883</v>
      </c>
      <c r="S943" s="72"/>
      <c r="T943" s="73"/>
      <c r="U943" s="75"/>
      <c r="V943" s="102">
        <v>46280</v>
      </c>
      <c r="W943" s="70">
        <v>3</v>
      </c>
      <c r="X943" s="103" t="s">
        <v>3326</v>
      </c>
      <c r="Y943" s="104">
        <f t="shared" si="285"/>
        <v>46371</v>
      </c>
      <c r="Z943" s="105">
        <f ca="1" t="shared" si="286"/>
        <v>58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5"/>
      <c r="AO943" s="115"/>
      <c r="AP943" s="115"/>
      <c r="AQ943" s="93"/>
      <c r="AR943" s="93"/>
      <c r="AS943" s="94"/>
      <c r="AT943" s="95"/>
      <c r="AU943" s="79"/>
      <c r="AV943" s="117"/>
      <c r="AW943" s="115"/>
      <c r="AX943" s="106"/>
      <c r="AY943" s="104"/>
      <c r="AZ943" s="105"/>
    </row>
    <row r="944" customHeight="1" spans="1:52">
      <c r="A944" s="70">
        <v>942</v>
      </c>
      <c r="B944" s="70" t="s">
        <v>1399</v>
      </c>
      <c r="C944" s="70" t="s">
        <v>374</v>
      </c>
      <c r="D944" s="206" t="s">
        <v>3327</v>
      </c>
      <c r="E944" s="71" t="s">
        <v>883</v>
      </c>
      <c r="F944" s="72"/>
      <c r="G944" s="73"/>
      <c r="H944" s="75"/>
      <c r="I944" s="102">
        <v>46097</v>
      </c>
      <c r="J944" s="70">
        <v>3</v>
      </c>
      <c r="K944" s="106" t="s">
        <v>3328</v>
      </c>
      <c r="L944" s="104">
        <f t="shared" si="283"/>
        <v>46189</v>
      </c>
      <c r="M944" s="105">
        <f ca="1" t="shared" si="284"/>
        <v>-124</v>
      </c>
      <c r="N944" s="70"/>
      <c r="O944" s="70" t="s">
        <v>1399</v>
      </c>
      <c r="P944" s="70" t="s">
        <v>374</v>
      </c>
      <c r="Q944" s="206" t="s">
        <v>3327</v>
      </c>
      <c r="R944" s="71" t="s">
        <v>883</v>
      </c>
      <c r="S944" s="72"/>
      <c r="T944" s="73"/>
      <c r="U944" s="75"/>
      <c r="V944" s="102">
        <v>46280</v>
      </c>
      <c r="W944" s="70">
        <v>3</v>
      </c>
      <c r="X944" s="103" t="s">
        <v>3329</v>
      </c>
      <c r="Y944" s="104">
        <f t="shared" si="285"/>
        <v>46371</v>
      </c>
      <c r="Z944" s="105">
        <f ca="1" t="shared" si="286"/>
        <v>58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5"/>
      <c r="AO944" s="115"/>
      <c r="AP944" s="115"/>
      <c r="AQ944" s="93"/>
      <c r="AR944" s="93"/>
      <c r="AS944" s="94"/>
      <c r="AT944" s="95"/>
      <c r="AU944" s="79"/>
      <c r="AV944" s="117"/>
      <c r="AW944" s="115"/>
      <c r="AX944" s="106"/>
      <c r="AY944" s="104"/>
      <c r="AZ944" s="105"/>
    </row>
    <row r="945" customHeight="1" spans="1:52">
      <c r="A945" s="70">
        <v>943</v>
      </c>
      <c r="B945" s="70" t="s">
        <v>1399</v>
      </c>
      <c r="C945" s="70" t="s">
        <v>374</v>
      </c>
      <c r="D945" s="206" t="s">
        <v>3330</v>
      </c>
      <c r="E945" s="71" t="s">
        <v>883</v>
      </c>
      <c r="F945" s="72"/>
      <c r="G945" s="73"/>
      <c r="H945" s="75"/>
      <c r="I945" s="102">
        <v>46097</v>
      </c>
      <c r="J945" s="70">
        <v>3</v>
      </c>
      <c r="K945" s="106" t="s">
        <v>3331</v>
      </c>
      <c r="L945" s="104">
        <f t="shared" si="283"/>
        <v>46189</v>
      </c>
      <c r="M945" s="105">
        <f ca="1" t="shared" si="284"/>
        <v>-124</v>
      </c>
      <c r="N945" s="70"/>
      <c r="O945" s="70" t="s">
        <v>1399</v>
      </c>
      <c r="P945" s="70" t="s">
        <v>374</v>
      </c>
      <c r="Q945" s="206" t="s">
        <v>3330</v>
      </c>
      <c r="R945" s="71" t="s">
        <v>883</v>
      </c>
      <c r="S945" s="72"/>
      <c r="T945" s="73"/>
      <c r="U945" s="75"/>
      <c r="V945" s="102">
        <v>46281</v>
      </c>
      <c r="W945" s="70">
        <v>3</v>
      </c>
      <c r="X945" s="103" t="s">
        <v>3332</v>
      </c>
      <c r="Y945" s="104">
        <f t="shared" si="285"/>
        <v>46372</v>
      </c>
      <c r="Z945" s="105">
        <f ca="1" t="shared" si="286"/>
        <v>59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5"/>
      <c r="AO945" s="115"/>
      <c r="AP945" s="115"/>
      <c r="AQ945" s="93"/>
      <c r="AR945" s="93"/>
      <c r="AS945" s="94"/>
      <c r="AT945" s="95"/>
      <c r="AU945" s="79"/>
      <c r="AV945" s="117"/>
      <c r="AW945" s="115"/>
      <c r="AX945" s="106"/>
      <c r="AY945" s="104"/>
      <c r="AZ945" s="105"/>
    </row>
    <row r="946" customHeight="1" spans="1:52">
      <c r="A946" s="70">
        <v>944</v>
      </c>
      <c r="B946" s="70" t="s">
        <v>1399</v>
      </c>
      <c r="C946" s="70" t="s">
        <v>374</v>
      </c>
      <c r="D946" s="206" t="s">
        <v>3333</v>
      </c>
      <c r="E946" s="71" t="s">
        <v>883</v>
      </c>
      <c r="F946" s="72"/>
      <c r="G946" s="73"/>
      <c r="H946" s="75"/>
      <c r="I946" s="102">
        <v>46097</v>
      </c>
      <c r="J946" s="70">
        <v>3</v>
      </c>
      <c r="K946" s="106" t="s">
        <v>3334</v>
      </c>
      <c r="L946" s="104">
        <f t="shared" si="283"/>
        <v>46189</v>
      </c>
      <c r="M946" s="105">
        <f ca="1" t="shared" si="284"/>
        <v>-124</v>
      </c>
      <c r="N946" s="70"/>
      <c r="O946" s="70" t="s">
        <v>1399</v>
      </c>
      <c r="P946" s="70" t="s">
        <v>374</v>
      </c>
      <c r="Q946" s="206" t="s">
        <v>3333</v>
      </c>
      <c r="R946" s="71" t="s">
        <v>883</v>
      </c>
      <c r="S946" s="72"/>
      <c r="T946" s="73"/>
      <c r="U946" s="75"/>
      <c r="V946" s="102">
        <v>46281</v>
      </c>
      <c r="W946" s="70">
        <v>3</v>
      </c>
      <c r="X946" s="103" t="s">
        <v>3335</v>
      </c>
      <c r="Y946" s="104">
        <f t="shared" si="285"/>
        <v>46372</v>
      </c>
      <c r="Z946" s="105">
        <f ca="1" t="shared" si="286"/>
        <v>59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5"/>
      <c r="AO946" s="115"/>
      <c r="AP946" s="115"/>
      <c r="AQ946" s="93"/>
      <c r="AR946" s="93"/>
      <c r="AS946" s="94"/>
      <c r="AT946" s="95"/>
      <c r="AU946" s="79"/>
      <c r="AV946" s="117"/>
      <c r="AW946" s="115"/>
      <c r="AX946" s="106"/>
      <c r="AY946" s="104"/>
      <c r="AZ946" s="105"/>
    </row>
    <row r="947" customHeight="1" spans="1:52">
      <c r="A947" s="70">
        <v>945</v>
      </c>
      <c r="B947" s="70" t="s">
        <v>1399</v>
      </c>
      <c r="C947" s="70" t="s">
        <v>374</v>
      </c>
      <c r="D947" s="206" t="s">
        <v>3336</v>
      </c>
      <c r="E947" s="71" t="s">
        <v>883</v>
      </c>
      <c r="F947" s="72"/>
      <c r="G947" s="73"/>
      <c r="H947" s="75"/>
      <c r="I947" s="102">
        <v>46097</v>
      </c>
      <c r="J947" s="70">
        <v>3</v>
      </c>
      <c r="K947" s="106" t="s">
        <v>3337</v>
      </c>
      <c r="L947" s="104">
        <f t="shared" si="283"/>
        <v>46189</v>
      </c>
      <c r="M947" s="105">
        <f ca="1" t="shared" si="284"/>
        <v>-124</v>
      </c>
      <c r="N947" s="70"/>
      <c r="O947" s="70" t="s">
        <v>1399</v>
      </c>
      <c r="P947" s="70" t="s">
        <v>374</v>
      </c>
      <c r="Q947" s="206" t="s">
        <v>3336</v>
      </c>
      <c r="R947" s="71" t="s">
        <v>883</v>
      </c>
      <c r="S947" s="72"/>
      <c r="T947" s="73"/>
      <c r="U947" s="75"/>
      <c r="V947" s="102">
        <v>46280</v>
      </c>
      <c r="W947" s="70">
        <v>3</v>
      </c>
      <c r="X947" s="103" t="s">
        <v>3338</v>
      </c>
      <c r="Y947" s="104">
        <f t="shared" si="285"/>
        <v>46371</v>
      </c>
      <c r="Z947" s="105">
        <f ca="1" t="shared" si="286"/>
        <v>58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5"/>
      <c r="AO947" s="115"/>
      <c r="AP947" s="115"/>
      <c r="AQ947" s="93"/>
      <c r="AR947" s="93"/>
      <c r="AS947" s="94"/>
      <c r="AT947" s="95"/>
      <c r="AU947" s="79"/>
      <c r="AV947" s="117"/>
      <c r="AW947" s="115"/>
      <c r="AX947" s="106"/>
      <c r="AY947" s="104"/>
      <c r="AZ947" s="105"/>
    </row>
    <row r="948" customHeight="1" spans="1:52">
      <c r="A948" s="70">
        <v>946</v>
      </c>
      <c r="B948" s="70" t="s">
        <v>1399</v>
      </c>
      <c r="C948" s="70" t="s">
        <v>374</v>
      </c>
      <c r="D948" s="206" t="s">
        <v>3339</v>
      </c>
      <c r="E948" s="71" t="s">
        <v>883</v>
      </c>
      <c r="F948" s="72"/>
      <c r="G948" s="73"/>
      <c r="H948" s="75"/>
      <c r="I948" s="102">
        <v>46097</v>
      </c>
      <c r="J948" s="70">
        <v>3</v>
      </c>
      <c r="K948" s="106" t="s">
        <v>3340</v>
      </c>
      <c r="L948" s="104">
        <f t="shared" si="283"/>
        <v>46189</v>
      </c>
      <c r="M948" s="105">
        <f ca="1" t="shared" si="284"/>
        <v>-124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85"/>
        <v>0</v>
      </c>
      <c r="Z948" s="105">
        <f ca="1" t="shared" si="286"/>
        <v>-46313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5"/>
      <c r="AO948" s="115"/>
      <c r="AP948" s="115"/>
      <c r="AQ948" s="93"/>
      <c r="AR948" s="93"/>
      <c r="AS948" s="94"/>
      <c r="AT948" s="95"/>
      <c r="AU948" s="79"/>
      <c r="AV948" s="117"/>
      <c r="AW948" s="115"/>
      <c r="AX948" s="106"/>
      <c r="AY948" s="104"/>
      <c r="AZ948" s="105"/>
    </row>
    <row r="949" customHeight="1" spans="1:52">
      <c r="A949" s="70">
        <v>947</v>
      </c>
      <c r="B949" s="70" t="s">
        <v>1399</v>
      </c>
      <c r="C949" s="70" t="s">
        <v>374</v>
      </c>
      <c r="D949" s="206" t="s">
        <v>3341</v>
      </c>
      <c r="E949" s="71" t="s">
        <v>883</v>
      </c>
      <c r="F949" s="72"/>
      <c r="G949" s="73"/>
      <c r="H949" s="75"/>
      <c r="I949" s="102">
        <v>46097</v>
      </c>
      <c r="J949" s="70">
        <v>3</v>
      </c>
      <c r="K949" s="106" t="s">
        <v>3342</v>
      </c>
      <c r="L949" s="104">
        <f t="shared" si="283"/>
        <v>46189</v>
      </c>
      <c r="M949" s="105">
        <f ca="1" t="shared" si="284"/>
        <v>-124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85"/>
        <v>0</v>
      </c>
      <c r="Z949" s="105">
        <f ca="1" t="shared" si="286"/>
        <v>-46313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5"/>
      <c r="AO949" s="115"/>
      <c r="AP949" s="115"/>
      <c r="AQ949" s="93"/>
      <c r="AR949" s="93"/>
      <c r="AS949" s="94"/>
      <c r="AT949" s="95"/>
      <c r="AU949" s="79"/>
      <c r="AV949" s="117"/>
      <c r="AW949" s="115"/>
      <c r="AX949" s="106"/>
      <c r="AY949" s="104"/>
      <c r="AZ949" s="105"/>
    </row>
    <row r="950" customHeight="1" spans="1:52">
      <c r="A950" s="70">
        <v>948</v>
      </c>
      <c r="B950" s="70" t="s">
        <v>1399</v>
      </c>
      <c r="C950" s="70" t="s">
        <v>374</v>
      </c>
      <c r="D950" s="206" t="s">
        <v>3343</v>
      </c>
      <c r="E950" s="71" t="s">
        <v>883</v>
      </c>
      <c r="F950" s="72"/>
      <c r="G950" s="73"/>
      <c r="H950" s="75"/>
      <c r="I950" s="102">
        <v>46097</v>
      </c>
      <c r="J950" s="70">
        <v>3</v>
      </c>
      <c r="K950" s="106" t="s">
        <v>3344</v>
      </c>
      <c r="L950" s="104">
        <f t="shared" si="283"/>
        <v>46189</v>
      </c>
      <c r="M950" s="105">
        <f ca="1" t="shared" si="284"/>
        <v>-124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85"/>
        <v>0</v>
      </c>
      <c r="Z950" s="105">
        <f ca="1" t="shared" si="286"/>
        <v>-46313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5"/>
      <c r="AO950" s="115"/>
      <c r="AP950" s="115"/>
      <c r="AQ950" s="93"/>
      <c r="AR950" s="93"/>
      <c r="AS950" s="94"/>
      <c r="AT950" s="95"/>
      <c r="AU950" s="79"/>
      <c r="AV950" s="117"/>
      <c r="AW950" s="115"/>
      <c r="AX950" s="106"/>
      <c r="AY950" s="104"/>
      <c r="AZ950" s="105"/>
    </row>
    <row r="951" customHeight="1" spans="1:52">
      <c r="A951" s="70">
        <v>949</v>
      </c>
      <c r="B951" s="70" t="s">
        <v>1399</v>
      </c>
      <c r="C951" s="70" t="s">
        <v>374</v>
      </c>
      <c r="D951" s="206" t="s">
        <v>3345</v>
      </c>
      <c r="E951" s="71" t="s">
        <v>883</v>
      </c>
      <c r="F951" s="72"/>
      <c r="G951" s="73"/>
      <c r="H951" s="75"/>
      <c r="I951" s="102">
        <v>46097</v>
      </c>
      <c r="J951" s="70">
        <v>3</v>
      </c>
      <c r="K951" s="106" t="s">
        <v>3346</v>
      </c>
      <c r="L951" s="104">
        <f t="shared" si="283"/>
        <v>46189</v>
      </c>
      <c r="M951" s="105">
        <f ca="1" t="shared" si="284"/>
        <v>-124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85"/>
        <v>0</v>
      </c>
      <c r="Z951" s="105">
        <f ca="1" t="shared" si="286"/>
        <v>-46313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5"/>
      <c r="AO951" s="115"/>
      <c r="AP951" s="115"/>
      <c r="AQ951" s="93"/>
      <c r="AR951" s="93"/>
      <c r="AS951" s="94"/>
      <c r="AT951" s="95"/>
      <c r="AU951" s="79"/>
      <c r="AV951" s="117"/>
      <c r="AW951" s="115"/>
      <c r="AX951" s="106"/>
      <c r="AY951" s="104"/>
      <c r="AZ951" s="105"/>
    </row>
    <row r="952" customHeight="1" spans="1:52">
      <c r="A952" s="70">
        <v>950</v>
      </c>
      <c r="B952" s="70" t="s">
        <v>1399</v>
      </c>
      <c r="C952" s="70" t="s">
        <v>374</v>
      </c>
      <c r="D952" s="206" t="s">
        <v>3347</v>
      </c>
      <c r="E952" s="71" t="s">
        <v>883</v>
      </c>
      <c r="F952" s="72"/>
      <c r="G952" s="73"/>
      <c r="H952" s="75"/>
      <c r="I952" s="102">
        <v>46097</v>
      </c>
      <c r="J952" s="70">
        <v>3</v>
      </c>
      <c r="K952" s="106" t="s">
        <v>3348</v>
      </c>
      <c r="L952" s="104">
        <f t="shared" si="283"/>
        <v>46189</v>
      </c>
      <c r="M952" s="105">
        <f ca="1" t="shared" si="284"/>
        <v>-124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85"/>
        <v>0</v>
      </c>
      <c r="Z952" s="105">
        <f ca="1" t="shared" si="286"/>
        <v>-46313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5"/>
      <c r="AO952" s="115"/>
      <c r="AP952" s="115"/>
      <c r="AQ952" s="93"/>
      <c r="AR952" s="93"/>
      <c r="AS952" s="94"/>
      <c r="AT952" s="95"/>
      <c r="AU952" s="79"/>
      <c r="AV952" s="117"/>
      <c r="AW952" s="115"/>
      <c r="AX952" s="106"/>
      <c r="AY952" s="104"/>
      <c r="AZ952" s="105"/>
    </row>
    <row r="953" customHeight="1" spans="1:52">
      <c r="A953" s="70">
        <v>951</v>
      </c>
      <c r="B953" s="70" t="s">
        <v>1399</v>
      </c>
      <c r="C953" s="70" t="s">
        <v>374</v>
      </c>
      <c r="D953" s="206" t="s">
        <v>3349</v>
      </c>
      <c r="E953" s="71" t="s">
        <v>883</v>
      </c>
      <c r="F953" s="72"/>
      <c r="G953" s="73"/>
      <c r="H953" s="75"/>
      <c r="I953" s="102">
        <v>46097</v>
      </c>
      <c r="J953" s="70">
        <v>3</v>
      </c>
      <c r="K953" s="106" t="s">
        <v>3350</v>
      </c>
      <c r="L953" s="104">
        <f t="shared" si="283"/>
        <v>46189</v>
      </c>
      <c r="M953" s="105">
        <f ca="1" t="shared" si="284"/>
        <v>-124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85"/>
        <v>0</v>
      </c>
      <c r="Z953" s="105">
        <f ca="1" t="shared" si="286"/>
        <v>-46313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5"/>
      <c r="AO953" s="115"/>
      <c r="AP953" s="115"/>
      <c r="AQ953" s="93"/>
      <c r="AR953" s="93"/>
      <c r="AS953" s="94"/>
      <c r="AT953" s="95"/>
      <c r="AU953" s="79"/>
      <c r="AV953" s="117"/>
      <c r="AW953" s="115"/>
      <c r="AX953" s="106"/>
      <c r="AY953" s="104"/>
      <c r="AZ953" s="105"/>
    </row>
    <row r="954" customHeight="1" spans="1:52">
      <c r="A954" s="70">
        <v>952</v>
      </c>
      <c r="B954" s="70" t="s">
        <v>1399</v>
      </c>
      <c r="C954" s="70" t="s">
        <v>374</v>
      </c>
      <c r="D954" s="206" t="s">
        <v>3351</v>
      </c>
      <c r="E954" s="71" t="s">
        <v>883</v>
      </c>
      <c r="F954" s="72"/>
      <c r="G954" s="73"/>
      <c r="H954" s="75"/>
      <c r="I954" s="102">
        <v>46097</v>
      </c>
      <c r="J954" s="70">
        <v>3</v>
      </c>
      <c r="K954" s="106" t="s">
        <v>3352</v>
      </c>
      <c r="L954" s="104">
        <f t="shared" si="283"/>
        <v>46189</v>
      </c>
      <c r="M954" s="105">
        <f ca="1" t="shared" si="284"/>
        <v>-124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85"/>
        <v>0</v>
      </c>
      <c r="Z954" s="105">
        <f ca="1" t="shared" si="286"/>
        <v>-46313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5"/>
      <c r="AO954" s="115"/>
      <c r="AP954" s="115"/>
      <c r="AQ954" s="93"/>
      <c r="AR954" s="93"/>
      <c r="AS954" s="94"/>
      <c r="AT954" s="95"/>
      <c r="AU954" s="79"/>
      <c r="AV954" s="117"/>
      <c r="AW954" s="115"/>
      <c r="AX954" s="106"/>
      <c r="AY954" s="104"/>
      <c r="AZ954" s="105"/>
    </row>
    <row r="955" customHeight="1" spans="1:52">
      <c r="A955" s="70">
        <v>953</v>
      </c>
      <c r="B955" s="70" t="s">
        <v>1399</v>
      </c>
      <c r="C955" s="70" t="s">
        <v>374</v>
      </c>
      <c r="D955" s="206" t="s">
        <v>3353</v>
      </c>
      <c r="E955" s="71" t="s">
        <v>883</v>
      </c>
      <c r="F955" s="72"/>
      <c r="G955" s="73"/>
      <c r="H955" s="75"/>
      <c r="I955" s="102">
        <v>46097</v>
      </c>
      <c r="J955" s="70">
        <v>3</v>
      </c>
      <c r="K955" s="106" t="s">
        <v>3354</v>
      </c>
      <c r="L955" s="104">
        <f t="shared" si="283"/>
        <v>46189</v>
      </c>
      <c r="M955" s="105">
        <f ca="1" t="shared" si="284"/>
        <v>-124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85"/>
        <v>0</v>
      </c>
      <c r="Z955" s="105">
        <f ca="1" t="shared" si="286"/>
        <v>-46313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5"/>
      <c r="AO955" s="115"/>
      <c r="AP955" s="115"/>
      <c r="AQ955" s="93"/>
      <c r="AR955" s="93"/>
      <c r="AS955" s="94"/>
      <c r="AT955" s="95"/>
      <c r="AU955" s="79"/>
      <c r="AV955" s="117"/>
      <c r="AW955" s="115"/>
      <c r="AX955" s="106"/>
      <c r="AY955" s="104"/>
      <c r="AZ955" s="105"/>
    </row>
    <row r="956" customHeight="1" spans="1:52">
      <c r="A956" s="70">
        <v>954</v>
      </c>
      <c r="B956" s="70" t="s">
        <v>1399</v>
      </c>
      <c r="C956" s="70" t="s">
        <v>374</v>
      </c>
      <c r="D956" s="206" t="s">
        <v>3355</v>
      </c>
      <c r="E956" s="71" t="s">
        <v>883</v>
      </c>
      <c r="F956" s="72"/>
      <c r="G956" s="73"/>
      <c r="H956" s="75"/>
      <c r="I956" s="102">
        <v>46097</v>
      </c>
      <c r="J956" s="70">
        <v>3</v>
      </c>
      <c r="K956" s="106" t="s">
        <v>3356</v>
      </c>
      <c r="L956" s="104">
        <f t="shared" si="283"/>
        <v>46189</v>
      </c>
      <c r="M956" s="105">
        <f ca="1" t="shared" si="284"/>
        <v>-124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85"/>
        <v>0</v>
      </c>
      <c r="Z956" s="105">
        <f ca="1" t="shared" si="286"/>
        <v>-46313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5"/>
      <c r="AO956" s="115"/>
      <c r="AP956" s="115"/>
      <c r="AQ956" s="93"/>
      <c r="AR956" s="93"/>
      <c r="AS956" s="94"/>
      <c r="AT956" s="95"/>
      <c r="AU956" s="79"/>
      <c r="AV956" s="117"/>
      <c r="AW956" s="115"/>
      <c r="AX956" s="106"/>
      <c r="AY956" s="104"/>
      <c r="AZ956" s="105"/>
    </row>
    <row r="957" customHeight="1" spans="1:52">
      <c r="A957" s="70">
        <v>955</v>
      </c>
      <c r="B957" s="70" t="s">
        <v>1399</v>
      </c>
      <c r="C957" s="70" t="s">
        <v>374</v>
      </c>
      <c r="D957" s="206" t="s">
        <v>3357</v>
      </c>
      <c r="E957" s="71" t="s">
        <v>883</v>
      </c>
      <c r="F957" s="72"/>
      <c r="G957" s="73"/>
      <c r="H957" s="75"/>
      <c r="I957" s="102">
        <v>46097</v>
      </c>
      <c r="J957" s="70">
        <v>3</v>
      </c>
      <c r="K957" s="106" t="s">
        <v>3358</v>
      </c>
      <c r="L957" s="104">
        <f t="shared" si="283"/>
        <v>46189</v>
      </c>
      <c r="M957" s="105">
        <f ca="1" t="shared" si="284"/>
        <v>-124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85"/>
        <v>0</v>
      </c>
      <c r="Z957" s="105">
        <f ca="1" t="shared" si="286"/>
        <v>-46313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5"/>
      <c r="AO957" s="115"/>
      <c r="AP957" s="115"/>
      <c r="AQ957" s="93"/>
      <c r="AR957" s="93"/>
      <c r="AS957" s="94"/>
      <c r="AT957" s="95"/>
      <c r="AU957" s="79"/>
      <c r="AV957" s="117"/>
      <c r="AW957" s="115"/>
      <c r="AX957" s="106"/>
      <c r="AY957" s="104"/>
      <c r="AZ957" s="105"/>
    </row>
    <row r="958" customHeight="1" spans="1:52">
      <c r="A958" s="70">
        <v>956</v>
      </c>
      <c r="B958" s="70" t="s">
        <v>1399</v>
      </c>
      <c r="C958" s="70" t="s">
        <v>374</v>
      </c>
      <c r="D958" s="206" t="s">
        <v>3359</v>
      </c>
      <c r="E958" s="71" t="s">
        <v>883</v>
      </c>
      <c r="F958" s="72"/>
      <c r="G958" s="73"/>
      <c r="H958" s="75"/>
      <c r="I958" s="102">
        <v>46097</v>
      </c>
      <c r="J958" s="70">
        <v>3</v>
      </c>
      <c r="K958" s="106" t="s">
        <v>3360</v>
      </c>
      <c r="L958" s="104">
        <f t="shared" si="283"/>
        <v>46189</v>
      </c>
      <c r="M958" s="105">
        <f ca="1" t="shared" si="284"/>
        <v>-124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85"/>
        <v>0</v>
      </c>
      <c r="Z958" s="105">
        <f ca="1" t="shared" si="286"/>
        <v>-46313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5"/>
      <c r="AO958" s="115"/>
      <c r="AP958" s="115"/>
      <c r="AQ958" s="93"/>
      <c r="AR958" s="93"/>
      <c r="AS958" s="94"/>
      <c r="AT958" s="95"/>
      <c r="AU958" s="79"/>
      <c r="AV958" s="117"/>
      <c r="AW958" s="115"/>
      <c r="AX958" s="106"/>
      <c r="AY958" s="104"/>
      <c r="AZ958" s="105"/>
    </row>
    <row r="959" customHeight="1" spans="1:52">
      <c r="A959" s="70">
        <v>957</v>
      </c>
      <c r="B959" s="70" t="s">
        <v>1399</v>
      </c>
      <c r="C959" s="70" t="s">
        <v>374</v>
      </c>
      <c r="D959" s="206" t="s">
        <v>3361</v>
      </c>
      <c r="E959" s="71" t="s">
        <v>883</v>
      </c>
      <c r="F959" s="72"/>
      <c r="G959" s="73"/>
      <c r="H959" s="75"/>
      <c r="I959" s="102">
        <v>46097</v>
      </c>
      <c r="J959" s="70">
        <v>3</v>
      </c>
      <c r="K959" s="106" t="s">
        <v>3362</v>
      </c>
      <c r="L959" s="104">
        <f t="shared" si="283"/>
        <v>46189</v>
      </c>
      <c r="M959" s="105">
        <f ca="1" t="shared" si="284"/>
        <v>-124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85"/>
        <v>0</v>
      </c>
      <c r="Z959" s="105">
        <f ca="1" t="shared" si="286"/>
        <v>-46313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5"/>
      <c r="AO959" s="115"/>
      <c r="AP959" s="115"/>
      <c r="AQ959" s="93"/>
      <c r="AR959" s="93"/>
      <c r="AS959" s="94"/>
      <c r="AT959" s="95"/>
      <c r="AU959" s="79"/>
      <c r="AV959" s="117"/>
      <c r="AW959" s="115"/>
      <c r="AX959" s="106"/>
      <c r="AY959" s="104"/>
      <c r="AZ959" s="105"/>
    </row>
    <row r="960" customHeight="1" spans="1:52">
      <c r="A960" s="70">
        <v>958</v>
      </c>
      <c r="B960" s="70" t="s">
        <v>1399</v>
      </c>
      <c r="C960" s="70" t="s">
        <v>374</v>
      </c>
      <c r="D960" s="206" t="s">
        <v>3363</v>
      </c>
      <c r="E960" s="71" t="s">
        <v>883</v>
      </c>
      <c r="F960" s="72"/>
      <c r="G960" s="73"/>
      <c r="H960" s="75"/>
      <c r="I960" s="102">
        <v>46097</v>
      </c>
      <c r="J960" s="70">
        <v>3</v>
      </c>
      <c r="K960" s="106" t="s">
        <v>3364</v>
      </c>
      <c r="L960" s="104">
        <f t="shared" si="283"/>
        <v>46189</v>
      </c>
      <c r="M960" s="105">
        <f ca="1" t="shared" si="284"/>
        <v>-124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85"/>
        <v>0</v>
      </c>
      <c r="Z960" s="105">
        <f ca="1" t="shared" si="286"/>
        <v>-46313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5"/>
      <c r="AO960" s="115"/>
      <c r="AP960" s="115"/>
      <c r="AQ960" s="93"/>
      <c r="AR960" s="93"/>
      <c r="AS960" s="94"/>
      <c r="AT960" s="95"/>
      <c r="AU960" s="79"/>
      <c r="AV960" s="117"/>
      <c r="AW960" s="115"/>
      <c r="AX960" s="106"/>
      <c r="AY960" s="104"/>
      <c r="AZ960" s="105"/>
    </row>
    <row r="961" customHeight="1" spans="1:52">
      <c r="A961" s="70">
        <v>959</v>
      </c>
      <c r="B961" s="70" t="s">
        <v>1399</v>
      </c>
      <c r="C961" s="70" t="s">
        <v>374</v>
      </c>
      <c r="D961" s="206" t="s">
        <v>3365</v>
      </c>
      <c r="E961" s="71" t="s">
        <v>883</v>
      </c>
      <c r="F961" s="72"/>
      <c r="G961" s="73"/>
      <c r="H961" s="75"/>
      <c r="I961" s="102">
        <v>46097</v>
      </c>
      <c r="J961" s="70">
        <v>3</v>
      </c>
      <c r="K961" s="106" t="s">
        <v>3366</v>
      </c>
      <c r="L961" s="104">
        <f t="shared" si="283"/>
        <v>46189</v>
      </c>
      <c r="M961" s="105">
        <f ca="1" t="shared" si="284"/>
        <v>-124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85"/>
        <v>0</v>
      </c>
      <c r="Z961" s="105">
        <f ca="1" t="shared" si="286"/>
        <v>-46313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>
        <f t="shared" ref="AL961:AL995" si="287">EDATE(AI961,AJ961)</f>
        <v>0</v>
      </c>
      <c r="AM961" s="105">
        <f ca="1" t="shared" ref="AM961:AM995" si="288">AL961-TODAY()</f>
        <v>-46313</v>
      </c>
      <c r="AN961" s="115"/>
      <c r="AO961" s="115"/>
      <c r="AP961" s="115"/>
      <c r="AQ961" s="93"/>
      <c r="AR961" s="93"/>
      <c r="AS961" s="94"/>
      <c r="AT961" s="95"/>
      <c r="AU961" s="79"/>
      <c r="AV961" s="117"/>
      <c r="AW961" s="115"/>
      <c r="AX961" s="106"/>
      <c r="AY961" s="104"/>
      <c r="AZ961" s="105"/>
    </row>
    <row r="962" customHeight="1" spans="1:52">
      <c r="A962" s="70">
        <v>960</v>
      </c>
      <c r="B962" s="70" t="s">
        <v>1399</v>
      </c>
      <c r="C962" s="70" t="s">
        <v>374</v>
      </c>
      <c r="D962" s="206" t="s">
        <v>3367</v>
      </c>
      <c r="E962" s="71" t="s">
        <v>883</v>
      </c>
      <c r="F962" s="72"/>
      <c r="G962" s="73"/>
      <c r="H962" s="75"/>
      <c r="I962" s="102">
        <v>46097</v>
      </c>
      <c r="J962" s="70">
        <v>3</v>
      </c>
      <c r="K962" s="106" t="s">
        <v>3368</v>
      </c>
      <c r="L962" s="104">
        <f t="shared" si="283"/>
        <v>46189</v>
      </c>
      <c r="M962" s="105">
        <f ca="1" t="shared" si="284"/>
        <v>-124</v>
      </c>
      <c r="N962" s="70"/>
      <c r="O962" s="70" t="s">
        <v>1399</v>
      </c>
      <c r="P962" s="70" t="s">
        <v>374</v>
      </c>
      <c r="Q962" s="206" t="s">
        <v>3367</v>
      </c>
      <c r="R962" s="71" t="s">
        <v>883</v>
      </c>
      <c r="S962" s="72"/>
      <c r="T962" s="73"/>
      <c r="U962" s="75"/>
      <c r="V962" s="102">
        <v>46280</v>
      </c>
      <c r="W962" s="70">
        <v>3</v>
      </c>
      <c r="X962" s="103" t="s">
        <v>3369</v>
      </c>
      <c r="Y962" s="104">
        <f t="shared" si="285"/>
        <v>46371</v>
      </c>
      <c r="Z962" s="105">
        <f ca="1" t="shared" si="286"/>
        <v>58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>
        <f t="shared" si="287"/>
        <v>0</v>
      </c>
      <c r="AM962" s="105">
        <f ca="1" t="shared" si="288"/>
        <v>-46313</v>
      </c>
      <c r="AN962" s="115"/>
      <c r="AO962" s="115"/>
      <c r="AP962" s="115"/>
      <c r="AQ962" s="93"/>
      <c r="AR962" s="93"/>
      <c r="AS962" s="94"/>
      <c r="AT962" s="95"/>
      <c r="AU962" s="79"/>
      <c r="AV962" s="117"/>
      <c r="AW962" s="115"/>
      <c r="AX962" s="106"/>
      <c r="AY962" s="104"/>
      <c r="AZ962" s="105"/>
    </row>
    <row r="963" customHeight="1" spans="1:52">
      <c r="A963" s="70">
        <v>961</v>
      </c>
      <c r="B963" s="70" t="s">
        <v>1399</v>
      </c>
      <c r="C963" s="70" t="s">
        <v>374</v>
      </c>
      <c r="D963" s="71" t="s">
        <v>3370</v>
      </c>
      <c r="E963" s="71" t="s">
        <v>883</v>
      </c>
      <c r="F963" s="72"/>
      <c r="G963" s="73"/>
      <c r="H963" s="75"/>
      <c r="I963" s="102">
        <v>46097</v>
      </c>
      <c r="J963" s="70">
        <v>3</v>
      </c>
      <c r="K963" s="106" t="s">
        <v>3371</v>
      </c>
      <c r="L963" s="104">
        <f t="shared" si="283"/>
        <v>46189</v>
      </c>
      <c r="M963" s="105">
        <f ca="1" t="shared" si="284"/>
        <v>-124</v>
      </c>
      <c r="N963" s="70"/>
      <c r="O963" s="70" t="s">
        <v>1399</v>
      </c>
      <c r="P963" s="70" t="s">
        <v>374</v>
      </c>
      <c r="Q963" s="71" t="s">
        <v>3370</v>
      </c>
      <c r="R963" s="71" t="s">
        <v>883</v>
      </c>
      <c r="S963" s="72"/>
      <c r="T963" s="73"/>
      <c r="U963" s="75"/>
      <c r="V963" s="102">
        <v>46281</v>
      </c>
      <c r="W963" s="70">
        <v>3</v>
      </c>
      <c r="X963" s="103" t="s">
        <v>3372</v>
      </c>
      <c r="Y963" s="104">
        <f t="shared" si="285"/>
        <v>46372</v>
      </c>
      <c r="Z963" s="105">
        <f ca="1" t="shared" si="286"/>
        <v>59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>
        <f t="shared" si="287"/>
        <v>0</v>
      </c>
      <c r="AM963" s="105">
        <f ca="1" t="shared" si="288"/>
        <v>-46313</v>
      </c>
      <c r="AN963" s="115"/>
      <c r="AO963" s="115"/>
      <c r="AP963" s="115"/>
      <c r="AQ963" s="93"/>
      <c r="AR963" s="93"/>
      <c r="AS963" s="94"/>
      <c r="AT963" s="95"/>
      <c r="AU963" s="79"/>
      <c r="AV963" s="117"/>
      <c r="AW963" s="115"/>
      <c r="AX963" s="106"/>
      <c r="AY963" s="104"/>
      <c r="AZ963" s="105"/>
    </row>
    <row r="964" customHeight="1" spans="1:52">
      <c r="A964" s="70">
        <v>962</v>
      </c>
      <c r="B964" s="70" t="s">
        <v>1399</v>
      </c>
      <c r="C964" s="70" t="s">
        <v>374</v>
      </c>
      <c r="D964" s="71" t="s">
        <v>3373</v>
      </c>
      <c r="E964" s="71" t="s">
        <v>883</v>
      </c>
      <c r="F964" s="72"/>
      <c r="G964" s="73"/>
      <c r="H964" s="75"/>
      <c r="I964" s="102">
        <v>46097</v>
      </c>
      <c r="J964" s="70">
        <v>3</v>
      </c>
      <c r="K964" s="106" t="s">
        <v>3374</v>
      </c>
      <c r="L964" s="104">
        <f t="shared" si="283"/>
        <v>46189</v>
      </c>
      <c r="M964" s="105">
        <f ca="1" t="shared" si="284"/>
        <v>-124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85"/>
        <v>0</v>
      </c>
      <c r="Z964" s="105">
        <f ca="1" t="shared" si="286"/>
        <v>-46313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>
        <f t="shared" si="287"/>
        <v>0</v>
      </c>
      <c r="AM964" s="105">
        <f ca="1" t="shared" si="288"/>
        <v>-46313</v>
      </c>
      <c r="AN964" s="115"/>
      <c r="AO964" s="115"/>
      <c r="AP964" s="115"/>
      <c r="AQ964" s="93"/>
      <c r="AR964" s="93"/>
      <c r="AS964" s="94"/>
      <c r="AT964" s="95"/>
      <c r="AU964" s="79"/>
      <c r="AV964" s="117"/>
      <c r="AW964" s="115"/>
      <c r="AX964" s="106"/>
      <c r="AY964" s="104"/>
      <c r="AZ964" s="105"/>
    </row>
    <row r="965" customHeight="1" spans="1:52">
      <c r="A965" s="70">
        <v>963</v>
      </c>
      <c r="B965" s="70" t="s">
        <v>1399</v>
      </c>
      <c r="C965" s="70" t="s">
        <v>374</v>
      </c>
      <c r="D965" s="71" t="s">
        <v>3375</v>
      </c>
      <c r="E965" s="71" t="s">
        <v>883</v>
      </c>
      <c r="F965" s="72"/>
      <c r="G965" s="73"/>
      <c r="H965" s="75"/>
      <c r="I965" s="102">
        <v>46097</v>
      </c>
      <c r="J965" s="70">
        <v>3</v>
      </c>
      <c r="K965" s="106" t="s">
        <v>3376</v>
      </c>
      <c r="L965" s="104">
        <f t="shared" si="283"/>
        <v>46189</v>
      </c>
      <c r="M965" s="105">
        <f ca="1" t="shared" si="284"/>
        <v>-124</v>
      </c>
      <c r="N965" s="70"/>
      <c r="O965" s="70" t="s">
        <v>1399</v>
      </c>
      <c r="P965" s="70" t="s">
        <v>374</v>
      </c>
      <c r="Q965" s="71" t="s">
        <v>3375</v>
      </c>
      <c r="R965" s="71" t="s">
        <v>883</v>
      </c>
      <c r="S965" s="72"/>
      <c r="T965" s="73"/>
      <c r="U965" s="75"/>
      <c r="V965" s="102">
        <v>46281</v>
      </c>
      <c r="W965" s="70">
        <v>3</v>
      </c>
      <c r="X965" s="103" t="s">
        <v>3377</v>
      </c>
      <c r="Y965" s="104">
        <f t="shared" si="285"/>
        <v>46372</v>
      </c>
      <c r="Z965" s="105">
        <f ca="1" t="shared" si="286"/>
        <v>59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>
        <f t="shared" si="287"/>
        <v>0</v>
      </c>
      <c r="AM965" s="105">
        <f ca="1" t="shared" si="288"/>
        <v>-46313</v>
      </c>
      <c r="AN965" s="115"/>
      <c r="AO965" s="115"/>
      <c r="AP965" s="115"/>
      <c r="AQ965" s="93"/>
      <c r="AR965" s="93"/>
      <c r="AS965" s="94"/>
      <c r="AT965" s="95"/>
      <c r="AU965" s="79"/>
      <c r="AV965" s="117"/>
      <c r="AW965" s="115"/>
      <c r="AX965" s="106"/>
      <c r="AY965" s="104"/>
      <c r="AZ965" s="105"/>
    </row>
    <row r="966" customHeight="1" spans="1:52">
      <c r="A966" s="70">
        <v>964</v>
      </c>
      <c r="B966" s="70" t="s">
        <v>2575</v>
      </c>
      <c r="C966" s="70" t="s">
        <v>13</v>
      </c>
      <c r="D966" s="71" t="s">
        <v>3378</v>
      </c>
      <c r="E966" s="71" t="s">
        <v>2813</v>
      </c>
      <c r="F966" s="72"/>
      <c r="G966" s="73"/>
      <c r="H966" s="75"/>
      <c r="I966" s="102">
        <v>46098</v>
      </c>
      <c r="J966" s="70">
        <v>3</v>
      </c>
      <c r="K966" s="106" t="s">
        <v>3379</v>
      </c>
      <c r="L966" s="104">
        <f t="shared" si="283"/>
        <v>46190</v>
      </c>
      <c r="M966" s="105">
        <f ca="1" t="shared" si="284"/>
        <v>-123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85"/>
        <v>0</v>
      </c>
      <c r="Z966" s="105">
        <f ca="1" t="shared" si="286"/>
        <v>-46313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>
        <f t="shared" si="287"/>
        <v>0</v>
      </c>
      <c r="AM966" s="105">
        <f ca="1" t="shared" si="288"/>
        <v>-46313</v>
      </c>
      <c r="AN966" s="115"/>
      <c r="AO966" s="115"/>
      <c r="AP966" s="115"/>
      <c r="AQ966" s="93"/>
      <c r="AR966" s="93"/>
      <c r="AS966" s="94"/>
      <c r="AT966" s="95"/>
      <c r="AU966" s="79"/>
      <c r="AV966" s="117"/>
      <c r="AW966" s="115"/>
      <c r="AX966" s="106"/>
      <c r="AY966" s="104"/>
      <c r="AZ966" s="105"/>
    </row>
    <row r="967" customHeight="1" spans="1:52">
      <c r="A967" s="70">
        <v>966</v>
      </c>
      <c r="B967" s="70" t="s">
        <v>2058</v>
      </c>
      <c r="C967" s="70" t="s">
        <v>264</v>
      </c>
      <c r="D967" s="71" t="s">
        <v>2059</v>
      </c>
      <c r="E967" s="71" t="s">
        <v>3380</v>
      </c>
      <c r="F967" s="72"/>
      <c r="G967" s="73"/>
      <c r="H967" s="75"/>
      <c r="I967" s="102">
        <v>46098</v>
      </c>
      <c r="J967" s="70" t="s">
        <v>767</v>
      </c>
      <c r="K967" s="106"/>
      <c r="L967" s="104" t="e">
        <f t="shared" si="283"/>
        <v>#VALUE!</v>
      </c>
      <c r="M967" s="105" t="e">
        <f ca="1" t="shared" si="28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85"/>
        <v>0</v>
      </c>
      <c r="Z967" s="105">
        <f ca="1" t="shared" si="286"/>
        <v>-46313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>
        <f t="shared" si="287"/>
        <v>0</v>
      </c>
      <c r="AM967" s="105">
        <f ca="1" t="shared" si="288"/>
        <v>-46313</v>
      </c>
      <c r="AN967" s="115"/>
      <c r="AO967" s="115"/>
      <c r="AP967" s="115"/>
      <c r="AQ967" s="93"/>
      <c r="AR967" s="93"/>
      <c r="AS967" s="94"/>
      <c r="AT967" s="95"/>
      <c r="AU967" s="79"/>
      <c r="AV967" s="117"/>
      <c r="AW967" s="115"/>
      <c r="AX967" s="106"/>
      <c r="AY967" s="104"/>
      <c r="AZ967" s="105"/>
    </row>
    <row r="968" customHeight="1" spans="1:52">
      <c r="A968" s="70">
        <v>967</v>
      </c>
      <c r="B968" s="70" t="s">
        <v>281</v>
      </c>
      <c r="C968" s="70" t="s">
        <v>264</v>
      </c>
      <c r="D968" s="71" t="s">
        <v>3381</v>
      </c>
      <c r="E968" s="71" t="s">
        <v>364</v>
      </c>
      <c r="F968" s="72"/>
      <c r="G968" s="73"/>
      <c r="H968" s="75"/>
      <c r="I968" s="102">
        <v>46098</v>
      </c>
      <c r="J968" s="70">
        <v>3</v>
      </c>
      <c r="K968" s="106" t="s">
        <v>3382</v>
      </c>
      <c r="L968" s="104">
        <f t="shared" si="283"/>
        <v>46190</v>
      </c>
      <c r="M968" s="105">
        <f ca="1" t="shared" si="284"/>
        <v>-123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85"/>
        <v>0</v>
      </c>
      <c r="Z968" s="105">
        <f ca="1" t="shared" si="286"/>
        <v>-46313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>
        <f t="shared" si="287"/>
        <v>0</v>
      </c>
      <c r="AM968" s="105">
        <f ca="1" t="shared" si="288"/>
        <v>-46313</v>
      </c>
      <c r="AN968" s="115"/>
      <c r="AO968" s="115"/>
      <c r="AP968" s="115"/>
      <c r="AQ968" s="93"/>
      <c r="AR968" s="93"/>
      <c r="AS968" s="94"/>
      <c r="AT968" s="95"/>
      <c r="AU968" s="79"/>
      <c r="AV968" s="117"/>
      <c r="AW968" s="115"/>
      <c r="AX968" s="106"/>
      <c r="AY968" s="104"/>
      <c r="AZ968" s="105"/>
    </row>
    <row r="969" customHeight="1" spans="1:52">
      <c r="A969" s="70">
        <v>968</v>
      </c>
      <c r="B969" s="70" t="s">
        <v>281</v>
      </c>
      <c r="C969" s="70" t="s">
        <v>264</v>
      </c>
      <c r="D969" s="71" t="s">
        <v>3383</v>
      </c>
      <c r="E969" s="71" t="s">
        <v>364</v>
      </c>
      <c r="F969" s="72"/>
      <c r="G969" s="73"/>
      <c r="H969" s="75"/>
      <c r="I969" s="102">
        <v>46098</v>
      </c>
      <c r="J969" s="70">
        <v>3</v>
      </c>
      <c r="K969" s="106" t="s">
        <v>3384</v>
      </c>
      <c r="L969" s="104">
        <f t="shared" si="283"/>
        <v>46190</v>
      </c>
      <c r="M969" s="105">
        <f ca="1" t="shared" si="284"/>
        <v>-123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85"/>
        <v>0</v>
      </c>
      <c r="Z969" s="105">
        <f ca="1" t="shared" si="286"/>
        <v>-46313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>
        <f t="shared" si="287"/>
        <v>0</v>
      </c>
      <c r="AM969" s="105">
        <f ca="1" t="shared" si="288"/>
        <v>-46313</v>
      </c>
      <c r="AN969" s="115"/>
      <c r="AO969" s="115"/>
      <c r="AP969" s="115"/>
      <c r="AQ969" s="93"/>
      <c r="AR969" s="93"/>
      <c r="AS969" s="94"/>
      <c r="AT969" s="95"/>
      <c r="AU969" s="79"/>
      <c r="AV969" s="117"/>
      <c r="AW969" s="115"/>
      <c r="AX969" s="106"/>
      <c r="AY969" s="104"/>
      <c r="AZ969" s="105"/>
    </row>
    <row r="970" customHeight="1" spans="1:52">
      <c r="A970" s="70">
        <v>969</v>
      </c>
      <c r="B970" s="70" t="s">
        <v>3385</v>
      </c>
      <c r="C970" s="70" t="s">
        <v>38</v>
      </c>
      <c r="D970" s="71" t="s">
        <v>3386</v>
      </c>
      <c r="E970" s="71" t="s">
        <v>3387</v>
      </c>
      <c r="F970" s="72"/>
      <c r="G970" s="73"/>
      <c r="H970" s="75"/>
      <c r="I970" s="102">
        <v>46098</v>
      </c>
      <c r="J970" s="70">
        <v>3</v>
      </c>
      <c r="K970" s="106" t="s">
        <v>3388</v>
      </c>
      <c r="L970" s="104">
        <f t="shared" si="283"/>
        <v>46190</v>
      </c>
      <c r="M970" s="105">
        <f ca="1" t="shared" si="284"/>
        <v>-123</v>
      </c>
      <c r="N970" s="70"/>
      <c r="O970" s="70" t="s">
        <v>3385</v>
      </c>
      <c r="P970" s="70" t="s">
        <v>38</v>
      </c>
      <c r="Q970" s="71" t="s">
        <v>3386</v>
      </c>
      <c r="R970" s="71" t="s">
        <v>3387</v>
      </c>
      <c r="S970" s="72"/>
      <c r="T970" s="73"/>
      <c r="U970" s="75"/>
      <c r="V970" s="102">
        <v>46218</v>
      </c>
      <c r="W970" s="70">
        <v>3</v>
      </c>
      <c r="X970" s="103" t="s">
        <v>3389</v>
      </c>
      <c r="Y970" s="104">
        <f t="shared" si="285"/>
        <v>46310</v>
      </c>
      <c r="Z970" s="105">
        <f ca="1" t="shared" si="286"/>
        <v>-3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>
        <f t="shared" si="287"/>
        <v>0</v>
      </c>
      <c r="AM970" s="105">
        <f ca="1" t="shared" si="288"/>
        <v>-46313</v>
      </c>
      <c r="AN970" s="115"/>
      <c r="AO970" s="115"/>
      <c r="AP970" s="115"/>
      <c r="AQ970" s="93"/>
      <c r="AR970" s="93"/>
      <c r="AS970" s="94"/>
      <c r="AT970" s="95"/>
      <c r="AU970" s="79"/>
      <c r="AV970" s="117"/>
      <c r="AW970" s="115"/>
      <c r="AX970" s="106"/>
      <c r="AY970" s="104"/>
      <c r="AZ970" s="105"/>
    </row>
    <row r="971" customHeight="1" spans="1:52">
      <c r="A971" s="70">
        <v>970</v>
      </c>
      <c r="B971" s="70" t="s">
        <v>648</v>
      </c>
      <c r="C971" s="70" t="s">
        <v>13</v>
      </c>
      <c r="D971" s="71" t="s">
        <v>3390</v>
      </c>
      <c r="E971" s="71" t="s">
        <v>3391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3392</v>
      </c>
      <c r="L971" s="104">
        <f t="shared" si="283"/>
        <v>46190</v>
      </c>
      <c r="M971" s="105">
        <f ca="1" t="shared" si="284"/>
        <v>-123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85"/>
        <v>0</v>
      </c>
      <c r="Z971" s="105">
        <f ca="1" t="shared" si="286"/>
        <v>-46313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>
        <f t="shared" si="287"/>
        <v>0</v>
      </c>
      <c r="AM971" s="105">
        <f ca="1" t="shared" si="288"/>
        <v>-46313</v>
      </c>
      <c r="AN971" s="115"/>
      <c r="AO971" s="115"/>
      <c r="AP971" s="115"/>
      <c r="AQ971" s="93"/>
      <c r="AR971" s="93"/>
      <c r="AS971" s="94"/>
      <c r="AT971" s="95"/>
      <c r="AU971" s="79"/>
      <c r="AV971" s="117"/>
      <c r="AW971" s="115"/>
      <c r="AX971" s="106"/>
      <c r="AY971" s="104"/>
      <c r="AZ971" s="105"/>
    </row>
    <row r="972" customHeight="1" spans="1:52">
      <c r="A972" s="70">
        <v>971</v>
      </c>
      <c r="B972" s="70" t="s">
        <v>535</v>
      </c>
      <c r="C972" s="70" t="s">
        <v>13</v>
      </c>
      <c r="D972" s="71" t="s">
        <v>3393</v>
      </c>
      <c r="E972" s="71" t="s">
        <v>3394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3395</v>
      </c>
      <c r="L972" s="104">
        <f t="shared" si="283"/>
        <v>46190</v>
      </c>
      <c r="M972" s="105">
        <f ca="1" t="shared" si="284"/>
        <v>-123</v>
      </c>
      <c r="N972" s="70"/>
      <c r="O972" s="70" t="s">
        <v>535</v>
      </c>
      <c r="P972" s="70" t="s">
        <v>13</v>
      </c>
      <c r="Q972" s="71" t="s">
        <v>3393</v>
      </c>
      <c r="R972" s="71" t="s">
        <v>3394</v>
      </c>
      <c r="S972" s="72"/>
      <c r="T972" s="73"/>
      <c r="U972" s="79" t="s">
        <v>16</v>
      </c>
      <c r="V972" s="102">
        <v>46311</v>
      </c>
      <c r="W972" s="70">
        <v>3</v>
      </c>
      <c r="X972" s="103"/>
      <c r="Y972" s="104">
        <f t="shared" si="285"/>
        <v>46403</v>
      </c>
      <c r="Z972" s="105">
        <f ca="1" t="shared" si="286"/>
        <v>90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>
        <f t="shared" si="287"/>
        <v>0</v>
      </c>
      <c r="AM972" s="105">
        <f ca="1" t="shared" si="288"/>
        <v>-46313</v>
      </c>
      <c r="AN972" s="115"/>
      <c r="AO972" s="115"/>
      <c r="AP972" s="115"/>
      <c r="AQ972" s="93"/>
      <c r="AR972" s="93"/>
      <c r="AS972" s="94"/>
      <c r="AT972" s="95"/>
      <c r="AU972" s="79"/>
      <c r="AV972" s="117"/>
      <c r="AW972" s="115"/>
      <c r="AX972" s="106"/>
      <c r="AY972" s="104"/>
      <c r="AZ972" s="105"/>
    </row>
    <row r="973" customHeight="1" spans="1:52">
      <c r="A973" s="70">
        <v>972</v>
      </c>
      <c r="B973" s="70" t="s">
        <v>1752</v>
      </c>
      <c r="C973" s="70" t="s">
        <v>374</v>
      </c>
      <c r="D973" s="71" t="s">
        <v>3396</v>
      </c>
      <c r="E973" s="71" t="s">
        <v>3397</v>
      </c>
      <c r="F973" s="72"/>
      <c r="G973" s="73"/>
      <c r="H973" s="75"/>
      <c r="I973" s="102">
        <v>46098</v>
      </c>
      <c r="J973" s="70">
        <v>3</v>
      </c>
      <c r="K973" s="106" t="s">
        <v>3398</v>
      </c>
      <c r="L973" s="104">
        <f t="shared" si="283"/>
        <v>46190</v>
      </c>
      <c r="M973" s="105">
        <f ca="1" t="shared" si="284"/>
        <v>-123</v>
      </c>
      <c r="N973" s="70"/>
      <c r="O973" s="70" t="s">
        <v>1752</v>
      </c>
      <c r="P973" s="70" t="s">
        <v>374</v>
      </c>
      <c r="Q973" s="71" t="s">
        <v>3396</v>
      </c>
      <c r="R973" s="71" t="s">
        <v>3397</v>
      </c>
      <c r="S973" s="72"/>
      <c r="T973" s="73"/>
      <c r="U973" s="75"/>
      <c r="V973" s="102">
        <v>46221</v>
      </c>
      <c r="W973" s="70">
        <v>3</v>
      </c>
      <c r="X973" s="103" t="s">
        <v>3399</v>
      </c>
      <c r="Y973" s="104">
        <f t="shared" si="285"/>
        <v>46313</v>
      </c>
      <c r="Z973" s="105">
        <f ca="1" t="shared" si="286"/>
        <v>0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>
        <f t="shared" si="287"/>
        <v>0</v>
      </c>
      <c r="AM973" s="105">
        <f ca="1" t="shared" si="288"/>
        <v>-46313</v>
      </c>
      <c r="AN973" s="115"/>
      <c r="AO973" s="115"/>
      <c r="AP973" s="115"/>
      <c r="AQ973" s="93"/>
      <c r="AR973" s="93"/>
      <c r="AS973" s="94"/>
      <c r="AT973" s="95"/>
      <c r="AU973" s="79"/>
      <c r="AV973" s="117"/>
      <c r="AW973" s="115"/>
      <c r="AX973" s="106"/>
      <c r="AY973" s="104"/>
      <c r="AZ973" s="105"/>
    </row>
    <row r="974" customHeight="1" spans="1:52">
      <c r="A974" s="70">
        <v>973</v>
      </c>
      <c r="B974" s="70" t="s">
        <v>1752</v>
      </c>
      <c r="C974" s="70" t="s">
        <v>374</v>
      </c>
      <c r="D974" s="71" t="s">
        <v>3400</v>
      </c>
      <c r="E974" s="71" t="s">
        <v>3401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3402</v>
      </c>
      <c r="L974" s="104">
        <f t="shared" si="283"/>
        <v>46190</v>
      </c>
      <c r="M974" s="105">
        <f ca="1" t="shared" si="284"/>
        <v>-123</v>
      </c>
      <c r="N974" s="70"/>
      <c r="O974" s="70" t="s">
        <v>1752</v>
      </c>
      <c r="P974" s="70" t="s">
        <v>374</v>
      </c>
      <c r="Q974" s="71" t="s">
        <v>3400</v>
      </c>
      <c r="R974" s="71" t="s">
        <v>3401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3403</v>
      </c>
      <c r="Y974" s="104">
        <f t="shared" si="285"/>
        <v>46313</v>
      </c>
      <c r="Z974" s="105">
        <f ca="1" t="shared" si="286"/>
        <v>0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>
        <f t="shared" si="287"/>
        <v>0</v>
      </c>
      <c r="AM974" s="105">
        <f ca="1" t="shared" si="288"/>
        <v>-46313</v>
      </c>
      <c r="AN974" s="115"/>
      <c r="AO974" s="115"/>
      <c r="AP974" s="115"/>
      <c r="AQ974" s="93"/>
      <c r="AR974" s="93"/>
      <c r="AS974" s="94"/>
      <c r="AT974" s="95"/>
      <c r="AU974" s="79"/>
      <c r="AV974" s="117"/>
      <c r="AW974" s="115"/>
      <c r="AX974" s="106"/>
      <c r="AY974" s="104"/>
      <c r="AZ974" s="105"/>
    </row>
    <row r="975" customHeight="1" spans="1:52">
      <c r="A975" s="70">
        <v>974</v>
      </c>
      <c r="B975" s="70" t="s">
        <v>1752</v>
      </c>
      <c r="C975" s="70" t="s">
        <v>374</v>
      </c>
      <c r="D975" s="71" t="s">
        <v>3404</v>
      </c>
      <c r="E975" s="71" t="s">
        <v>3405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3406</v>
      </c>
      <c r="L975" s="104">
        <f t="shared" si="283"/>
        <v>46190</v>
      </c>
      <c r="M975" s="105">
        <f ca="1" t="shared" si="284"/>
        <v>-123</v>
      </c>
      <c r="N975" s="70"/>
      <c r="O975" s="70" t="s">
        <v>1752</v>
      </c>
      <c r="P975" s="70" t="s">
        <v>374</v>
      </c>
      <c r="Q975" s="71" t="s">
        <v>3404</v>
      </c>
      <c r="R975" s="71" t="s">
        <v>3405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3407</v>
      </c>
      <c r="Y975" s="104">
        <f t="shared" si="285"/>
        <v>46313</v>
      </c>
      <c r="Z975" s="105">
        <f ca="1" t="shared" si="286"/>
        <v>0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>
        <f t="shared" si="287"/>
        <v>0</v>
      </c>
      <c r="AM975" s="105">
        <f ca="1" t="shared" si="288"/>
        <v>-46313</v>
      </c>
      <c r="AN975" s="115"/>
      <c r="AO975" s="115"/>
      <c r="AP975" s="115"/>
      <c r="AQ975" s="93"/>
      <c r="AR975" s="93"/>
      <c r="AS975" s="94"/>
      <c r="AT975" s="95"/>
      <c r="AU975" s="79"/>
      <c r="AV975" s="117"/>
      <c r="AW975" s="115"/>
      <c r="AX975" s="106"/>
      <c r="AY975" s="104"/>
      <c r="AZ975" s="105"/>
    </row>
    <row r="976" customHeight="1" spans="1:52">
      <c r="A976" s="70">
        <v>975</v>
      </c>
      <c r="B976" s="70" t="s">
        <v>1752</v>
      </c>
      <c r="C976" s="70" t="s">
        <v>374</v>
      </c>
      <c r="D976" s="71" t="s">
        <v>3408</v>
      </c>
      <c r="E976" s="71" t="s">
        <v>3409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3410</v>
      </c>
      <c r="L976" s="104">
        <f t="shared" si="283"/>
        <v>46190</v>
      </c>
      <c r="M976" s="105">
        <f ca="1" t="shared" si="284"/>
        <v>-123</v>
      </c>
      <c r="N976" s="70"/>
      <c r="O976" s="70" t="s">
        <v>1752</v>
      </c>
      <c r="P976" s="70" t="s">
        <v>374</v>
      </c>
      <c r="Q976" s="71" t="s">
        <v>3408</v>
      </c>
      <c r="R976" s="71" t="s">
        <v>3409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3411</v>
      </c>
      <c r="Y976" s="104">
        <f t="shared" si="285"/>
        <v>46313</v>
      </c>
      <c r="Z976" s="105">
        <f ca="1" t="shared" si="286"/>
        <v>0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>
        <f t="shared" si="287"/>
        <v>0</v>
      </c>
      <c r="AM976" s="105">
        <f ca="1" t="shared" si="288"/>
        <v>-46313</v>
      </c>
      <c r="AN976" s="115"/>
      <c r="AO976" s="115"/>
      <c r="AP976" s="115"/>
      <c r="AQ976" s="93"/>
      <c r="AR976" s="93"/>
      <c r="AS976" s="94"/>
      <c r="AT976" s="95"/>
      <c r="AU976" s="79"/>
      <c r="AV976" s="117"/>
      <c r="AW976" s="115"/>
      <c r="AX976" s="106"/>
      <c r="AY976" s="104"/>
      <c r="AZ976" s="105"/>
    </row>
    <row r="977" customHeight="1" spans="1:52">
      <c r="A977" s="70">
        <v>976</v>
      </c>
      <c r="B977" s="70" t="s">
        <v>1409</v>
      </c>
      <c r="C977" s="70" t="s">
        <v>374</v>
      </c>
      <c r="D977" s="71" t="s">
        <v>3412</v>
      </c>
      <c r="E977" s="71" t="s">
        <v>548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3413</v>
      </c>
      <c r="L977" s="104">
        <f t="shared" si="283"/>
        <v>46190</v>
      </c>
      <c r="M977" s="105">
        <f ca="1" t="shared" si="284"/>
        <v>-123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85"/>
        <v>0</v>
      </c>
      <c r="Z977" s="105">
        <f ca="1" t="shared" si="286"/>
        <v>-46313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>
        <f t="shared" si="287"/>
        <v>0</v>
      </c>
      <c r="AM977" s="105">
        <f ca="1" t="shared" si="288"/>
        <v>-46313</v>
      </c>
      <c r="AN977" s="115"/>
      <c r="AO977" s="115"/>
      <c r="AP977" s="115"/>
      <c r="AQ977" s="93"/>
      <c r="AR977" s="93"/>
      <c r="AS977" s="94"/>
      <c r="AT977" s="95"/>
      <c r="AU977" s="79"/>
      <c r="AV977" s="117"/>
      <c r="AW977" s="115"/>
      <c r="AX977" s="106"/>
      <c r="AY977" s="104"/>
      <c r="AZ977" s="105"/>
    </row>
    <row r="978" customHeight="1" spans="1:52">
      <c r="A978" s="70">
        <v>977</v>
      </c>
      <c r="B978" s="70" t="s">
        <v>555</v>
      </c>
      <c r="C978" s="70" t="s">
        <v>374</v>
      </c>
      <c r="D978" s="71" t="s">
        <v>3414</v>
      </c>
      <c r="E978" s="71" t="s">
        <v>659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3415</v>
      </c>
      <c r="L978" s="104">
        <f t="shared" si="283"/>
        <v>46190</v>
      </c>
      <c r="M978" s="105">
        <f ca="1" t="shared" si="284"/>
        <v>-123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85"/>
        <v>0</v>
      </c>
      <c r="Z978" s="105">
        <f ca="1" t="shared" si="286"/>
        <v>-46313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>
        <f t="shared" si="287"/>
        <v>0</v>
      </c>
      <c r="AM978" s="105">
        <f ca="1" t="shared" si="288"/>
        <v>-46313</v>
      </c>
      <c r="AN978" s="115"/>
      <c r="AO978" s="115"/>
      <c r="AP978" s="115"/>
      <c r="AQ978" s="93"/>
      <c r="AR978" s="93"/>
      <c r="AS978" s="94"/>
      <c r="AT978" s="95"/>
      <c r="AU978" s="79"/>
      <c r="AV978" s="117"/>
      <c r="AW978" s="115"/>
      <c r="AX978" s="106"/>
      <c r="AY978" s="104"/>
      <c r="AZ978" s="105"/>
    </row>
    <row r="979" customHeight="1" spans="1:52">
      <c r="A979" s="70">
        <v>978</v>
      </c>
      <c r="B979" s="70" t="s">
        <v>555</v>
      </c>
      <c r="C979" s="70" t="s">
        <v>374</v>
      </c>
      <c r="D979" s="71" t="s">
        <v>3416</v>
      </c>
      <c r="E979" s="71" t="s">
        <v>664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3417</v>
      </c>
      <c r="L979" s="104">
        <f t="shared" si="283"/>
        <v>46190</v>
      </c>
      <c r="M979" s="105">
        <f ca="1" t="shared" si="284"/>
        <v>-123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285"/>
        <v>0</v>
      </c>
      <c r="Z979" s="105">
        <f ca="1" t="shared" si="286"/>
        <v>-46313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>
        <f t="shared" si="287"/>
        <v>0</v>
      </c>
      <c r="AM979" s="105">
        <f ca="1" t="shared" si="288"/>
        <v>-46313</v>
      </c>
      <c r="AN979" s="115"/>
      <c r="AO979" s="115"/>
      <c r="AP979" s="115"/>
      <c r="AQ979" s="93"/>
      <c r="AR979" s="93"/>
      <c r="AS979" s="94"/>
      <c r="AT979" s="95"/>
      <c r="AU979" s="79"/>
      <c r="AV979" s="117"/>
      <c r="AW979" s="115"/>
      <c r="AX979" s="106"/>
      <c r="AY979" s="104"/>
      <c r="AZ979" s="105"/>
    </row>
    <row r="980" customHeight="1" spans="1:52">
      <c r="A980" s="70">
        <v>979</v>
      </c>
      <c r="B980" s="70" t="s">
        <v>1399</v>
      </c>
      <c r="C980" s="70" t="s">
        <v>374</v>
      </c>
      <c r="D980" s="71" t="s">
        <v>3418</v>
      </c>
      <c r="E980" s="71" t="s">
        <v>883</v>
      </c>
      <c r="F980" s="72"/>
      <c r="G980" s="73"/>
      <c r="H980" s="151"/>
      <c r="I980" s="102">
        <v>46098</v>
      </c>
      <c r="J980" s="70">
        <v>3</v>
      </c>
      <c r="K980" s="106" t="s">
        <v>3419</v>
      </c>
      <c r="L980" s="104">
        <f t="shared" si="283"/>
        <v>46190</v>
      </c>
      <c r="M980" s="105">
        <f ca="1" t="shared" si="284"/>
        <v>-123</v>
      </c>
      <c r="N980" s="70"/>
      <c r="O980" s="70" t="s">
        <v>1399</v>
      </c>
      <c r="P980" s="70" t="s">
        <v>374</v>
      </c>
      <c r="Q980" s="71" t="s">
        <v>3418</v>
      </c>
      <c r="R980" s="71" t="s">
        <v>883</v>
      </c>
      <c r="S980" s="72"/>
      <c r="T980" s="73"/>
      <c r="U980" s="151"/>
      <c r="V980" s="102">
        <v>46220</v>
      </c>
      <c r="W980" s="70">
        <v>3</v>
      </c>
      <c r="X980" s="103" t="s">
        <v>3420</v>
      </c>
      <c r="Y980" s="104">
        <f t="shared" si="285"/>
        <v>46312</v>
      </c>
      <c r="Z980" s="105">
        <f ca="1" t="shared" si="286"/>
        <v>-1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>
        <f t="shared" si="287"/>
        <v>0</v>
      </c>
      <c r="AM980" s="105">
        <f ca="1" t="shared" si="288"/>
        <v>-46313</v>
      </c>
      <c r="AN980" s="115"/>
      <c r="AO980" s="115"/>
      <c r="AP980" s="115"/>
      <c r="AQ980" s="93"/>
      <c r="AR980" s="93"/>
      <c r="AS980" s="94"/>
      <c r="AT980" s="95"/>
      <c r="AU980" s="79"/>
      <c r="AV980" s="117"/>
      <c r="AW980" s="115"/>
      <c r="AX980" s="106"/>
      <c r="AY980" s="104"/>
      <c r="AZ980" s="105"/>
    </row>
    <row r="981" customHeight="1" spans="1:52">
      <c r="A981" s="70">
        <v>980</v>
      </c>
      <c r="B981" s="70" t="s">
        <v>1399</v>
      </c>
      <c r="C981" s="70" t="s">
        <v>374</v>
      </c>
      <c r="D981" s="205" t="s">
        <v>3421</v>
      </c>
      <c r="E981" s="71" t="s">
        <v>883</v>
      </c>
      <c r="F981" s="72"/>
      <c r="G981" s="73"/>
      <c r="H981" s="151"/>
      <c r="I981" s="102">
        <v>46098</v>
      </c>
      <c r="J981" s="70">
        <v>3</v>
      </c>
      <c r="K981" s="106" t="s">
        <v>3422</v>
      </c>
      <c r="L981" s="104">
        <f t="shared" si="283"/>
        <v>46190</v>
      </c>
      <c r="M981" s="105">
        <f ca="1" t="shared" si="284"/>
        <v>-123</v>
      </c>
      <c r="N981" s="70"/>
      <c r="O981" s="70" t="s">
        <v>1399</v>
      </c>
      <c r="P981" s="70" t="s">
        <v>374</v>
      </c>
      <c r="Q981" s="205" t="s">
        <v>3421</v>
      </c>
      <c r="R981" s="71" t="s">
        <v>883</v>
      </c>
      <c r="S981" s="72"/>
      <c r="T981" s="73"/>
      <c r="U981" s="151"/>
      <c r="V981" s="102">
        <v>46247</v>
      </c>
      <c r="W981" s="70">
        <v>3</v>
      </c>
      <c r="X981" s="103" t="s">
        <v>3423</v>
      </c>
      <c r="Y981" s="104">
        <f t="shared" si="285"/>
        <v>46339</v>
      </c>
      <c r="Z981" s="105">
        <f ca="1" t="shared" si="286"/>
        <v>26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>
        <f t="shared" si="287"/>
        <v>0</v>
      </c>
      <c r="AM981" s="105">
        <f ca="1" t="shared" si="288"/>
        <v>-46313</v>
      </c>
      <c r="AN981" s="115"/>
      <c r="AO981" s="115"/>
      <c r="AP981" s="115"/>
      <c r="AQ981" s="93"/>
      <c r="AR981" s="93"/>
      <c r="AS981" s="94"/>
      <c r="AT981" s="95"/>
      <c r="AU981" s="79"/>
      <c r="AV981" s="117"/>
      <c r="AW981" s="115"/>
      <c r="AX981" s="106"/>
      <c r="AY981" s="104"/>
      <c r="AZ981" s="105"/>
    </row>
    <row r="982" customHeight="1" spans="1:52">
      <c r="A982" s="70">
        <v>981</v>
      </c>
      <c r="B982" s="70" t="s">
        <v>1399</v>
      </c>
      <c r="C982" s="70" t="s">
        <v>374</v>
      </c>
      <c r="D982" s="205" t="s">
        <v>3424</v>
      </c>
      <c r="E982" s="71" t="s">
        <v>883</v>
      </c>
      <c r="F982" s="72"/>
      <c r="G982" s="73"/>
      <c r="H982" s="151"/>
      <c r="I982" s="102">
        <v>46098</v>
      </c>
      <c r="J982" s="70">
        <v>3</v>
      </c>
      <c r="K982" s="106" t="s">
        <v>3425</v>
      </c>
      <c r="L982" s="104">
        <f t="shared" si="283"/>
        <v>46190</v>
      </c>
      <c r="M982" s="105">
        <f ca="1" t="shared" si="284"/>
        <v>-123</v>
      </c>
      <c r="N982" s="70"/>
      <c r="O982" s="70" t="s">
        <v>1399</v>
      </c>
      <c r="P982" s="70" t="s">
        <v>374</v>
      </c>
      <c r="Q982" s="205" t="s">
        <v>3424</v>
      </c>
      <c r="R982" s="71" t="s">
        <v>883</v>
      </c>
      <c r="S982" s="72"/>
      <c r="T982" s="73"/>
      <c r="U982" s="151"/>
      <c r="V982" s="102">
        <v>46247</v>
      </c>
      <c r="W982" s="70">
        <v>3</v>
      </c>
      <c r="X982" s="103" t="s">
        <v>3426</v>
      </c>
      <c r="Y982" s="104">
        <f t="shared" si="285"/>
        <v>46339</v>
      </c>
      <c r="Z982" s="105">
        <f ca="1" t="shared" si="286"/>
        <v>26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>
        <f t="shared" si="287"/>
        <v>0</v>
      </c>
      <c r="AM982" s="105">
        <f ca="1" t="shared" si="288"/>
        <v>-46313</v>
      </c>
      <c r="AN982" s="115"/>
      <c r="AO982" s="115"/>
      <c r="AP982" s="115"/>
      <c r="AQ982" s="93"/>
      <c r="AR982" s="93"/>
      <c r="AS982" s="94"/>
      <c r="AT982" s="95"/>
      <c r="AU982" s="79"/>
      <c r="AV982" s="117"/>
      <c r="AW982" s="115"/>
      <c r="AX982" s="106"/>
      <c r="AY982" s="104"/>
      <c r="AZ982" s="105"/>
    </row>
    <row r="983" customHeight="1" spans="1:52">
      <c r="A983" s="70">
        <v>983</v>
      </c>
      <c r="B983" s="70" t="s">
        <v>229</v>
      </c>
      <c r="C983" s="70" t="s">
        <v>13</v>
      </c>
      <c r="D983" s="71" t="s">
        <v>3427</v>
      </c>
      <c r="E983" s="71" t="s">
        <v>126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3428</v>
      </c>
      <c r="L983" s="104">
        <f t="shared" ref="L983:L1025" si="289">EDATE(I983,J983)</f>
        <v>46191</v>
      </c>
      <c r="M983" s="105">
        <f ca="1" t="shared" ref="M983:M1025" si="290">L983-TODAY()</f>
        <v>-122</v>
      </c>
      <c r="N983" s="70"/>
      <c r="O983" s="70" t="s">
        <v>229</v>
      </c>
      <c r="P983" s="70" t="s">
        <v>13</v>
      </c>
      <c r="Q983" s="71" t="s">
        <v>3427</v>
      </c>
      <c r="R983" s="71" t="s">
        <v>126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3429</v>
      </c>
      <c r="Y983" s="104">
        <f t="shared" si="285"/>
        <v>46289</v>
      </c>
      <c r="Z983" s="105">
        <f ca="1" t="shared" si="286"/>
        <v>-24</v>
      </c>
      <c r="AA983" s="70"/>
      <c r="AB983" s="70" t="s">
        <v>229</v>
      </c>
      <c r="AC983" s="70" t="s">
        <v>13</v>
      </c>
      <c r="AD983" s="71" t="s">
        <v>3427</v>
      </c>
      <c r="AE983" s="71" t="s">
        <v>126</v>
      </c>
      <c r="AF983" s="72"/>
      <c r="AG983" s="73"/>
      <c r="AH983" s="114" t="s">
        <v>16</v>
      </c>
      <c r="AI983" s="102">
        <v>46284</v>
      </c>
      <c r="AJ983" s="70">
        <v>3</v>
      </c>
      <c r="AK983" s="103" t="s">
        <v>3430</v>
      </c>
      <c r="AL983" s="104">
        <f t="shared" si="287"/>
        <v>46375</v>
      </c>
      <c r="AM983" s="105">
        <f ca="1" t="shared" si="288"/>
        <v>62</v>
      </c>
      <c r="AN983" s="115"/>
      <c r="AO983" s="115"/>
      <c r="AP983" s="115"/>
      <c r="AQ983" s="93"/>
      <c r="AR983" s="93"/>
      <c r="AS983" s="94"/>
      <c r="AT983" s="95"/>
      <c r="AU983" s="79"/>
      <c r="AV983" s="117"/>
      <c r="AW983" s="115"/>
      <c r="AX983" s="106"/>
      <c r="AY983" s="104"/>
      <c r="AZ983" s="105"/>
    </row>
    <row r="984" customHeight="1" spans="1:52">
      <c r="A984" s="70">
        <v>984</v>
      </c>
      <c r="B984" s="70" t="s">
        <v>519</v>
      </c>
      <c r="C984" s="70" t="s">
        <v>13</v>
      </c>
      <c r="D984" s="71" t="s">
        <v>305</v>
      </c>
      <c r="E984" s="71" t="s">
        <v>76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3431</v>
      </c>
      <c r="L984" s="104">
        <f t="shared" si="289"/>
        <v>46191</v>
      </c>
      <c r="M984" s="105">
        <f ca="1" t="shared" si="290"/>
        <v>-122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85"/>
        <v>0</v>
      </c>
      <c r="Z984" s="105">
        <f ca="1" t="shared" si="286"/>
        <v>-46313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>
        <f t="shared" si="287"/>
        <v>0</v>
      </c>
      <c r="AM984" s="105">
        <f ca="1" t="shared" si="288"/>
        <v>-46313</v>
      </c>
      <c r="AN984" s="115"/>
      <c r="AO984" s="115"/>
      <c r="AP984" s="115"/>
      <c r="AQ984" s="93"/>
      <c r="AR984" s="93"/>
      <c r="AS984" s="94"/>
      <c r="AT984" s="95"/>
      <c r="AU984" s="79"/>
      <c r="AV984" s="117"/>
      <c r="AW984" s="115"/>
      <c r="AX984" s="106"/>
      <c r="AY984" s="104"/>
      <c r="AZ984" s="105"/>
    </row>
    <row r="985" customHeight="1" spans="1:52">
      <c r="A985" s="70">
        <v>985</v>
      </c>
      <c r="B985" s="70" t="s">
        <v>519</v>
      </c>
      <c r="C985" s="70" t="s">
        <v>38</v>
      </c>
      <c r="D985" s="71" t="s">
        <v>302</v>
      </c>
      <c r="E985" s="71" t="s">
        <v>51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3432</v>
      </c>
      <c r="L985" s="104">
        <f t="shared" si="289"/>
        <v>46191</v>
      </c>
      <c r="M985" s="105">
        <f ca="1" t="shared" si="290"/>
        <v>-122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85"/>
        <v>0</v>
      </c>
      <c r="Z985" s="105">
        <f ca="1" t="shared" si="286"/>
        <v>-46313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>
        <f t="shared" si="287"/>
        <v>0</v>
      </c>
      <c r="AM985" s="105">
        <f ca="1" t="shared" si="288"/>
        <v>-46313</v>
      </c>
      <c r="AN985" s="115"/>
      <c r="AO985" s="115"/>
      <c r="AP985" s="115"/>
      <c r="AQ985" s="93"/>
      <c r="AR985" s="93"/>
      <c r="AS985" s="94"/>
      <c r="AT985" s="95"/>
      <c r="AU985" s="79"/>
      <c r="AV985" s="117"/>
      <c r="AW985" s="115"/>
      <c r="AX985" s="106"/>
      <c r="AY985" s="104"/>
      <c r="AZ985" s="105"/>
    </row>
    <row r="986" customHeight="1" spans="1:52">
      <c r="A986" s="70">
        <v>986</v>
      </c>
      <c r="B986" s="70" t="s">
        <v>134</v>
      </c>
      <c r="C986" s="70" t="s">
        <v>13</v>
      </c>
      <c r="D986" s="71" t="s">
        <v>3433</v>
      </c>
      <c r="E986" s="71" t="s">
        <v>76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3434</v>
      </c>
      <c r="L986" s="104">
        <f t="shared" si="289"/>
        <v>46191</v>
      </c>
      <c r="M986" s="105">
        <f ca="1" t="shared" si="290"/>
        <v>-122</v>
      </c>
      <c r="N986" s="70"/>
      <c r="O986" s="70" t="s">
        <v>134</v>
      </c>
      <c r="P986" s="70" t="s">
        <v>13</v>
      </c>
      <c r="Q986" s="71" t="s">
        <v>3433</v>
      </c>
      <c r="R986" s="71" t="s">
        <v>76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3435</v>
      </c>
      <c r="Y986" s="104">
        <f t="shared" si="285"/>
        <v>46300</v>
      </c>
      <c r="Z986" s="105">
        <f ca="1" t="shared" si="286"/>
        <v>-13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>
        <f t="shared" si="287"/>
        <v>0</v>
      </c>
      <c r="AM986" s="105">
        <f ca="1" t="shared" si="288"/>
        <v>-46313</v>
      </c>
      <c r="AN986" s="115"/>
      <c r="AO986" s="115"/>
      <c r="AP986" s="115"/>
      <c r="AQ986" s="93"/>
      <c r="AR986" s="93"/>
      <c r="AS986" s="94"/>
      <c r="AT986" s="95"/>
      <c r="AU986" s="79"/>
      <c r="AV986" s="117"/>
      <c r="AW986" s="115"/>
      <c r="AX986" s="106"/>
      <c r="AY986" s="104"/>
      <c r="AZ986" s="105"/>
    </row>
    <row r="987" customHeight="1" spans="1:52">
      <c r="A987" s="70">
        <v>987</v>
      </c>
      <c r="B987" s="70" t="s">
        <v>3436</v>
      </c>
      <c r="C987" s="70" t="s">
        <v>38</v>
      </c>
      <c r="D987" s="71" t="s">
        <v>3437</v>
      </c>
      <c r="E987" s="71" t="s">
        <v>3438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3439</v>
      </c>
      <c r="L987" s="104">
        <f t="shared" si="289"/>
        <v>46191</v>
      </c>
      <c r="M987" s="105">
        <f ca="1" t="shared" si="290"/>
        <v>-122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85"/>
        <v>0</v>
      </c>
      <c r="Z987" s="105">
        <f ca="1" t="shared" si="286"/>
        <v>-46313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>
        <f t="shared" si="287"/>
        <v>0</v>
      </c>
      <c r="AM987" s="105">
        <f ca="1" t="shared" si="288"/>
        <v>-46313</v>
      </c>
      <c r="AN987" s="115"/>
      <c r="AO987" s="115"/>
      <c r="AP987" s="115"/>
      <c r="AQ987" s="93"/>
      <c r="AR987" s="93"/>
      <c r="AS987" s="94"/>
      <c r="AT987" s="95"/>
      <c r="AU987" s="79"/>
      <c r="AV987" s="117"/>
      <c r="AW987" s="115"/>
      <c r="AX987" s="106"/>
      <c r="AY987" s="104"/>
      <c r="AZ987" s="105"/>
    </row>
    <row r="988" customHeight="1" spans="1:52">
      <c r="A988" s="70">
        <v>988</v>
      </c>
      <c r="B988" s="70" t="s">
        <v>3436</v>
      </c>
      <c r="C988" s="70" t="s">
        <v>38</v>
      </c>
      <c r="D988" s="71" t="s">
        <v>3440</v>
      </c>
      <c r="E988" s="71" t="s">
        <v>3438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3441</v>
      </c>
      <c r="L988" s="104">
        <f t="shared" si="289"/>
        <v>46191</v>
      </c>
      <c r="M988" s="105">
        <f ca="1" t="shared" si="290"/>
        <v>-122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85"/>
        <v>0</v>
      </c>
      <c r="Z988" s="105">
        <f ca="1" t="shared" si="286"/>
        <v>-46313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>
        <f t="shared" si="287"/>
        <v>0</v>
      </c>
      <c r="AM988" s="105">
        <f ca="1" t="shared" si="288"/>
        <v>-46313</v>
      </c>
      <c r="AN988" s="115"/>
      <c r="AO988" s="115"/>
      <c r="AP988" s="115"/>
      <c r="AQ988" s="93"/>
      <c r="AR988" s="93"/>
      <c r="AS988" s="94"/>
      <c r="AT988" s="95"/>
      <c r="AU988" s="79"/>
      <c r="AV988" s="117"/>
      <c r="AW988" s="115"/>
      <c r="AX988" s="106"/>
      <c r="AY988" s="104"/>
      <c r="AZ988" s="105"/>
    </row>
    <row r="989" customHeight="1" spans="1:52">
      <c r="A989" s="70">
        <v>989</v>
      </c>
      <c r="B989" s="70" t="s">
        <v>2751</v>
      </c>
      <c r="C989" s="70" t="s">
        <v>264</v>
      </c>
      <c r="D989" s="71" t="s">
        <v>3442</v>
      </c>
      <c r="E989" s="71" t="s">
        <v>3443</v>
      </c>
      <c r="F989" s="72"/>
      <c r="G989" s="73"/>
      <c r="H989" s="75"/>
      <c r="I989" s="102">
        <v>46099</v>
      </c>
      <c r="J989" s="70">
        <v>3</v>
      </c>
      <c r="K989" s="106" t="s">
        <v>3444</v>
      </c>
      <c r="L989" s="104">
        <f t="shared" si="289"/>
        <v>46191</v>
      </c>
      <c r="M989" s="105">
        <f ca="1" t="shared" si="290"/>
        <v>-122</v>
      </c>
      <c r="N989" s="70"/>
      <c r="O989" s="70" t="s">
        <v>2751</v>
      </c>
      <c r="P989" s="70" t="s">
        <v>264</v>
      </c>
      <c r="Q989" s="71" t="s">
        <v>3442</v>
      </c>
      <c r="R989" s="71" t="s">
        <v>3443</v>
      </c>
      <c r="S989" s="72"/>
      <c r="T989" s="73"/>
      <c r="U989" s="75"/>
      <c r="V989" s="102">
        <v>46204</v>
      </c>
      <c r="W989" s="70">
        <v>3</v>
      </c>
      <c r="X989" s="103" t="s">
        <v>3445</v>
      </c>
      <c r="Y989" s="104">
        <f t="shared" si="285"/>
        <v>46296</v>
      </c>
      <c r="Z989" s="105">
        <f ca="1" t="shared" si="286"/>
        <v>-17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>
        <f t="shared" si="287"/>
        <v>0</v>
      </c>
      <c r="AM989" s="105">
        <f ca="1" t="shared" si="288"/>
        <v>-46313</v>
      </c>
      <c r="AN989" s="115"/>
      <c r="AO989" s="115"/>
      <c r="AP989" s="115"/>
      <c r="AQ989" s="93"/>
      <c r="AR989" s="93"/>
      <c r="AS989" s="94"/>
      <c r="AT989" s="95"/>
      <c r="AU989" s="79"/>
      <c r="AV989" s="117"/>
      <c r="AW989" s="115"/>
      <c r="AX989" s="106"/>
      <c r="AY989" s="104"/>
      <c r="AZ989" s="105"/>
    </row>
    <row r="990" customHeight="1" spans="1:52">
      <c r="A990" s="70">
        <v>990</v>
      </c>
      <c r="B990" s="70" t="s">
        <v>644</v>
      </c>
      <c r="C990" s="70" t="s">
        <v>264</v>
      </c>
      <c r="D990" s="71" t="s">
        <v>1922</v>
      </c>
      <c r="E990" s="71" t="s">
        <v>266</v>
      </c>
      <c r="F990" s="72"/>
      <c r="G990" s="73"/>
      <c r="H990" s="75"/>
      <c r="I990" s="102">
        <v>46099</v>
      </c>
      <c r="J990" s="70" t="s">
        <v>767</v>
      </c>
      <c r="K990" s="106"/>
      <c r="L990" s="104" t="e">
        <f t="shared" si="289"/>
        <v>#VALUE!</v>
      </c>
      <c r="M990" s="105" t="e">
        <f ca="1" t="shared" si="290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85"/>
        <v>0</v>
      </c>
      <c r="Z990" s="105">
        <f ca="1" t="shared" si="286"/>
        <v>-46313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>
        <f t="shared" si="287"/>
        <v>0</v>
      </c>
      <c r="AM990" s="105">
        <f ca="1" t="shared" si="288"/>
        <v>-46313</v>
      </c>
      <c r="AN990" s="115"/>
      <c r="AO990" s="115"/>
      <c r="AP990" s="115"/>
      <c r="AQ990" s="93"/>
      <c r="AR990" s="93"/>
      <c r="AS990" s="94"/>
      <c r="AT990" s="95"/>
      <c r="AU990" s="79"/>
      <c r="AV990" s="117"/>
      <c r="AW990" s="115"/>
      <c r="AX990" s="106"/>
      <c r="AY990" s="104"/>
      <c r="AZ990" s="105"/>
    </row>
    <row r="991" customHeight="1" spans="1:52">
      <c r="A991" s="70">
        <v>991</v>
      </c>
      <c r="B991" s="70" t="s">
        <v>644</v>
      </c>
      <c r="C991" s="70" t="s">
        <v>264</v>
      </c>
      <c r="D991" s="71" t="s">
        <v>265</v>
      </c>
      <c r="E991" s="71" t="s">
        <v>266</v>
      </c>
      <c r="F991" s="72"/>
      <c r="G991" s="73"/>
      <c r="H991" s="75"/>
      <c r="I991" s="102">
        <v>46099</v>
      </c>
      <c r="J991" s="70" t="s">
        <v>767</v>
      </c>
      <c r="K991" s="106"/>
      <c r="L991" s="104" t="e">
        <f t="shared" si="289"/>
        <v>#VALUE!</v>
      </c>
      <c r="M991" s="105" t="e">
        <f ca="1" t="shared" si="290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85"/>
        <v>0</v>
      </c>
      <c r="Z991" s="105">
        <f ca="1" t="shared" si="286"/>
        <v>-46313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>
        <f t="shared" si="287"/>
        <v>0</v>
      </c>
      <c r="AM991" s="105">
        <f ca="1" t="shared" si="288"/>
        <v>-46313</v>
      </c>
      <c r="AN991" s="115"/>
      <c r="AO991" s="115"/>
      <c r="AP991" s="115"/>
      <c r="AQ991" s="93"/>
      <c r="AR991" s="93"/>
      <c r="AS991" s="94"/>
      <c r="AT991" s="95"/>
      <c r="AU991" s="79"/>
      <c r="AV991" s="117"/>
      <c r="AW991" s="115"/>
      <c r="AX991" s="106"/>
      <c r="AY991" s="104"/>
      <c r="AZ991" s="105"/>
    </row>
    <row r="992" customHeight="1" spans="1:52">
      <c r="A992" s="70">
        <v>992</v>
      </c>
      <c r="B992" s="70" t="s">
        <v>1238</v>
      </c>
      <c r="C992" s="70" t="s">
        <v>264</v>
      </c>
      <c r="D992" s="71" t="s">
        <v>1239</v>
      </c>
      <c r="E992" s="71" t="s">
        <v>364</v>
      </c>
      <c r="F992" s="72"/>
      <c r="G992" s="73"/>
      <c r="H992" s="75"/>
      <c r="I992" s="102">
        <v>46099</v>
      </c>
      <c r="J992" s="70" t="s">
        <v>767</v>
      </c>
      <c r="K992" s="106"/>
      <c r="L992" s="104" t="e">
        <f t="shared" si="289"/>
        <v>#VALUE!</v>
      </c>
      <c r="M992" s="105" t="e">
        <f ca="1" t="shared" si="290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85"/>
        <v>0</v>
      </c>
      <c r="Z992" s="105">
        <f ca="1" t="shared" si="286"/>
        <v>-46313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>
        <f t="shared" si="287"/>
        <v>0</v>
      </c>
      <c r="AM992" s="105">
        <f ca="1" t="shared" si="288"/>
        <v>-46313</v>
      </c>
      <c r="AN992" s="115"/>
      <c r="AO992" s="115"/>
      <c r="AP992" s="115"/>
      <c r="AQ992" s="93"/>
      <c r="AR992" s="93"/>
      <c r="AS992" s="94"/>
      <c r="AT992" s="95"/>
      <c r="AU992" s="79"/>
      <c r="AV992" s="117"/>
      <c r="AW992" s="115"/>
      <c r="AX992" s="106"/>
      <c r="AY992" s="104"/>
      <c r="AZ992" s="105"/>
    </row>
    <row r="993" customHeight="1" spans="1:52">
      <c r="A993" s="70">
        <v>993</v>
      </c>
      <c r="B993" s="70" t="s">
        <v>751</v>
      </c>
      <c r="C993" s="70" t="s">
        <v>13</v>
      </c>
      <c r="D993" s="71" t="s">
        <v>3446</v>
      </c>
      <c r="E993" s="71" t="s">
        <v>126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3447</v>
      </c>
      <c r="L993" s="104">
        <f t="shared" si="289"/>
        <v>46192</v>
      </c>
      <c r="M993" s="105">
        <f ca="1" t="shared" si="290"/>
        <v>-121</v>
      </c>
      <c r="N993" s="70"/>
      <c r="O993" s="70" t="s">
        <v>751</v>
      </c>
      <c r="P993" s="70" t="s">
        <v>13</v>
      </c>
      <c r="Q993" s="71" t="s">
        <v>3446</v>
      </c>
      <c r="R993" s="71" t="s">
        <v>126</v>
      </c>
      <c r="S993" s="72"/>
      <c r="T993" s="73"/>
      <c r="U993" s="79" t="s">
        <v>16</v>
      </c>
      <c r="V993" s="102">
        <v>46280</v>
      </c>
      <c r="W993" s="70">
        <v>3</v>
      </c>
      <c r="X993" s="103" t="s">
        <v>3448</v>
      </c>
      <c r="Y993" s="104">
        <f t="shared" si="285"/>
        <v>46371</v>
      </c>
      <c r="Z993" s="105">
        <f ca="1" t="shared" si="286"/>
        <v>58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>
        <f t="shared" si="287"/>
        <v>0</v>
      </c>
      <c r="AM993" s="105">
        <f ca="1" t="shared" si="288"/>
        <v>-46313</v>
      </c>
      <c r="AN993" s="115"/>
      <c r="AO993" s="115"/>
      <c r="AP993" s="115"/>
      <c r="AQ993" s="93"/>
      <c r="AR993" s="93"/>
      <c r="AS993" s="94"/>
      <c r="AT993" s="95"/>
      <c r="AU993" s="79"/>
      <c r="AV993" s="117"/>
      <c r="AW993" s="115"/>
      <c r="AX993" s="106"/>
      <c r="AY993" s="104"/>
      <c r="AZ993" s="105"/>
    </row>
    <row r="994" customHeight="1" spans="1:52">
      <c r="A994" s="70">
        <v>994</v>
      </c>
      <c r="B994" s="70" t="s">
        <v>55</v>
      </c>
      <c r="C994" s="70" t="s">
        <v>38</v>
      </c>
      <c r="D994" s="71" t="s">
        <v>3449</v>
      </c>
      <c r="E994" s="71" t="s">
        <v>189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3450</v>
      </c>
      <c r="L994" s="104">
        <f t="shared" si="289"/>
        <v>46192</v>
      </c>
      <c r="M994" s="105">
        <f ca="1" t="shared" si="290"/>
        <v>-121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85"/>
        <v>0</v>
      </c>
      <c r="Z994" s="105">
        <f ca="1" t="shared" si="286"/>
        <v>-46313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>
        <f t="shared" si="287"/>
        <v>0</v>
      </c>
      <c r="AM994" s="105">
        <f ca="1" t="shared" si="288"/>
        <v>-46313</v>
      </c>
      <c r="AN994" s="115"/>
      <c r="AO994" s="115"/>
      <c r="AP994" s="115"/>
      <c r="AQ994" s="93"/>
      <c r="AR994" s="93"/>
      <c r="AS994" s="94"/>
      <c r="AT994" s="95"/>
      <c r="AU994" s="79"/>
      <c r="AV994" s="117"/>
      <c r="AW994" s="115"/>
      <c r="AX994" s="106"/>
      <c r="AY994" s="104"/>
      <c r="AZ994" s="105"/>
    </row>
    <row r="995" customHeight="1" spans="1:52">
      <c r="A995" s="70">
        <v>995</v>
      </c>
      <c r="B995" s="70" t="s">
        <v>1205</v>
      </c>
      <c r="C995" s="70" t="s">
        <v>38</v>
      </c>
      <c r="D995" s="71" t="s">
        <v>3451</v>
      </c>
      <c r="E995" s="71" t="s">
        <v>189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3452</v>
      </c>
      <c r="L995" s="104">
        <f t="shared" si="289"/>
        <v>46192</v>
      </c>
      <c r="M995" s="105">
        <f ca="1" t="shared" si="290"/>
        <v>-121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85"/>
        <v>0</v>
      </c>
      <c r="Z995" s="105">
        <f ca="1" t="shared" si="286"/>
        <v>-46313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>
        <f t="shared" si="287"/>
        <v>0</v>
      </c>
      <c r="AM995" s="105">
        <f ca="1" t="shared" si="288"/>
        <v>-46313</v>
      </c>
      <c r="AN995" s="115"/>
      <c r="AO995" s="115"/>
      <c r="AP995" s="115"/>
      <c r="AQ995" s="93"/>
      <c r="AR995" s="93"/>
      <c r="AS995" s="94"/>
      <c r="AT995" s="95"/>
      <c r="AU995" s="79"/>
      <c r="AV995" s="117"/>
      <c r="AW995" s="115"/>
      <c r="AX995" s="106"/>
      <c r="AY995" s="104"/>
      <c r="AZ995" s="105"/>
    </row>
    <row r="996" customHeight="1" spans="1:52">
      <c r="A996" s="70">
        <v>996</v>
      </c>
      <c r="B996" s="70" t="s">
        <v>263</v>
      </c>
      <c r="C996" s="70" t="s">
        <v>264</v>
      </c>
      <c r="D996" s="71" t="s">
        <v>1826</v>
      </c>
      <c r="E996" s="71" t="s">
        <v>1827</v>
      </c>
      <c r="F996" s="72"/>
      <c r="G996" s="73"/>
      <c r="H996" s="75"/>
      <c r="I996" s="102">
        <v>46100</v>
      </c>
      <c r="J996" s="70" t="s">
        <v>767</v>
      </c>
      <c r="K996" s="106"/>
      <c r="L996" s="104" t="e">
        <f t="shared" si="289"/>
        <v>#VALUE!</v>
      </c>
      <c r="M996" s="105" t="e">
        <f ca="1" t="shared" si="290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85"/>
        <v>0</v>
      </c>
      <c r="Z996" s="105">
        <f ca="1" t="shared" si="286"/>
        <v>-46313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5"/>
      <c r="AO996" s="115"/>
      <c r="AP996" s="115"/>
      <c r="AQ996" s="93"/>
      <c r="AR996" s="93"/>
      <c r="AS996" s="94"/>
      <c r="AT996" s="95"/>
      <c r="AU996" s="79"/>
      <c r="AV996" s="117"/>
      <c r="AW996" s="115"/>
      <c r="AX996" s="106"/>
      <c r="AY996" s="104"/>
      <c r="AZ996" s="105"/>
    </row>
    <row r="997" customHeight="1" spans="1:52">
      <c r="A997" s="70">
        <v>997</v>
      </c>
      <c r="B997" s="70" t="s">
        <v>270</v>
      </c>
      <c r="C997" s="70" t="s">
        <v>264</v>
      </c>
      <c r="D997" s="71" t="s">
        <v>950</v>
      </c>
      <c r="E997" s="71" t="s">
        <v>951</v>
      </c>
      <c r="F997" s="72"/>
      <c r="G997" s="73"/>
      <c r="H997" s="75"/>
      <c r="I997" s="102">
        <v>46100</v>
      </c>
      <c r="J997" s="70" t="s">
        <v>767</v>
      </c>
      <c r="K997" s="106"/>
      <c r="L997" s="104" t="e">
        <f t="shared" si="289"/>
        <v>#VALUE!</v>
      </c>
      <c r="M997" s="105" t="e">
        <f ca="1" t="shared" si="290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85"/>
        <v>0</v>
      </c>
      <c r="Z997" s="105">
        <f ca="1" t="shared" si="286"/>
        <v>-46313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5"/>
      <c r="AO997" s="115"/>
      <c r="AP997" s="115"/>
      <c r="AQ997" s="93"/>
      <c r="AR997" s="93"/>
      <c r="AS997" s="94"/>
      <c r="AT997" s="95"/>
      <c r="AU997" s="79"/>
      <c r="AV997" s="117"/>
      <c r="AW997" s="115"/>
      <c r="AX997" s="106"/>
      <c r="AY997" s="104"/>
      <c r="AZ997" s="105"/>
    </row>
    <row r="998" customHeight="1" spans="1:52">
      <c r="A998" s="70">
        <v>998</v>
      </c>
      <c r="B998" s="70" t="s">
        <v>2916</v>
      </c>
      <c r="C998" s="70" t="s">
        <v>264</v>
      </c>
      <c r="D998" s="71" t="s">
        <v>1235</v>
      </c>
      <c r="E998" s="71" t="s">
        <v>264</v>
      </c>
      <c r="F998" s="72"/>
      <c r="G998" s="73"/>
      <c r="H998" s="75"/>
      <c r="I998" s="102">
        <v>46100</v>
      </c>
      <c r="J998" s="70" t="s">
        <v>767</v>
      </c>
      <c r="K998" s="106"/>
      <c r="L998" s="104" t="e">
        <f t="shared" si="289"/>
        <v>#VALUE!</v>
      </c>
      <c r="M998" s="105" t="e">
        <f ca="1" t="shared" si="290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85"/>
        <v>0</v>
      </c>
      <c r="Z998" s="105">
        <f ca="1" t="shared" si="286"/>
        <v>-46313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5"/>
      <c r="AO998" s="115"/>
      <c r="AP998" s="115"/>
      <c r="AQ998" s="93"/>
      <c r="AR998" s="93"/>
      <c r="AS998" s="94"/>
      <c r="AT998" s="95"/>
      <c r="AU998" s="79"/>
      <c r="AV998" s="117"/>
      <c r="AW998" s="115"/>
      <c r="AX998" s="106"/>
      <c r="AY998" s="104"/>
      <c r="AZ998" s="105"/>
    </row>
    <row r="999" customHeight="1" spans="1:52">
      <c r="A999" s="70">
        <v>999</v>
      </c>
      <c r="B999" s="70" t="s">
        <v>281</v>
      </c>
      <c r="C999" s="70" t="s">
        <v>264</v>
      </c>
      <c r="D999" s="71" t="s">
        <v>3453</v>
      </c>
      <c r="E999" s="71" t="s">
        <v>364</v>
      </c>
      <c r="F999" s="72"/>
      <c r="G999" s="73"/>
      <c r="H999" s="75"/>
      <c r="I999" s="102">
        <v>46100</v>
      </c>
      <c r="J999" s="70">
        <v>3</v>
      </c>
      <c r="K999" s="106" t="s">
        <v>3454</v>
      </c>
      <c r="L999" s="104">
        <f t="shared" si="289"/>
        <v>46192</v>
      </c>
      <c r="M999" s="105">
        <f ca="1" t="shared" si="290"/>
        <v>-121</v>
      </c>
      <c r="N999" s="70"/>
      <c r="O999" s="70" t="s">
        <v>281</v>
      </c>
      <c r="P999" s="70" t="s">
        <v>264</v>
      </c>
      <c r="Q999" s="71" t="s">
        <v>3453</v>
      </c>
      <c r="R999" s="71" t="s">
        <v>364</v>
      </c>
      <c r="S999" s="72"/>
      <c r="T999" s="73"/>
      <c r="U999" s="75"/>
      <c r="V999" s="102">
        <v>46177</v>
      </c>
      <c r="W999" s="70">
        <v>3</v>
      </c>
      <c r="X999" s="103" t="s">
        <v>3455</v>
      </c>
      <c r="Y999" s="104">
        <f t="shared" si="285"/>
        <v>46269</v>
      </c>
      <c r="Z999" s="105">
        <f ca="1" t="shared" si="286"/>
        <v>-44</v>
      </c>
      <c r="AA999" s="70"/>
      <c r="AB999" s="70" t="s">
        <v>281</v>
      </c>
      <c r="AC999" s="70" t="s">
        <v>264</v>
      </c>
      <c r="AD999" s="71" t="s">
        <v>3453</v>
      </c>
      <c r="AE999" s="71" t="s">
        <v>364</v>
      </c>
      <c r="AF999" s="72"/>
      <c r="AG999" s="73"/>
      <c r="AH999" s="75"/>
      <c r="AI999" s="102">
        <v>46304</v>
      </c>
      <c r="AJ999" s="70">
        <v>3</v>
      </c>
      <c r="AK999" s="103" t="s">
        <v>3456</v>
      </c>
      <c r="AL999" s="104">
        <f t="shared" ref="AL999:AL1023" si="291">EDATE(AI999,AJ999)</f>
        <v>46396</v>
      </c>
      <c r="AM999" s="105">
        <f ca="1" t="shared" ref="AM999:AM1023" si="292">AL999-TODAY()</f>
        <v>83</v>
      </c>
      <c r="AN999" s="115"/>
      <c r="AO999" s="115"/>
      <c r="AP999" s="115"/>
      <c r="AQ999" s="93"/>
      <c r="AR999" s="93"/>
      <c r="AS999" s="94"/>
      <c r="AT999" s="95"/>
      <c r="AU999" s="79"/>
      <c r="AV999" s="117"/>
      <c r="AW999" s="115"/>
      <c r="AX999" s="106"/>
      <c r="AY999" s="104"/>
      <c r="AZ999" s="105"/>
    </row>
    <row r="1000" customHeight="1" spans="1:52">
      <c r="A1000" s="70">
        <v>1000</v>
      </c>
      <c r="B1000" s="70" t="s">
        <v>2918</v>
      </c>
      <c r="C1000" s="70" t="s">
        <v>38</v>
      </c>
      <c r="D1000" s="71" t="s">
        <v>3457</v>
      </c>
      <c r="E1000" s="71" t="s">
        <v>1928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3458</v>
      </c>
      <c r="L1000" s="104">
        <f t="shared" si="289"/>
        <v>46192</v>
      </c>
      <c r="M1000" s="105">
        <f ca="1" t="shared" si="290"/>
        <v>-121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85"/>
        <v>0</v>
      </c>
      <c r="Z1000" s="105">
        <f ca="1" t="shared" si="286"/>
        <v>-46313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>
        <f t="shared" si="291"/>
        <v>0</v>
      </c>
      <c r="AM1000" s="105">
        <f ca="1" t="shared" si="292"/>
        <v>-46313</v>
      </c>
      <c r="AN1000" s="115"/>
      <c r="AO1000" s="115"/>
      <c r="AP1000" s="115"/>
      <c r="AQ1000" s="93"/>
      <c r="AR1000" s="93"/>
      <c r="AS1000" s="94"/>
      <c r="AT1000" s="95"/>
      <c r="AU1000" s="79"/>
      <c r="AV1000" s="117"/>
      <c r="AW1000" s="115"/>
      <c r="AX1000" s="106"/>
      <c r="AY1000" s="104"/>
      <c r="AZ1000" s="105"/>
    </row>
    <row r="1001" customHeight="1" spans="1:52">
      <c r="A1001" s="70">
        <v>1001</v>
      </c>
      <c r="B1001" s="70" t="s">
        <v>55</v>
      </c>
      <c r="C1001" s="70" t="s">
        <v>13</v>
      </c>
      <c r="D1001" s="71" t="s">
        <v>3459</v>
      </c>
      <c r="E1001" s="71" t="s">
        <v>3460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3461</v>
      </c>
      <c r="L1001" s="104">
        <f t="shared" si="289"/>
        <v>46193</v>
      </c>
      <c r="M1001" s="105">
        <f ca="1" t="shared" si="290"/>
        <v>-120</v>
      </c>
      <c r="N1001" s="70"/>
      <c r="O1001" s="70" t="s">
        <v>3462</v>
      </c>
      <c r="P1001" s="70" t="s">
        <v>13</v>
      </c>
      <c r="Q1001" s="71" t="s">
        <v>3459</v>
      </c>
      <c r="R1001" s="71" t="s">
        <v>3460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3463</v>
      </c>
      <c r="Y1001" s="104">
        <f t="shared" si="285"/>
        <v>46316</v>
      </c>
      <c r="Z1001" s="105">
        <f ca="1" t="shared" si="286"/>
        <v>3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>
        <f t="shared" si="291"/>
        <v>0</v>
      </c>
      <c r="AM1001" s="105">
        <f ca="1" t="shared" si="292"/>
        <v>-46313</v>
      </c>
      <c r="AN1001" s="115"/>
      <c r="AO1001" s="115"/>
      <c r="AP1001" s="115"/>
      <c r="AQ1001" s="93"/>
      <c r="AR1001" s="93"/>
      <c r="AS1001" s="94"/>
      <c r="AT1001" s="95"/>
      <c r="AU1001" s="79"/>
      <c r="AV1001" s="117"/>
      <c r="AW1001" s="115"/>
      <c r="AX1001" s="106"/>
      <c r="AY1001" s="104"/>
      <c r="AZ1001" s="105"/>
    </row>
    <row r="1002" customHeight="1" spans="1:52">
      <c r="A1002" s="70">
        <v>1002</v>
      </c>
      <c r="B1002" s="70" t="s">
        <v>357</v>
      </c>
      <c r="C1002" s="70" t="s">
        <v>13</v>
      </c>
      <c r="D1002" s="71" t="s">
        <v>3464</v>
      </c>
      <c r="E1002" s="71" t="s">
        <v>3465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3466</v>
      </c>
      <c r="L1002" s="104">
        <f t="shared" si="289"/>
        <v>46193</v>
      </c>
      <c r="M1002" s="105">
        <f ca="1" t="shared" si="290"/>
        <v>-120</v>
      </c>
      <c r="N1002" s="70"/>
      <c r="O1002" s="70" t="s">
        <v>357</v>
      </c>
      <c r="P1002" s="70" t="s">
        <v>13</v>
      </c>
      <c r="Q1002" s="71" t="s">
        <v>3464</v>
      </c>
      <c r="R1002" s="71" t="s">
        <v>3465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3467</v>
      </c>
      <c r="Y1002" s="104">
        <f t="shared" ref="Y1002:Y1017" si="293">EDATE(V1002,W1002)</f>
        <v>46289</v>
      </c>
      <c r="Z1002" s="105">
        <f ca="1" t="shared" ref="Z1002:Z1017" si="294">Y1002-TODAY()</f>
        <v>-24</v>
      </c>
      <c r="AA1002" s="70"/>
      <c r="AB1002" s="70" t="s">
        <v>694</v>
      </c>
      <c r="AC1002" s="70" t="s">
        <v>13</v>
      </c>
      <c r="AD1002" s="71" t="s">
        <v>3464</v>
      </c>
      <c r="AE1002" s="71" t="s">
        <v>3465</v>
      </c>
      <c r="AF1002" s="72"/>
      <c r="AG1002" s="73"/>
      <c r="AH1002" s="114" t="s">
        <v>16</v>
      </c>
      <c r="AI1002" s="102">
        <v>46310</v>
      </c>
      <c r="AJ1002" s="70">
        <v>3</v>
      </c>
      <c r="AK1002" s="103"/>
      <c r="AL1002" s="104">
        <f t="shared" si="291"/>
        <v>46402</v>
      </c>
      <c r="AM1002" s="105">
        <f ca="1" t="shared" si="292"/>
        <v>89</v>
      </c>
      <c r="AN1002" s="115"/>
      <c r="AO1002" s="115"/>
      <c r="AP1002" s="115"/>
      <c r="AQ1002" s="93"/>
      <c r="AR1002" s="93"/>
      <c r="AS1002" s="94"/>
      <c r="AT1002" s="95"/>
      <c r="AU1002" s="79"/>
      <c r="AV1002" s="117"/>
      <c r="AW1002" s="115"/>
      <c r="AX1002" s="106"/>
      <c r="AY1002" s="104"/>
      <c r="AZ1002" s="105"/>
    </row>
    <row r="1003" customHeight="1" spans="1:52">
      <c r="A1003" s="70">
        <v>1003</v>
      </c>
      <c r="B1003" s="70" t="s">
        <v>685</v>
      </c>
      <c r="C1003" s="70" t="s">
        <v>13</v>
      </c>
      <c r="D1003" s="71" t="s">
        <v>3468</v>
      </c>
      <c r="E1003" s="71" t="s">
        <v>1813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3469</v>
      </c>
      <c r="L1003" s="104">
        <f t="shared" si="289"/>
        <v>46193</v>
      </c>
      <c r="M1003" s="105">
        <f ca="1" t="shared" si="290"/>
        <v>-120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93"/>
        <v>0</v>
      </c>
      <c r="Z1003" s="105">
        <f ca="1" t="shared" si="294"/>
        <v>-46313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>
        <f t="shared" si="291"/>
        <v>0</v>
      </c>
      <c r="AM1003" s="105">
        <f ca="1" t="shared" si="292"/>
        <v>-46313</v>
      </c>
      <c r="AN1003" s="115"/>
      <c r="AO1003" s="115"/>
      <c r="AP1003" s="115"/>
      <c r="AQ1003" s="93"/>
      <c r="AR1003" s="93"/>
      <c r="AS1003" s="94"/>
      <c r="AT1003" s="95"/>
      <c r="AU1003" s="79"/>
      <c r="AV1003" s="117"/>
      <c r="AW1003" s="115"/>
      <c r="AX1003" s="106"/>
      <c r="AY1003" s="104"/>
      <c r="AZ1003" s="105"/>
    </row>
    <row r="1004" customHeight="1" spans="1:52">
      <c r="A1004" s="70">
        <v>1004</v>
      </c>
      <c r="B1004" s="70" t="s">
        <v>685</v>
      </c>
      <c r="C1004" s="70" t="s">
        <v>38</v>
      </c>
      <c r="D1004" s="71" t="s">
        <v>3470</v>
      </c>
      <c r="E1004" s="71" t="s">
        <v>589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3471</v>
      </c>
      <c r="L1004" s="104">
        <f t="shared" si="289"/>
        <v>46194</v>
      </c>
      <c r="M1004" s="105">
        <f ca="1" t="shared" si="290"/>
        <v>-119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93"/>
        <v>0</v>
      </c>
      <c r="Z1004" s="105">
        <f ca="1" t="shared" si="294"/>
        <v>-46313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>
        <f t="shared" si="291"/>
        <v>0</v>
      </c>
      <c r="AM1004" s="105">
        <f ca="1" t="shared" si="292"/>
        <v>-46313</v>
      </c>
      <c r="AN1004" s="115"/>
      <c r="AO1004" s="115"/>
      <c r="AP1004" s="115"/>
      <c r="AQ1004" s="93"/>
      <c r="AR1004" s="93"/>
      <c r="AS1004" s="94"/>
      <c r="AT1004" s="95"/>
      <c r="AU1004" s="79"/>
      <c r="AV1004" s="117"/>
      <c r="AW1004" s="115"/>
      <c r="AX1004" s="106"/>
      <c r="AY1004" s="104"/>
      <c r="AZ1004" s="105"/>
    </row>
    <row r="1005" customHeight="1" spans="1:52">
      <c r="A1005" s="70">
        <v>1005</v>
      </c>
      <c r="B1005" s="70" t="s">
        <v>3472</v>
      </c>
      <c r="C1005" s="70" t="s">
        <v>13</v>
      </c>
      <c r="D1005" s="71" t="s">
        <v>3473</v>
      </c>
      <c r="E1005" s="71" t="s">
        <v>3474</v>
      </c>
      <c r="F1005" s="72"/>
      <c r="G1005" s="73"/>
      <c r="H1005" s="151"/>
      <c r="I1005" s="102">
        <v>46102</v>
      </c>
      <c r="J1005" s="70">
        <v>3</v>
      </c>
      <c r="K1005" s="106" t="s">
        <v>3475</v>
      </c>
      <c r="L1005" s="104">
        <f t="shared" si="289"/>
        <v>46194</v>
      </c>
      <c r="M1005" s="105">
        <f ca="1" t="shared" si="290"/>
        <v>-119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93"/>
        <v>0</v>
      </c>
      <c r="Z1005" s="105">
        <f ca="1" t="shared" si="294"/>
        <v>-46313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>
        <f t="shared" si="291"/>
        <v>0</v>
      </c>
      <c r="AM1005" s="105">
        <f ca="1" t="shared" si="292"/>
        <v>-46313</v>
      </c>
      <c r="AN1005" s="115"/>
      <c r="AO1005" s="115"/>
      <c r="AP1005" s="115"/>
      <c r="AQ1005" s="93"/>
      <c r="AR1005" s="93"/>
      <c r="AS1005" s="94"/>
      <c r="AT1005" s="95"/>
      <c r="AU1005" s="79"/>
      <c r="AV1005" s="117"/>
      <c r="AW1005" s="115"/>
      <c r="AX1005" s="106"/>
      <c r="AY1005" s="104"/>
      <c r="AZ1005" s="105"/>
    </row>
    <row r="1006" customHeight="1" spans="1:52">
      <c r="A1006" s="70">
        <v>1006</v>
      </c>
      <c r="B1006" s="108" t="s">
        <v>281</v>
      </c>
      <c r="C1006" s="70" t="s">
        <v>264</v>
      </c>
      <c r="D1006" s="205" t="s">
        <v>3476</v>
      </c>
      <c r="E1006" s="207" t="s">
        <v>3477</v>
      </c>
      <c r="F1006" s="208"/>
      <c r="G1006" s="209"/>
      <c r="H1006" s="151"/>
      <c r="I1006" s="102">
        <v>46102</v>
      </c>
      <c r="J1006" s="70">
        <v>3</v>
      </c>
      <c r="K1006" s="106" t="s">
        <v>3478</v>
      </c>
      <c r="L1006" s="104">
        <f t="shared" si="289"/>
        <v>46194</v>
      </c>
      <c r="M1006" s="105">
        <f ca="1" t="shared" si="290"/>
        <v>-119</v>
      </c>
      <c r="N1006" s="70"/>
      <c r="O1006" s="108" t="s">
        <v>281</v>
      </c>
      <c r="P1006" s="70" t="s">
        <v>264</v>
      </c>
      <c r="Q1006" s="205" t="s">
        <v>3476</v>
      </c>
      <c r="R1006" s="207" t="s">
        <v>3477</v>
      </c>
      <c r="S1006" s="208"/>
      <c r="T1006" s="209"/>
      <c r="U1006" s="151"/>
      <c r="V1006" s="102">
        <v>46274</v>
      </c>
      <c r="W1006" s="70">
        <v>3</v>
      </c>
      <c r="X1006" s="103" t="s">
        <v>3479</v>
      </c>
      <c r="Y1006" s="104">
        <f t="shared" si="293"/>
        <v>46365</v>
      </c>
      <c r="Z1006" s="105">
        <f ca="1" t="shared" si="294"/>
        <v>52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>
        <f t="shared" si="291"/>
        <v>0</v>
      </c>
      <c r="AM1006" s="105">
        <f ca="1" t="shared" si="292"/>
        <v>-46313</v>
      </c>
      <c r="AN1006" s="115"/>
      <c r="AO1006" s="115"/>
      <c r="AP1006" s="115"/>
      <c r="AQ1006" s="93"/>
      <c r="AR1006" s="93"/>
      <c r="AS1006" s="94"/>
      <c r="AT1006" s="95"/>
      <c r="AU1006" s="79"/>
      <c r="AV1006" s="117"/>
      <c r="AW1006" s="115"/>
      <c r="AX1006" s="106"/>
      <c r="AY1006" s="104"/>
      <c r="AZ1006" s="105"/>
    </row>
    <row r="1007" customHeight="1" spans="1:52">
      <c r="A1007" s="70">
        <v>1007</v>
      </c>
      <c r="B1007" s="108" t="s">
        <v>281</v>
      </c>
      <c r="C1007" s="70" t="s">
        <v>264</v>
      </c>
      <c r="D1007" s="205" t="s">
        <v>3480</v>
      </c>
      <c r="E1007" s="207" t="s">
        <v>3481</v>
      </c>
      <c r="F1007" s="208"/>
      <c r="G1007" s="209"/>
      <c r="H1007" s="151"/>
      <c r="I1007" s="102">
        <v>46102</v>
      </c>
      <c r="J1007" s="70">
        <v>3</v>
      </c>
      <c r="K1007" s="106" t="s">
        <v>3482</v>
      </c>
      <c r="L1007" s="104">
        <f t="shared" si="289"/>
        <v>46194</v>
      </c>
      <c r="M1007" s="105">
        <f ca="1" t="shared" si="290"/>
        <v>-119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93"/>
        <v>0</v>
      </c>
      <c r="Z1007" s="105">
        <f ca="1" t="shared" si="294"/>
        <v>-46313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>
        <f t="shared" si="291"/>
        <v>0</v>
      </c>
      <c r="AM1007" s="105">
        <f ca="1" t="shared" si="292"/>
        <v>-46313</v>
      </c>
      <c r="AN1007" s="115"/>
      <c r="AO1007" s="115"/>
      <c r="AP1007" s="115"/>
      <c r="AQ1007" s="93"/>
      <c r="AR1007" s="93"/>
      <c r="AS1007" s="94"/>
      <c r="AT1007" s="95"/>
      <c r="AU1007" s="79"/>
      <c r="AV1007" s="117"/>
      <c r="AW1007" s="115"/>
      <c r="AX1007" s="106"/>
      <c r="AY1007" s="104"/>
      <c r="AZ1007" s="105"/>
    </row>
    <row r="1008" customHeight="1" spans="1:52">
      <c r="A1008" s="70">
        <v>1008</v>
      </c>
      <c r="B1008" s="108" t="s">
        <v>281</v>
      </c>
      <c r="C1008" s="70" t="s">
        <v>264</v>
      </c>
      <c r="D1008" s="205" t="s">
        <v>3483</v>
      </c>
      <c r="E1008" s="207" t="s">
        <v>3484</v>
      </c>
      <c r="F1008" s="208"/>
      <c r="G1008" s="209"/>
      <c r="H1008" s="151"/>
      <c r="I1008" s="102">
        <v>46102</v>
      </c>
      <c r="J1008" s="70">
        <v>3</v>
      </c>
      <c r="K1008" s="106" t="s">
        <v>3485</v>
      </c>
      <c r="L1008" s="104">
        <f t="shared" si="289"/>
        <v>46194</v>
      </c>
      <c r="M1008" s="105">
        <f ca="1" t="shared" si="290"/>
        <v>-119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93"/>
        <v>0</v>
      </c>
      <c r="Z1008" s="105">
        <f ca="1" t="shared" si="294"/>
        <v>-46313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>
        <f t="shared" si="291"/>
        <v>0</v>
      </c>
      <c r="AM1008" s="105">
        <f ca="1" t="shared" si="292"/>
        <v>-46313</v>
      </c>
      <c r="AN1008" s="115"/>
      <c r="AO1008" s="115"/>
      <c r="AP1008" s="115"/>
      <c r="AQ1008" s="93"/>
      <c r="AR1008" s="93"/>
      <c r="AS1008" s="94"/>
      <c r="AT1008" s="95"/>
      <c r="AU1008" s="79"/>
      <c r="AV1008" s="117"/>
      <c r="AW1008" s="115"/>
      <c r="AX1008" s="106"/>
      <c r="AY1008" s="104"/>
      <c r="AZ1008" s="105"/>
    </row>
    <row r="1009" customHeight="1" spans="1:52">
      <c r="A1009" s="70">
        <v>1009</v>
      </c>
      <c r="B1009" s="108" t="s">
        <v>281</v>
      </c>
      <c r="C1009" s="70" t="s">
        <v>264</v>
      </c>
      <c r="D1009" s="205" t="s">
        <v>3486</v>
      </c>
      <c r="E1009" s="207" t="s">
        <v>3487</v>
      </c>
      <c r="F1009" s="208"/>
      <c r="G1009" s="209"/>
      <c r="H1009" s="151"/>
      <c r="I1009" s="102">
        <v>46102</v>
      </c>
      <c r="J1009" s="70">
        <v>3</v>
      </c>
      <c r="K1009" s="106" t="s">
        <v>3488</v>
      </c>
      <c r="L1009" s="104">
        <f t="shared" si="289"/>
        <v>46194</v>
      </c>
      <c r="M1009" s="105">
        <f ca="1" t="shared" si="290"/>
        <v>-119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93"/>
        <v>0</v>
      </c>
      <c r="Z1009" s="105">
        <f ca="1" t="shared" si="294"/>
        <v>-46313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>
        <f t="shared" si="291"/>
        <v>0</v>
      </c>
      <c r="AM1009" s="105">
        <f ca="1" t="shared" si="292"/>
        <v>-46313</v>
      </c>
      <c r="AN1009" s="115"/>
      <c r="AO1009" s="115"/>
      <c r="AP1009" s="115"/>
      <c r="AQ1009" s="93"/>
      <c r="AR1009" s="93"/>
      <c r="AS1009" s="94"/>
      <c r="AT1009" s="95"/>
      <c r="AU1009" s="79"/>
      <c r="AV1009" s="117"/>
      <c r="AW1009" s="115"/>
      <c r="AX1009" s="106"/>
      <c r="AY1009" s="104"/>
      <c r="AZ1009" s="105"/>
    </row>
    <row r="1010" customHeight="1" spans="1:52">
      <c r="A1010" s="70">
        <v>1010</v>
      </c>
      <c r="B1010" s="108" t="s">
        <v>281</v>
      </c>
      <c r="C1010" s="70" t="s">
        <v>264</v>
      </c>
      <c r="D1010" s="205" t="s">
        <v>3489</v>
      </c>
      <c r="E1010" s="207" t="s">
        <v>3490</v>
      </c>
      <c r="F1010" s="208"/>
      <c r="G1010" s="209"/>
      <c r="H1010" s="151"/>
      <c r="I1010" s="102">
        <v>46102</v>
      </c>
      <c r="J1010" s="70">
        <v>3</v>
      </c>
      <c r="K1010" s="106" t="s">
        <v>3491</v>
      </c>
      <c r="L1010" s="104">
        <f t="shared" si="289"/>
        <v>46194</v>
      </c>
      <c r="M1010" s="105">
        <f ca="1" t="shared" si="290"/>
        <v>-119</v>
      </c>
      <c r="N1010" s="70"/>
      <c r="O1010" s="108" t="s">
        <v>281</v>
      </c>
      <c r="P1010" s="70" t="s">
        <v>264</v>
      </c>
      <c r="Q1010" s="205" t="s">
        <v>3489</v>
      </c>
      <c r="R1010" s="207" t="s">
        <v>3490</v>
      </c>
      <c r="S1010" s="208"/>
      <c r="T1010" s="209"/>
      <c r="U1010" s="151"/>
      <c r="V1010" s="117">
        <v>46245</v>
      </c>
      <c r="W1010" s="70">
        <v>3</v>
      </c>
      <c r="X1010" s="103" t="s">
        <v>3492</v>
      </c>
      <c r="Y1010" s="104">
        <f t="shared" si="293"/>
        <v>46337</v>
      </c>
      <c r="Z1010" s="105">
        <f ca="1" t="shared" si="294"/>
        <v>24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>
        <f t="shared" si="291"/>
        <v>0</v>
      </c>
      <c r="AM1010" s="105">
        <f ca="1" t="shared" si="292"/>
        <v>-46313</v>
      </c>
      <c r="AN1010" s="115"/>
      <c r="AO1010" s="115"/>
      <c r="AP1010" s="115"/>
      <c r="AQ1010" s="93"/>
      <c r="AR1010" s="93"/>
      <c r="AS1010" s="94"/>
      <c r="AT1010" s="95"/>
      <c r="AU1010" s="79"/>
      <c r="AV1010" s="117"/>
      <c r="AW1010" s="115"/>
      <c r="AX1010" s="106"/>
      <c r="AY1010" s="104"/>
      <c r="AZ1010" s="105"/>
    </row>
    <row r="1011" customHeight="1" spans="1:52">
      <c r="A1011" s="70">
        <v>1011</v>
      </c>
      <c r="B1011" s="108" t="s">
        <v>281</v>
      </c>
      <c r="C1011" s="70" t="s">
        <v>264</v>
      </c>
      <c r="D1011" s="205" t="s">
        <v>3493</v>
      </c>
      <c r="E1011" s="207" t="s">
        <v>3490</v>
      </c>
      <c r="F1011" s="208"/>
      <c r="G1011" s="209"/>
      <c r="H1011" s="151"/>
      <c r="I1011" s="102">
        <v>46102</v>
      </c>
      <c r="J1011" s="70">
        <v>3</v>
      </c>
      <c r="K1011" s="106" t="s">
        <v>3494</v>
      </c>
      <c r="L1011" s="104">
        <f t="shared" si="289"/>
        <v>46194</v>
      </c>
      <c r="M1011" s="105">
        <f ca="1" t="shared" si="290"/>
        <v>-119</v>
      </c>
      <c r="N1011" s="70"/>
      <c r="O1011" s="108" t="s">
        <v>281</v>
      </c>
      <c r="P1011" s="70" t="s">
        <v>264</v>
      </c>
      <c r="Q1011" s="205" t="s">
        <v>3493</v>
      </c>
      <c r="R1011" s="207" t="s">
        <v>3490</v>
      </c>
      <c r="S1011" s="208"/>
      <c r="T1011" s="209"/>
      <c r="U1011" s="151"/>
      <c r="V1011" s="102">
        <v>46275</v>
      </c>
      <c r="W1011" s="70">
        <v>3</v>
      </c>
      <c r="X1011" s="103" t="s">
        <v>3495</v>
      </c>
      <c r="Y1011" s="104">
        <f t="shared" si="293"/>
        <v>46366</v>
      </c>
      <c r="Z1011" s="105">
        <f ca="1" t="shared" si="294"/>
        <v>53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>
        <f t="shared" si="291"/>
        <v>0</v>
      </c>
      <c r="AM1011" s="105">
        <f ca="1" t="shared" si="292"/>
        <v>-46313</v>
      </c>
      <c r="AN1011" s="115"/>
      <c r="AO1011" s="115"/>
      <c r="AP1011" s="115"/>
      <c r="AQ1011" s="93"/>
      <c r="AR1011" s="93"/>
      <c r="AS1011" s="94"/>
      <c r="AT1011" s="95"/>
      <c r="AU1011" s="79"/>
      <c r="AV1011" s="117"/>
      <c r="AW1011" s="115"/>
      <c r="AX1011" s="106"/>
      <c r="AY1011" s="104"/>
      <c r="AZ1011" s="105"/>
    </row>
    <row r="1012" customHeight="1" spans="1:52">
      <c r="A1012" s="70">
        <v>1012</v>
      </c>
      <c r="B1012" s="70" t="s">
        <v>648</v>
      </c>
      <c r="C1012" s="70" t="s">
        <v>264</v>
      </c>
      <c r="D1012" s="71" t="s">
        <v>2699</v>
      </c>
      <c r="E1012" s="71" t="s">
        <v>2700</v>
      </c>
      <c r="F1012" s="72"/>
      <c r="G1012" s="73"/>
      <c r="H1012" s="151"/>
      <c r="I1012" s="102">
        <v>46102</v>
      </c>
      <c r="J1012" s="70" t="s">
        <v>767</v>
      </c>
      <c r="K1012" s="106"/>
      <c r="L1012" s="104" t="e">
        <f t="shared" si="289"/>
        <v>#VALUE!</v>
      </c>
      <c r="M1012" s="105" t="e">
        <f ca="1" t="shared" si="290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93"/>
        <v>0</v>
      </c>
      <c r="Z1012" s="105">
        <f ca="1" t="shared" si="294"/>
        <v>-46313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>
        <f t="shared" si="291"/>
        <v>0</v>
      </c>
      <c r="AM1012" s="105">
        <f ca="1" t="shared" si="292"/>
        <v>-46313</v>
      </c>
      <c r="AN1012" s="115"/>
      <c r="AO1012" s="115"/>
      <c r="AP1012" s="115"/>
      <c r="AQ1012" s="93"/>
      <c r="AR1012" s="93"/>
      <c r="AS1012" s="94"/>
      <c r="AT1012" s="95"/>
      <c r="AU1012" s="79"/>
      <c r="AV1012" s="117"/>
      <c r="AW1012" s="115"/>
      <c r="AX1012" s="106"/>
      <c r="AY1012" s="104"/>
      <c r="AZ1012" s="105"/>
    </row>
    <row r="1013" customHeight="1" spans="1:52">
      <c r="A1013" s="70">
        <v>1013</v>
      </c>
      <c r="B1013" s="70" t="s">
        <v>519</v>
      </c>
      <c r="C1013" s="70" t="s">
        <v>38</v>
      </c>
      <c r="D1013" s="205" t="s">
        <v>3496</v>
      </c>
      <c r="E1013" s="71" t="s">
        <v>526</v>
      </c>
      <c r="F1013" s="72"/>
      <c r="G1013" s="73"/>
      <c r="H1013" s="151"/>
      <c r="I1013" s="102">
        <v>46103</v>
      </c>
      <c r="J1013" s="70">
        <v>3</v>
      </c>
      <c r="K1013" s="106" t="s">
        <v>3497</v>
      </c>
      <c r="L1013" s="104">
        <f t="shared" si="289"/>
        <v>46195</v>
      </c>
      <c r="M1013" s="105">
        <f ca="1" t="shared" si="290"/>
        <v>-118</v>
      </c>
      <c r="N1013" s="70"/>
      <c r="O1013" s="70" t="s">
        <v>519</v>
      </c>
      <c r="P1013" s="70" t="s">
        <v>38</v>
      </c>
      <c r="Q1013" s="205" t="s">
        <v>3496</v>
      </c>
      <c r="R1013" s="71" t="s">
        <v>526</v>
      </c>
      <c r="S1013" s="72"/>
      <c r="T1013" s="73"/>
      <c r="U1013" s="151"/>
      <c r="V1013" s="102">
        <v>46218</v>
      </c>
      <c r="W1013" s="70">
        <v>3</v>
      </c>
      <c r="X1013" s="103" t="s">
        <v>3498</v>
      </c>
      <c r="Y1013" s="104">
        <f t="shared" si="293"/>
        <v>46310</v>
      </c>
      <c r="Z1013" s="105">
        <f ca="1" t="shared" si="294"/>
        <v>-3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>
        <f t="shared" si="291"/>
        <v>0</v>
      </c>
      <c r="AM1013" s="105">
        <f ca="1" t="shared" si="292"/>
        <v>-46313</v>
      </c>
      <c r="AN1013" s="115"/>
      <c r="AO1013" s="115"/>
      <c r="AP1013" s="115"/>
      <c r="AQ1013" s="93"/>
      <c r="AR1013" s="93"/>
      <c r="AS1013" s="94"/>
      <c r="AT1013" s="95"/>
      <c r="AU1013" s="79"/>
      <c r="AV1013" s="117"/>
      <c r="AW1013" s="115"/>
      <c r="AX1013" s="106"/>
      <c r="AY1013" s="104"/>
      <c r="AZ1013" s="105"/>
    </row>
    <row r="1014" customHeight="1" spans="1:52">
      <c r="A1014" s="70">
        <v>1014</v>
      </c>
      <c r="B1014" s="70" t="s">
        <v>519</v>
      </c>
      <c r="C1014" s="70" t="s">
        <v>38</v>
      </c>
      <c r="D1014" s="205" t="s">
        <v>3499</v>
      </c>
      <c r="E1014" s="71" t="s">
        <v>189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3500</v>
      </c>
      <c r="L1014" s="104">
        <f t="shared" si="289"/>
        <v>46195</v>
      </c>
      <c r="M1014" s="105">
        <f ca="1" t="shared" si="290"/>
        <v>-118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93"/>
        <v>0</v>
      </c>
      <c r="Z1014" s="105">
        <f ca="1" t="shared" si="294"/>
        <v>-46313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>
        <f t="shared" si="291"/>
        <v>0</v>
      </c>
      <c r="AM1014" s="105">
        <f ca="1" t="shared" si="292"/>
        <v>-46313</v>
      </c>
      <c r="AN1014" s="115"/>
      <c r="AO1014" s="115"/>
      <c r="AP1014" s="115"/>
      <c r="AQ1014" s="93"/>
      <c r="AR1014" s="93"/>
      <c r="AS1014" s="94"/>
      <c r="AT1014" s="95"/>
      <c r="AU1014" s="79"/>
      <c r="AV1014" s="117"/>
      <c r="AW1014" s="115"/>
      <c r="AX1014" s="106"/>
      <c r="AY1014" s="104"/>
      <c r="AZ1014" s="105"/>
    </row>
    <row r="1015" customHeight="1" spans="1:52">
      <c r="A1015" s="70">
        <v>1015</v>
      </c>
      <c r="B1015" s="70" t="s">
        <v>519</v>
      </c>
      <c r="C1015" s="70" t="s">
        <v>38</v>
      </c>
      <c r="D1015" s="205" t="s">
        <v>3501</v>
      </c>
      <c r="E1015" s="71" t="s">
        <v>40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3502</v>
      </c>
      <c r="L1015" s="104">
        <f t="shared" si="289"/>
        <v>46195</v>
      </c>
      <c r="M1015" s="105">
        <f ca="1" t="shared" si="290"/>
        <v>-118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93"/>
        <v>0</v>
      </c>
      <c r="Z1015" s="105">
        <f ca="1" t="shared" si="294"/>
        <v>-46313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>
        <f t="shared" si="291"/>
        <v>0</v>
      </c>
      <c r="AM1015" s="105">
        <f ca="1" t="shared" si="292"/>
        <v>-46313</v>
      </c>
      <c r="AN1015" s="115"/>
      <c r="AO1015" s="115"/>
      <c r="AP1015" s="115"/>
      <c r="AQ1015" s="93"/>
      <c r="AR1015" s="93"/>
      <c r="AS1015" s="94"/>
      <c r="AT1015" s="95"/>
      <c r="AU1015" s="79"/>
      <c r="AV1015" s="117"/>
      <c r="AW1015" s="115"/>
      <c r="AX1015" s="106"/>
      <c r="AY1015" s="104"/>
      <c r="AZ1015" s="105"/>
    </row>
    <row r="1016" customHeight="1" spans="1:52">
      <c r="A1016" s="70">
        <v>1016</v>
      </c>
      <c r="B1016" s="70" t="s">
        <v>519</v>
      </c>
      <c r="C1016" s="70" t="s">
        <v>13</v>
      </c>
      <c r="D1016" s="205" t="s">
        <v>3503</v>
      </c>
      <c r="E1016" s="71" t="s">
        <v>136</v>
      </c>
      <c r="F1016" s="72"/>
      <c r="G1016" s="73"/>
      <c r="H1016" s="75"/>
      <c r="I1016" s="102">
        <v>46103</v>
      </c>
      <c r="J1016" s="70">
        <v>3</v>
      </c>
      <c r="K1016" s="106" t="s">
        <v>3504</v>
      </c>
      <c r="L1016" s="104">
        <f t="shared" si="289"/>
        <v>46195</v>
      </c>
      <c r="M1016" s="105">
        <f ca="1" t="shared" si="290"/>
        <v>-118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93"/>
        <v>0</v>
      </c>
      <c r="Z1016" s="105">
        <f ca="1" t="shared" si="294"/>
        <v>-46313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>
        <f t="shared" si="291"/>
        <v>0</v>
      </c>
      <c r="AM1016" s="105">
        <f ca="1" t="shared" si="292"/>
        <v>-46313</v>
      </c>
      <c r="AN1016" s="115"/>
      <c r="AO1016" s="115"/>
      <c r="AP1016" s="115"/>
      <c r="AQ1016" s="93"/>
      <c r="AR1016" s="93"/>
      <c r="AS1016" s="94"/>
      <c r="AT1016" s="95"/>
      <c r="AU1016" s="79"/>
      <c r="AV1016" s="117"/>
      <c r="AW1016" s="115"/>
      <c r="AX1016" s="106"/>
      <c r="AY1016" s="104"/>
      <c r="AZ1016" s="105"/>
    </row>
    <row r="1017" customHeight="1" spans="1:52">
      <c r="A1017" s="70">
        <v>1018</v>
      </c>
      <c r="B1017" s="70" t="s">
        <v>1027</v>
      </c>
      <c r="C1017" s="70" t="s">
        <v>374</v>
      </c>
      <c r="D1017" s="205" t="s">
        <v>3505</v>
      </c>
      <c r="E1017" s="71" t="s">
        <v>1029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3506</v>
      </c>
      <c r="L1017" s="104">
        <f t="shared" si="289"/>
        <v>46195</v>
      </c>
      <c r="M1017" s="105">
        <f ca="1" t="shared" si="290"/>
        <v>-118</v>
      </c>
      <c r="N1017" s="70"/>
      <c r="O1017" s="70" t="s">
        <v>1027</v>
      </c>
      <c r="P1017" s="70" t="s">
        <v>374</v>
      </c>
      <c r="Q1017" s="205" t="s">
        <v>3505</v>
      </c>
      <c r="R1017" s="71" t="s">
        <v>1029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3507</v>
      </c>
      <c r="Y1017" s="104">
        <f t="shared" si="293"/>
        <v>46311</v>
      </c>
      <c r="Z1017" s="105">
        <f ca="1" t="shared" si="294"/>
        <v>-2</v>
      </c>
      <c r="AA1017" s="70"/>
      <c r="AB1017" s="70" t="s">
        <v>1027</v>
      </c>
      <c r="AC1017" s="70" t="s">
        <v>374</v>
      </c>
      <c r="AD1017" s="205" t="s">
        <v>3505</v>
      </c>
      <c r="AE1017" s="71" t="s">
        <v>1029</v>
      </c>
      <c r="AF1017" s="72"/>
      <c r="AG1017" s="73"/>
      <c r="AH1017" s="79" t="s">
        <v>16</v>
      </c>
      <c r="AI1017" s="102">
        <v>46311</v>
      </c>
      <c r="AJ1017" s="70">
        <v>3</v>
      </c>
      <c r="AK1017" s="103"/>
      <c r="AL1017" s="104">
        <f t="shared" si="291"/>
        <v>46403</v>
      </c>
      <c r="AM1017" s="105">
        <f ca="1" t="shared" si="292"/>
        <v>90</v>
      </c>
      <c r="AN1017" s="115"/>
      <c r="AO1017" s="115"/>
      <c r="AP1017" s="115"/>
      <c r="AQ1017" s="93"/>
      <c r="AR1017" s="93"/>
      <c r="AS1017" s="94"/>
      <c r="AT1017" s="95"/>
      <c r="AU1017" s="79"/>
      <c r="AV1017" s="117"/>
      <c r="AW1017" s="115"/>
      <c r="AX1017" s="106"/>
      <c r="AY1017" s="104"/>
      <c r="AZ1017" s="105"/>
    </row>
    <row r="1018" customHeight="1" spans="1:52">
      <c r="A1018" s="70">
        <v>1019</v>
      </c>
      <c r="B1018" s="70" t="s">
        <v>1399</v>
      </c>
      <c r="C1018" s="70" t="s">
        <v>374</v>
      </c>
      <c r="D1018" s="205" t="s">
        <v>3508</v>
      </c>
      <c r="E1018" s="71" t="s">
        <v>883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3509</v>
      </c>
      <c r="L1018" s="104">
        <f t="shared" si="289"/>
        <v>46195</v>
      </c>
      <c r="M1018" s="105">
        <f ca="1" t="shared" si="290"/>
        <v>-118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95">EDATE(V1018,W1018)</f>
        <v>0</v>
      </c>
      <c r="Z1018" s="105">
        <f ca="1" t="shared" ref="Z1018:Z1027" si="296">Y1018-TODAY()</f>
        <v>-46313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>
        <f t="shared" si="291"/>
        <v>0</v>
      </c>
      <c r="AM1018" s="105">
        <f ca="1" t="shared" si="292"/>
        <v>-46313</v>
      </c>
      <c r="AN1018" s="115"/>
      <c r="AO1018" s="115"/>
      <c r="AP1018" s="115"/>
      <c r="AQ1018" s="93"/>
      <c r="AR1018" s="93"/>
      <c r="AS1018" s="94"/>
      <c r="AT1018" s="95"/>
      <c r="AU1018" s="79"/>
      <c r="AV1018" s="117"/>
      <c r="AW1018" s="115"/>
      <c r="AX1018" s="106"/>
      <c r="AY1018" s="104"/>
      <c r="AZ1018" s="105"/>
    </row>
    <row r="1019" customHeight="1" spans="1:52">
      <c r="A1019" s="70">
        <v>1020</v>
      </c>
      <c r="B1019" s="70" t="s">
        <v>1399</v>
      </c>
      <c r="C1019" s="70" t="s">
        <v>374</v>
      </c>
      <c r="D1019" s="205" t="s">
        <v>3510</v>
      </c>
      <c r="E1019" s="71" t="s">
        <v>883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3511</v>
      </c>
      <c r="L1019" s="104">
        <f t="shared" si="289"/>
        <v>46195</v>
      </c>
      <c r="M1019" s="105">
        <f ca="1" t="shared" si="290"/>
        <v>-118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95"/>
        <v>0</v>
      </c>
      <c r="Z1019" s="105">
        <f ca="1" t="shared" si="296"/>
        <v>-46313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>
        <f t="shared" si="291"/>
        <v>0</v>
      </c>
      <c r="AM1019" s="105">
        <f ca="1" t="shared" si="292"/>
        <v>-46313</v>
      </c>
      <c r="AN1019" s="115"/>
      <c r="AO1019" s="115"/>
      <c r="AP1019" s="115"/>
      <c r="AQ1019" s="93"/>
      <c r="AR1019" s="93"/>
      <c r="AS1019" s="94"/>
      <c r="AT1019" s="95"/>
      <c r="AU1019" s="79"/>
      <c r="AV1019" s="117"/>
      <c r="AW1019" s="115"/>
      <c r="AX1019" s="106"/>
      <c r="AY1019" s="104"/>
      <c r="AZ1019" s="105"/>
    </row>
    <row r="1020" customHeight="1" spans="1:52">
      <c r="A1020" s="70">
        <v>1021</v>
      </c>
      <c r="B1020" s="70" t="s">
        <v>1399</v>
      </c>
      <c r="C1020" s="70" t="s">
        <v>374</v>
      </c>
      <c r="D1020" s="205" t="s">
        <v>3512</v>
      </c>
      <c r="E1020" s="71" t="s">
        <v>883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3513</v>
      </c>
      <c r="L1020" s="104">
        <f t="shared" si="289"/>
        <v>46195</v>
      </c>
      <c r="M1020" s="105">
        <f ca="1" t="shared" si="290"/>
        <v>-118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95"/>
        <v>0</v>
      </c>
      <c r="Z1020" s="105">
        <f ca="1" t="shared" si="296"/>
        <v>-46313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>
        <f t="shared" si="291"/>
        <v>0</v>
      </c>
      <c r="AM1020" s="105">
        <f ca="1" t="shared" si="292"/>
        <v>-46313</v>
      </c>
      <c r="AN1020" s="115"/>
      <c r="AO1020" s="115"/>
      <c r="AP1020" s="115"/>
      <c r="AQ1020" s="93"/>
      <c r="AR1020" s="93"/>
      <c r="AS1020" s="94"/>
      <c r="AT1020" s="95"/>
      <c r="AU1020" s="79"/>
      <c r="AV1020" s="117"/>
      <c r="AW1020" s="115"/>
      <c r="AX1020" s="106"/>
      <c r="AY1020" s="104"/>
      <c r="AZ1020" s="105"/>
    </row>
    <row r="1021" customHeight="1" spans="1:52">
      <c r="A1021" s="70">
        <v>1022</v>
      </c>
      <c r="B1021" s="70" t="s">
        <v>224</v>
      </c>
      <c r="C1021" s="70" t="s">
        <v>38</v>
      </c>
      <c r="D1021" s="205" t="s">
        <v>3514</v>
      </c>
      <c r="E1021" s="71" t="s">
        <v>316</v>
      </c>
      <c r="F1021" s="72"/>
      <c r="G1021" s="73"/>
      <c r="H1021" s="75"/>
      <c r="I1021" s="102">
        <v>46103</v>
      </c>
      <c r="J1021" s="70">
        <v>3</v>
      </c>
      <c r="K1021" s="106" t="s">
        <v>3515</v>
      </c>
      <c r="L1021" s="104">
        <f t="shared" si="289"/>
        <v>46195</v>
      </c>
      <c r="M1021" s="105">
        <f ca="1" t="shared" si="290"/>
        <v>-118</v>
      </c>
      <c r="N1021" s="70"/>
      <c r="O1021" s="70" t="s">
        <v>224</v>
      </c>
      <c r="P1021" s="70" t="s">
        <v>38</v>
      </c>
      <c r="Q1021" s="205" t="s">
        <v>3514</v>
      </c>
      <c r="R1021" s="71" t="s">
        <v>316</v>
      </c>
      <c r="S1021" s="72"/>
      <c r="T1021" s="73"/>
      <c r="U1021" s="75"/>
      <c r="V1021" s="102">
        <v>46221</v>
      </c>
      <c r="W1021" s="70">
        <v>3</v>
      </c>
      <c r="X1021" s="103" t="s">
        <v>3516</v>
      </c>
      <c r="Y1021" s="104">
        <f t="shared" si="295"/>
        <v>46313</v>
      </c>
      <c r="Z1021" s="105">
        <f ca="1" t="shared" si="296"/>
        <v>0</v>
      </c>
      <c r="AA1021" s="70"/>
      <c r="AB1021" s="70" t="s">
        <v>224</v>
      </c>
      <c r="AC1021" s="70" t="s">
        <v>38</v>
      </c>
      <c r="AD1021" s="205" t="s">
        <v>3514</v>
      </c>
      <c r="AE1021" s="71" t="s">
        <v>316</v>
      </c>
      <c r="AF1021" s="72"/>
      <c r="AG1021" s="73"/>
      <c r="AH1021" s="75"/>
      <c r="AI1021" s="102">
        <v>46306</v>
      </c>
      <c r="AJ1021" s="70">
        <v>3</v>
      </c>
      <c r="AK1021" s="103"/>
      <c r="AL1021" s="104">
        <f t="shared" si="291"/>
        <v>46398</v>
      </c>
      <c r="AM1021" s="105">
        <f ca="1" t="shared" si="292"/>
        <v>85</v>
      </c>
      <c r="AN1021" s="115"/>
      <c r="AO1021" s="115"/>
      <c r="AP1021" s="115"/>
      <c r="AQ1021" s="93"/>
      <c r="AR1021" s="93"/>
      <c r="AS1021" s="94"/>
      <c r="AT1021" s="95"/>
      <c r="AU1021" s="79"/>
      <c r="AV1021" s="117"/>
      <c r="AW1021" s="115"/>
      <c r="AX1021" s="106"/>
      <c r="AY1021" s="104"/>
      <c r="AZ1021" s="105"/>
    </row>
    <row r="1022" customHeight="1" spans="1:52">
      <c r="A1022" s="70">
        <v>1023</v>
      </c>
      <c r="B1022" s="70" t="s">
        <v>164</v>
      </c>
      <c r="C1022" s="70" t="s">
        <v>13</v>
      </c>
      <c r="D1022" s="71" t="s">
        <v>3517</v>
      </c>
      <c r="E1022" s="71" t="s">
        <v>45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3518</v>
      </c>
      <c r="L1022" s="104">
        <f t="shared" si="289"/>
        <v>46196</v>
      </c>
      <c r="M1022" s="105">
        <f ca="1" t="shared" si="290"/>
        <v>-117</v>
      </c>
      <c r="N1022" s="70"/>
      <c r="O1022" s="70" t="s">
        <v>164</v>
      </c>
      <c r="P1022" s="70" t="s">
        <v>13</v>
      </c>
      <c r="Q1022" s="71" t="s">
        <v>3517</v>
      </c>
      <c r="R1022" s="71" t="s">
        <v>45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3519</v>
      </c>
      <c r="Y1022" s="104">
        <f t="shared" si="295"/>
        <v>46327</v>
      </c>
      <c r="Z1022" s="105">
        <f ca="1" t="shared" si="296"/>
        <v>14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>
        <f t="shared" si="291"/>
        <v>0</v>
      </c>
      <c r="AM1022" s="105">
        <f ca="1" t="shared" si="292"/>
        <v>-46313</v>
      </c>
      <c r="AN1022" s="115"/>
      <c r="AO1022" s="115"/>
      <c r="AP1022" s="115"/>
      <c r="AQ1022" s="93"/>
      <c r="AR1022" s="93"/>
      <c r="AS1022" s="94"/>
      <c r="AT1022" s="95"/>
      <c r="AU1022" s="79"/>
      <c r="AV1022" s="117"/>
      <c r="AW1022" s="115"/>
      <c r="AX1022" s="106"/>
      <c r="AY1022" s="104"/>
      <c r="AZ1022" s="105"/>
    </row>
    <row r="1023" customHeight="1" spans="1:52">
      <c r="A1023" s="70">
        <v>1024</v>
      </c>
      <c r="B1023" s="70" t="s">
        <v>164</v>
      </c>
      <c r="C1023" s="70" t="s">
        <v>38</v>
      </c>
      <c r="D1023" s="71" t="s">
        <v>3520</v>
      </c>
      <c r="E1023" s="93" t="s">
        <v>189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3521</v>
      </c>
      <c r="L1023" s="104">
        <f t="shared" si="289"/>
        <v>46196</v>
      </c>
      <c r="M1023" s="105">
        <f ca="1" t="shared" si="290"/>
        <v>-117</v>
      </c>
      <c r="N1023" s="70"/>
      <c r="O1023" s="70" t="s">
        <v>164</v>
      </c>
      <c r="P1023" s="70" t="s">
        <v>38</v>
      </c>
      <c r="Q1023" s="71" t="s">
        <v>3520</v>
      </c>
      <c r="R1023" s="93" t="s">
        <v>189</v>
      </c>
      <c r="S1023" s="94"/>
      <c r="T1023" s="95"/>
      <c r="U1023" s="74" t="s">
        <v>16</v>
      </c>
      <c r="V1023" s="102">
        <v>46253</v>
      </c>
      <c r="W1023" s="70">
        <v>3</v>
      </c>
      <c r="X1023" s="103" t="s">
        <v>3522</v>
      </c>
      <c r="Y1023" s="104">
        <f t="shared" si="295"/>
        <v>46345</v>
      </c>
      <c r="Z1023" s="105">
        <f ca="1" t="shared" si="296"/>
        <v>32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>
        <f t="shared" si="291"/>
        <v>0</v>
      </c>
      <c r="AM1023" s="105">
        <f ca="1" t="shared" si="292"/>
        <v>-46313</v>
      </c>
      <c r="AN1023" s="115"/>
      <c r="AO1023" s="115"/>
      <c r="AP1023" s="115"/>
      <c r="AQ1023" s="93"/>
      <c r="AR1023" s="93"/>
      <c r="AS1023" s="94"/>
      <c r="AT1023" s="95"/>
      <c r="AU1023" s="79"/>
      <c r="AV1023" s="117"/>
      <c r="AW1023" s="115"/>
      <c r="AX1023" s="106"/>
      <c r="AY1023" s="104"/>
      <c r="AZ1023" s="105"/>
    </row>
    <row r="1024" customHeight="1" spans="1:52">
      <c r="A1024" s="70">
        <v>1025</v>
      </c>
      <c r="B1024" s="70" t="s">
        <v>1205</v>
      </c>
      <c r="C1024" s="70" t="s">
        <v>13</v>
      </c>
      <c r="D1024" s="71" t="s">
        <v>3523</v>
      </c>
      <c r="E1024" s="71" t="s">
        <v>126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3524</v>
      </c>
      <c r="L1024" s="104">
        <f t="shared" si="289"/>
        <v>46196</v>
      </c>
      <c r="M1024" s="105">
        <f ca="1" t="shared" si="290"/>
        <v>-117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95"/>
        <v>0</v>
      </c>
      <c r="Z1024" s="105">
        <f ca="1" t="shared" si="296"/>
        <v>-46313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5"/>
      <c r="AO1024" s="115"/>
      <c r="AP1024" s="115"/>
      <c r="AQ1024" s="93"/>
      <c r="AR1024" s="93"/>
      <c r="AS1024" s="94"/>
      <c r="AT1024" s="95"/>
      <c r="AU1024" s="79"/>
      <c r="AV1024" s="117"/>
      <c r="AW1024" s="115"/>
      <c r="AX1024" s="106"/>
      <c r="AY1024" s="104"/>
      <c r="AZ1024" s="105"/>
    </row>
    <row r="1025" customHeight="1" spans="1:52">
      <c r="A1025" s="70">
        <v>1026</v>
      </c>
      <c r="B1025" s="70" t="s">
        <v>1393</v>
      </c>
      <c r="C1025" s="70" t="s">
        <v>38</v>
      </c>
      <c r="D1025" s="71" t="s">
        <v>3525</v>
      </c>
      <c r="E1025" s="71" t="s">
        <v>3526</v>
      </c>
      <c r="F1025" s="72"/>
      <c r="G1025" s="73"/>
      <c r="H1025" s="151"/>
      <c r="I1025" s="102">
        <v>46104</v>
      </c>
      <c r="J1025" s="70">
        <v>3</v>
      </c>
      <c r="K1025" s="106" t="s">
        <v>3527</v>
      </c>
      <c r="L1025" s="104">
        <f t="shared" si="289"/>
        <v>46196</v>
      </c>
      <c r="M1025" s="105">
        <f ca="1" t="shared" si="290"/>
        <v>-117</v>
      </c>
      <c r="N1025" s="70"/>
      <c r="O1025" s="70" t="s">
        <v>1393</v>
      </c>
      <c r="P1025" s="70" t="s">
        <v>38</v>
      </c>
      <c r="Q1025" s="71" t="s">
        <v>3525</v>
      </c>
      <c r="R1025" s="71" t="s">
        <v>3526</v>
      </c>
      <c r="S1025" s="72"/>
      <c r="T1025" s="73"/>
      <c r="U1025" s="151"/>
      <c r="V1025" s="102">
        <v>46217</v>
      </c>
      <c r="W1025" s="70">
        <v>3</v>
      </c>
      <c r="X1025" s="103" t="s">
        <v>3528</v>
      </c>
      <c r="Y1025" s="104">
        <f t="shared" si="295"/>
        <v>46309</v>
      </c>
      <c r="Z1025" s="105">
        <f ca="1" t="shared" si="296"/>
        <v>-4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5"/>
      <c r="AO1025" s="115"/>
      <c r="AP1025" s="115"/>
      <c r="AQ1025" s="93"/>
      <c r="AR1025" s="93"/>
      <c r="AS1025" s="94"/>
      <c r="AT1025" s="95"/>
      <c r="AU1025" s="79"/>
      <c r="AV1025" s="117"/>
      <c r="AW1025" s="115"/>
      <c r="AX1025" s="106"/>
      <c r="AY1025" s="104"/>
      <c r="AZ1025" s="105"/>
    </row>
    <row r="1026" customHeight="1" spans="1:52">
      <c r="A1026" s="70">
        <v>1027</v>
      </c>
      <c r="B1026" s="204" t="s">
        <v>143</v>
      </c>
      <c r="C1026" s="70" t="s">
        <v>13</v>
      </c>
      <c r="D1026" s="205" t="s">
        <v>3529</v>
      </c>
      <c r="E1026" s="71" t="s">
        <v>3530</v>
      </c>
      <c r="F1026" s="72"/>
      <c r="G1026" s="73"/>
      <c r="H1026" s="151"/>
      <c r="I1026" s="102">
        <v>46104</v>
      </c>
      <c r="J1026" s="70">
        <v>3</v>
      </c>
      <c r="K1026" s="106" t="s">
        <v>3531</v>
      </c>
      <c r="L1026" s="104">
        <f t="shared" ref="L1026:L1091" si="297">EDATE(I1026,J1026)</f>
        <v>46196</v>
      </c>
      <c r="M1026" s="105">
        <f ca="1" t="shared" ref="M1026:M1089" si="298">L1026-TODAY()</f>
        <v>-117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95"/>
        <v>0</v>
      </c>
      <c r="Z1026" s="105">
        <f ca="1" t="shared" si="296"/>
        <v>-46313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5"/>
      <c r="AO1026" s="115"/>
      <c r="AP1026" s="115"/>
      <c r="AQ1026" s="93"/>
      <c r="AR1026" s="93"/>
      <c r="AS1026" s="94"/>
      <c r="AT1026" s="95"/>
      <c r="AU1026" s="79"/>
      <c r="AV1026" s="117"/>
      <c r="AW1026" s="115"/>
      <c r="AX1026" s="106"/>
      <c r="AY1026" s="104"/>
      <c r="AZ1026" s="105"/>
    </row>
    <row r="1027" customHeight="1" spans="1:52">
      <c r="A1027" s="70">
        <v>1028</v>
      </c>
      <c r="B1027" s="204" t="s">
        <v>143</v>
      </c>
      <c r="C1027" s="70" t="s">
        <v>13</v>
      </c>
      <c r="D1027" s="205" t="s">
        <v>3532</v>
      </c>
      <c r="E1027" s="71" t="s">
        <v>3533</v>
      </c>
      <c r="F1027" s="72"/>
      <c r="G1027" s="73"/>
      <c r="H1027" s="151"/>
      <c r="I1027" s="102">
        <v>46104</v>
      </c>
      <c r="J1027" s="70">
        <v>3</v>
      </c>
      <c r="K1027" s="106" t="s">
        <v>3534</v>
      </c>
      <c r="L1027" s="104">
        <f t="shared" si="297"/>
        <v>46196</v>
      </c>
      <c r="M1027" s="105">
        <f ca="1" t="shared" si="298"/>
        <v>-117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95"/>
        <v>0</v>
      </c>
      <c r="Z1027" s="105">
        <f ca="1" t="shared" si="296"/>
        <v>-46313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5"/>
      <c r="AO1027" s="115"/>
      <c r="AP1027" s="115"/>
      <c r="AQ1027" s="93"/>
      <c r="AR1027" s="93"/>
      <c r="AS1027" s="94"/>
      <c r="AT1027" s="95"/>
      <c r="AU1027" s="79"/>
      <c r="AV1027" s="117"/>
      <c r="AW1027" s="115"/>
      <c r="AX1027" s="106"/>
      <c r="AY1027" s="104"/>
      <c r="AZ1027" s="105"/>
    </row>
    <row r="1028" customHeight="1" spans="1:52">
      <c r="A1028" s="70">
        <v>1029</v>
      </c>
      <c r="B1028" s="204" t="s">
        <v>143</v>
      </c>
      <c r="C1028" s="70" t="s">
        <v>38</v>
      </c>
      <c r="D1028" s="205" t="s">
        <v>3535</v>
      </c>
      <c r="E1028" s="71" t="s">
        <v>145</v>
      </c>
      <c r="F1028" s="72"/>
      <c r="G1028" s="73"/>
      <c r="H1028" s="151"/>
      <c r="I1028" s="102">
        <v>46104</v>
      </c>
      <c r="J1028" s="70">
        <v>3</v>
      </c>
      <c r="K1028" s="106" t="s">
        <v>3536</v>
      </c>
      <c r="L1028" s="104">
        <f t="shared" si="297"/>
        <v>46196</v>
      </c>
      <c r="M1028" s="105">
        <f ca="1" t="shared" si="298"/>
        <v>-117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5"/>
      <c r="AO1028" s="115"/>
      <c r="AP1028" s="115"/>
      <c r="AQ1028" s="93"/>
      <c r="AR1028" s="93"/>
      <c r="AS1028" s="94"/>
      <c r="AT1028" s="95"/>
      <c r="AU1028" s="79"/>
      <c r="AV1028" s="117"/>
      <c r="AW1028" s="115"/>
      <c r="AX1028" s="106"/>
      <c r="AY1028" s="104"/>
      <c r="AZ1028" s="105"/>
    </row>
    <row r="1029" customHeight="1" spans="1:52">
      <c r="A1029" s="70">
        <v>1030</v>
      </c>
      <c r="B1029" s="204" t="s">
        <v>143</v>
      </c>
      <c r="C1029" s="70" t="s">
        <v>13</v>
      </c>
      <c r="D1029" s="205" t="s">
        <v>3537</v>
      </c>
      <c r="E1029" s="71" t="s">
        <v>3538</v>
      </c>
      <c r="F1029" s="72"/>
      <c r="G1029" s="73"/>
      <c r="H1029" s="151"/>
      <c r="I1029" s="102">
        <v>46104</v>
      </c>
      <c r="J1029" s="70">
        <v>3</v>
      </c>
      <c r="K1029" s="106" t="s">
        <v>3539</v>
      </c>
      <c r="L1029" s="104">
        <f t="shared" si="297"/>
        <v>46196</v>
      </c>
      <c r="M1029" s="105">
        <f ca="1" t="shared" si="298"/>
        <v>-117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99">EDATE(V1029,W1029)</f>
        <v>0</v>
      </c>
      <c r="Z1029" s="105">
        <f ca="1" t="shared" ref="Z1029:Z1038" si="300">Y1029-TODAY()</f>
        <v>-46313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5"/>
      <c r="AO1029" s="115"/>
      <c r="AP1029" s="115"/>
      <c r="AQ1029" s="93"/>
      <c r="AR1029" s="93"/>
      <c r="AS1029" s="94"/>
      <c r="AT1029" s="95"/>
      <c r="AU1029" s="79"/>
      <c r="AV1029" s="117"/>
      <c r="AW1029" s="115"/>
      <c r="AX1029" s="106"/>
      <c r="AY1029" s="104"/>
      <c r="AZ1029" s="105"/>
    </row>
    <row r="1030" customHeight="1" spans="1:52">
      <c r="A1030" s="70">
        <v>1031</v>
      </c>
      <c r="B1030" s="204" t="s">
        <v>2575</v>
      </c>
      <c r="C1030" s="70" t="s">
        <v>13</v>
      </c>
      <c r="D1030" s="211" t="s">
        <v>3540</v>
      </c>
      <c r="E1030" s="71" t="s">
        <v>424</v>
      </c>
      <c r="F1030" s="72"/>
      <c r="G1030" s="73"/>
      <c r="H1030" s="151"/>
      <c r="I1030" s="102">
        <v>46104</v>
      </c>
      <c r="J1030" s="70">
        <v>3</v>
      </c>
      <c r="K1030" s="106" t="s">
        <v>3541</v>
      </c>
      <c r="L1030" s="104">
        <f t="shared" si="297"/>
        <v>46196</v>
      </c>
      <c r="M1030" s="105">
        <f ca="1" t="shared" si="298"/>
        <v>-117</v>
      </c>
      <c r="N1030" s="70"/>
      <c r="O1030" s="204" t="s">
        <v>2575</v>
      </c>
      <c r="P1030" s="70" t="s">
        <v>13</v>
      </c>
      <c r="Q1030" s="211" t="s">
        <v>3540</v>
      </c>
      <c r="R1030" s="71" t="s">
        <v>424</v>
      </c>
      <c r="S1030" s="72"/>
      <c r="T1030" s="73"/>
      <c r="U1030" s="151"/>
      <c r="V1030" s="102">
        <v>46213</v>
      </c>
      <c r="W1030" s="70">
        <v>3</v>
      </c>
      <c r="X1030" s="103" t="s">
        <v>3542</v>
      </c>
      <c r="Y1030" s="104">
        <f t="shared" si="299"/>
        <v>46305</v>
      </c>
      <c r="Z1030" s="105">
        <f ca="1" t="shared" si="300"/>
        <v>-8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5"/>
      <c r="AO1030" s="115"/>
      <c r="AP1030" s="115"/>
      <c r="AQ1030" s="93"/>
      <c r="AR1030" s="93"/>
      <c r="AS1030" s="94"/>
      <c r="AT1030" s="95"/>
      <c r="AU1030" s="79"/>
      <c r="AV1030" s="117"/>
      <c r="AW1030" s="115"/>
      <c r="AX1030" s="106"/>
      <c r="AY1030" s="104"/>
      <c r="AZ1030" s="105"/>
    </row>
    <row r="1031" customHeight="1" spans="1:52">
      <c r="A1031" s="70">
        <v>1032</v>
      </c>
      <c r="B1031" s="70" t="s">
        <v>270</v>
      </c>
      <c r="C1031" s="70" t="s">
        <v>264</v>
      </c>
      <c r="D1031" s="71" t="s">
        <v>367</v>
      </c>
      <c r="E1031" s="71" t="s">
        <v>368</v>
      </c>
      <c r="F1031" s="72"/>
      <c r="G1031" s="73"/>
      <c r="H1031" s="151"/>
      <c r="I1031" s="102">
        <v>46104</v>
      </c>
      <c r="J1031" s="70" t="s">
        <v>767</v>
      </c>
      <c r="K1031" s="106"/>
      <c r="L1031" s="104" t="e">
        <f t="shared" si="297"/>
        <v>#VALUE!</v>
      </c>
      <c r="M1031" s="105" t="e">
        <f ca="1" t="shared" si="29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99"/>
        <v>0</v>
      </c>
      <c r="Z1031" s="105">
        <f ca="1" t="shared" si="300"/>
        <v>-46313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5"/>
      <c r="AO1031" s="115"/>
      <c r="AP1031" s="115"/>
      <c r="AQ1031" s="93"/>
      <c r="AR1031" s="93"/>
      <c r="AS1031" s="94"/>
      <c r="AT1031" s="95"/>
      <c r="AU1031" s="79"/>
      <c r="AV1031" s="117"/>
      <c r="AW1031" s="115"/>
      <c r="AX1031" s="106"/>
      <c r="AY1031" s="104"/>
      <c r="AZ1031" s="105"/>
    </row>
    <row r="1032" customHeight="1" spans="1:52">
      <c r="A1032" s="70">
        <v>1033</v>
      </c>
      <c r="B1032" s="70" t="s">
        <v>270</v>
      </c>
      <c r="C1032" s="70" t="s">
        <v>264</v>
      </c>
      <c r="D1032" s="71" t="s">
        <v>1580</v>
      </c>
      <c r="E1032" s="71" t="s">
        <v>3279</v>
      </c>
      <c r="F1032" s="72"/>
      <c r="G1032" s="73"/>
      <c r="H1032" s="151"/>
      <c r="I1032" s="102">
        <v>46104</v>
      </c>
      <c r="J1032" s="70" t="s">
        <v>767</v>
      </c>
      <c r="K1032" s="106"/>
      <c r="L1032" s="104" t="e">
        <f t="shared" si="297"/>
        <v>#VALUE!</v>
      </c>
      <c r="M1032" s="105" t="e">
        <f ca="1" t="shared" si="29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99"/>
        <v>0</v>
      </c>
      <c r="Z1032" s="105">
        <f ca="1" t="shared" si="300"/>
        <v>-46313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>
        <f t="shared" ref="AL1032:AL1056" si="301">EDATE(AI1032,AJ1032)</f>
        <v>0</v>
      </c>
      <c r="AM1032" s="105">
        <f ca="1" t="shared" ref="AM1032:AM1056" si="302">AL1032-TODAY()</f>
        <v>-46313</v>
      </c>
      <c r="AN1032" s="115"/>
      <c r="AO1032" s="115"/>
      <c r="AP1032" s="115"/>
      <c r="AQ1032" s="93"/>
      <c r="AR1032" s="93"/>
      <c r="AS1032" s="94"/>
      <c r="AT1032" s="95"/>
      <c r="AU1032" s="79"/>
      <c r="AV1032" s="117"/>
      <c r="AW1032" s="115"/>
      <c r="AX1032" s="106"/>
      <c r="AY1032" s="104"/>
      <c r="AZ1032" s="105"/>
    </row>
    <row r="1033" customHeight="1" spans="1:52">
      <c r="A1033" s="70">
        <v>1034</v>
      </c>
      <c r="B1033" s="70" t="s">
        <v>757</v>
      </c>
      <c r="C1033" s="70" t="s">
        <v>264</v>
      </c>
      <c r="D1033" s="71" t="s">
        <v>758</v>
      </c>
      <c r="E1033" s="71" t="s">
        <v>2941</v>
      </c>
      <c r="F1033" s="72"/>
      <c r="G1033" s="73"/>
      <c r="H1033" s="151"/>
      <c r="I1033" s="102">
        <v>46104</v>
      </c>
      <c r="J1033" s="70" t="s">
        <v>767</v>
      </c>
      <c r="K1033" s="106"/>
      <c r="L1033" s="104" t="e">
        <f t="shared" si="297"/>
        <v>#VALUE!</v>
      </c>
      <c r="M1033" s="105" t="e">
        <f ca="1" t="shared" si="298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99"/>
        <v>0</v>
      </c>
      <c r="Z1033" s="105">
        <f ca="1" t="shared" si="300"/>
        <v>-46313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>
        <f t="shared" si="301"/>
        <v>0</v>
      </c>
      <c r="AM1033" s="105">
        <f ca="1" t="shared" si="302"/>
        <v>-46313</v>
      </c>
      <c r="AN1033" s="115"/>
      <c r="AO1033" s="115"/>
      <c r="AP1033" s="115"/>
      <c r="AQ1033" s="93"/>
      <c r="AR1033" s="93"/>
      <c r="AS1033" s="94"/>
      <c r="AT1033" s="95"/>
      <c r="AU1033" s="79"/>
      <c r="AV1033" s="117"/>
      <c r="AW1033" s="115"/>
      <c r="AX1033" s="106"/>
      <c r="AY1033" s="104"/>
      <c r="AZ1033" s="105"/>
    </row>
    <row r="1034" customHeight="1" spans="1:52">
      <c r="A1034" s="70">
        <v>1035</v>
      </c>
      <c r="B1034" s="70" t="s">
        <v>2552</v>
      </c>
      <c r="C1034" s="70" t="s">
        <v>264</v>
      </c>
      <c r="D1034" s="71" t="s">
        <v>3543</v>
      </c>
      <c r="E1034" s="71" t="s">
        <v>277</v>
      </c>
      <c r="F1034" s="72"/>
      <c r="G1034" s="73"/>
      <c r="H1034" s="151"/>
      <c r="I1034" s="102">
        <v>46104</v>
      </c>
      <c r="J1034" s="70">
        <v>3</v>
      </c>
      <c r="K1034" s="106" t="s">
        <v>3544</v>
      </c>
      <c r="L1034" s="104">
        <f t="shared" si="297"/>
        <v>46196</v>
      </c>
      <c r="M1034" s="105">
        <f ca="1" t="shared" si="298"/>
        <v>-117</v>
      </c>
      <c r="N1034" s="70"/>
      <c r="O1034" s="70" t="s">
        <v>2552</v>
      </c>
      <c r="P1034" s="70" t="s">
        <v>264</v>
      </c>
      <c r="Q1034" s="71" t="s">
        <v>3543</v>
      </c>
      <c r="R1034" s="71" t="s">
        <v>277</v>
      </c>
      <c r="S1034" s="72"/>
      <c r="T1034" s="73"/>
      <c r="U1034" s="151"/>
      <c r="V1034" s="102">
        <v>46294</v>
      </c>
      <c r="W1034" s="70">
        <v>3</v>
      </c>
      <c r="X1034" s="103" t="s">
        <v>3545</v>
      </c>
      <c r="Y1034" s="104">
        <f t="shared" si="299"/>
        <v>46385</v>
      </c>
      <c r="Z1034" s="105">
        <f ca="1" t="shared" si="300"/>
        <v>72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>
        <f t="shared" si="301"/>
        <v>0</v>
      </c>
      <c r="AM1034" s="105">
        <f ca="1" t="shared" si="302"/>
        <v>-46313</v>
      </c>
      <c r="AN1034" s="115"/>
      <c r="AO1034" s="115"/>
      <c r="AP1034" s="115"/>
      <c r="AQ1034" s="93"/>
      <c r="AR1034" s="93"/>
      <c r="AS1034" s="94"/>
      <c r="AT1034" s="95"/>
      <c r="AU1034" s="79"/>
      <c r="AV1034" s="117"/>
      <c r="AW1034" s="115"/>
      <c r="AX1034" s="106"/>
      <c r="AY1034" s="104"/>
      <c r="AZ1034" s="105"/>
    </row>
    <row r="1035" customHeight="1" spans="1:52">
      <c r="A1035" s="70">
        <v>1036</v>
      </c>
      <c r="B1035" s="70" t="s">
        <v>169</v>
      </c>
      <c r="C1035" s="70" t="s">
        <v>38</v>
      </c>
      <c r="D1035" s="71" t="s">
        <v>170</v>
      </c>
      <c r="E1035" s="71" t="s">
        <v>3230</v>
      </c>
      <c r="F1035" s="72"/>
      <c r="G1035" s="73"/>
      <c r="H1035" s="151"/>
      <c r="I1035" s="102">
        <v>46104</v>
      </c>
      <c r="J1035" s="70" t="s">
        <v>767</v>
      </c>
      <c r="K1035" s="106"/>
      <c r="L1035" s="104" t="e">
        <f t="shared" si="297"/>
        <v>#VALUE!</v>
      </c>
      <c r="M1035" s="105" t="e">
        <f ca="1" t="shared" si="298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99"/>
        <v>0</v>
      </c>
      <c r="Z1035" s="105">
        <f ca="1" t="shared" si="300"/>
        <v>-46313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>
        <f t="shared" si="301"/>
        <v>0</v>
      </c>
      <c r="AM1035" s="105">
        <f ca="1" t="shared" si="302"/>
        <v>-46313</v>
      </c>
      <c r="AN1035" s="115"/>
      <c r="AO1035" s="115"/>
      <c r="AP1035" s="115"/>
      <c r="AQ1035" s="93"/>
      <c r="AR1035" s="93"/>
      <c r="AS1035" s="94"/>
      <c r="AT1035" s="95"/>
      <c r="AU1035" s="79"/>
      <c r="AV1035" s="117"/>
      <c r="AW1035" s="115"/>
      <c r="AX1035" s="106"/>
      <c r="AY1035" s="104"/>
      <c r="AZ1035" s="105"/>
    </row>
    <row r="1036" customHeight="1" spans="1:52">
      <c r="A1036" s="70">
        <v>1037</v>
      </c>
      <c r="B1036" s="70" t="s">
        <v>134</v>
      </c>
      <c r="C1036" s="70" t="s">
        <v>38</v>
      </c>
      <c r="D1036" s="205" t="s">
        <v>3546</v>
      </c>
      <c r="E1036" s="71" t="s">
        <v>526</v>
      </c>
      <c r="F1036" s="72"/>
      <c r="G1036" s="73"/>
      <c r="H1036" s="151"/>
      <c r="I1036" s="102">
        <v>46105</v>
      </c>
      <c r="J1036" s="70">
        <v>3</v>
      </c>
      <c r="K1036" s="106" t="s">
        <v>3547</v>
      </c>
      <c r="L1036" s="104">
        <f t="shared" si="297"/>
        <v>46197</v>
      </c>
      <c r="M1036" s="105">
        <f ca="1" t="shared" si="298"/>
        <v>-116</v>
      </c>
      <c r="N1036" s="70"/>
      <c r="O1036" s="70" t="s">
        <v>134</v>
      </c>
      <c r="P1036" s="70" t="s">
        <v>38</v>
      </c>
      <c r="Q1036" s="205" t="s">
        <v>3546</v>
      </c>
      <c r="R1036" s="71" t="s">
        <v>526</v>
      </c>
      <c r="S1036" s="72"/>
      <c r="T1036" s="73"/>
      <c r="U1036" s="151"/>
      <c r="V1036" s="102">
        <v>46205</v>
      </c>
      <c r="W1036" s="70">
        <v>3</v>
      </c>
      <c r="X1036" s="103" t="s">
        <v>3548</v>
      </c>
      <c r="Y1036" s="104">
        <f t="shared" si="299"/>
        <v>46297</v>
      </c>
      <c r="Z1036" s="105">
        <f ca="1" t="shared" si="300"/>
        <v>-16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>
        <f t="shared" si="301"/>
        <v>0</v>
      </c>
      <c r="AM1036" s="105">
        <f ca="1" t="shared" si="302"/>
        <v>-46313</v>
      </c>
      <c r="AN1036" s="115"/>
      <c r="AO1036" s="115"/>
      <c r="AP1036" s="115"/>
      <c r="AQ1036" s="93"/>
      <c r="AR1036" s="93"/>
      <c r="AS1036" s="94"/>
      <c r="AT1036" s="95"/>
      <c r="AU1036" s="79"/>
      <c r="AV1036" s="117"/>
      <c r="AW1036" s="115"/>
      <c r="AX1036" s="106"/>
      <c r="AY1036" s="104"/>
      <c r="AZ1036" s="105"/>
    </row>
    <row r="1037" customHeight="1" spans="1:52">
      <c r="A1037" s="70">
        <v>1038</v>
      </c>
      <c r="B1037" s="204" t="s">
        <v>3549</v>
      </c>
      <c r="C1037" s="70" t="s">
        <v>38</v>
      </c>
      <c r="D1037" s="205" t="s">
        <v>3550</v>
      </c>
      <c r="E1037" s="71" t="s">
        <v>189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3551</v>
      </c>
      <c r="L1037" s="104">
        <f t="shared" si="297"/>
        <v>46197</v>
      </c>
      <c r="M1037" s="105">
        <f ca="1" t="shared" si="298"/>
        <v>-116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99"/>
        <v>0</v>
      </c>
      <c r="Z1037" s="105">
        <f ca="1" t="shared" si="300"/>
        <v>-46313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>
        <f t="shared" si="301"/>
        <v>0</v>
      </c>
      <c r="AM1037" s="105">
        <f ca="1" t="shared" si="302"/>
        <v>-46313</v>
      </c>
      <c r="AN1037" s="115"/>
      <c r="AO1037" s="115"/>
      <c r="AP1037" s="115"/>
      <c r="AQ1037" s="93"/>
      <c r="AR1037" s="93"/>
      <c r="AS1037" s="94"/>
      <c r="AT1037" s="95"/>
      <c r="AU1037" s="79"/>
      <c r="AV1037" s="117"/>
      <c r="AW1037" s="115"/>
      <c r="AX1037" s="106"/>
      <c r="AY1037" s="104"/>
      <c r="AZ1037" s="105"/>
    </row>
    <row r="1038" customHeight="1" spans="1:52">
      <c r="A1038" s="70">
        <v>1039</v>
      </c>
      <c r="B1038" s="108" t="s">
        <v>648</v>
      </c>
      <c r="C1038" s="70" t="s">
        <v>13</v>
      </c>
      <c r="D1038" s="71" t="s">
        <v>3552</v>
      </c>
      <c r="E1038" s="71" t="s">
        <v>3553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3554</v>
      </c>
      <c r="L1038" s="104">
        <f t="shared" si="297"/>
        <v>46197</v>
      </c>
      <c r="M1038" s="105">
        <f ca="1" t="shared" si="298"/>
        <v>-116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99"/>
        <v>0</v>
      </c>
      <c r="Z1038" s="105">
        <f ca="1" t="shared" si="300"/>
        <v>-46313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>
        <f t="shared" si="301"/>
        <v>0</v>
      </c>
      <c r="AM1038" s="105">
        <f ca="1" t="shared" si="302"/>
        <v>-46313</v>
      </c>
      <c r="AN1038" s="115"/>
      <c r="AO1038" s="115"/>
      <c r="AP1038" s="115"/>
      <c r="AQ1038" s="93"/>
      <c r="AR1038" s="93"/>
      <c r="AS1038" s="94"/>
      <c r="AT1038" s="95"/>
      <c r="AU1038" s="79"/>
      <c r="AV1038" s="117"/>
      <c r="AW1038" s="115"/>
      <c r="AX1038" s="106"/>
      <c r="AY1038" s="104"/>
      <c r="AZ1038" s="105"/>
    </row>
    <row r="1039" customHeight="1" spans="1:52">
      <c r="A1039" s="70">
        <v>1040</v>
      </c>
      <c r="B1039" s="70" t="s">
        <v>229</v>
      </c>
      <c r="C1039" s="70" t="s">
        <v>13</v>
      </c>
      <c r="D1039" s="71" t="s">
        <v>3555</v>
      </c>
      <c r="E1039" s="71" t="s">
        <v>126</v>
      </c>
      <c r="F1039" s="72"/>
      <c r="G1039" s="73"/>
      <c r="H1039" s="151"/>
      <c r="I1039" s="102">
        <v>46105</v>
      </c>
      <c r="J1039" s="70">
        <v>3</v>
      </c>
      <c r="K1039" s="106" t="s">
        <v>3556</v>
      </c>
      <c r="L1039" s="104">
        <f t="shared" si="297"/>
        <v>46197</v>
      </c>
      <c r="M1039" s="105">
        <f ca="1" t="shared" si="298"/>
        <v>-116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303">EDATE(V1039,W1039)</f>
        <v>0</v>
      </c>
      <c r="Z1039" s="105">
        <f ca="1" t="shared" ref="Z1039:Z1068" si="304">Y1039-TODAY()</f>
        <v>-46313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>
        <f t="shared" si="301"/>
        <v>0</v>
      </c>
      <c r="AM1039" s="105">
        <f ca="1" t="shared" si="302"/>
        <v>-46313</v>
      </c>
      <c r="AN1039" s="115"/>
      <c r="AO1039" s="115"/>
      <c r="AP1039" s="115"/>
      <c r="AQ1039" s="93"/>
      <c r="AR1039" s="93"/>
      <c r="AS1039" s="94"/>
      <c r="AT1039" s="95"/>
      <c r="AU1039" s="79"/>
      <c r="AV1039" s="117"/>
      <c r="AW1039" s="115"/>
      <c r="AX1039" s="106"/>
      <c r="AY1039" s="104"/>
      <c r="AZ1039" s="105"/>
    </row>
    <row r="1040" customHeight="1" spans="1:52">
      <c r="A1040" s="70">
        <v>1041</v>
      </c>
      <c r="B1040" s="70" t="s">
        <v>644</v>
      </c>
      <c r="C1040" s="70" t="s">
        <v>264</v>
      </c>
      <c r="D1040" s="71" t="s">
        <v>265</v>
      </c>
      <c r="E1040" s="71" t="s">
        <v>266</v>
      </c>
      <c r="F1040" s="72"/>
      <c r="G1040" s="73"/>
      <c r="H1040" s="151"/>
      <c r="I1040" s="102">
        <v>46105</v>
      </c>
      <c r="J1040" s="70" t="s">
        <v>767</v>
      </c>
      <c r="K1040" s="106"/>
      <c r="L1040" s="104" t="e">
        <f t="shared" si="297"/>
        <v>#VALUE!</v>
      </c>
      <c r="M1040" s="105" t="e">
        <f ca="1" t="shared" si="29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303"/>
        <v>0</v>
      </c>
      <c r="Z1040" s="105">
        <f ca="1" t="shared" si="304"/>
        <v>-46313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>
        <f t="shared" si="301"/>
        <v>0</v>
      </c>
      <c r="AM1040" s="105">
        <f ca="1" t="shared" si="302"/>
        <v>-46313</v>
      </c>
      <c r="AN1040" s="115"/>
      <c r="AO1040" s="115"/>
      <c r="AP1040" s="115"/>
      <c r="AQ1040" s="93"/>
      <c r="AR1040" s="93"/>
      <c r="AS1040" s="94"/>
      <c r="AT1040" s="95"/>
      <c r="AU1040" s="79"/>
      <c r="AV1040" s="117"/>
      <c r="AW1040" s="115"/>
      <c r="AX1040" s="106"/>
      <c r="AY1040" s="104"/>
      <c r="AZ1040" s="105"/>
    </row>
    <row r="1041" customHeight="1" spans="1:52">
      <c r="A1041" s="70">
        <v>1042</v>
      </c>
      <c r="B1041" s="70" t="s">
        <v>644</v>
      </c>
      <c r="C1041" s="70" t="s">
        <v>264</v>
      </c>
      <c r="D1041" s="71" t="s">
        <v>746</v>
      </c>
      <c r="E1041" s="71" t="s">
        <v>747</v>
      </c>
      <c r="F1041" s="72"/>
      <c r="G1041" s="73"/>
      <c r="H1041" s="151"/>
      <c r="I1041" s="102">
        <v>46105</v>
      </c>
      <c r="J1041" s="70" t="s">
        <v>767</v>
      </c>
      <c r="K1041" s="106"/>
      <c r="L1041" s="104" t="e">
        <f t="shared" si="297"/>
        <v>#VALUE!</v>
      </c>
      <c r="M1041" s="105" t="e">
        <f ca="1" t="shared" si="298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303"/>
        <v>0</v>
      </c>
      <c r="Z1041" s="105">
        <f ca="1" t="shared" si="304"/>
        <v>-46313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>
        <f t="shared" si="301"/>
        <v>0</v>
      </c>
      <c r="AM1041" s="105">
        <f ca="1" t="shared" si="302"/>
        <v>-46313</v>
      </c>
      <c r="AN1041" s="115"/>
      <c r="AO1041" s="115"/>
      <c r="AP1041" s="115"/>
      <c r="AQ1041" s="93"/>
      <c r="AR1041" s="93"/>
      <c r="AS1041" s="94"/>
      <c r="AT1041" s="95"/>
      <c r="AU1041" s="79"/>
      <c r="AV1041" s="117"/>
      <c r="AW1041" s="115"/>
      <c r="AX1041" s="106"/>
      <c r="AY1041" s="104"/>
      <c r="AZ1041" s="105"/>
    </row>
    <row r="1042" customHeight="1" spans="1:52">
      <c r="A1042" s="70">
        <v>1043</v>
      </c>
      <c r="B1042" s="70" t="s">
        <v>757</v>
      </c>
      <c r="C1042" s="70" t="s">
        <v>264</v>
      </c>
      <c r="D1042" s="71" t="s">
        <v>758</v>
      </c>
      <c r="E1042" s="71" t="s">
        <v>2941</v>
      </c>
      <c r="F1042" s="72"/>
      <c r="G1042" s="73"/>
      <c r="H1042" s="151"/>
      <c r="I1042" s="102">
        <v>46105</v>
      </c>
      <c r="J1042" s="70" t="s">
        <v>767</v>
      </c>
      <c r="K1042" s="106"/>
      <c r="L1042" s="104" t="e">
        <f>EDATE(I1043,J1042)</f>
        <v>#VALUE!</v>
      </c>
      <c r="M1042" s="105" t="e">
        <f ca="1" t="shared" si="29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303"/>
        <v>0</v>
      </c>
      <c r="Z1042" s="105">
        <f ca="1" t="shared" si="304"/>
        <v>-46313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>
        <f t="shared" si="301"/>
        <v>0</v>
      </c>
      <c r="AM1042" s="105">
        <f ca="1" t="shared" si="302"/>
        <v>-46313</v>
      </c>
      <c r="AN1042" s="115"/>
      <c r="AO1042" s="115"/>
      <c r="AP1042" s="115"/>
      <c r="AQ1042" s="93"/>
      <c r="AR1042" s="93"/>
      <c r="AS1042" s="94"/>
      <c r="AT1042" s="95"/>
      <c r="AU1042" s="79"/>
      <c r="AV1042" s="117"/>
      <c r="AW1042" s="115"/>
      <c r="AX1042" s="106"/>
      <c r="AY1042" s="104"/>
      <c r="AZ1042" s="105"/>
    </row>
    <row r="1043" customHeight="1" spans="1:52">
      <c r="A1043" s="70">
        <v>1044</v>
      </c>
      <c r="B1043" s="204" t="s">
        <v>281</v>
      </c>
      <c r="C1043" s="70" t="s">
        <v>264</v>
      </c>
      <c r="D1043" s="205" t="s">
        <v>3557</v>
      </c>
      <c r="E1043" s="71" t="s">
        <v>364</v>
      </c>
      <c r="F1043" s="72"/>
      <c r="G1043" s="73"/>
      <c r="H1043" s="151"/>
      <c r="I1043" s="102">
        <v>46106</v>
      </c>
      <c r="J1043" s="70">
        <v>3</v>
      </c>
      <c r="K1043" s="106" t="s">
        <v>3558</v>
      </c>
      <c r="L1043" s="104">
        <f>EDATE(I1044,J1043)</f>
        <v>46198</v>
      </c>
      <c r="M1043" s="105">
        <f ca="1" t="shared" si="298"/>
        <v>-115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303"/>
        <v>0</v>
      </c>
      <c r="Z1043" s="105">
        <f ca="1" t="shared" si="304"/>
        <v>-46313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>
        <f t="shared" si="301"/>
        <v>0</v>
      </c>
      <c r="AM1043" s="105">
        <f ca="1" t="shared" si="302"/>
        <v>-46313</v>
      </c>
      <c r="AN1043" s="115"/>
      <c r="AO1043" s="115"/>
      <c r="AP1043" s="115"/>
      <c r="AQ1043" s="93"/>
      <c r="AR1043" s="93"/>
      <c r="AS1043" s="94"/>
      <c r="AT1043" s="95"/>
      <c r="AU1043" s="79"/>
      <c r="AV1043" s="117"/>
      <c r="AW1043" s="115"/>
      <c r="AX1043" s="106"/>
      <c r="AY1043" s="104"/>
      <c r="AZ1043" s="105"/>
    </row>
    <row r="1044" customHeight="1" spans="1:52">
      <c r="A1044" s="70">
        <v>1045</v>
      </c>
      <c r="B1044" s="204" t="s">
        <v>281</v>
      </c>
      <c r="C1044" s="70" t="s">
        <v>264</v>
      </c>
      <c r="D1044" s="71" t="s">
        <v>2618</v>
      </c>
      <c r="E1044" s="71" t="s">
        <v>364</v>
      </c>
      <c r="F1044" s="72"/>
      <c r="G1044" s="73"/>
      <c r="H1044" s="151"/>
      <c r="I1044" s="102">
        <v>46106</v>
      </c>
      <c r="J1044" s="70" t="s">
        <v>767</v>
      </c>
      <c r="K1044" s="106"/>
      <c r="L1044" s="104" t="e">
        <f t="shared" si="297"/>
        <v>#VALUE!</v>
      </c>
      <c r="M1044" s="105" t="e">
        <f ca="1" t="shared" si="29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303"/>
        <v>0</v>
      </c>
      <c r="Z1044" s="105">
        <f ca="1" t="shared" si="304"/>
        <v>-46313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>
        <f t="shared" si="301"/>
        <v>0</v>
      </c>
      <c r="AM1044" s="105">
        <f ca="1" t="shared" si="302"/>
        <v>-46313</v>
      </c>
      <c r="AN1044" s="115"/>
      <c r="AO1044" s="115"/>
      <c r="AP1044" s="115"/>
      <c r="AQ1044" s="93"/>
      <c r="AR1044" s="93"/>
      <c r="AS1044" s="94"/>
      <c r="AT1044" s="95"/>
      <c r="AU1044" s="79"/>
      <c r="AV1044" s="117"/>
      <c r="AW1044" s="115"/>
      <c r="AX1044" s="106"/>
      <c r="AY1044" s="104"/>
      <c r="AZ1044" s="105"/>
    </row>
    <row r="1045" customHeight="1" spans="1:52">
      <c r="A1045" s="70">
        <v>1046</v>
      </c>
      <c r="B1045" s="70" t="s">
        <v>263</v>
      </c>
      <c r="C1045" s="70" t="s">
        <v>264</v>
      </c>
      <c r="D1045" s="71" t="s">
        <v>265</v>
      </c>
      <c r="E1045" s="71" t="s">
        <v>266</v>
      </c>
      <c r="F1045" s="72"/>
      <c r="G1045" s="73"/>
      <c r="H1045" s="151"/>
      <c r="I1045" s="102">
        <v>46106</v>
      </c>
      <c r="J1045" s="70" t="s">
        <v>767</v>
      </c>
      <c r="K1045" s="106"/>
      <c r="L1045" s="104" t="e">
        <f t="shared" si="297"/>
        <v>#VALUE!</v>
      </c>
      <c r="M1045" s="105" t="e">
        <f ca="1" t="shared" si="29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303"/>
        <v>0</v>
      </c>
      <c r="Z1045" s="105">
        <f ca="1" t="shared" si="304"/>
        <v>-46313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>
        <f t="shared" si="301"/>
        <v>0</v>
      </c>
      <c r="AM1045" s="105">
        <f ca="1" t="shared" si="302"/>
        <v>-46313</v>
      </c>
      <c r="AN1045" s="115"/>
      <c r="AO1045" s="115"/>
      <c r="AP1045" s="115"/>
      <c r="AQ1045" s="93"/>
      <c r="AR1045" s="93"/>
      <c r="AS1045" s="94"/>
      <c r="AT1045" s="95"/>
      <c r="AU1045" s="79"/>
      <c r="AV1045" s="117"/>
      <c r="AW1045" s="115"/>
      <c r="AX1045" s="106"/>
      <c r="AY1045" s="104"/>
      <c r="AZ1045" s="105"/>
    </row>
    <row r="1046" customHeight="1" spans="1:52">
      <c r="A1046" s="70">
        <v>1047</v>
      </c>
      <c r="B1046" s="70" t="s">
        <v>270</v>
      </c>
      <c r="C1046" s="70" t="s">
        <v>264</v>
      </c>
      <c r="D1046" s="71" t="s">
        <v>958</v>
      </c>
      <c r="E1046" s="71" t="s">
        <v>1232</v>
      </c>
      <c r="F1046" s="72"/>
      <c r="G1046" s="73"/>
      <c r="H1046" s="151"/>
      <c r="I1046" s="102">
        <v>46106</v>
      </c>
      <c r="J1046" s="70" t="s">
        <v>767</v>
      </c>
      <c r="K1046" s="106"/>
      <c r="L1046" s="104" t="e">
        <f t="shared" si="297"/>
        <v>#VALUE!</v>
      </c>
      <c r="M1046" s="105" t="e">
        <f ca="1" t="shared" si="29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303"/>
        <v>0</v>
      </c>
      <c r="Z1046" s="105">
        <f ca="1" t="shared" si="304"/>
        <v>-46313</v>
      </c>
      <c r="AA1046" s="70"/>
      <c r="AB1046" s="70"/>
      <c r="AC1046" s="70"/>
      <c r="AD1046" s="71"/>
      <c r="AE1046" s="71"/>
      <c r="AF1046" s="72"/>
      <c r="AG1046" s="73"/>
      <c r="AH1046" s="79"/>
      <c r="AI1046" s="102"/>
      <c r="AJ1046" s="70"/>
      <c r="AK1046" s="103"/>
      <c r="AL1046" s="104">
        <f t="shared" si="301"/>
        <v>0</v>
      </c>
      <c r="AM1046" s="105">
        <f ca="1" t="shared" si="302"/>
        <v>-46313</v>
      </c>
      <c r="AN1046" s="115"/>
      <c r="AO1046" s="115"/>
      <c r="AP1046" s="115"/>
      <c r="AQ1046" s="93"/>
      <c r="AR1046" s="93"/>
      <c r="AS1046" s="94"/>
      <c r="AT1046" s="95"/>
      <c r="AU1046" s="79"/>
      <c r="AV1046" s="117"/>
      <c r="AW1046" s="115"/>
      <c r="AX1046" s="106"/>
      <c r="AY1046" s="104"/>
      <c r="AZ1046" s="105"/>
    </row>
    <row r="1047" customHeight="1" spans="1:52">
      <c r="A1047" s="70">
        <v>1048</v>
      </c>
      <c r="B1047" s="70" t="s">
        <v>366</v>
      </c>
      <c r="C1047" s="70" t="s">
        <v>264</v>
      </c>
      <c r="D1047" s="71" t="s">
        <v>367</v>
      </c>
      <c r="E1047" s="71" t="s">
        <v>368</v>
      </c>
      <c r="F1047" s="72"/>
      <c r="G1047" s="73"/>
      <c r="H1047" s="151"/>
      <c r="I1047" s="102">
        <v>46106</v>
      </c>
      <c r="J1047" s="70" t="s">
        <v>767</v>
      </c>
      <c r="K1047" s="106"/>
      <c r="L1047" s="104" t="e">
        <f t="shared" si="297"/>
        <v>#VALUE!</v>
      </c>
      <c r="M1047" s="105" t="e">
        <f ca="1" t="shared" si="29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303"/>
        <v>0</v>
      </c>
      <c r="Z1047" s="105">
        <f ca="1" t="shared" si="304"/>
        <v>-46313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>
        <f t="shared" si="301"/>
        <v>0</v>
      </c>
      <c r="AM1047" s="105">
        <f ca="1" t="shared" si="302"/>
        <v>-46313</v>
      </c>
      <c r="AN1047" s="115"/>
      <c r="AO1047" s="115"/>
      <c r="AP1047" s="115"/>
      <c r="AQ1047" s="93"/>
      <c r="AR1047" s="93"/>
      <c r="AS1047" s="94"/>
      <c r="AT1047" s="95"/>
      <c r="AU1047" s="79"/>
      <c r="AV1047" s="117"/>
      <c r="AW1047" s="115"/>
      <c r="AX1047" s="106"/>
      <c r="AY1047" s="104"/>
      <c r="AZ1047" s="105"/>
    </row>
    <row r="1048" customHeight="1" spans="1:52">
      <c r="A1048" s="70">
        <v>1049</v>
      </c>
      <c r="B1048" s="70" t="s">
        <v>3559</v>
      </c>
      <c r="C1048" s="70" t="s">
        <v>264</v>
      </c>
      <c r="D1048" s="71" t="s">
        <v>869</v>
      </c>
      <c r="E1048" s="71" t="s">
        <v>870</v>
      </c>
      <c r="F1048" s="72"/>
      <c r="G1048" s="73"/>
      <c r="H1048" s="151"/>
      <c r="I1048" s="102">
        <v>46106</v>
      </c>
      <c r="J1048" s="70">
        <v>3</v>
      </c>
      <c r="K1048" s="106" t="s">
        <v>3560</v>
      </c>
      <c r="L1048" s="104">
        <f t="shared" si="297"/>
        <v>46198</v>
      </c>
      <c r="M1048" s="105">
        <f ca="1" t="shared" si="298"/>
        <v>-115</v>
      </c>
      <c r="N1048" s="70"/>
      <c r="O1048" s="70" t="s">
        <v>3559</v>
      </c>
      <c r="P1048" s="70" t="s">
        <v>264</v>
      </c>
      <c r="Q1048" s="71" t="s">
        <v>869</v>
      </c>
      <c r="R1048" s="71" t="s">
        <v>870</v>
      </c>
      <c r="S1048" s="72"/>
      <c r="T1048" s="73"/>
      <c r="U1048" s="151"/>
      <c r="V1048" s="102">
        <v>46208</v>
      </c>
      <c r="W1048" s="70">
        <v>3</v>
      </c>
      <c r="X1048" s="103" t="s">
        <v>3561</v>
      </c>
      <c r="Y1048" s="104">
        <f t="shared" si="303"/>
        <v>46300</v>
      </c>
      <c r="Z1048" s="105">
        <f ca="1" t="shared" si="304"/>
        <v>-13</v>
      </c>
      <c r="AA1048" s="70"/>
      <c r="AB1048" s="70" t="s">
        <v>3559</v>
      </c>
      <c r="AC1048" s="70" t="s">
        <v>264</v>
      </c>
      <c r="AD1048" s="71" t="s">
        <v>869</v>
      </c>
      <c r="AE1048" s="71" t="s">
        <v>870</v>
      </c>
      <c r="AF1048" s="72"/>
      <c r="AG1048" s="73"/>
      <c r="AH1048" s="151"/>
      <c r="AI1048" s="102">
        <v>46308</v>
      </c>
      <c r="AJ1048" s="70">
        <v>3</v>
      </c>
      <c r="AK1048" s="103"/>
      <c r="AL1048" s="104">
        <f t="shared" si="301"/>
        <v>46400</v>
      </c>
      <c r="AM1048" s="105">
        <f ca="1" t="shared" si="302"/>
        <v>87</v>
      </c>
      <c r="AN1048" s="115"/>
      <c r="AO1048" s="115"/>
      <c r="AP1048" s="115"/>
      <c r="AQ1048" s="93"/>
      <c r="AR1048" s="93"/>
      <c r="AS1048" s="94"/>
      <c r="AT1048" s="95"/>
      <c r="AU1048" s="79"/>
      <c r="AV1048" s="117"/>
      <c r="AW1048" s="115"/>
      <c r="AX1048" s="106"/>
      <c r="AY1048" s="104"/>
      <c r="AZ1048" s="105"/>
    </row>
    <row r="1049" customHeight="1" spans="1:52">
      <c r="A1049" s="70">
        <v>1050</v>
      </c>
      <c r="B1049" s="70" t="s">
        <v>373</v>
      </c>
      <c r="C1049" s="70" t="s">
        <v>374</v>
      </c>
      <c r="D1049" s="71" t="s">
        <v>3562</v>
      </c>
      <c r="E1049" s="71" t="s">
        <v>376</v>
      </c>
      <c r="F1049" s="72"/>
      <c r="G1049" s="73"/>
      <c r="H1049" s="151"/>
      <c r="I1049" s="102">
        <v>46106</v>
      </c>
      <c r="J1049" s="70">
        <v>3</v>
      </c>
      <c r="K1049" s="106" t="s">
        <v>3563</v>
      </c>
      <c r="L1049" s="104">
        <f t="shared" si="297"/>
        <v>46198</v>
      </c>
      <c r="M1049" s="105">
        <f ca="1" t="shared" si="298"/>
        <v>-115</v>
      </c>
      <c r="N1049" s="70"/>
      <c r="O1049" s="70" t="s">
        <v>373</v>
      </c>
      <c r="P1049" s="70" t="s">
        <v>374</v>
      </c>
      <c r="Q1049" s="71" t="s">
        <v>3562</v>
      </c>
      <c r="R1049" s="71" t="s">
        <v>376</v>
      </c>
      <c r="S1049" s="72"/>
      <c r="T1049" s="73"/>
      <c r="U1049" s="151"/>
      <c r="V1049" s="102">
        <v>46305</v>
      </c>
      <c r="W1049" s="70">
        <v>3</v>
      </c>
      <c r="X1049" s="103"/>
      <c r="Y1049" s="104">
        <f t="shared" si="303"/>
        <v>46397</v>
      </c>
      <c r="Z1049" s="105">
        <f ca="1" t="shared" si="304"/>
        <v>84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>
        <f t="shared" si="301"/>
        <v>0</v>
      </c>
      <c r="AM1049" s="105">
        <f ca="1" t="shared" si="302"/>
        <v>-46313</v>
      </c>
      <c r="AN1049" s="115"/>
      <c r="AO1049" s="115"/>
      <c r="AP1049" s="115"/>
      <c r="AQ1049" s="93"/>
      <c r="AR1049" s="93"/>
      <c r="AS1049" s="94"/>
      <c r="AT1049" s="95"/>
      <c r="AU1049" s="79"/>
      <c r="AV1049" s="117"/>
      <c r="AW1049" s="115"/>
      <c r="AX1049" s="106"/>
      <c r="AY1049" s="104"/>
      <c r="AZ1049" s="105"/>
    </row>
    <row r="1050" customHeight="1" spans="1:52">
      <c r="A1050" s="70">
        <v>1051</v>
      </c>
      <c r="B1050" s="70" t="s">
        <v>373</v>
      </c>
      <c r="C1050" s="70" t="s">
        <v>374</v>
      </c>
      <c r="D1050" s="71" t="s">
        <v>3564</v>
      </c>
      <c r="E1050" s="71" t="s">
        <v>376</v>
      </c>
      <c r="F1050" s="72"/>
      <c r="G1050" s="73"/>
      <c r="H1050" s="151"/>
      <c r="I1050" s="102">
        <v>46106</v>
      </c>
      <c r="J1050" s="70">
        <v>3</v>
      </c>
      <c r="K1050" s="106" t="s">
        <v>3565</v>
      </c>
      <c r="L1050" s="104">
        <f t="shared" si="297"/>
        <v>46198</v>
      </c>
      <c r="M1050" s="105">
        <f ca="1" t="shared" si="298"/>
        <v>-115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303"/>
        <v>0</v>
      </c>
      <c r="Z1050" s="105">
        <f ca="1" t="shared" si="304"/>
        <v>-46313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>
        <f t="shared" si="301"/>
        <v>0</v>
      </c>
      <c r="AM1050" s="105">
        <f ca="1" t="shared" si="302"/>
        <v>-46313</v>
      </c>
      <c r="AN1050" s="115"/>
      <c r="AO1050" s="115"/>
      <c r="AP1050" s="115"/>
      <c r="AQ1050" s="93"/>
      <c r="AR1050" s="93"/>
      <c r="AS1050" s="94"/>
      <c r="AT1050" s="95"/>
      <c r="AU1050" s="79"/>
      <c r="AV1050" s="117"/>
      <c r="AW1050" s="115"/>
      <c r="AX1050" s="106"/>
      <c r="AY1050" s="104"/>
      <c r="AZ1050" s="105"/>
    </row>
    <row r="1051" customHeight="1" spans="1:52">
      <c r="A1051" s="70">
        <v>1052</v>
      </c>
      <c r="B1051" s="70" t="s">
        <v>373</v>
      </c>
      <c r="C1051" s="70" t="s">
        <v>374</v>
      </c>
      <c r="D1051" s="71" t="s">
        <v>3566</v>
      </c>
      <c r="E1051" s="71" t="s">
        <v>381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3567</v>
      </c>
      <c r="L1051" s="104">
        <f t="shared" si="297"/>
        <v>46198</v>
      </c>
      <c r="M1051" s="105">
        <f ca="1" t="shared" si="298"/>
        <v>-115</v>
      </c>
      <c r="N1051" s="70"/>
      <c r="O1051" s="70" t="s">
        <v>373</v>
      </c>
      <c r="P1051" s="70" t="s">
        <v>374</v>
      </c>
      <c r="Q1051" s="71" t="s">
        <v>3566</v>
      </c>
      <c r="R1051" s="71" t="s">
        <v>381</v>
      </c>
      <c r="S1051" s="72"/>
      <c r="T1051" s="73"/>
      <c r="U1051" s="74" t="s">
        <v>16</v>
      </c>
      <c r="V1051" s="102">
        <v>46306</v>
      </c>
      <c r="W1051" s="70">
        <v>3</v>
      </c>
      <c r="X1051" s="103"/>
      <c r="Y1051" s="104">
        <f t="shared" si="303"/>
        <v>46398</v>
      </c>
      <c r="Z1051" s="105">
        <f ca="1" t="shared" si="304"/>
        <v>85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>
        <f t="shared" si="301"/>
        <v>0</v>
      </c>
      <c r="AM1051" s="105">
        <f ca="1" t="shared" si="302"/>
        <v>-46313</v>
      </c>
      <c r="AN1051" s="115"/>
      <c r="AO1051" s="115"/>
      <c r="AP1051" s="115"/>
      <c r="AQ1051" s="93"/>
      <c r="AR1051" s="93"/>
      <c r="AS1051" s="94"/>
      <c r="AT1051" s="95"/>
      <c r="AU1051" s="79"/>
      <c r="AV1051" s="117"/>
      <c r="AW1051" s="115"/>
      <c r="AX1051" s="106"/>
      <c r="AY1051" s="104"/>
      <c r="AZ1051" s="105"/>
    </row>
    <row r="1052" customHeight="1" spans="1:52">
      <c r="A1052" s="70">
        <v>1053</v>
      </c>
      <c r="B1052" s="70" t="s">
        <v>373</v>
      </c>
      <c r="C1052" s="70" t="s">
        <v>374</v>
      </c>
      <c r="D1052" s="71" t="s">
        <v>3568</v>
      </c>
      <c r="E1052" s="71" t="s">
        <v>381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3569</v>
      </c>
      <c r="L1052" s="104">
        <f t="shared" si="297"/>
        <v>46198</v>
      </c>
      <c r="M1052" s="105">
        <f ca="1" t="shared" si="298"/>
        <v>-115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303"/>
        <v>0</v>
      </c>
      <c r="Z1052" s="105">
        <f ca="1" t="shared" si="304"/>
        <v>-46313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>
        <f t="shared" si="301"/>
        <v>0</v>
      </c>
      <c r="AM1052" s="105">
        <f ca="1" t="shared" si="302"/>
        <v>-46313</v>
      </c>
      <c r="AN1052" s="115"/>
      <c r="AO1052" s="115"/>
      <c r="AP1052" s="115"/>
      <c r="AQ1052" s="93"/>
      <c r="AR1052" s="93"/>
      <c r="AS1052" s="94"/>
      <c r="AT1052" s="95"/>
      <c r="AU1052" s="79"/>
      <c r="AV1052" s="117"/>
      <c r="AW1052" s="115"/>
      <c r="AX1052" s="106"/>
      <c r="AY1052" s="104"/>
      <c r="AZ1052" s="105"/>
    </row>
    <row r="1053" customHeight="1" spans="1:52">
      <c r="A1053" s="70">
        <v>1054</v>
      </c>
      <c r="B1053" s="70" t="s">
        <v>2191</v>
      </c>
      <c r="C1053" s="70" t="s">
        <v>38</v>
      </c>
      <c r="D1053" s="71" t="s">
        <v>3570</v>
      </c>
      <c r="E1053" s="71" t="s">
        <v>189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3571</v>
      </c>
      <c r="L1053" s="104">
        <f t="shared" si="297"/>
        <v>46199</v>
      </c>
      <c r="M1053" s="105">
        <f ca="1" t="shared" si="298"/>
        <v>-114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303"/>
        <v>0</v>
      </c>
      <c r="Z1053" s="105">
        <f ca="1" t="shared" si="304"/>
        <v>-46313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>
        <f t="shared" si="301"/>
        <v>0</v>
      </c>
      <c r="AM1053" s="105">
        <f ca="1" t="shared" si="302"/>
        <v>-46313</v>
      </c>
      <c r="AN1053" s="115"/>
      <c r="AO1053" s="115"/>
      <c r="AP1053" s="115"/>
      <c r="AQ1053" s="93"/>
      <c r="AR1053" s="93"/>
      <c r="AS1053" s="94"/>
      <c r="AT1053" s="95"/>
      <c r="AU1053" s="79"/>
      <c r="AV1053" s="117"/>
      <c r="AW1053" s="115"/>
      <c r="AX1053" s="106"/>
      <c r="AY1053" s="104"/>
      <c r="AZ1053" s="105"/>
    </row>
    <row r="1054" customHeight="1" spans="1:52">
      <c r="A1054" s="70">
        <v>1055</v>
      </c>
      <c r="B1054" s="70" t="s">
        <v>134</v>
      </c>
      <c r="C1054" s="70" t="s">
        <v>38</v>
      </c>
      <c r="D1054" s="71" t="s">
        <v>3572</v>
      </c>
      <c r="E1054" s="71" t="s">
        <v>3573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3574</v>
      </c>
      <c r="L1054" s="104">
        <f t="shared" si="297"/>
        <v>46199</v>
      </c>
      <c r="M1054" s="105">
        <f ca="1" t="shared" si="298"/>
        <v>-114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303"/>
        <v>0</v>
      </c>
      <c r="Z1054" s="105">
        <f ca="1" t="shared" si="304"/>
        <v>-46313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>
        <f t="shared" si="301"/>
        <v>0</v>
      </c>
      <c r="AM1054" s="105">
        <f ca="1" t="shared" si="302"/>
        <v>-46313</v>
      </c>
      <c r="AN1054" s="115"/>
      <c r="AO1054" s="115"/>
      <c r="AP1054" s="115"/>
      <c r="AQ1054" s="93"/>
      <c r="AR1054" s="93"/>
      <c r="AS1054" s="94"/>
      <c r="AT1054" s="95"/>
      <c r="AU1054" s="79"/>
      <c r="AV1054" s="117"/>
      <c r="AW1054" s="115"/>
      <c r="AX1054" s="106"/>
      <c r="AY1054" s="104"/>
      <c r="AZ1054" s="105"/>
    </row>
    <row r="1055" customHeight="1" spans="1:52">
      <c r="A1055" s="70">
        <v>1056</v>
      </c>
      <c r="B1055" s="70" t="s">
        <v>134</v>
      </c>
      <c r="C1055" s="70" t="s">
        <v>38</v>
      </c>
      <c r="D1055" s="71" t="s">
        <v>3575</v>
      </c>
      <c r="E1055" s="71" t="s">
        <v>51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3576</v>
      </c>
      <c r="L1055" s="104">
        <f t="shared" si="297"/>
        <v>46199</v>
      </c>
      <c r="M1055" s="105">
        <f ca="1" t="shared" si="298"/>
        <v>-114</v>
      </c>
      <c r="N1055" s="70"/>
      <c r="O1055" s="70" t="s">
        <v>134</v>
      </c>
      <c r="P1055" s="70" t="s">
        <v>38</v>
      </c>
      <c r="Q1055" s="71" t="s">
        <v>3575</v>
      </c>
      <c r="R1055" s="71" t="s">
        <v>51</v>
      </c>
      <c r="S1055" s="72"/>
      <c r="T1055" s="73"/>
      <c r="U1055" s="75"/>
      <c r="V1055" s="102">
        <v>46215</v>
      </c>
      <c r="W1055" s="70">
        <v>3</v>
      </c>
      <c r="X1055" s="103" t="s">
        <v>3577</v>
      </c>
      <c r="Y1055" s="104">
        <f t="shared" si="303"/>
        <v>46307</v>
      </c>
      <c r="Z1055" s="105">
        <f ca="1" t="shared" si="304"/>
        <v>-6</v>
      </c>
      <c r="AA1055" s="70"/>
      <c r="AB1055" s="70" t="s">
        <v>134</v>
      </c>
      <c r="AC1055" s="70" t="s">
        <v>38</v>
      </c>
      <c r="AD1055" s="71" t="s">
        <v>3575</v>
      </c>
      <c r="AE1055" s="71" t="s">
        <v>51</v>
      </c>
      <c r="AF1055" s="72"/>
      <c r="AG1055" s="73"/>
      <c r="AH1055" s="75"/>
      <c r="AI1055" s="102">
        <v>46305</v>
      </c>
      <c r="AJ1055" s="70">
        <v>3</v>
      </c>
      <c r="AK1055" s="103"/>
      <c r="AL1055" s="104">
        <f t="shared" si="301"/>
        <v>46397</v>
      </c>
      <c r="AM1055" s="105">
        <f ca="1" t="shared" si="302"/>
        <v>84</v>
      </c>
      <c r="AN1055" s="115"/>
      <c r="AO1055" s="115"/>
      <c r="AP1055" s="115"/>
      <c r="AQ1055" s="93"/>
      <c r="AR1055" s="93"/>
      <c r="AS1055" s="94"/>
      <c r="AT1055" s="95"/>
      <c r="AU1055" s="79"/>
      <c r="AV1055" s="117"/>
      <c r="AW1055" s="115"/>
      <c r="AX1055" s="106"/>
      <c r="AY1055" s="104"/>
      <c r="AZ1055" s="105"/>
    </row>
    <row r="1056" customHeight="1" spans="1:52">
      <c r="A1056" s="70">
        <v>1057</v>
      </c>
      <c r="B1056" s="108" t="s">
        <v>2575</v>
      </c>
      <c r="C1056" s="70" t="s">
        <v>13</v>
      </c>
      <c r="D1056" s="71" t="s">
        <v>3578</v>
      </c>
      <c r="E1056" s="71" t="s">
        <v>126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3579</v>
      </c>
      <c r="L1056" s="104">
        <f t="shared" si="297"/>
        <v>46199</v>
      </c>
      <c r="M1056" s="105">
        <f ca="1" t="shared" si="298"/>
        <v>-114</v>
      </c>
      <c r="N1056" s="70"/>
      <c r="O1056" s="70"/>
      <c r="P1056" s="70"/>
      <c r="Q1056" s="71"/>
      <c r="R1056" s="71"/>
      <c r="S1056" s="72"/>
      <c r="T1056" s="73"/>
      <c r="U1056" s="192"/>
      <c r="V1056" s="102"/>
      <c r="W1056" s="70"/>
      <c r="X1056" s="103"/>
      <c r="Y1056" s="104">
        <f t="shared" si="303"/>
        <v>0</v>
      </c>
      <c r="Z1056" s="105">
        <f ca="1" t="shared" si="304"/>
        <v>-46313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>
        <f t="shared" si="301"/>
        <v>0</v>
      </c>
      <c r="AM1056" s="105">
        <f ca="1" t="shared" si="302"/>
        <v>-46313</v>
      </c>
      <c r="AN1056" s="115"/>
      <c r="AO1056" s="115"/>
      <c r="AP1056" s="115"/>
      <c r="AQ1056" s="93"/>
      <c r="AR1056" s="93"/>
      <c r="AS1056" s="94"/>
      <c r="AT1056" s="95"/>
      <c r="AU1056" s="79"/>
      <c r="AV1056" s="117"/>
      <c r="AW1056" s="115"/>
      <c r="AX1056" s="106"/>
      <c r="AY1056" s="104"/>
      <c r="AZ1056" s="105"/>
    </row>
    <row r="1057" customHeight="1" spans="1:52">
      <c r="A1057" s="70">
        <v>1058</v>
      </c>
      <c r="B1057" s="70" t="s">
        <v>844</v>
      </c>
      <c r="C1057" s="70" t="s">
        <v>13</v>
      </c>
      <c r="D1057" s="71" t="s">
        <v>3580</v>
      </c>
      <c r="E1057" s="71" t="s">
        <v>76</v>
      </c>
      <c r="F1057" s="72"/>
      <c r="G1057" s="73"/>
      <c r="H1057" s="212"/>
      <c r="I1057" s="102">
        <v>46107</v>
      </c>
      <c r="J1057" s="70">
        <v>3</v>
      </c>
      <c r="K1057" s="106" t="s">
        <v>3581</v>
      </c>
      <c r="L1057" s="104">
        <f t="shared" si="297"/>
        <v>46199</v>
      </c>
      <c r="M1057" s="105">
        <f ca="1" t="shared" si="298"/>
        <v>-114</v>
      </c>
      <c r="N1057" s="70"/>
      <c r="O1057" s="70"/>
      <c r="P1057" s="70"/>
      <c r="Q1057" s="71"/>
      <c r="R1057" s="71"/>
      <c r="S1057" s="72"/>
      <c r="T1057" s="73"/>
      <c r="U1057" s="192"/>
      <c r="V1057" s="102"/>
      <c r="W1057" s="70"/>
      <c r="X1057" s="103"/>
      <c r="Y1057" s="104">
        <f t="shared" si="303"/>
        <v>0</v>
      </c>
      <c r="Z1057" s="105">
        <f ca="1" t="shared" si="304"/>
        <v>-46313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5"/>
      <c r="AO1057" s="115"/>
      <c r="AP1057" s="115"/>
      <c r="AQ1057" s="93"/>
      <c r="AR1057" s="93"/>
      <c r="AS1057" s="94"/>
      <c r="AT1057" s="95"/>
      <c r="AU1057" s="79"/>
      <c r="AV1057" s="117"/>
      <c r="AW1057" s="115"/>
      <c r="AX1057" s="106"/>
      <c r="AY1057" s="104"/>
      <c r="AZ1057" s="105"/>
    </row>
    <row r="1058" customHeight="1" spans="1:52">
      <c r="A1058" s="70">
        <v>1059</v>
      </c>
      <c r="B1058" s="70" t="s">
        <v>1908</v>
      </c>
      <c r="C1058" s="70" t="s">
        <v>13</v>
      </c>
      <c r="D1058" s="71" t="s">
        <v>2845</v>
      </c>
      <c r="E1058" s="71" t="s">
        <v>2846</v>
      </c>
      <c r="F1058" s="72"/>
      <c r="G1058" s="73"/>
      <c r="H1058" s="212"/>
      <c r="I1058" s="102">
        <v>46107</v>
      </c>
      <c r="J1058" s="70" t="s">
        <v>767</v>
      </c>
      <c r="K1058" s="106"/>
      <c r="L1058" s="104" t="e">
        <f t="shared" si="297"/>
        <v>#VALUE!</v>
      </c>
      <c r="M1058" s="105" t="e">
        <f ca="1" t="shared" si="298"/>
        <v>#VALUE!</v>
      </c>
      <c r="N1058" s="70"/>
      <c r="O1058" s="70"/>
      <c r="P1058" s="70"/>
      <c r="Q1058" s="71"/>
      <c r="R1058" s="71"/>
      <c r="S1058" s="72"/>
      <c r="T1058" s="73"/>
      <c r="U1058" s="192"/>
      <c r="V1058" s="102"/>
      <c r="W1058" s="70"/>
      <c r="X1058" s="103"/>
      <c r="Y1058" s="104">
        <f t="shared" si="303"/>
        <v>0</v>
      </c>
      <c r="Z1058" s="105">
        <f ca="1" t="shared" si="304"/>
        <v>-46313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5"/>
      <c r="AO1058" s="115"/>
      <c r="AP1058" s="115"/>
      <c r="AQ1058" s="93"/>
      <c r="AR1058" s="93"/>
      <c r="AS1058" s="94"/>
      <c r="AT1058" s="95"/>
      <c r="AU1058" s="79"/>
      <c r="AV1058" s="117"/>
      <c r="AW1058" s="115"/>
      <c r="AX1058" s="106"/>
      <c r="AY1058" s="104"/>
      <c r="AZ1058" s="105"/>
    </row>
    <row r="1059" customHeight="1" spans="1:52">
      <c r="A1059" s="70">
        <v>1060</v>
      </c>
      <c r="B1059" s="108" t="s">
        <v>169</v>
      </c>
      <c r="C1059" s="70" t="s">
        <v>38</v>
      </c>
      <c r="D1059" s="205" t="s">
        <v>170</v>
      </c>
      <c r="E1059" s="71" t="s">
        <v>3230</v>
      </c>
      <c r="F1059" s="72"/>
      <c r="G1059" s="73"/>
      <c r="H1059" s="212"/>
      <c r="I1059" s="102">
        <v>46107</v>
      </c>
      <c r="J1059" s="70" t="s">
        <v>767</v>
      </c>
      <c r="K1059" s="106"/>
      <c r="L1059" s="104" t="e">
        <f t="shared" si="297"/>
        <v>#VALUE!</v>
      </c>
      <c r="M1059" s="105" t="e">
        <f ca="1" t="shared" si="29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303"/>
        <v>0</v>
      </c>
      <c r="Z1059" s="105">
        <f ca="1" t="shared" si="304"/>
        <v>-46313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5"/>
      <c r="AO1059" s="115"/>
      <c r="AP1059" s="115"/>
      <c r="AQ1059" s="93"/>
      <c r="AR1059" s="93"/>
      <c r="AS1059" s="94"/>
      <c r="AT1059" s="95"/>
      <c r="AU1059" s="79"/>
      <c r="AV1059" s="117"/>
      <c r="AW1059" s="115"/>
      <c r="AX1059" s="106"/>
      <c r="AY1059" s="104"/>
      <c r="AZ1059" s="105"/>
    </row>
    <row r="1060" customHeight="1" spans="1:52">
      <c r="A1060" s="70">
        <v>1061</v>
      </c>
      <c r="B1060" s="108" t="s">
        <v>169</v>
      </c>
      <c r="C1060" s="70" t="s">
        <v>38</v>
      </c>
      <c r="D1060" s="205" t="s">
        <v>3229</v>
      </c>
      <c r="E1060" s="71" t="s">
        <v>3230</v>
      </c>
      <c r="F1060" s="72"/>
      <c r="G1060" s="73"/>
      <c r="H1060" s="212"/>
      <c r="I1060" s="102">
        <v>46107</v>
      </c>
      <c r="J1060" s="70" t="s">
        <v>767</v>
      </c>
      <c r="K1060" s="106"/>
      <c r="L1060" s="104" t="e">
        <f t="shared" si="297"/>
        <v>#VALUE!</v>
      </c>
      <c r="M1060" s="105" t="e">
        <f ca="1" t="shared" si="29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303"/>
        <v>0</v>
      </c>
      <c r="Z1060" s="105">
        <f ca="1" t="shared" si="304"/>
        <v>-46313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5"/>
      <c r="AO1060" s="115"/>
      <c r="AP1060" s="115"/>
      <c r="AQ1060" s="93"/>
      <c r="AR1060" s="93"/>
      <c r="AS1060" s="94"/>
      <c r="AT1060" s="95"/>
      <c r="AU1060" s="79"/>
      <c r="AV1060" s="117"/>
      <c r="AW1060" s="115"/>
      <c r="AX1060" s="106"/>
      <c r="AY1060" s="104"/>
      <c r="AZ1060" s="105"/>
    </row>
    <row r="1061" customHeight="1" spans="1:52">
      <c r="A1061" s="70">
        <v>1062</v>
      </c>
      <c r="B1061" s="108" t="s">
        <v>782</v>
      </c>
      <c r="C1061" s="70" t="s">
        <v>374</v>
      </c>
      <c r="D1061" s="205" t="s">
        <v>3582</v>
      </c>
      <c r="E1061" s="71" t="s">
        <v>548</v>
      </c>
      <c r="F1061" s="72"/>
      <c r="G1061" s="73"/>
      <c r="H1061" s="192" t="s">
        <v>16</v>
      </c>
      <c r="I1061" s="102">
        <v>46107</v>
      </c>
      <c r="J1061" s="70">
        <v>3</v>
      </c>
      <c r="K1061" s="106" t="s">
        <v>3583</v>
      </c>
      <c r="L1061" s="104">
        <f t="shared" si="297"/>
        <v>46199</v>
      </c>
      <c r="M1061" s="105">
        <f ca="1" t="shared" si="298"/>
        <v>-114</v>
      </c>
      <c r="N1061" s="70"/>
      <c r="O1061" s="108" t="s">
        <v>782</v>
      </c>
      <c r="P1061" s="70" t="s">
        <v>374</v>
      </c>
      <c r="Q1061" s="205" t="s">
        <v>3582</v>
      </c>
      <c r="R1061" s="71" t="s">
        <v>548</v>
      </c>
      <c r="S1061" s="72"/>
      <c r="T1061" s="73"/>
      <c r="U1061" s="192" t="s">
        <v>16</v>
      </c>
      <c r="V1061" s="102">
        <v>46185</v>
      </c>
      <c r="W1061" s="70">
        <v>3</v>
      </c>
      <c r="X1061" s="103" t="s">
        <v>3584</v>
      </c>
      <c r="Y1061" s="104">
        <f t="shared" si="303"/>
        <v>46277</v>
      </c>
      <c r="Z1061" s="105">
        <f ca="1" t="shared" si="304"/>
        <v>-36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5"/>
      <c r="AO1061" s="115"/>
      <c r="AP1061" s="115"/>
      <c r="AQ1061" s="93"/>
      <c r="AR1061" s="93"/>
      <c r="AS1061" s="94"/>
      <c r="AT1061" s="95"/>
      <c r="AU1061" s="79"/>
      <c r="AV1061" s="117"/>
      <c r="AW1061" s="115"/>
      <c r="AX1061" s="106"/>
      <c r="AY1061" s="104"/>
      <c r="AZ1061" s="105"/>
    </row>
    <row r="1062" customHeight="1" spans="1:52">
      <c r="A1062" s="70">
        <v>1063</v>
      </c>
      <c r="B1062" s="213" t="s">
        <v>844</v>
      </c>
      <c r="C1062" s="70" t="s">
        <v>13</v>
      </c>
      <c r="D1062" s="205" t="s">
        <v>3585</v>
      </c>
      <c r="E1062" s="93" t="s">
        <v>45</v>
      </c>
      <c r="F1062" s="94"/>
      <c r="G1062" s="95"/>
      <c r="H1062" s="75"/>
      <c r="I1062" s="102">
        <v>46108</v>
      </c>
      <c r="J1062" s="70">
        <v>3</v>
      </c>
      <c r="K1062" s="106" t="s">
        <v>3586</v>
      </c>
      <c r="L1062" s="104">
        <f t="shared" si="297"/>
        <v>46200</v>
      </c>
      <c r="M1062" s="105">
        <f ca="1" t="shared" si="298"/>
        <v>-113</v>
      </c>
      <c r="N1062" s="70"/>
      <c r="O1062" s="213" t="s">
        <v>3067</v>
      </c>
      <c r="P1062" s="70" t="s">
        <v>13</v>
      </c>
      <c r="Q1062" s="205" t="s">
        <v>3585</v>
      </c>
      <c r="R1062" s="93" t="s">
        <v>45</v>
      </c>
      <c r="S1062" s="94"/>
      <c r="T1062" s="95"/>
      <c r="U1062" s="75"/>
      <c r="V1062" s="102">
        <v>46219</v>
      </c>
      <c r="W1062" s="70">
        <v>3</v>
      </c>
      <c r="X1062" s="103" t="s">
        <v>3587</v>
      </c>
      <c r="Y1062" s="104">
        <f t="shared" si="303"/>
        <v>46311</v>
      </c>
      <c r="Z1062" s="105">
        <f ca="1" t="shared" si="304"/>
        <v>-2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5"/>
      <c r="AO1062" s="115"/>
      <c r="AP1062" s="115"/>
      <c r="AQ1062" s="93"/>
      <c r="AR1062" s="93"/>
      <c r="AS1062" s="94"/>
      <c r="AT1062" s="95"/>
      <c r="AU1062" s="79"/>
      <c r="AV1062" s="117"/>
      <c r="AW1062" s="115"/>
      <c r="AX1062" s="106"/>
      <c r="AY1062" s="104"/>
      <c r="AZ1062" s="105"/>
    </row>
    <row r="1063" customHeight="1" spans="1:52">
      <c r="A1063" s="70">
        <v>1064</v>
      </c>
      <c r="B1063" s="108" t="s">
        <v>798</v>
      </c>
      <c r="C1063" s="70" t="s">
        <v>13</v>
      </c>
      <c r="D1063" s="205" t="s">
        <v>3588</v>
      </c>
      <c r="E1063" s="93" t="s">
        <v>45</v>
      </c>
      <c r="F1063" s="94"/>
      <c r="G1063" s="95"/>
      <c r="H1063" s="75"/>
      <c r="I1063" s="102">
        <v>46108</v>
      </c>
      <c r="J1063" s="70">
        <v>3</v>
      </c>
      <c r="K1063" s="106" t="s">
        <v>3589</v>
      </c>
      <c r="L1063" s="104">
        <f t="shared" si="297"/>
        <v>46200</v>
      </c>
      <c r="M1063" s="105">
        <f ca="1" t="shared" si="298"/>
        <v>-113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303"/>
        <v>0</v>
      </c>
      <c r="Z1063" s="105">
        <f ca="1" t="shared" si="304"/>
        <v>-46313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5"/>
      <c r="AO1063" s="115"/>
      <c r="AP1063" s="115"/>
      <c r="AQ1063" s="93"/>
      <c r="AR1063" s="93"/>
      <c r="AS1063" s="94"/>
      <c r="AT1063" s="95"/>
      <c r="AU1063" s="79"/>
      <c r="AV1063" s="117"/>
      <c r="AW1063" s="115"/>
      <c r="AX1063" s="106"/>
      <c r="AY1063" s="104"/>
      <c r="AZ1063" s="105"/>
    </row>
    <row r="1064" customHeight="1" spans="1:52">
      <c r="A1064" s="70">
        <v>1065</v>
      </c>
      <c r="B1064" s="108" t="s">
        <v>798</v>
      </c>
      <c r="C1064" s="70" t="s">
        <v>13</v>
      </c>
      <c r="D1064" s="205" t="s">
        <v>3590</v>
      </c>
      <c r="E1064" s="93" t="s">
        <v>45</v>
      </c>
      <c r="F1064" s="94"/>
      <c r="G1064" s="95"/>
      <c r="H1064" s="75"/>
      <c r="I1064" s="102">
        <v>46108</v>
      </c>
      <c r="J1064" s="70">
        <v>3</v>
      </c>
      <c r="K1064" s="106" t="s">
        <v>3591</v>
      </c>
      <c r="L1064" s="104">
        <f t="shared" si="297"/>
        <v>46200</v>
      </c>
      <c r="M1064" s="105">
        <f ca="1" t="shared" si="298"/>
        <v>-113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303"/>
        <v>0</v>
      </c>
      <c r="Z1064" s="105">
        <f ca="1" t="shared" si="304"/>
        <v>-46313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5"/>
      <c r="AO1064" s="115"/>
      <c r="AP1064" s="115"/>
      <c r="AQ1064" s="93"/>
      <c r="AR1064" s="93"/>
      <c r="AS1064" s="94"/>
      <c r="AT1064" s="95"/>
      <c r="AU1064" s="79"/>
      <c r="AV1064" s="117"/>
      <c r="AW1064" s="115"/>
      <c r="AX1064" s="106"/>
      <c r="AY1064" s="104"/>
      <c r="AZ1064" s="105"/>
    </row>
    <row r="1065" customHeight="1" spans="1:52">
      <c r="A1065" s="70">
        <v>1066</v>
      </c>
      <c r="B1065" s="108" t="s">
        <v>798</v>
      </c>
      <c r="C1065" s="70" t="s">
        <v>38</v>
      </c>
      <c r="D1065" s="205" t="s">
        <v>3592</v>
      </c>
      <c r="E1065" s="71" t="s">
        <v>189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3593</v>
      </c>
      <c r="L1065" s="104">
        <f t="shared" si="297"/>
        <v>46200</v>
      </c>
      <c r="M1065" s="105">
        <f ca="1" t="shared" si="298"/>
        <v>-113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303"/>
        <v>0</v>
      </c>
      <c r="Z1065" s="105">
        <f ca="1" t="shared" si="304"/>
        <v>-46313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5"/>
      <c r="AO1065" s="115"/>
      <c r="AP1065" s="115"/>
      <c r="AQ1065" s="93"/>
      <c r="AR1065" s="93"/>
      <c r="AS1065" s="94"/>
      <c r="AT1065" s="95"/>
      <c r="AU1065" s="79"/>
      <c r="AV1065" s="117"/>
      <c r="AW1065" s="115"/>
      <c r="AX1065" s="106"/>
      <c r="AY1065" s="104"/>
      <c r="AZ1065" s="105"/>
    </row>
    <row r="1066" customHeight="1" spans="1:52">
      <c r="A1066" s="70">
        <v>1067</v>
      </c>
      <c r="B1066" s="108" t="s">
        <v>1908</v>
      </c>
      <c r="C1066" s="70" t="s">
        <v>13</v>
      </c>
      <c r="D1066" s="205" t="s">
        <v>2845</v>
      </c>
      <c r="E1066" s="71" t="s">
        <v>2846</v>
      </c>
      <c r="F1066" s="72"/>
      <c r="G1066" s="73"/>
      <c r="H1066" s="75"/>
      <c r="I1066" s="102">
        <v>46108</v>
      </c>
      <c r="J1066" s="70" t="s">
        <v>767</v>
      </c>
      <c r="K1066" s="106"/>
      <c r="L1066" s="104" t="e">
        <f t="shared" si="297"/>
        <v>#VALUE!</v>
      </c>
      <c r="M1066" s="105" t="e">
        <f ca="1" t="shared" si="29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303"/>
        <v>0</v>
      </c>
      <c r="Z1066" s="105">
        <f ca="1" t="shared" si="304"/>
        <v>-46313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5"/>
      <c r="AO1066" s="115"/>
      <c r="AP1066" s="115"/>
      <c r="AQ1066" s="93"/>
      <c r="AR1066" s="93"/>
      <c r="AS1066" s="94"/>
      <c r="AT1066" s="95"/>
      <c r="AU1066" s="79"/>
      <c r="AV1066" s="117"/>
      <c r="AW1066" s="115"/>
      <c r="AX1066" s="106"/>
      <c r="AY1066" s="104"/>
      <c r="AZ1066" s="105"/>
    </row>
    <row r="1067" customHeight="1" spans="1:52">
      <c r="A1067" s="70">
        <v>1068</v>
      </c>
      <c r="B1067" s="108" t="s">
        <v>2862</v>
      </c>
      <c r="C1067" s="70" t="s">
        <v>13</v>
      </c>
      <c r="D1067" s="205" t="s">
        <v>2863</v>
      </c>
      <c r="E1067" s="71" t="s">
        <v>883</v>
      </c>
      <c r="F1067" s="72"/>
      <c r="G1067" s="73"/>
      <c r="H1067" s="75"/>
      <c r="I1067" s="102">
        <v>46108</v>
      </c>
      <c r="J1067" s="70" t="s">
        <v>767</v>
      </c>
      <c r="K1067" s="106"/>
      <c r="L1067" s="104" t="e">
        <f t="shared" si="297"/>
        <v>#VALUE!</v>
      </c>
      <c r="M1067" s="105" t="e">
        <f ca="1" t="shared" si="29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303"/>
        <v>0</v>
      </c>
      <c r="Z1067" s="105">
        <f ca="1" t="shared" si="304"/>
        <v>-46313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5"/>
      <c r="AO1067" s="115"/>
      <c r="AP1067" s="115"/>
      <c r="AQ1067" s="93"/>
      <c r="AR1067" s="93"/>
      <c r="AS1067" s="94"/>
      <c r="AT1067" s="95"/>
      <c r="AU1067" s="79"/>
      <c r="AV1067" s="117"/>
      <c r="AW1067" s="115"/>
      <c r="AX1067" s="106"/>
      <c r="AY1067" s="104"/>
      <c r="AZ1067" s="105"/>
    </row>
    <row r="1068" customHeight="1" spans="1:52">
      <c r="A1068" s="70">
        <v>1069</v>
      </c>
      <c r="B1068" s="108" t="s">
        <v>2862</v>
      </c>
      <c r="C1068" s="70" t="s">
        <v>374</v>
      </c>
      <c r="D1068" s="205" t="s">
        <v>3594</v>
      </c>
      <c r="E1068" s="71" t="s">
        <v>1312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3595</v>
      </c>
      <c r="L1068" s="104">
        <f t="shared" si="297"/>
        <v>46200</v>
      </c>
      <c r="M1068" s="105">
        <f ca="1" t="shared" si="298"/>
        <v>-113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303"/>
        <v>0</v>
      </c>
      <c r="Z1068" s="105">
        <f ca="1" t="shared" si="304"/>
        <v>-46313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5"/>
      <c r="AO1068" s="115"/>
      <c r="AP1068" s="115"/>
      <c r="AQ1068" s="93"/>
      <c r="AR1068" s="93"/>
      <c r="AS1068" s="94"/>
      <c r="AT1068" s="95"/>
      <c r="AU1068" s="79"/>
      <c r="AV1068" s="117"/>
      <c r="AW1068" s="115"/>
      <c r="AX1068" s="106"/>
      <c r="AY1068" s="104"/>
      <c r="AZ1068" s="105"/>
    </row>
    <row r="1069" customHeight="1" spans="1:52">
      <c r="A1069" s="70">
        <v>1070</v>
      </c>
      <c r="B1069" s="108" t="s">
        <v>2862</v>
      </c>
      <c r="C1069" s="70" t="s">
        <v>374</v>
      </c>
      <c r="D1069" s="214" t="s">
        <v>3596</v>
      </c>
      <c r="E1069" s="71" t="s">
        <v>674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3597</v>
      </c>
      <c r="L1069" s="104">
        <f t="shared" si="297"/>
        <v>46200</v>
      </c>
      <c r="M1069" s="105">
        <f ca="1" t="shared" si="298"/>
        <v>-113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5"/>
      <c r="AO1069" s="115"/>
      <c r="AP1069" s="115"/>
      <c r="AQ1069" s="93"/>
      <c r="AR1069" s="93"/>
      <c r="AS1069" s="94"/>
      <c r="AT1069" s="95"/>
      <c r="AU1069" s="79"/>
      <c r="AV1069" s="117"/>
      <c r="AW1069" s="115"/>
      <c r="AX1069" s="106"/>
      <c r="AY1069" s="104"/>
      <c r="AZ1069" s="105"/>
    </row>
    <row r="1070" customHeight="1" spans="1:52">
      <c r="A1070" s="70">
        <v>1071</v>
      </c>
      <c r="B1070" s="70" t="s">
        <v>270</v>
      </c>
      <c r="C1070" s="70" t="s">
        <v>264</v>
      </c>
      <c r="D1070" s="71" t="s">
        <v>3598</v>
      </c>
      <c r="E1070" s="71" t="s">
        <v>277</v>
      </c>
      <c r="F1070" s="72"/>
      <c r="G1070" s="73"/>
      <c r="H1070" s="75"/>
      <c r="I1070" s="102">
        <v>46108</v>
      </c>
      <c r="J1070" s="70">
        <v>3</v>
      </c>
      <c r="K1070" s="106" t="s">
        <v>3599</v>
      </c>
      <c r="L1070" s="104">
        <f t="shared" si="297"/>
        <v>46200</v>
      </c>
      <c r="M1070" s="105">
        <f ca="1" t="shared" si="298"/>
        <v>-113</v>
      </c>
      <c r="N1070" s="70"/>
      <c r="O1070" s="70" t="s">
        <v>270</v>
      </c>
      <c r="P1070" s="70" t="s">
        <v>264</v>
      </c>
      <c r="Q1070" s="71" t="s">
        <v>3598</v>
      </c>
      <c r="R1070" s="71" t="s">
        <v>277</v>
      </c>
      <c r="S1070" s="72"/>
      <c r="T1070" s="73"/>
      <c r="U1070" s="75"/>
      <c r="V1070" s="102">
        <v>46217</v>
      </c>
      <c r="W1070" s="70">
        <v>3</v>
      </c>
      <c r="X1070" s="103" t="s">
        <v>3600</v>
      </c>
      <c r="Y1070" s="104">
        <f t="shared" ref="Y1070:Y1075" si="305">EDATE(V1070,W1070)</f>
        <v>46309</v>
      </c>
      <c r="Z1070" s="105">
        <f ca="1" t="shared" ref="Z1070:Z1075" si="306">Y1070-TODAY()</f>
        <v>-4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5"/>
      <c r="AO1070" s="115"/>
      <c r="AP1070" s="115"/>
      <c r="AQ1070" s="93"/>
      <c r="AR1070" s="93"/>
      <c r="AS1070" s="94"/>
      <c r="AT1070" s="95"/>
      <c r="AU1070" s="79"/>
      <c r="AV1070" s="117"/>
      <c r="AW1070" s="115"/>
      <c r="AX1070" s="106"/>
      <c r="AY1070" s="104"/>
      <c r="AZ1070" s="105"/>
    </row>
    <row r="1071" customHeight="1" spans="1:52">
      <c r="A1071" s="70">
        <v>1072</v>
      </c>
      <c r="B1071" s="108" t="s">
        <v>648</v>
      </c>
      <c r="C1071" s="70" t="s">
        <v>264</v>
      </c>
      <c r="D1071" s="205" t="s">
        <v>3601</v>
      </c>
      <c r="E1071" s="71" t="s">
        <v>364</v>
      </c>
      <c r="F1071" s="72"/>
      <c r="G1071" s="73"/>
      <c r="H1071" s="75"/>
      <c r="I1071" s="102">
        <v>46108</v>
      </c>
      <c r="J1071" s="70">
        <v>3</v>
      </c>
      <c r="K1071" s="106" t="s">
        <v>3602</v>
      </c>
      <c r="L1071" s="104">
        <f t="shared" si="297"/>
        <v>46200</v>
      </c>
      <c r="M1071" s="105">
        <f ca="1" t="shared" si="298"/>
        <v>-113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305"/>
        <v>0</v>
      </c>
      <c r="Z1071" s="105">
        <f ca="1" t="shared" si="306"/>
        <v>-46313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5"/>
      <c r="AO1071" s="115"/>
      <c r="AP1071" s="115"/>
      <c r="AQ1071" s="93"/>
      <c r="AR1071" s="93"/>
      <c r="AS1071" s="94"/>
      <c r="AT1071" s="95"/>
      <c r="AU1071" s="79"/>
      <c r="AV1071" s="117"/>
      <c r="AW1071" s="115"/>
      <c r="AX1071" s="106"/>
      <c r="AY1071" s="104"/>
      <c r="AZ1071" s="105"/>
    </row>
    <row r="1072" customHeight="1" spans="1:52">
      <c r="A1072" s="70">
        <v>1073</v>
      </c>
      <c r="B1072" s="108" t="s">
        <v>281</v>
      </c>
      <c r="C1072" s="70" t="s">
        <v>264</v>
      </c>
      <c r="D1072" s="205" t="s">
        <v>3603</v>
      </c>
      <c r="E1072" s="71" t="s">
        <v>277</v>
      </c>
      <c r="F1072" s="72"/>
      <c r="G1072" s="73"/>
      <c r="H1072" s="75"/>
      <c r="I1072" s="102">
        <v>46108</v>
      </c>
      <c r="J1072" s="70">
        <v>3</v>
      </c>
      <c r="K1072" s="106" t="s">
        <v>3604</v>
      </c>
      <c r="L1072" s="104">
        <f t="shared" si="297"/>
        <v>46200</v>
      </c>
      <c r="M1072" s="105">
        <f ca="1" t="shared" si="298"/>
        <v>-113</v>
      </c>
      <c r="N1072" s="70"/>
      <c r="O1072" s="108" t="s">
        <v>281</v>
      </c>
      <c r="P1072" s="70" t="s">
        <v>264</v>
      </c>
      <c r="Q1072" s="205" t="s">
        <v>3603</v>
      </c>
      <c r="R1072" s="71" t="s">
        <v>277</v>
      </c>
      <c r="S1072" s="72"/>
      <c r="T1072" s="73"/>
      <c r="U1072" s="75"/>
      <c r="V1072" s="102">
        <v>46179</v>
      </c>
      <c r="W1072" s="70">
        <v>3</v>
      </c>
      <c r="X1072" s="103" t="s">
        <v>3605</v>
      </c>
      <c r="Y1072" s="104">
        <f t="shared" si="305"/>
        <v>46271</v>
      </c>
      <c r="Z1072" s="105">
        <f ca="1" t="shared" si="306"/>
        <v>-42</v>
      </c>
      <c r="AA1072" s="70"/>
      <c r="AB1072" s="108" t="s">
        <v>281</v>
      </c>
      <c r="AC1072" s="70" t="s">
        <v>264</v>
      </c>
      <c r="AD1072" s="205" t="s">
        <v>3603</v>
      </c>
      <c r="AE1072" s="71" t="s">
        <v>277</v>
      </c>
      <c r="AF1072" s="72"/>
      <c r="AG1072" s="73"/>
      <c r="AH1072" s="75"/>
      <c r="AI1072" s="102">
        <v>46262</v>
      </c>
      <c r="AJ1072" s="70">
        <v>3</v>
      </c>
      <c r="AK1072" s="103" t="s">
        <v>3606</v>
      </c>
      <c r="AL1072" s="104">
        <f t="shared" ref="AL1072:AL1096" si="307">EDATE(AI1072,AJ1072)</f>
        <v>46354</v>
      </c>
      <c r="AM1072" s="105">
        <f ca="1" t="shared" ref="AM1072:AM1096" si="308">AL1072-TODAY()</f>
        <v>41</v>
      </c>
      <c r="AN1072" s="115"/>
      <c r="AO1072" s="115"/>
      <c r="AP1072" s="115"/>
      <c r="AQ1072" s="93"/>
      <c r="AR1072" s="93"/>
      <c r="AS1072" s="94"/>
      <c r="AT1072" s="95"/>
      <c r="AU1072" s="79"/>
      <c r="AV1072" s="117"/>
      <c r="AW1072" s="115"/>
      <c r="AX1072" s="106"/>
      <c r="AY1072" s="104"/>
      <c r="AZ1072" s="105"/>
    </row>
    <row r="1073" customHeight="1" spans="1:52">
      <c r="A1073" s="70">
        <v>1074</v>
      </c>
      <c r="B1073" s="108" t="s">
        <v>281</v>
      </c>
      <c r="C1073" s="70" t="s">
        <v>264</v>
      </c>
      <c r="D1073" s="205" t="s">
        <v>3607</v>
      </c>
      <c r="E1073" s="71" t="s">
        <v>3608</v>
      </c>
      <c r="F1073" s="72"/>
      <c r="G1073" s="73"/>
      <c r="H1073" s="75"/>
      <c r="I1073" s="102">
        <v>46108</v>
      </c>
      <c r="J1073" s="70">
        <v>3</v>
      </c>
      <c r="K1073" s="106" t="s">
        <v>3609</v>
      </c>
      <c r="L1073" s="104">
        <f t="shared" si="297"/>
        <v>46200</v>
      </c>
      <c r="M1073" s="105">
        <f ca="1" t="shared" si="298"/>
        <v>-113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305"/>
        <v>0</v>
      </c>
      <c r="Z1073" s="105">
        <f ca="1" t="shared" si="306"/>
        <v>-46313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>
        <f t="shared" si="307"/>
        <v>0</v>
      </c>
      <c r="AM1073" s="105">
        <f ca="1" t="shared" si="308"/>
        <v>-46313</v>
      </c>
      <c r="AN1073" s="115"/>
      <c r="AO1073" s="115"/>
      <c r="AP1073" s="115"/>
      <c r="AQ1073" s="93"/>
      <c r="AR1073" s="93"/>
      <c r="AS1073" s="94"/>
      <c r="AT1073" s="95"/>
      <c r="AU1073" s="79"/>
      <c r="AV1073" s="117"/>
      <c r="AW1073" s="115"/>
      <c r="AX1073" s="106"/>
      <c r="AY1073" s="104"/>
      <c r="AZ1073" s="105"/>
    </row>
    <row r="1074" customHeight="1" spans="1:52">
      <c r="A1074" s="70">
        <v>1075</v>
      </c>
      <c r="B1074" s="108" t="s">
        <v>281</v>
      </c>
      <c r="C1074" s="70" t="s">
        <v>264</v>
      </c>
      <c r="D1074" s="71" t="s">
        <v>2618</v>
      </c>
      <c r="E1074" s="71" t="s">
        <v>364</v>
      </c>
      <c r="F1074" s="72"/>
      <c r="G1074" s="73"/>
      <c r="H1074" s="75"/>
      <c r="I1074" s="102">
        <v>46108</v>
      </c>
      <c r="J1074" s="70" t="s">
        <v>767</v>
      </c>
      <c r="K1074" s="106"/>
      <c r="L1074" s="104" t="e">
        <f t="shared" si="297"/>
        <v>#VALUE!</v>
      </c>
      <c r="M1074" s="105" t="e">
        <f ca="1" t="shared" si="29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305"/>
        <v>0</v>
      </c>
      <c r="Z1074" s="105">
        <f ca="1" t="shared" si="306"/>
        <v>-46313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>
        <f t="shared" si="307"/>
        <v>0</v>
      </c>
      <c r="AM1074" s="105">
        <f ca="1" t="shared" si="308"/>
        <v>-46313</v>
      </c>
      <c r="AN1074" s="115"/>
      <c r="AO1074" s="115"/>
      <c r="AP1074" s="115"/>
      <c r="AQ1074" s="93"/>
      <c r="AR1074" s="93"/>
      <c r="AS1074" s="94"/>
      <c r="AT1074" s="95"/>
      <c r="AU1074" s="79"/>
      <c r="AV1074" s="117"/>
      <c r="AW1074" s="115"/>
      <c r="AX1074" s="106"/>
      <c r="AY1074" s="104"/>
      <c r="AZ1074" s="105"/>
    </row>
    <row r="1075" customHeight="1" spans="1:52">
      <c r="A1075" s="70">
        <v>1076</v>
      </c>
      <c r="B1075" s="108" t="s">
        <v>263</v>
      </c>
      <c r="C1075" s="70" t="s">
        <v>264</v>
      </c>
      <c r="D1075" s="205" t="s">
        <v>763</v>
      </c>
      <c r="E1075" s="71" t="s">
        <v>764</v>
      </c>
      <c r="F1075" s="72"/>
      <c r="G1075" s="73"/>
      <c r="H1075" s="75"/>
      <c r="I1075" s="102">
        <v>46108</v>
      </c>
      <c r="J1075" s="70" t="s">
        <v>767</v>
      </c>
      <c r="K1075" s="106"/>
      <c r="L1075" s="104" t="e">
        <f t="shared" si="297"/>
        <v>#VALUE!</v>
      </c>
      <c r="M1075" s="105" t="e">
        <f ca="1" t="shared" si="29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305"/>
        <v>0</v>
      </c>
      <c r="Z1075" s="105">
        <f ca="1" t="shared" si="306"/>
        <v>-46313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>
        <f t="shared" si="307"/>
        <v>0</v>
      </c>
      <c r="AM1075" s="105">
        <f ca="1" t="shared" si="308"/>
        <v>-46313</v>
      </c>
      <c r="AN1075" s="115"/>
      <c r="AO1075" s="115"/>
      <c r="AP1075" s="115"/>
      <c r="AQ1075" s="93"/>
      <c r="AR1075" s="93"/>
      <c r="AS1075" s="94"/>
      <c r="AT1075" s="95"/>
      <c r="AU1075" s="79"/>
      <c r="AV1075" s="117"/>
      <c r="AW1075" s="115"/>
      <c r="AX1075" s="106"/>
      <c r="AY1075" s="104"/>
      <c r="AZ1075" s="105"/>
    </row>
    <row r="1076" customHeight="1" spans="1:52">
      <c r="A1076" s="70">
        <v>1077</v>
      </c>
      <c r="B1076" s="108" t="s">
        <v>1234</v>
      </c>
      <c r="C1076" s="70" t="s">
        <v>264</v>
      </c>
      <c r="D1076" s="205" t="s">
        <v>1235</v>
      </c>
      <c r="E1076" s="71" t="s">
        <v>264</v>
      </c>
      <c r="F1076" s="72"/>
      <c r="G1076" s="73"/>
      <c r="H1076" s="75"/>
      <c r="I1076" s="102">
        <v>46108</v>
      </c>
      <c r="J1076" s="70" t="s">
        <v>767</v>
      </c>
      <c r="K1076" s="106"/>
      <c r="L1076" s="104" t="e">
        <f t="shared" si="297"/>
        <v>#VALUE!</v>
      </c>
      <c r="M1076" s="105" t="e">
        <f ca="1" t="shared" si="29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309">EDATE(V1076,W1076)</f>
        <v>0</v>
      </c>
      <c r="Z1076" s="105">
        <f ca="1" t="shared" ref="Z1072:Z1097" si="310">Y1076-TODAY()</f>
        <v>-46313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>
        <f t="shared" si="307"/>
        <v>0</v>
      </c>
      <c r="AM1076" s="105">
        <f ca="1" t="shared" si="308"/>
        <v>-46313</v>
      </c>
      <c r="AN1076" s="115"/>
      <c r="AO1076" s="115"/>
      <c r="AP1076" s="115"/>
      <c r="AQ1076" s="93"/>
      <c r="AR1076" s="93"/>
      <c r="AS1076" s="94"/>
      <c r="AT1076" s="95"/>
      <c r="AU1076" s="79"/>
      <c r="AV1076" s="117"/>
      <c r="AW1076" s="115"/>
      <c r="AX1076" s="106"/>
      <c r="AY1076" s="104"/>
      <c r="AZ1076" s="105"/>
    </row>
    <row r="1077" customHeight="1" spans="1:52">
      <c r="A1077" s="70">
        <v>1078</v>
      </c>
      <c r="B1077" s="108" t="s">
        <v>1275</v>
      </c>
      <c r="C1077" s="70" t="s">
        <v>38</v>
      </c>
      <c r="D1077" s="205" t="s">
        <v>3610</v>
      </c>
      <c r="E1077" s="71" t="s">
        <v>189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3611</v>
      </c>
      <c r="L1077" s="104">
        <f t="shared" si="297"/>
        <v>46201</v>
      </c>
      <c r="M1077" s="105">
        <f ca="1" t="shared" si="298"/>
        <v>-112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309"/>
        <v>0</v>
      </c>
      <c r="Z1077" s="105">
        <f ca="1" t="shared" si="310"/>
        <v>-46313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>
        <f t="shared" si="307"/>
        <v>0</v>
      </c>
      <c r="AM1077" s="105">
        <f ca="1" t="shared" si="308"/>
        <v>-46313</v>
      </c>
      <c r="AN1077" s="115"/>
      <c r="AO1077" s="115"/>
      <c r="AP1077" s="115"/>
      <c r="AQ1077" s="93"/>
      <c r="AR1077" s="93"/>
      <c r="AS1077" s="94"/>
      <c r="AT1077" s="95"/>
      <c r="AU1077" s="79"/>
      <c r="AV1077" s="117"/>
      <c r="AW1077" s="115"/>
      <c r="AX1077" s="106"/>
      <c r="AY1077" s="104"/>
      <c r="AZ1077" s="105"/>
    </row>
    <row r="1078" customHeight="1" spans="1:52">
      <c r="A1078" s="70">
        <v>1079</v>
      </c>
      <c r="B1078" s="108" t="s">
        <v>229</v>
      </c>
      <c r="C1078" s="70" t="s">
        <v>13</v>
      </c>
      <c r="D1078" s="214" t="s">
        <v>3612</v>
      </c>
      <c r="E1078" s="71" t="s">
        <v>126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3613</v>
      </c>
      <c r="L1078" s="104">
        <f t="shared" si="297"/>
        <v>46201</v>
      </c>
      <c r="M1078" s="105">
        <f ca="1" t="shared" si="298"/>
        <v>-112</v>
      </c>
      <c r="N1078" s="70"/>
      <c r="O1078" s="108" t="s">
        <v>229</v>
      </c>
      <c r="P1078" s="70" t="s">
        <v>13</v>
      </c>
      <c r="Q1078" s="214" t="s">
        <v>3612</v>
      </c>
      <c r="R1078" s="71" t="s">
        <v>126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3614</v>
      </c>
      <c r="Y1078" s="104">
        <f t="shared" si="309"/>
        <v>46301</v>
      </c>
      <c r="Z1078" s="105">
        <f ca="1" t="shared" si="310"/>
        <v>-12</v>
      </c>
      <c r="AA1078" s="70"/>
      <c r="AB1078" s="108" t="s">
        <v>229</v>
      </c>
      <c r="AC1078" s="70" t="s">
        <v>13</v>
      </c>
      <c r="AD1078" s="214" t="s">
        <v>3612</v>
      </c>
      <c r="AE1078" s="71" t="s">
        <v>126</v>
      </c>
      <c r="AF1078" s="72"/>
      <c r="AG1078" s="73"/>
      <c r="AH1078" s="75"/>
      <c r="AI1078" s="102">
        <v>46307</v>
      </c>
      <c r="AJ1078" s="70">
        <v>3</v>
      </c>
      <c r="AK1078" s="103"/>
      <c r="AL1078" s="104">
        <f t="shared" si="307"/>
        <v>46399</v>
      </c>
      <c r="AM1078" s="105">
        <f ca="1" t="shared" si="308"/>
        <v>86</v>
      </c>
      <c r="AN1078" s="115"/>
      <c r="AO1078" s="115"/>
      <c r="AP1078" s="115"/>
      <c r="AQ1078" s="93"/>
      <c r="AR1078" s="93"/>
      <c r="AS1078" s="94"/>
      <c r="AT1078" s="95"/>
      <c r="AU1078" s="79"/>
      <c r="AV1078" s="117"/>
      <c r="AW1078" s="115"/>
      <c r="AX1078" s="106"/>
      <c r="AY1078" s="104"/>
      <c r="AZ1078" s="105"/>
    </row>
    <row r="1079" customHeight="1" spans="1:52">
      <c r="A1079" s="70">
        <v>1080</v>
      </c>
      <c r="B1079" s="108" t="s">
        <v>229</v>
      </c>
      <c r="C1079" s="70" t="s">
        <v>13</v>
      </c>
      <c r="D1079" s="205" t="s">
        <v>3615</v>
      </c>
      <c r="E1079" s="71" t="s">
        <v>2623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3616</v>
      </c>
      <c r="L1079" s="104">
        <f t="shared" si="297"/>
        <v>46201</v>
      </c>
      <c r="M1079" s="105">
        <f ca="1" t="shared" si="298"/>
        <v>-112</v>
      </c>
      <c r="N1079" s="70"/>
      <c r="O1079" s="108" t="s">
        <v>229</v>
      </c>
      <c r="P1079" s="70" t="s">
        <v>13</v>
      </c>
      <c r="Q1079" s="205" t="s">
        <v>3615</v>
      </c>
      <c r="R1079" s="71" t="s">
        <v>2623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3617</v>
      </c>
      <c r="Y1079" s="104">
        <f t="shared" si="309"/>
        <v>46289</v>
      </c>
      <c r="Z1079" s="105">
        <f ca="1" t="shared" si="310"/>
        <v>-24</v>
      </c>
      <c r="AA1079" s="70"/>
      <c r="AB1079" s="108" t="s">
        <v>229</v>
      </c>
      <c r="AC1079" s="70" t="s">
        <v>13</v>
      </c>
      <c r="AD1079" s="205" t="s">
        <v>3615</v>
      </c>
      <c r="AE1079" s="71" t="s">
        <v>2623</v>
      </c>
      <c r="AF1079" s="72"/>
      <c r="AG1079" s="73"/>
      <c r="AH1079" s="79" t="s">
        <v>16</v>
      </c>
      <c r="AI1079" s="102">
        <v>46289</v>
      </c>
      <c r="AJ1079" s="70">
        <v>3</v>
      </c>
      <c r="AK1079" s="103" t="s">
        <v>3618</v>
      </c>
      <c r="AL1079" s="104">
        <f t="shared" si="307"/>
        <v>46380</v>
      </c>
      <c r="AM1079" s="105">
        <f ca="1" t="shared" si="308"/>
        <v>67</v>
      </c>
      <c r="AN1079" s="115"/>
      <c r="AO1079" s="115"/>
      <c r="AP1079" s="115"/>
      <c r="AQ1079" s="93"/>
      <c r="AR1079" s="93"/>
      <c r="AS1079" s="94"/>
      <c r="AT1079" s="95"/>
      <c r="AU1079" s="79"/>
      <c r="AV1079" s="117"/>
      <c r="AW1079" s="115"/>
      <c r="AX1079" s="106"/>
      <c r="AY1079" s="104"/>
      <c r="AZ1079" s="105"/>
    </row>
    <row r="1080" customHeight="1" spans="1:52">
      <c r="A1080" s="70">
        <v>1081</v>
      </c>
      <c r="B1080" s="108" t="s">
        <v>229</v>
      </c>
      <c r="C1080" s="70" t="s">
        <v>38</v>
      </c>
      <c r="D1080" s="108" t="s">
        <v>3619</v>
      </c>
      <c r="E1080" s="71" t="s">
        <v>28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3620</v>
      </c>
      <c r="L1080" s="104">
        <f t="shared" si="297"/>
        <v>46201</v>
      </c>
      <c r="M1080" s="105">
        <f ca="1" t="shared" si="298"/>
        <v>-112</v>
      </c>
      <c r="N1080" s="70"/>
      <c r="O1080" s="108" t="s">
        <v>229</v>
      </c>
      <c r="P1080" s="70" t="s">
        <v>38</v>
      </c>
      <c r="Q1080" s="108" t="s">
        <v>3619</v>
      </c>
      <c r="R1080" s="71" t="s">
        <v>28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3621</v>
      </c>
      <c r="Y1080" s="104">
        <f t="shared" si="309"/>
        <v>46292</v>
      </c>
      <c r="Z1080" s="105">
        <f ca="1" t="shared" si="310"/>
        <v>-21</v>
      </c>
      <c r="AA1080" s="70"/>
      <c r="AB1080" s="108" t="s">
        <v>229</v>
      </c>
      <c r="AC1080" s="70" t="s">
        <v>38</v>
      </c>
      <c r="AD1080" s="108" t="s">
        <v>3619</v>
      </c>
      <c r="AE1080" s="71" t="s">
        <v>28</v>
      </c>
      <c r="AF1080" s="72"/>
      <c r="AG1080" s="73"/>
      <c r="AH1080" s="75"/>
      <c r="AI1080" s="102">
        <v>46306</v>
      </c>
      <c r="AJ1080" s="70">
        <v>3</v>
      </c>
      <c r="AK1080" s="103"/>
      <c r="AL1080" s="104">
        <f t="shared" si="307"/>
        <v>46398</v>
      </c>
      <c r="AM1080" s="105">
        <f ca="1" t="shared" si="308"/>
        <v>85</v>
      </c>
      <c r="AN1080" s="115"/>
      <c r="AO1080" s="115"/>
      <c r="AP1080" s="115"/>
      <c r="AQ1080" s="93"/>
      <c r="AR1080" s="93"/>
      <c r="AS1080" s="94"/>
      <c r="AT1080" s="95"/>
      <c r="AU1080" s="79"/>
      <c r="AV1080" s="117"/>
      <c r="AW1080" s="115"/>
      <c r="AX1080" s="106"/>
      <c r="AY1080" s="104"/>
      <c r="AZ1080" s="105"/>
    </row>
    <row r="1081" customHeight="1" spans="1:52">
      <c r="A1081" s="70">
        <v>1082</v>
      </c>
      <c r="B1081" s="108" t="s">
        <v>229</v>
      </c>
      <c r="C1081" s="70" t="s">
        <v>38</v>
      </c>
      <c r="D1081" s="214" t="s">
        <v>3622</v>
      </c>
      <c r="E1081" s="71" t="s">
        <v>189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3623</v>
      </c>
      <c r="L1081" s="104">
        <f t="shared" si="297"/>
        <v>46201</v>
      </c>
      <c r="M1081" s="105">
        <f ca="1" t="shared" si="298"/>
        <v>-112</v>
      </c>
      <c r="N1081" s="70"/>
      <c r="O1081" s="108" t="s">
        <v>229</v>
      </c>
      <c r="P1081" s="70" t="s">
        <v>38</v>
      </c>
      <c r="Q1081" s="214" t="s">
        <v>3622</v>
      </c>
      <c r="R1081" s="71" t="s">
        <v>189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3624</v>
      </c>
      <c r="Y1081" s="104">
        <f t="shared" si="309"/>
        <v>46305</v>
      </c>
      <c r="Z1081" s="105">
        <f ca="1" t="shared" si="310"/>
        <v>-8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>
        <f t="shared" si="307"/>
        <v>0</v>
      </c>
      <c r="AM1081" s="105">
        <f ca="1" t="shared" si="308"/>
        <v>-46313</v>
      </c>
      <c r="AN1081" s="115"/>
      <c r="AO1081" s="115"/>
      <c r="AP1081" s="115"/>
      <c r="AQ1081" s="93"/>
      <c r="AR1081" s="93"/>
      <c r="AS1081" s="94"/>
      <c r="AT1081" s="95"/>
      <c r="AU1081" s="79"/>
      <c r="AV1081" s="117"/>
      <c r="AW1081" s="115"/>
      <c r="AX1081" s="106"/>
      <c r="AY1081" s="104"/>
      <c r="AZ1081" s="105"/>
    </row>
    <row r="1082" customHeight="1" spans="1:52">
      <c r="A1082" s="70">
        <v>1083</v>
      </c>
      <c r="B1082" s="108" t="s">
        <v>229</v>
      </c>
      <c r="C1082" s="70" t="s">
        <v>13</v>
      </c>
      <c r="D1082" s="205" t="s">
        <v>3625</v>
      </c>
      <c r="E1082" s="71" t="s">
        <v>126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3626</v>
      </c>
      <c r="L1082" s="104">
        <f t="shared" si="297"/>
        <v>46201</v>
      </c>
      <c r="M1082" s="105">
        <f ca="1" t="shared" si="298"/>
        <v>-112</v>
      </c>
      <c r="N1082" s="70"/>
      <c r="O1082" s="108" t="s">
        <v>229</v>
      </c>
      <c r="P1082" s="70" t="s">
        <v>13</v>
      </c>
      <c r="Q1082" s="205" t="s">
        <v>3625</v>
      </c>
      <c r="R1082" s="71" t="s">
        <v>126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3627</v>
      </c>
      <c r="Y1082" s="104">
        <f t="shared" si="309"/>
        <v>46290</v>
      </c>
      <c r="Z1082" s="105">
        <f ca="1" t="shared" si="310"/>
        <v>-23</v>
      </c>
      <c r="AA1082" s="70"/>
      <c r="AB1082" s="108" t="s">
        <v>229</v>
      </c>
      <c r="AC1082" s="70" t="s">
        <v>13</v>
      </c>
      <c r="AD1082" s="205" t="s">
        <v>3625</v>
      </c>
      <c r="AE1082" s="71" t="s">
        <v>126</v>
      </c>
      <c r="AF1082" s="72"/>
      <c r="AG1082" s="73"/>
      <c r="AH1082" s="79" t="s">
        <v>16</v>
      </c>
      <c r="AI1082" s="102">
        <v>46310</v>
      </c>
      <c r="AJ1082" s="70">
        <v>3</v>
      </c>
      <c r="AK1082" s="103"/>
      <c r="AL1082" s="104">
        <f t="shared" si="307"/>
        <v>46402</v>
      </c>
      <c r="AM1082" s="105">
        <f ca="1" t="shared" si="308"/>
        <v>89</v>
      </c>
      <c r="AN1082" s="115"/>
      <c r="AO1082" s="115"/>
      <c r="AP1082" s="115"/>
      <c r="AQ1082" s="93"/>
      <c r="AR1082" s="93"/>
      <c r="AS1082" s="94"/>
      <c r="AT1082" s="95"/>
      <c r="AU1082" s="79"/>
      <c r="AV1082" s="117"/>
      <c r="AW1082" s="115"/>
      <c r="AX1082" s="106"/>
      <c r="AY1082" s="104"/>
      <c r="AZ1082" s="105"/>
    </row>
    <row r="1083" customHeight="1" spans="1:52">
      <c r="A1083" s="70">
        <v>1084</v>
      </c>
      <c r="B1083" s="108" t="s">
        <v>229</v>
      </c>
      <c r="C1083" s="70" t="s">
        <v>38</v>
      </c>
      <c r="D1083" s="108" t="s">
        <v>3628</v>
      </c>
      <c r="E1083" s="71" t="s">
        <v>189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3629</v>
      </c>
      <c r="L1083" s="104">
        <f t="shared" si="297"/>
        <v>46201</v>
      </c>
      <c r="M1083" s="105">
        <f ca="1" t="shared" si="298"/>
        <v>-112</v>
      </c>
      <c r="N1083" s="70"/>
      <c r="O1083" s="108" t="s">
        <v>229</v>
      </c>
      <c r="P1083" s="70" t="s">
        <v>38</v>
      </c>
      <c r="Q1083" s="108" t="s">
        <v>3628</v>
      </c>
      <c r="R1083" s="71" t="s">
        <v>189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3630</v>
      </c>
      <c r="Y1083" s="104">
        <f t="shared" si="309"/>
        <v>46305</v>
      </c>
      <c r="Z1083" s="105">
        <f ca="1" t="shared" si="310"/>
        <v>-8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>
        <f t="shared" si="307"/>
        <v>0</v>
      </c>
      <c r="AM1083" s="105">
        <f ca="1" t="shared" si="308"/>
        <v>-46313</v>
      </c>
      <c r="AN1083" s="115"/>
      <c r="AO1083" s="115"/>
      <c r="AP1083" s="115"/>
      <c r="AQ1083" s="93"/>
      <c r="AR1083" s="93"/>
      <c r="AS1083" s="94"/>
      <c r="AT1083" s="95"/>
      <c r="AU1083" s="79"/>
      <c r="AV1083" s="117"/>
      <c r="AW1083" s="115"/>
      <c r="AX1083" s="106"/>
      <c r="AY1083" s="104"/>
      <c r="AZ1083" s="105"/>
    </row>
    <row r="1084" customHeight="1" spans="1:52">
      <c r="A1084" s="70">
        <v>1085</v>
      </c>
      <c r="B1084" s="108" t="s">
        <v>229</v>
      </c>
      <c r="C1084" s="70" t="s">
        <v>38</v>
      </c>
      <c r="D1084" s="205" t="s">
        <v>3631</v>
      </c>
      <c r="E1084" s="71" t="s">
        <v>145</v>
      </c>
      <c r="F1084" s="72"/>
      <c r="G1084" s="73"/>
      <c r="H1084" s="75"/>
      <c r="I1084" s="102">
        <v>46109</v>
      </c>
      <c r="J1084" s="70">
        <v>3</v>
      </c>
      <c r="K1084" s="106" t="s">
        <v>3632</v>
      </c>
      <c r="L1084" s="104">
        <f t="shared" si="297"/>
        <v>46201</v>
      </c>
      <c r="M1084" s="105">
        <f ca="1" t="shared" si="298"/>
        <v>-112</v>
      </c>
      <c r="N1084" s="70"/>
      <c r="O1084" s="108" t="s">
        <v>229</v>
      </c>
      <c r="P1084" s="70" t="s">
        <v>38</v>
      </c>
      <c r="Q1084" s="205" t="s">
        <v>3631</v>
      </c>
      <c r="R1084" s="71" t="s">
        <v>145</v>
      </c>
      <c r="S1084" s="72"/>
      <c r="T1084" s="73"/>
      <c r="U1084" s="75"/>
      <c r="V1084" s="102">
        <v>46197</v>
      </c>
      <c r="W1084" s="70">
        <v>3</v>
      </c>
      <c r="X1084" s="103" t="s">
        <v>3633</v>
      </c>
      <c r="Y1084" s="104">
        <f t="shared" si="309"/>
        <v>46289</v>
      </c>
      <c r="Z1084" s="105">
        <f ca="1" t="shared" si="310"/>
        <v>-24</v>
      </c>
      <c r="AA1084" s="70"/>
      <c r="AB1084" s="108" t="s">
        <v>229</v>
      </c>
      <c r="AC1084" s="70" t="s">
        <v>38</v>
      </c>
      <c r="AD1084" s="205" t="s">
        <v>3631</v>
      </c>
      <c r="AE1084" s="71" t="s">
        <v>145</v>
      </c>
      <c r="AF1084" s="72"/>
      <c r="AG1084" s="73"/>
      <c r="AH1084" s="75"/>
      <c r="AI1084" s="102">
        <v>46310</v>
      </c>
      <c r="AJ1084" s="70">
        <v>3</v>
      </c>
      <c r="AK1084" s="103"/>
      <c r="AL1084" s="104">
        <f t="shared" si="307"/>
        <v>46402</v>
      </c>
      <c r="AM1084" s="105">
        <f ca="1" t="shared" si="308"/>
        <v>89</v>
      </c>
      <c r="AN1084" s="115"/>
      <c r="AO1084" s="115"/>
      <c r="AP1084" s="115"/>
      <c r="AQ1084" s="93"/>
      <c r="AR1084" s="93"/>
      <c r="AS1084" s="94"/>
      <c r="AT1084" s="95"/>
      <c r="AU1084" s="79"/>
      <c r="AV1084" s="117"/>
      <c r="AW1084" s="115"/>
      <c r="AX1084" s="106"/>
      <c r="AY1084" s="104"/>
      <c r="AZ1084" s="105"/>
    </row>
    <row r="1085" customHeight="1" spans="1:52">
      <c r="A1085" s="70">
        <v>1086</v>
      </c>
      <c r="B1085" s="215" t="s">
        <v>3634</v>
      </c>
      <c r="C1085" s="70" t="s">
        <v>38</v>
      </c>
      <c r="D1085" s="205" t="s">
        <v>3635</v>
      </c>
      <c r="E1085" s="71" t="s">
        <v>189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3636</v>
      </c>
      <c r="L1085" s="104">
        <f t="shared" si="297"/>
        <v>46201</v>
      </c>
      <c r="M1085" s="105">
        <f ca="1" t="shared" si="298"/>
        <v>-112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309"/>
        <v>0</v>
      </c>
      <c r="Z1085" s="105">
        <f ca="1" t="shared" si="310"/>
        <v>-46313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>
        <f t="shared" si="307"/>
        <v>0</v>
      </c>
      <c r="AM1085" s="105">
        <f ca="1" t="shared" si="308"/>
        <v>-46313</v>
      </c>
      <c r="AN1085" s="115"/>
      <c r="AO1085" s="115"/>
      <c r="AP1085" s="115"/>
      <c r="AQ1085" s="93"/>
      <c r="AR1085" s="93"/>
      <c r="AS1085" s="94"/>
      <c r="AT1085" s="95"/>
      <c r="AU1085" s="79"/>
      <c r="AV1085" s="117"/>
      <c r="AW1085" s="115"/>
      <c r="AX1085" s="106"/>
      <c r="AY1085" s="104"/>
      <c r="AZ1085" s="105"/>
    </row>
    <row r="1086" customHeight="1" spans="1:52">
      <c r="A1086" s="70">
        <v>1087</v>
      </c>
      <c r="B1086" s="215" t="s">
        <v>3634</v>
      </c>
      <c r="C1086" s="70" t="s">
        <v>13</v>
      </c>
      <c r="D1086" s="205" t="s">
        <v>3637</v>
      </c>
      <c r="E1086" s="71" t="s">
        <v>45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3638</v>
      </c>
      <c r="L1086" s="104">
        <f t="shared" si="297"/>
        <v>46201</v>
      </c>
      <c r="M1086" s="105">
        <f ca="1" t="shared" si="298"/>
        <v>-112</v>
      </c>
      <c r="N1086" s="70"/>
      <c r="O1086" s="215" t="s">
        <v>3634</v>
      </c>
      <c r="P1086" s="70" t="s">
        <v>13</v>
      </c>
      <c r="Q1086" s="205" t="s">
        <v>3637</v>
      </c>
      <c r="R1086" s="71" t="s">
        <v>45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3639</v>
      </c>
      <c r="Y1086" s="104">
        <f t="shared" si="309"/>
        <v>46293</v>
      </c>
      <c r="Z1086" s="105">
        <f ca="1" t="shared" si="310"/>
        <v>-20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>
        <f t="shared" si="307"/>
        <v>0</v>
      </c>
      <c r="AM1086" s="105">
        <f ca="1" t="shared" si="308"/>
        <v>-46313</v>
      </c>
      <c r="AN1086" s="115"/>
      <c r="AO1086" s="115"/>
      <c r="AP1086" s="115"/>
      <c r="AQ1086" s="93"/>
      <c r="AR1086" s="93"/>
      <c r="AS1086" s="94"/>
      <c r="AT1086" s="95"/>
      <c r="AU1086" s="79"/>
      <c r="AV1086" s="117"/>
      <c r="AW1086" s="115"/>
      <c r="AX1086" s="106"/>
      <c r="AY1086" s="104"/>
      <c r="AZ1086" s="105"/>
    </row>
    <row r="1087" customHeight="1" spans="1:52">
      <c r="A1087" s="70">
        <v>1088</v>
      </c>
      <c r="B1087" s="108" t="s">
        <v>281</v>
      </c>
      <c r="C1087" s="70" t="s">
        <v>264</v>
      </c>
      <c r="D1087" s="205" t="s">
        <v>3640</v>
      </c>
      <c r="E1087" s="71" t="s">
        <v>3641</v>
      </c>
      <c r="F1087" s="72"/>
      <c r="G1087" s="73"/>
      <c r="H1087" s="75"/>
      <c r="I1087" s="102">
        <v>46109</v>
      </c>
      <c r="J1087" s="70">
        <v>3</v>
      </c>
      <c r="K1087" s="106" t="s">
        <v>3642</v>
      </c>
      <c r="L1087" s="104">
        <f t="shared" si="297"/>
        <v>46201</v>
      </c>
      <c r="M1087" s="105">
        <f ca="1" t="shared" si="298"/>
        <v>-112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309"/>
        <v>0</v>
      </c>
      <c r="Z1087" s="105">
        <f ca="1" t="shared" si="310"/>
        <v>-46313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>
        <f t="shared" si="307"/>
        <v>0</v>
      </c>
      <c r="AM1087" s="105">
        <f ca="1" t="shared" si="308"/>
        <v>-46313</v>
      </c>
      <c r="AN1087" s="115"/>
      <c r="AO1087" s="115"/>
      <c r="AP1087" s="115"/>
      <c r="AQ1087" s="93"/>
      <c r="AR1087" s="93"/>
      <c r="AS1087" s="94"/>
      <c r="AT1087" s="95"/>
      <c r="AU1087" s="79"/>
      <c r="AV1087" s="117"/>
      <c r="AW1087" s="115"/>
      <c r="AX1087" s="106"/>
      <c r="AY1087" s="104"/>
      <c r="AZ1087" s="105"/>
    </row>
    <row r="1088" customHeight="1" spans="1:52">
      <c r="A1088" s="70">
        <v>1089</v>
      </c>
      <c r="B1088" s="108" t="s">
        <v>281</v>
      </c>
      <c r="C1088" s="70" t="s">
        <v>264</v>
      </c>
      <c r="D1088" s="213" t="s">
        <v>3557</v>
      </c>
      <c r="E1088" s="71" t="s">
        <v>364</v>
      </c>
      <c r="F1088" s="72"/>
      <c r="G1088" s="73"/>
      <c r="H1088" s="75"/>
      <c r="I1088" s="102">
        <v>46109</v>
      </c>
      <c r="J1088" s="70" t="s">
        <v>767</v>
      </c>
      <c r="K1088" s="106"/>
      <c r="L1088" s="104" t="e">
        <f t="shared" si="297"/>
        <v>#VALUE!</v>
      </c>
      <c r="M1088" s="105" t="e">
        <f ca="1" t="shared" si="29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309"/>
        <v>0</v>
      </c>
      <c r="Z1088" s="105">
        <f ca="1" t="shared" si="310"/>
        <v>-46313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>
        <f t="shared" si="307"/>
        <v>0</v>
      </c>
      <c r="AM1088" s="105">
        <f ca="1" t="shared" si="308"/>
        <v>-46313</v>
      </c>
      <c r="AN1088" s="115"/>
      <c r="AO1088" s="115"/>
      <c r="AP1088" s="115"/>
      <c r="AQ1088" s="93"/>
      <c r="AR1088" s="93"/>
      <c r="AS1088" s="94"/>
      <c r="AT1088" s="95"/>
      <c r="AU1088" s="79"/>
      <c r="AV1088" s="117"/>
      <c r="AW1088" s="115"/>
      <c r="AX1088" s="106"/>
      <c r="AY1088" s="104"/>
      <c r="AZ1088" s="105"/>
    </row>
    <row r="1089" customHeight="1" spans="1:52">
      <c r="A1089" s="70">
        <v>1090</v>
      </c>
      <c r="B1089" s="108" t="s">
        <v>281</v>
      </c>
      <c r="C1089" s="70" t="s">
        <v>264</v>
      </c>
      <c r="D1089" s="205" t="s">
        <v>3643</v>
      </c>
      <c r="E1089" s="71" t="s">
        <v>3644</v>
      </c>
      <c r="F1089" s="72"/>
      <c r="G1089" s="73"/>
      <c r="H1089" s="75"/>
      <c r="I1089" s="102">
        <v>46109</v>
      </c>
      <c r="J1089" s="70">
        <v>3</v>
      </c>
      <c r="K1089" s="106" t="s">
        <v>3645</v>
      </c>
      <c r="L1089" s="104">
        <f t="shared" si="297"/>
        <v>46201</v>
      </c>
      <c r="M1089" s="105">
        <f ca="1" t="shared" si="298"/>
        <v>-112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309"/>
        <v>0</v>
      </c>
      <c r="Z1089" s="105">
        <f ca="1" t="shared" si="310"/>
        <v>-46313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>
        <f t="shared" si="307"/>
        <v>0</v>
      </c>
      <c r="AM1089" s="105">
        <f ca="1" t="shared" si="308"/>
        <v>-46313</v>
      </c>
      <c r="AN1089" s="115"/>
      <c r="AO1089" s="115"/>
      <c r="AP1089" s="115"/>
      <c r="AQ1089" s="93"/>
      <c r="AR1089" s="93"/>
      <c r="AS1089" s="94"/>
      <c r="AT1089" s="95"/>
      <c r="AU1089" s="79"/>
      <c r="AV1089" s="117"/>
      <c r="AW1089" s="115"/>
      <c r="AX1089" s="106"/>
      <c r="AY1089" s="104"/>
      <c r="AZ1089" s="105"/>
    </row>
    <row r="1090" customHeight="1" spans="1:52">
      <c r="A1090" s="70">
        <v>1091</v>
      </c>
      <c r="B1090" s="108" t="s">
        <v>281</v>
      </c>
      <c r="C1090" s="70" t="s">
        <v>264</v>
      </c>
      <c r="D1090" s="205" t="s">
        <v>3646</v>
      </c>
      <c r="E1090" s="71" t="s">
        <v>3647</v>
      </c>
      <c r="F1090" s="72"/>
      <c r="G1090" s="73"/>
      <c r="H1090" s="75"/>
      <c r="I1090" s="102">
        <v>46109</v>
      </c>
      <c r="J1090" s="70">
        <v>3</v>
      </c>
      <c r="K1090" s="106" t="s">
        <v>3648</v>
      </c>
      <c r="L1090" s="104">
        <f t="shared" si="297"/>
        <v>46201</v>
      </c>
      <c r="M1090" s="105">
        <f ca="1">L1090-TODAY()</f>
        <v>-112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309"/>
        <v>0</v>
      </c>
      <c r="Z1090" s="105">
        <f ca="1" t="shared" si="310"/>
        <v>-46313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>
        <f t="shared" si="307"/>
        <v>0</v>
      </c>
      <c r="AM1090" s="105">
        <f ca="1" t="shared" si="308"/>
        <v>-46313</v>
      </c>
      <c r="AN1090" s="115"/>
      <c r="AO1090" s="115"/>
      <c r="AP1090" s="115"/>
      <c r="AQ1090" s="93"/>
      <c r="AR1090" s="93"/>
      <c r="AS1090" s="94"/>
      <c r="AT1090" s="95"/>
      <c r="AU1090" s="79"/>
      <c r="AV1090" s="117"/>
      <c r="AW1090" s="115"/>
      <c r="AX1090" s="106"/>
      <c r="AY1090" s="104"/>
      <c r="AZ1090" s="105"/>
    </row>
    <row r="1091" customHeight="1" spans="1:52">
      <c r="A1091" s="70">
        <v>1092</v>
      </c>
      <c r="B1091" s="108" t="s">
        <v>281</v>
      </c>
      <c r="C1091" s="70" t="s">
        <v>264</v>
      </c>
      <c r="D1091" s="214" t="s">
        <v>3649</v>
      </c>
      <c r="E1091" s="71" t="s">
        <v>3650</v>
      </c>
      <c r="F1091" s="72"/>
      <c r="G1091" s="73"/>
      <c r="H1091" s="75"/>
      <c r="I1091" s="102">
        <v>46109</v>
      </c>
      <c r="J1091" s="70">
        <v>3</v>
      </c>
      <c r="K1091" s="106" t="s">
        <v>3651</v>
      </c>
      <c r="L1091" s="104">
        <f t="shared" si="297"/>
        <v>46201</v>
      </c>
      <c r="M1091" s="105">
        <f ca="1">L1091-TODAY()</f>
        <v>-112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309"/>
        <v>0</v>
      </c>
      <c r="Z1091" s="105">
        <f ca="1" t="shared" si="310"/>
        <v>-46313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>
        <f t="shared" si="307"/>
        <v>0</v>
      </c>
      <c r="AM1091" s="105">
        <f ca="1" t="shared" si="308"/>
        <v>-46313</v>
      </c>
      <c r="AN1091" s="115"/>
      <c r="AO1091" s="115"/>
      <c r="AP1091" s="115"/>
      <c r="AQ1091" s="93"/>
      <c r="AR1091" s="93"/>
      <c r="AS1091" s="94"/>
      <c r="AT1091" s="95"/>
      <c r="AU1091" s="79"/>
      <c r="AV1091" s="117"/>
      <c r="AW1091" s="115"/>
      <c r="AX1091" s="106"/>
      <c r="AY1091" s="104"/>
      <c r="AZ1091" s="105"/>
    </row>
    <row r="1092" customHeight="1" spans="1:52">
      <c r="A1092" s="70">
        <v>1093</v>
      </c>
      <c r="B1092" s="108" t="s">
        <v>295</v>
      </c>
      <c r="C1092" s="70" t="s">
        <v>264</v>
      </c>
      <c r="D1092" s="205" t="s">
        <v>3652</v>
      </c>
      <c r="E1092" s="71" t="s">
        <v>3653</v>
      </c>
      <c r="F1092" s="72"/>
      <c r="G1092" s="73"/>
      <c r="H1092" s="75"/>
      <c r="I1092" s="102">
        <v>46109</v>
      </c>
      <c r="J1092" s="70">
        <v>3</v>
      </c>
      <c r="K1092" s="106" t="s">
        <v>3654</v>
      </c>
      <c r="L1092" s="104">
        <f t="shared" ref="L1092:L1104" si="311">EDATE(I1092,J1092)</f>
        <v>46201</v>
      </c>
      <c r="M1092" s="105">
        <f ca="1" t="shared" ref="M1092:M1104" si="312">L1092-TODAY()</f>
        <v>-112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309"/>
        <v>0</v>
      </c>
      <c r="Z1092" s="105">
        <f ca="1" t="shared" si="310"/>
        <v>-46313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>
        <f t="shared" si="307"/>
        <v>0</v>
      </c>
      <c r="AM1092" s="105">
        <f ca="1" t="shared" si="308"/>
        <v>-46313</v>
      </c>
      <c r="AN1092" s="115"/>
      <c r="AO1092" s="115"/>
      <c r="AP1092" s="115"/>
      <c r="AQ1092" s="93"/>
      <c r="AR1092" s="93"/>
      <c r="AS1092" s="94"/>
      <c r="AT1092" s="95"/>
      <c r="AU1092" s="79"/>
      <c r="AV1092" s="117"/>
      <c r="AW1092" s="115"/>
      <c r="AX1092" s="106"/>
      <c r="AY1092" s="104"/>
      <c r="AZ1092" s="105"/>
    </row>
    <row r="1093" customHeight="1" spans="1:52">
      <c r="A1093" s="70">
        <v>1094</v>
      </c>
      <c r="B1093" s="108" t="s">
        <v>295</v>
      </c>
      <c r="C1093" s="70" t="s">
        <v>264</v>
      </c>
      <c r="D1093" s="205" t="s">
        <v>3020</v>
      </c>
      <c r="E1093" s="71" t="s">
        <v>3655</v>
      </c>
      <c r="F1093" s="72"/>
      <c r="G1093" s="73"/>
      <c r="H1093" s="75"/>
      <c r="I1093" s="102">
        <v>46109</v>
      </c>
      <c r="J1093" s="70" t="s">
        <v>767</v>
      </c>
      <c r="K1093" s="106"/>
      <c r="L1093" s="104" t="e">
        <f t="shared" si="311"/>
        <v>#VALUE!</v>
      </c>
      <c r="M1093" s="105" t="e">
        <f ca="1" t="shared" si="312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309"/>
        <v>0</v>
      </c>
      <c r="Z1093" s="105">
        <f ca="1" t="shared" si="310"/>
        <v>-46313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>
        <f t="shared" si="307"/>
        <v>0</v>
      </c>
      <c r="AM1093" s="105">
        <f ca="1" t="shared" si="308"/>
        <v>-46313</v>
      </c>
      <c r="AN1093" s="115"/>
      <c r="AO1093" s="115"/>
      <c r="AP1093" s="115"/>
      <c r="AQ1093" s="93"/>
      <c r="AR1093" s="93"/>
      <c r="AS1093" s="94"/>
      <c r="AT1093" s="95"/>
      <c r="AU1093" s="79"/>
      <c r="AV1093" s="117"/>
      <c r="AW1093" s="115"/>
      <c r="AX1093" s="106"/>
      <c r="AY1093" s="104"/>
      <c r="AZ1093" s="105"/>
    </row>
    <row r="1094" customHeight="1" spans="1:52">
      <c r="A1094" s="70">
        <v>1095</v>
      </c>
      <c r="B1094" s="108" t="s">
        <v>685</v>
      </c>
      <c r="C1094" s="70" t="s">
        <v>13</v>
      </c>
      <c r="D1094" s="108" t="s">
        <v>3656</v>
      </c>
      <c r="E1094" s="93" t="s">
        <v>3657</v>
      </c>
      <c r="F1094" s="94"/>
      <c r="G1094" s="95"/>
      <c r="H1094" s="75"/>
      <c r="I1094" s="102">
        <v>46109</v>
      </c>
      <c r="J1094" s="70">
        <v>3</v>
      </c>
      <c r="K1094" s="106" t="s">
        <v>3658</v>
      </c>
      <c r="L1094" s="104">
        <f t="shared" si="311"/>
        <v>46201</v>
      </c>
      <c r="M1094" s="105">
        <f ca="1" t="shared" si="312"/>
        <v>-112</v>
      </c>
      <c r="N1094" s="70"/>
      <c r="O1094" s="108" t="s">
        <v>685</v>
      </c>
      <c r="P1094" s="70" t="s">
        <v>13</v>
      </c>
      <c r="Q1094" s="108" t="s">
        <v>3656</v>
      </c>
      <c r="R1094" s="93" t="s">
        <v>3657</v>
      </c>
      <c r="S1094" s="94"/>
      <c r="T1094" s="95"/>
      <c r="U1094" s="75"/>
      <c r="V1094" s="102">
        <v>46267</v>
      </c>
      <c r="W1094" s="70">
        <v>3</v>
      </c>
      <c r="X1094" s="103" t="s">
        <v>3659</v>
      </c>
      <c r="Y1094" s="104">
        <f t="shared" si="309"/>
        <v>46358</v>
      </c>
      <c r="Z1094" s="105">
        <f ca="1" t="shared" si="310"/>
        <v>45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>
        <f t="shared" si="307"/>
        <v>0</v>
      </c>
      <c r="AM1094" s="105">
        <f ca="1" t="shared" si="308"/>
        <v>-46313</v>
      </c>
      <c r="AN1094" s="115"/>
      <c r="AO1094" s="115"/>
      <c r="AP1094" s="115"/>
      <c r="AQ1094" s="93"/>
      <c r="AR1094" s="93"/>
      <c r="AS1094" s="94"/>
      <c r="AT1094" s="95"/>
      <c r="AU1094" s="79"/>
      <c r="AV1094" s="117"/>
      <c r="AW1094" s="115"/>
      <c r="AX1094" s="106"/>
      <c r="AY1094" s="104"/>
      <c r="AZ1094" s="105"/>
    </row>
    <row r="1095" customHeight="1" spans="1:52">
      <c r="A1095" s="70">
        <v>1096</v>
      </c>
      <c r="B1095" s="108" t="s">
        <v>169</v>
      </c>
      <c r="C1095" s="70" t="s">
        <v>38</v>
      </c>
      <c r="D1095" s="205" t="s">
        <v>170</v>
      </c>
      <c r="E1095" s="71" t="s">
        <v>3230</v>
      </c>
      <c r="F1095" s="72"/>
      <c r="G1095" s="73"/>
      <c r="H1095" s="75"/>
      <c r="I1095" s="102">
        <v>46109</v>
      </c>
      <c r="J1095" s="70" t="s">
        <v>767</v>
      </c>
      <c r="K1095" s="106"/>
      <c r="L1095" s="104" t="e">
        <f t="shared" si="311"/>
        <v>#VALUE!</v>
      </c>
      <c r="M1095" s="105" t="e">
        <f ca="1" t="shared" si="31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309"/>
        <v>0</v>
      </c>
      <c r="Z1095" s="105">
        <f ca="1" t="shared" si="310"/>
        <v>-46313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>
        <f t="shared" si="307"/>
        <v>0</v>
      </c>
      <c r="AM1095" s="105">
        <f ca="1" t="shared" si="308"/>
        <v>-46313</v>
      </c>
      <c r="AN1095" s="115"/>
      <c r="AO1095" s="115"/>
      <c r="AP1095" s="115"/>
      <c r="AQ1095" s="93"/>
      <c r="AR1095" s="93"/>
      <c r="AS1095" s="94"/>
      <c r="AT1095" s="95"/>
      <c r="AU1095" s="79"/>
      <c r="AV1095" s="117"/>
      <c r="AW1095" s="115"/>
      <c r="AX1095" s="106"/>
      <c r="AY1095" s="104"/>
      <c r="AZ1095" s="105"/>
    </row>
    <row r="1096" customHeight="1" spans="1:52">
      <c r="A1096" s="70">
        <v>1097</v>
      </c>
      <c r="B1096" s="108" t="s">
        <v>1359</v>
      </c>
      <c r="C1096" s="70" t="s">
        <v>13</v>
      </c>
      <c r="D1096" s="214" t="s">
        <v>2622</v>
      </c>
      <c r="E1096" s="71" t="s">
        <v>2813</v>
      </c>
      <c r="F1096" s="72"/>
      <c r="G1096" s="73"/>
      <c r="H1096" s="75"/>
      <c r="I1096" s="102">
        <v>46109</v>
      </c>
      <c r="J1096" s="70" t="s">
        <v>767</v>
      </c>
      <c r="K1096" s="106"/>
      <c r="L1096" s="104" t="e">
        <f t="shared" si="311"/>
        <v>#VALUE!</v>
      </c>
      <c r="M1096" s="105" t="e">
        <f ca="1" t="shared" si="312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309"/>
        <v>0</v>
      </c>
      <c r="Z1096" s="105">
        <f ca="1" t="shared" si="310"/>
        <v>-46313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>
        <f t="shared" si="307"/>
        <v>0</v>
      </c>
      <c r="AM1096" s="105">
        <f ca="1" t="shared" si="308"/>
        <v>-46313</v>
      </c>
      <c r="AN1096" s="115"/>
      <c r="AO1096" s="115"/>
      <c r="AP1096" s="115"/>
      <c r="AQ1096" s="93"/>
      <c r="AR1096" s="93"/>
      <c r="AS1096" s="94"/>
      <c r="AT1096" s="95"/>
      <c r="AU1096" s="79"/>
      <c r="AV1096" s="117"/>
      <c r="AW1096" s="115"/>
      <c r="AX1096" s="106"/>
      <c r="AY1096" s="104"/>
      <c r="AZ1096" s="105"/>
    </row>
    <row r="1097" customHeight="1" spans="1:52">
      <c r="A1097" s="70">
        <v>1098</v>
      </c>
      <c r="B1097" s="108" t="s">
        <v>1359</v>
      </c>
      <c r="C1097" s="70" t="s">
        <v>13</v>
      </c>
      <c r="D1097" s="214" t="s">
        <v>2718</v>
      </c>
      <c r="E1097" s="71" t="s">
        <v>2719</v>
      </c>
      <c r="F1097" s="72"/>
      <c r="G1097" s="73"/>
      <c r="H1097" s="75"/>
      <c r="I1097" s="102">
        <v>46109</v>
      </c>
      <c r="J1097" s="70" t="s">
        <v>767</v>
      </c>
      <c r="K1097" s="106"/>
      <c r="L1097" s="104" t="e">
        <f t="shared" si="311"/>
        <v>#VALUE!</v>
      </c>
      <c r="M1097" s="105" t="e">
        <f ca="1" t="shared" si="31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309"/>
        <v>0</v>
      </c>
      <c r="Z1097" s="105">
        <f ca="1" t="shared" si="310"/>
        <v>-46313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5"/>
      <c r="AO1097" s="115"/>
      <c r="AP1097" s="115"/>
      <c r="AQ1097" s="93"/>
      <c r="AR1097" s="93"/>
      <c r="AS1097" s="94"/>
      <c r="AT1097" s="95"/>
      <c r="AU1097" s="79"/>
      <c r="AV1097" s="117"/>
      <c r="AW1097" s="115"/>
      <c r="AX1097" s="106"/>
      <c r="AY1097" s="104"/>
      <c r="AZ1097" s="105"/>
    </row>
    <row r="1098" customHeight="1" spans="1:52">
      <c r="A1098" s="70">
        <v>1099</v>
      </c>
      <c r="B1098" s="108" t="s">
        <v>1359</v>
      </c>
      <c r="C1098" s="70" t="s">
        <v>13</v>
      </c>
      <c r="D1098" s="214" t="s">
        <v>2626</v>
      </c>
      <c r="E1098" s="71" t="s">
        <v>2388</v>
      </c>
      <c r="F1098" s="72"/>
      <c r="G1098" s="73"/>
      <c r="H1098" s="75"/>
      <c r="I1098" s="102">
        <v>46109</v>
      </c>
      <c r="J1098" s="70" t="s">
        <v>767</v>
      </c>
      <c r="K1098" s="106"/>
      <c r="L1098" s="104" t="e">
        <f t="shared" si="311"/>
        <v>#VALUE!</v>
      </c>
      <c r="M1098" s="105" t="e">
        <f ca="1" t="shared" si="31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313">EDATE(V1098,W1098)</f>
        <v>0</v>
      </c>
      <c r="Z1098" s="105">
        <f ca="1" t="shared" ref="Z1098:Z1107" si="314">Y1098-TODAY()</f>
        <v>-46313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5"/>
      <c r="AO1098" s="115"/>
      <c r="AP1098" s="115"/>
      <c r="AQ1098" s="93"/>
      <c r="AR1098" s="93"/>
      <c r="AS1098" s="94"/>
      <c r="AT1098" s="95"/>
      <c r="AU1098" s="79"/>
      <c r="AV1098" s="117"/>
      <c r="AW1098" s="115"/>
      <c r="AX1098" s="106"/>
      <c r="AY1098" s="104"/>
      <c r="AZ1098" s="105"/>
    </row>
    <row r="1099" customHeight="1" spans="1:52">
      <c r="A1099" s="70">
        <v>1100</v>
      </c>
      <c r="B1099" s="108" t="s">
        <v>1359</v>
      </c>
      <c r="C1099" s="70" t="s">
        <v>13</v>
      </c>
      <c r="D1099" s="214" t="s">
        <v>2714</v>
      </c>
      <c r="E1099" s="71" t="s">
        <v>2715</v>
      </c>
      <c r="F1099" s="72"/>
      <c r="G1099" s="73"/>
      <c r="H1099" s="75"/>
      <c r="I1099" s="102">
        <v>46109</v>
      </c>
      <c r="J1099" s="70" t="s">
        <v>767</v>
      </c>
      <c r="K1099" s="106"/>
      <c r="L1099" s="104" t="e">
        <f t="shared" si="311"/>
        <v>#VALUE!</v>
      </c>
      <c r="M1099" s="105" t="e">
        <f ca="1" t="shared" si="31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313"/>
        <v>0</v>
      </c>
      <c r="Z1099" s="105">
        <f ca="1" t="shared" si="314"/>
        <v>-46313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5"/>
      <c r="AO1099" s="115"/>
      <c r="AP1099" s="115"/>
      <c r="AQ1099" s="93"/>
      <c r="AR1099" s="93"/>
      <c r="AS1099" s="94"/>
      <c r="AT1099" s="95"/>
      <c r="AU1099" s="79"/>
      <c r="AV1099" s="117"/>
      <c r="AW1099" s="115"/>
      <c r="AX1099" s="106"/>
      <c r="AY1099" s="104"/>
      <c r="AZ1099" s="105"/>
    </row>
    <row r="1100" customHeight="1" spans="1:52">
      <c r="A1100" s="70">
        <v>1101</v>
      </c>
      <c r="B1100" s="108" t="s">
        <v>229</v>
      </c>
      <c r="C1100" s="70" t="s">
        <v>38</v>
      </c>
      <c r="D1100" s="216" t="s">
        <v>3660</v>
      </c>
      <c r="E1100" s="71" t="s">
        <v>332</v>
      </c>
      <c r="F1100" s="72"/>
      <c r="G1100" s="73"/>
      <c r="H1100" s="75"/>
      <c r="I1100" s="102">
        <v>46109</v>
      </c>
      <c r="J1100" s="70">
        <v>3</v>
      </c>
      <c r="K1100" s="106" t="s">
        <v>3661</v>
      </c>
      <c r="L1100" s="104">
        <f t="shared" si="311"/>
        <v>46201</v>
      </c>
      <c r="M1100" s="105">
        <f ca="1" t="shared" si="312"/>
        <v>-112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313"/>
        <v>0</v>
      </c>
      <c r="Z1100" s="105">
        <f ca="1" t="shared" si="314"/>
        <v>-46313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5"/>
      <c r="AO1100" s="115"/>
      <c r="AP1100" s="115"/>
      <c r="AQ1100" s="93"/>
      <c r="AR1100" s="93"/>
      <c r="AS1100" s="94"/>
      <c r="AT1100" s="95"/>
      <c r="AU1100" s="79"/>
      <c r="AV1100" s="117"/>
      <c r="AW1100" s="115"/>
      <c r="AX1100" s="106"/>
      <c r="AY1100" s="104"/>
      <c r="AZ1100" s="105"/>
    </row>
    <row r="1101" customHeight="1" spans="1:52">
      <c r="A1101" s="70">
        <v>1102</v>
      </c>
      <c r="B1101" s="204" t="s">
        <v>134</v>
      </c>
      <c r="C1101" s="70" t="s">
        <v>13</v>
      </c>
      <c r="D1101" s="71" t="s">
        <v>3662</v>
      </c>
      <c r="E1101" s="71" t="s">
        <v>126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3663</v>
      </c>
      <c r="L1101" s="104">
        <f t="shared" si="311"/>
        <v>46202</v>
      </c>
      <c r="M1101" s="105">
        <f ca="1" t="shared" si="312"/>
        <v>-111</v>
      </c>
      <c r="N1101" s="70"/>
      <c r="O1101" s="204" t="s">
        <v>134</v>
      </c>
      <c r="P1101" s="70" t="s">
        <v>13</v>
      </c>
      <c r="Q1101" s="71" t="s">
        <v>3662</v>
      </c>
      <c r="R1101" s="71" t="s">
        <v>126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3664</v>
      </c>
      <c r="Y1101" s="104">
        <f t="shared" si="313"/>
        <v>46320</v>
      </c>
      <c r="Z1101" s="105">
        <f ca="1" t="shared" si="314"/>
        <v>7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5"/>
      <c r="AO1101" s="115"/>
      <c r="AP1101" s="115"/>
      <c r="AQ1101" s="93"/>
      <c r="AR1101" s="93"/>
      <c r="AS1101" s="94"/>
      <c r="AT1101" s="95"/>
      <c r="AU1101" s="79"/>
      <c r="AV1101" s="117"/>
      <c r="AW1101" s="115"/>
      <c r="AX1101" s="106"/>
      <c r="AY1101" s="104"/>
      <c r="AZ1101" s="105"/>
    </row>
    <row r="1102" customHeight="1" spans="1:52">
      <c r="A1102" s="70">
        <v>1103</v>
      </c>
      <c r="B1102" s="204" t="s">
        <v>169</v>
      </c>
      <c r="C1102" s="70" t="s">
        <v>38</v>
      </c>
      <c r="D1102" s="217" t="s">
        <v>170</v>
      </c>
      <c r="E1102" s="71" t="s">
        <v>3230</v>
      </c>
      <c r="F1102" s="72"/>
      <c r="G1102" s="73"/>
      <c r="H1102" s="75"/>
      <c r="I1102" s="102">
        <v>46110</v>
      </c>
      <c r="J1102" s="70" t="s">
        <v>767</v>
      </c>
      <c r="K1102" s="106"/>
      <c r="L1102" s="104" t="e">
        <f t="shared" si="311"/>
        <v>#VALUE!</v>
      </c>
      <c r="M1102" s="105" t="e">
        <f ca="1" t="shared" si="312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313"/>
        <v>0</v>
      </c>
      <c r="Z1102" s="105">
        <f ca="1" t="shared" si="314"/>
        <v>-46313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5"/>
      <c r="AO1102" s="115"/>
      <c r="AP1102" s="115"/>
      <c r="AQ1102" s="93"/>
      <c r="AR1102" s="93"/>
      <c r="AS1102" s="94"/>
      <c r="AT1102" s="95"/>
      <c r="AU1102" s="79"/>
      <c r="AV1102" s="117"/>
      <c r="AW1102" s="115"/>
      <c r="AX1102" s="106"/>
      <c r="AY1102" s="104"/>
      <c r="AZ1102" s="105"/>
    </row>
    <row r="1103" customHeight="1" spans="1:52">
      <c r="A1103" s="70">
        <v>1104</v>
      </c>
      <c r="B1103" s="108" t="s">
        <v>1275</v>
      </c>
      <c r="C1103" s="70" t="s">
        <v>38</v>
      </c>
      <c r="D1103" s="205" t="s">
        <v>3665</v>
      </c>
      <c r="E1103" s="71" t="s">
        <v>189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3666</v>
      </c>
      <c r="L1103" s="104">
        <f t="shared" si="311"/>
        <v>46203</v>
      </c>
      <c r="M1103" s="105">
        <f ca="1" t="shared" si="312"/>
        <v>-110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313"/>
        <v>0</v>
      </c>
      <c r="Z1103" s="105">
        <f ca="1" t="shared" si="314"/>
        <v>-46313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5"/>
      <c r="AO1103" s="115"/>
      <c r="AP1103" s="115"/>
      <c r="AQ1103" s="93"/>
      <c r="AR1103" s="93"/>
      <c r="AS1103" s="94"/>
      <c r="AT1103" s="95"/>
      <c r="AU1103" s="79"/>
      <c r="AV1103" s="117"/>
      <c r="AW1103" s="115"/>
      <c r="AX1103" s="106"/>
      <c r="AY1103" s="104"/>
      <c r="AZ1103" s="105"/>
    </row>
    <row r="1104" customHeight="1" spans="1:52">
      <c r="A1104" s="70">
        <v>1105</v>
      </c>
      <c r="B1104" s="108" t="s">
        <v>1275</v>
      </c>
      <c r="C1104" s="70" t="s">
        <v>38</v>
      </c>
      <c r="D1104" s="205" t="s">
        <v>3667</v>
      </c>
      <c r="E1104" s="71" t="s">
        <v>189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3668</v>
      </c>
      <c r="L1104" s="104">
        <f t="shared" si="311"/>
        <v>46203</v>
      </c>
      <c r="M1104" s="105">
        <f ca="1" t="shared" si="312"/>
        <v>-110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313"/>
        <v>0</v>
      </c>
      <c r="Z1104" s="105">
        <f ca="1" t="shared" si="314"/>
        <v>-46313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5"/>
      <c r="AO1104" s="115"/>
      <c r="AP1104" s="115"/>
      <c r="AQ1104" s="93"/>
      <c r="AR1104" s="93"/>
      <c r="AS1104" s="94"/>
      <c r="AT1104" s="95"/>
      <c r="AU1104" s="79"/>
      <c r="AV1104" s="117"/>
      <c r="AW1104" s="115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5" t="s">
        <v>3669</v>
      </c>
      <c r="E1105" s="71" t="s">
        <v>34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3670</v>
      </c>
      <c r="L1105" s="104">
        <f t="shared" ref="L1105:L1124" si="315">EDATE(I1105,J1105)</f>
        <v>46203</v>
      </c>
      <c r="M1105" s="105">
        <f ca="1" t="shared" ref="M1105:M1124" si="316">L1105-TODAY()</f>
        <v>-110</v>
      </c>
      <c r="N1105" s="70"/>
      <c r="O1105" s="108" t="s">
        <v>12</v>
      </c>
      <c r="P1105" s="70" t="s">
        <v>13</v>
      </c>
      <c r="Q1105" s="205" t="s">
        <v>3669</v>
      </c>
      <c r="R1105" s="71" t="s">
        <v>34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3671</v>
      </c>
      <c r="Y1105" s="104">
        <f t="shared" si="313"/>
        <v>46316</v>
      </c>
      <c r="Z1105" s="105">
        <f ca="1" t="shared" si="314"/>
        <v>3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5"/>
      <c r="AO1105" s="115"/>
      <c r="AP1105" s="115"/>
      <c r="AQ1105" s="93"/>
      <c r="AR1105" s="93"/>
      <c r="AS1105" s="94"/>
      <c r="AT1105" s="95"/>
      <c r="AU1105" s="79"/>
      <c r="AV1105" s="117"/>
      <c r="AW1105" s="115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8" t="s">
        <v>3672</v>
      </c>
      <c r="E1106" s="71" t="s">
        <v>34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3673</v>
      </c>
      <c r="L1106" s="104">
        <f t="shared" si="315"/>
        <v>46203</v>
      </c>
      <c r="M1106" s="105">
        <f ca="1" t="shared" si="316"/>
        <v>-110</v>
      </c>
      <c r="N1106" s="70"/>
      <c r="O1106" s="108" t="s">
        <v>694</v>
      </c>
      <c r="P1106" s="70" t="s">
        <v>13</v>
      </c>
      <c r="Q1106" s="218" t="s">
        <v>3672</v>
      </c>
      <c r="R1106" s="71" t="s">
        <v>34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3674</v>
      </c>
      <c r="Y1106" s="104">
        <f t="shared" si="313"/>
        <v>46311</v>
      </c>
      <c r="Z1106" s="105">
        <f ca="1" t="shared" si="314"/>
        <v>-2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5"/>
      <c r="AO1106" s="115"/>
      <c r="AP1106" s="115"/>
      <c r="AQ1106" s="93"/>
      <c r="AR1106" s="93"/>
      <c r="AS1106" s="94"/>
      <c r="AT1106" s="95"/>
      <c r="AU1106" s="79"/>
      <c r="AV1106" s="117"/>
      <c r="AW1106" s="115"/>
      <c r="AX1106" s="106"/>
      <c r="AY1106" s="104"/>
      <c r="AZ1106" s="105"/>
    </row>
    <row r="1107" customHeight="1" spans="1:52">
      <c r="A1107" s="70">
        <v>1109</v>
      </c>
      <c r="B1107" s="108" t="s">
        <v>1359</v>
      </c>
      <c r="C1107" s="70" t="s">
        <v>13</v>
      </c>
      <c r="D1107" s="205" t="s">
        <v>2622</v>
      </c>
      <c r="E1107" s="71" t="s">
        <v>2813</v>
      </c>
      <c r="F1107" s="72"/>
      <c r="G1107" s="73"/>
      <c r="H1107" s="75"/>
      <c r="I1107" s="102">
        <v>46112</v>
      </c>
      <c r="J1107" s="70" t="s">
        <v>767</v>
      </c>
      <c r="K1107" s="106"/>
      <c r="L1107" s="104" t="e">
        <f t="shared" si="315"/>
        <v>#VALUE!</v>
      </c>
      <c r="M1107" s="105" t="e">
        <f ca="1" t="shared" si="316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313"/>
        <v>0</v>
      </c>
      <c r="Z1107" s="105">
        <f ca="1" t="shared" si="314"/>
        <v>-46313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5"/>
      <c r="AO1107" s="115"/>
      <c r="AP1107" s="115"/>
      <c r="AQ1107" s="93"/>
      <c r="AR1107" s="93"/>
      <c r="AS1107" s="94"/>
      <c r="AT1107" s="95"/>
      <c r="AU1107" s="79"/>
      <c r="AV1107" s="117"/>
      <c r="AW1107" s="115"/>
      <c r="AX1107" s="106"/>
      <c r="AY1107" s="104"/>
      <c r="AZ1107" s="105"/>
    </row>
    <row r="1108" customHeight="1" spans="1:52">
      <c r="A1108" s="70">
        <v>1110</v>
      </c>
      <c r="B1108" s="108" t="s">
        <v>1359</v>
      </c>
      <c r="C1108" s="70" t="s">
        <v>13</v>
      </c>
      <c r="D1108" s="205" t="s">
        <v>2775</v>
      </c>
      <c r="E1108" s="71" t="s">
        <v>2776</v>
      </c>
      <c r="F1108" s="72"/>
      <c r="G1108" s="73"/>
      <c r="H1108" s="75"/>
      <c r="I1108" s="102">
        <v>46112</v>
      </c>
      <c r="J1108" s="70" t="s">
        <v>767</v>
      </c>
      <c r="K1108" s="106"/>
      <c r="L1108" s="104" t="e">
        <f t="shared" si="315"/>
        <v>#VALUE!</v>
      </c>
      <c r="M1108" s="105" t="e">
        <f ca="1" t="shared" si="316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317">EDATE(V1108,W1108)</f>
        <v>0</v>
      </c>
      <c r="Z1108" s="105">
        <f ca="1" t="shared" ref="Z1106:Z1147" si="318">Y1108-TODAY()</f>
        <v>-46313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>
        <f t="shared" ref="AL1108:AL1171" si="319">EDATE(AI1108,AJ1108)</f>
        <v>0</v>
      </c>
      <c r="AM1108" s="105">
        <f ca="1" t="shared" ref="AM1108:AM1171" si="320">AL1108-TODAY()</f>
        <v>-46313</v>
      </c>
      <c r="AN1108" s="115"/>
      <c r="AO1108" s="115"/>
      <c r="AP1108" s="115"/>
      <c r="AQ1108" s="93"/>
      <c r="AR1108" s="93"/>
      <c r="AS1108" s="94"/>
      <c r="AT1108" s="95"/>
      <c r="AU1108" s="79"/>
      <c r="AV1108" s="117"/>
      <c r="AW1108" s="115"/>
      <c r="AX1108" s="106"/>
      <c r="AY1108" s="104"/>
      <c r="AZ1108" s="105"/>
    </row>
    <row r="1109" customHeight="1" spans="1:52">
      <c r="A1109" s="70">
        <v>1111</v>
      </c>
      <c r="B1109" s="108" t="s">
        <v>1359</v>
      </c>
      <c r="C1109" s="70" t="s">
        <v>13</v>
      </c>
      <c r="D1109" s="205" t="s">
        <v>2779</v>
      </c>
      <c r="E1109" s="71" t="s">
        <v>2780</v>
      </c>
      <c r="F1109" s="72"/>
      <c r="G1109" s="73"/>
      <c r="H1109" s="75"/>
      <c r="I1109" s="102">
        <v>46112</v>
      </c>
      <c r="J1109" s="70" t="s">
        <v>767</v>
      </c>
      <c r="K1109" s="106"/>
      <c r="L1109" s="104" t="e">
        <f t="shared" si="315"/>
        <v>#VALUE!</v>
      </c>
      <c r="M1109" s="105" t="e">
        <f ca="1" t="shared" si="316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317"/>
        <v>0</v>
      </c>
      <c r="Z1109" s="105">
        <f ca="1" t="shared" si="318"/>
        <v>-46313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>
        <f t="shared" si="319"/>
        <v>0</v>
      </c>
      <c r="AM1109" s="105">
        <f ca="1" t="shared" si="320"/>
        <v>-46313</v>
      </c>
      <c r="AN1109" s="115"/>
      <c r="AO1109" s="115"/>
      <c r="AP1109" s="115"/>
      <c r="AQ1109" s="93"/>
      <c r="AR1109" s="93"/>
      <c r="AS1109" s="94"/>
      <c r="AT1109" s="95"/>
      <c r="AU1109" s="79"/>
      <c r="AV1109" s="117"/>
      <c r="AW1109" s="115"/>
      <c r="AX1109" s="106"/>
      <c r="AY1109" s="104"/>
      <c r="AZ1109" s="105"/>
    </row>
    <row r="1110" customHeight="1" spans="1:52">
      <c r="A1110" s="70">
        <v>1112</v>
      </c>
      <c r="B1110" s="70" t="s">
        <v>263</v>
      </c>
      <c r="C1110" s="70" t="s">
        <v>264</v>
      </c>
      <c r="D1110" s="71" t="s">
        <v>265</v>
      </c>
      <c r="E1110" s="71" t="s">
        <v>266</v>
      </c>
      <c r="F1110" s="72"/>
      <c r="G1110" s="73"/>
      <c r="H1110" s="75"/>
      <c r="I1110" s="102">
        <v>46112</v>
      </c>
      <c r="J1110" s="70" t="s">
        <v>767</v>
      </c>
      <c r="K1110" s="106"/>
      <c r="L1110" s="104" t="e">
        <f t="shared" si="315"/>
        <v>#VALUE!</v>
      </c>
      <c r="M1110" s="105" t="e">
        <f ca="1" t="shared" si="316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317"/>
        <v>0</v>
      </c>
      <c r="Z1110" s="105">
        <f ca="1" t="shared" si="318"/>
        <v>-46313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>
        <f t="shared" si="319"/>
        <v>0</v>
      </c>
      <c r="AM1110" s="105">
        <f ca="1" t="shared" si="320"/>
        <v>-46313</v>
      </c>
      <c r="AN1110" s="115"/>
      <c r="AO1110" s="115"/>
      <c r="AP1110" s="115"/>
      <c r="AQ1110" s="93"/>
      <c r="AR1110" s="93"/>
      <c r="AS1110" s="94"/>
      <c r="AT1110" s="95"/>
      <c r="AU1110" s="79"/>
      <c r="AV1110" s="117"/>
      <c r="AW1110" s="115"/>
      <c r="AX1110" s="106"/>
      <c r="AY1110" s="104"/>
      <c r="AZ1110" s="105"/>
    </row>
    <row r="1111" customHeight="1" spans="1:52">
      <c r="A1111" s="70">
        <v>1113</v>
      </c>
      <c r="B1111" s="204" t="s">
        <v>143</v>
      </c>
      <c r="C1111" s="70" t="s">
        <v>38</v>
      </c>
      <c r="D1111" s="206" t="s">
        <v>3675</v>
      </c>
      <c r="E1111" s="71" t="s">
        <v>189</v>
      </c>
      <c r="F1111" s="72"/>
      <c r="G1111" s="73"/>
      <c r="H1111" s="75"/>
      <c r="I1111" s="102">
        <v>46113</v>
      </c>
      <c r="J1111" s="70">
        <v>3</v>
      </c>
      <c r="K1111" s="106" t="s">
        <v>3676</v>
      </c>
      <c r="L1111" s="104">
        <f t="shared" si="315"/>
        <v>46204</v>
      </c>
      <c r="M1111" s="105">
        <f ca="1" t="shared" si="316"/>
        <v>-109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>
        <f t="shared" si="317"/>
        <v>0</v>
      </c>
      <c r="Z1111" s="105">
        <f ca="1" t="shared" si="318"/>
        <v>-46313</v>
      </c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>
        <f t="shared" si="319"/>
        <v>0</v>
      </c>
      <c r="AM1111" s="105">
        <f ca="1" t="shared" si="320"/>
        <v>-46313</v>
      </c>
      <c r="AN1111" s="115"/>
      <c r="AO1111" s="115"/>
      <c r="AP1111" s="115"/>
      <c r="AQ1111" s="93"/>
      <c r="AR1111" s="93"/>
      <c r="AS1111" s="94"/>
      <c r="AT1111" s="95"/>
      <c r="AU1111" s="79"/>
      <c r="AV1111" s="117"/>
      <c r="AW1111" s="115"/>
      <c r="AX1111" s="106"/>
      <c r="AY1111" s="104"/>
      <c r="AZ1111" s="105"/>
    </row>
    <row r="1112" customHeight="1" spans="1:52">
      <c r="A1112" s="70">
        <v>1114</v>
      </c>
      <c r="B1112" s="204" t="s">
        <v>134</v>
      </c>
      <c r="C1112" s="70" t="s">
        <v>13</v>
      </c>
      <c r="D1112" s="206" t="s">
        <v>3677</v>
      </c>
      <c r="E1112" s="71" t="s">
        <v>45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3678</v>
      </c>
      <c r="L1112" s="104">
        <f t="shared" si="315"/>
        <v>46204</v>
      </c>
      <c r="M1112" s="105">
        <f ca="1" t="shared" si="316"/>
        <v>-109</v>
      </c>
      <c r="N1112" s="70"/>
      <c r="O1112" s="204" t="s">
        <v>134</v>
      </c>
      <c r="P1112" s="70" t="s">
        <v>13</v>
      </c>
      <c r="Q1112" s="206" t="s">
        <v>3677</v>
      </c>
      <c r="R1112" s="71" t="s">
        <v>45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3679</v>
      </c>
      <c r="Y1112" s="104">
        <f t="shared" si="317"/>
        <v>46296</v>
      </c>
      <c r="Z1112" s="105">
        <f ca="1" t="shared" si="318"/>
        <v>-17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>
        <f t="shared" si="319"/>
        <v>0</v>
      </c>
      <c r="AM1112" s="105">
        <f ca="1" t="shared" si="320"/>
        <v>-46313</v>
      </c>
      <c r="AN1112" s="115"/>
      <c r="AO1112" s="115"/>
      <c r="AP1112" s="115"/>
      <c r="AQ1112" s="93"/>
      <c r="AR1112" s="93"/>
      <c r="AS1112" s="94"/>
      <c r="AT1112" s="95"/>
      <c r="AU1112" s="79"/>
      <c r="AV1112" s="117"/>
      <c r="AW1112" s="115"/>
      <c r="AX1112" s="106"/>
      <c r="AY1112" s="104"/>
      <c r="AZ1112" s="105"/>
    </row>
    <row r="1113" customHeight="1" spans="1:52">
      <c r="A1113" s="70">
        <v>1114</v>
      </c>
      <c r="B1113" s="204" t="s">
        <v>1359</v>
      </c>
      <c r="C1113" s="70" t="s">
        <v>13</v>
      </c>
      <c r="D1113" s="205" t="s">
        <v>2858</v>
      </c>
      <c r="E1113" s="71" t="s">
        <v>2859</v>
      </c>
      <c r="F1113" s="72"/>
      <c r="G1113" s="73"/>
      <c r="H1113" s="75"/>
      <c r="I1113" s="102">
        <v>46113</v>
      </c>
      <c r="J1113" s="70" t="s">
        <v>767</v>
      </c>
      <c r="K1113" s="106"/>
      <c r="L1113" s="104" t="e">
        <f t="shared" si="315"/>
        <v>#VALUE!</v>
      </c>
      <c r="M1113" s="105" t="e">
        <f ca="1" t="shared" si="316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317"/>
        <v>0</v>
      </c>
      <c r="Z1113" s="105">
        <f ca="1" t="shared" si="318"/>
        <v>-46313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>
        <f t="shared" si="319"/>
        <v>0</v>
      </c>
      <c r="AM1113" s="105">
        <f ca="1" t="shared" si="320"/>
        <v>-46313</v>
      </c>
      <c r="AN1113" s="115"/>
      <c r="AO1113" s="115"/>
      <c r="AP1113" s="115"/>
      <c r="AQ1113" s="93"/>
      <c r="AR1113" s="93"/>
      <c r="AS1113" s="94"/>
      <c r="AT1113" s="95"/>
      <c r="AU1113" s="79"/>
      <c r="AV1113" s="117"/>
      <c r="AW1113" s="115"/>
      <c r="AX1113" s="106"/>
      <c r="AY1113" s="104"/>
      <c r="AZ1113" s="105"/>
    </row>
    <row r="1114" customHeight="1" spans="1:52">
      <c r="A1114" s="70">
        <v>1115</v>
      </c>
      <c r="B1114" s="204" t="s">
        <v>1359</v>
      </c>
      <c r="C1114" s="70" t="s">
        <v>13</v>
      </c>
      <c r="D1114" s="205" t="s">
        <v>2714</v>
      </c>
      <c r="E1114" s="71" t="s">
        <v>2715</v>
      </c>
      <c r="F1114" s="72"/>
      <c r="G1114" s="73"/>
      <c r="H1114" s="75"/>
      <c r="I1114" s="102">
        <v>46113</v>
      </c>
      <c r="J1114" s="70" t="s">
        <v>767</v>
      </c>
      <c r="K1114" s="106"/>
      <c r="L1114" s="104" t="e">
        <f t="shared" si="315"/>
        <v>#VALUE!</v>
      </c>
      <c r="M1114" s="105" t="e">
        <f ca="1" t="shared" si="316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317"/>
        <v>0</v>
      </c>
      <c r="Z1114" s="105">
        <f ca="1" t="shared" si="318"/>
        <v>-46313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>
        <f t="shared" si="319"/>
        <v>0</v>
      </c>
      <c r="AM1114" s="105">
        <f ca="1" t="shared" si="320"/>
        <v>-46313</v>
      </c>
      <c r="AN1114" s="115"/>
      <c r="AO1114" s="115"/>
      <c r="AP1114" s="115"/>
      <c r="AQ1114" s="93"/>
      <c r="AR1114" s="93"/>
      <c r="AS1114" s="94"/>
      <c r="AT1114" s="95"/>
      <c r="AU1114" s="79"/>
      <c r="AV1114" s="117"/>
      <c r="AW1114" s="115"/>
      <c r="AX1114" s="106"/>
      <c r="AY1114" s="104"/>
      <c r="AZ1114" s="105"/>
    </row>
    <row r="1115" customHeight="1" spans="1:52">
      <c r="A1115" s="70">
        <v>1116</v>
      </c>
      <c r="B1115" s="204" t="s">
        <v>1359</v>
      </c>
      <c r="C1115" s="70" t="s">
        <v>13</v>
      </c>
      <c r="D1115" s="205" t="s">
        <v>2626</v>
      </c>
      <c r="E1115" s="71" t="s">
        <v>2388</v>
      </c>
      <c r="F1115" s="72"/>
      <c r="G1115" s="73"/>
      <c r="H1115" s="75"/>
      <c r="I1115" s="102">
        <v>46113</v>
      </c>
      <c r="J1115" s="70" t="s">
        <v>767</v>
      </c>
      <c r="K1115" s="106"/>
      <c r="L1115" s="104" t="e">
        <f t="shared" si="315"/>
        <v>#VALUE!</v>
      </c>
      <c r="M1115" s="105" t="e">
        <f ca="1" t="shared" si="316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317"/>
        <v>0</v>
      </c>
      <c r="Z1115" s="105">
        <f ca="1" t="shared" si="318"/>
        <v>-46313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>
        <f t="shared" si="319"/>
        <v>0</v>
      </c>
      <c r="AM1115" s="105">
        <f ca="1" t="shared" si="320"/>
        <v>-46313</v>
      </c>
      <c r="AN1115" s="115"/>
      <c r="AO1115" s="115"/>
      <c r="AP1115" s="115"/>
      <c r="AQ1115" s="93"/>
      <c r="AR1115" s="93"/>
      <c r="AS1115" s="94"/>
      <c r="AT1115" s="95"/>
      <c r="AU1115" s="79"/>
      <c r="AV1115" s="117"/>
      <c r="AW1115" s="115"/>
      <c r="AX1115" s="106"/>
      <c r="AY1115" s="104"/>
      <c r="AZ1115" s="105"/>
    </row>
    <row r="1116" customHeight="1" spans="1:52">
      <c r="A1116" s="70">
        <v>1117</v>
      </c>
      <c r="B1116" s="70" t="s">
        <v>881</v>
      </c>
      <c r="C1116" s="70" t="s">
        <v>374</v>
      </c>
      <c r="D1116" s="206" t="s">
        <v>3680</v>
      </c>
      <c r="E1116" s="71" t="s">
        <v>654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3681</v>
      </c>
      <c r="L1116" s="104">
        <f t="shared" si="315"/>
        <v>46204</v>
      </c>
      <c r="M1116" s="105">
        <f ca="1" t="shared" si="316"/>
        <v>-109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317"/>
        <v>0</v>
      </c>
      <c r="Z1116" s="105">
        <f ca="1" t="shared" si="318"/>
        <v>-46313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>
        <f t="shared" si="319"/>
        <v>0</v>
      </c>
      <c r="AM1116" s="105">
        <f ca="1" t="shared" si="320"/>
        <v>-46313</v>
      </c>
      <c r="AN1116" s="115"/>
      <c r="AO1116" s="115"/>
      <c r="AP1116" s="115"/>
      <c r="AQ1116" s="93"/>
      <c r="AR1116" s="93"/>
      <c r="AS1116" s="94"/>
      <c r="AT1116" s="95"/>
      <c r="AU1116" s="79"/>
      <c r="AV1116" s="117"/>
      <c r="AW1116" s="115"/>
      <c r="AX1116" s="106"/>
      <c r="AY1116" s="104"/>
      <c r="AZ1116" s="105"/>
    </row>
    <row r="1117" customHeight="1" spans="1:52">
      <c r="A1117" s="70">
        <v>1118</v>
      </c>
      <c r="B1117" s="108" t="s">
        <v>3462</v>
      </c>
      <c r="C1117" s="70" t="s">
        <v>13</v>
      </c>
      <c r="D1117" s="206" t="s">
        <v>3682</v>
      </c>
      <c r="E1117" s="71" t="s">
        <v>604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3683</v>
      </c>
      <c r="L1117" s="104">
        <f t="shared" si="315"/>
        <v>46205</v>
      </c>
      <c r="M1117" s="105">
        <f ca="1" t="shared" si="316"/>
        <v>-108</v>
      </c>
      <c r="N1117" s="70"/>
      <c r="O1117" s="108" t="s">
        <v>3462</v>
      </c>
      <c r="P1117" s="70" t="s">
        <v>13</v>
      </c>
      <c r="Q1117" s="206" t="s">
        <v>3682</v>
      </c>
      <c r="R1117" s="71" t="s">
        <v>604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3684</v>
      </c>
      <c r="Y1117" s="104">
        <f t="shared" si="317"/>
        <v>46296</v>
      </c>
      <c r="Z1117" s="105">
        <f ca="1" t="shared" si="318"/>
        <v>-17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>
        <f t="shared" si="319"/>
        <v>0</v>
      </c>
      <c r="AM1117" s="105">
        <f ca="1" t="shared" si="320"/>
        <v>-46313</v>
      </c>
      <c r="AN1117" s="115"/>
      <c r="AO1117" s="115"/>
      <c r="AP1117" s="115"/>
      <c r="AQ1117" s="93"/>
      <c r="AR1117" s="93"/>
      <c r="AS1117" s="94"/>
      <c r="AT1117" s="95"/>
      <c r="AU1117" s="79"/>
      <c r="AV1117" s="117"/>
      <c r="AW1117" s="115"/>
      <c r="AX1117" s="106"/>
      <c r="AY1117" s="104"/>
      <c r="AZ1117" s="105"/>
    </row>
    <row r="1118" customHeight="1" spans="1:52">
      <c r="A1118" s="70">
        <v>1119</v>
      </c>
      <c r="B1118" s="70" t="s">
        <v>3685</v>
      </c>
      <c r="C1118" s="70" t="s">
        <v>38</v>
      </c>
      <c r="D1118" s="206" t="s">
        <v>3686</v>
      </c>
      <c r="E1118" s="71" t="s">
        <v>3687</v>
      </c>
      <c r="F1118" s="72"/>
      <c r="G1118" s="73"/>
      <c r="H1118" s="75"/>
      <c r="I1118" s="102">
        <v>46114</v>
      </c>
      <c r="J1118" s="70">
        <v>3</v>
      </c>
      <c r="K1118" s="106" t="s">
        <v>3688</v>
      </c>
      <c r="L1118" s="104">
        <f t="shared" si="315"/>
        <v>46205</v>
      </c>
      <c r="M1118" s="105">
        <f ca="1" t="shared" si="316"/>
        <v>-108</v>
      </c>
      <c r="N1118" s="70"/>
      <c r="O1118" s="70" t="s">
        <v>3685</v>
      </c>
      <c r="P1118" s="70" t="s">
        <v>38</v>
      </c>
      <c r="Q1118" s="206" t="s">
        <v>3686</v>
      </c>
      <c r="R1118" s="71" t="s">
        <v>3687</v>
      </c>
      <c r="S1118" s="72"/>
      <c r="T1118" s="73"/>
      <c r="U1118" s="75"/>
      <c r="V1118" s="102">
        <v>46301</v>
      </c>
      <c r="W1118" s="70">
        <v>3</v>
      </c>
      <c r="X1118" s="103" t="s">
        <v>3689</v>
      </c>
      <c r="Y1118" s="104">
        <f t="shared" si="317"/>
        <v>46393</v>
      </c>
      <c r="Z1118" s="105">
        <f ca="1" t="shared" si="318"/>
        <v>80</v>
      </c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>
        <f t="shared" si="319"/>
        <v>0</v>
      </c>
      <c r="AM1118" s="105">
        <f ca="1" t="shared" si="320"/>
        <v>-46313</v>
      </c>
      <c r="AN1118" s="115"/>
      <c r="AO1118" s="115"/>
      <c r="AP1118" s="115"/>
      <c r="AQ1118" s="93"/>
      <c r="AR1118" s="93"/>
      <c r="AS1118" s="94"/>
      <c r="AT1118" s="95"/>
      <c r="AU1118" s="79"/>
      <c r="AV1118" s="117"/>
      <c r="AW1118" s="115"/>
      <c r="AX1118" s="106"/>
      <c r="AY1118" s="104"/>
      <c r="AZ1118" s="105"/>
    </row>
    <row r="1119" customHeight="1" spans="1:52">
      <c r="A1119" s="70">
        <v>1120</v>
      </c>
      <c r="B1119" s="70" t="s">
        <v>3690</v>
      </c>
      <c r="C1119" s="70" t="s">
        <v>38</v>
      </c>
      <c r="D1119" s="71" t="s">
        <v>3691</v>
      </c>
      <c r="E1119" s="71" t="s">
        <v>189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3692</v>
      </c>
      <c r="L1119" s="104">
        <f t="shared" si="315"/>
        <v>46205</v>
      </c>
      <c r="M1119" s="105">
        <f ca="1" t="shared" si="316"/>
        <v>-108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317"/>
        <v>0</v>
      </c>
      <c r="Z1119" s="105">
        <f ca="1" t="shared" si="318"/>
        <v>-46313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>
        <f t="shared" si="319"/>
        <v>0</v>
      </c>
      <c r="AM1119" s="105">
        <f ca="1" t="shared" si="320"/>
        <v>-46313</v>
      </c>
      <c r="AN1119" s="115"/>
      <c r="AO1119" s="115"/>
      <c r="AP1119" s="115"/>
      <c r="AQ1119" s="93"/>
      <c r="AR1119" s="93"/>
      <c r="AS1119" s="94"/>
      <c r="AT1119" s="95"/>
      <c r="AU1119" s="79"/>
      <c r="AV1119" s="117"/>
      <c r="AW1119" s="115"/>
      <c r="AX1119" s="106"/>
      <c r="AY1119" s="104"/>
      <c r="AZ1119" s="105"/>
    </row>
    <row r="1120" customHeight="1" spans="1:52">
      <c r="A1120" s="70">
        <v>1121</v>
      </c>
      <c r="B1120" s="70" t="s">
        <v>3690</v>
      </c>
      <c r="C1120" s="70" t="s">
        <v>13</v>
      </c>
      <c r="D1120" s="71" t="s">
        <v>3693</v>
      </c>
      <c r="E1120" s="71" t="s">
        <v>126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3694</v>
      </c>
      <c r="L1120" s="104">
        <f t="shared" si="315"/>
        <v>46205</v>
      </c>
      <c r="M1120" s="105">
        <f ca="1" t="shared" si="316"/>
        <v>-108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317"/>
        <v>0</v>
      </c>
      <c r="Z1120" s="105">
        <f ca="1" t="shared" si="318"/>
        <v>-46313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>
        <f t="shared" si="319"/>
        <v>0</v>
      </c>
      <c r="AM1120" s="105">
        <f ca="1" t="shared" si="320"/>
        <v>-46313</v>
      </c>
      <c r="AN1120" s="115"/>
      <c r="AO1120" s="115"/>
      <c r="AP1120" s="115"/>
      <c r="AQ1120" s="93"/>
      <c r="AR1120" s="93"/>
      <c r="AS1120" s="94"/>
      <c r="AT1120" s="95"/>
      <c r="AU1120" s="79"/>
      <c r="AV1120" s="117"/>
      <c r="AW1120" s="115"/>
      <c r="AX1120" s="106"/>
      <c r="AY1120" s="104"/>
      <c r="AZ1120" s="105"/>
    </row>
    <row r="1121" customHeight="1" spans="1:52">
      <c r="A1121" s="70">
        <v>1122</v>
      </c>
      <c r="B1121" s="204" t="s">
        <v>1359</v>
      </c>
      <c r="C1121" s="70" t="s">
        <v>13</v>
      </c>
      <c r="D1121" s="205" t="s">
        <v>2714</v>
      </c>
      <c r="E1121" s="71" t="s">
        <v>2715</v>
      </c>
      <c r="F1121" s="72"/>
      <c r="G1121" s="73"/>
      <c r="H1121" s="75"/>
      <c r="I1121" s="102">
        <v>46114</v>
      </c>
      <c r="J1121" s="70" t="s">
        <v>767</v>
      </c>
      <c r="K1121" s="106"/>
      <c r="L1121" s="104" t="e">
        <f t="shared" ref="L1121:L1138" si="321">EDATE(I1121,J1121)</f>
        <v>#VALUE!</v>
      </c>
      <c r="M1121" s="105" t="e">
        <f ca="1" t="shared" ref="M1121:M1138" si="322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317"/>
        <v>0</v>
      </c>
      <c r="Z1121" s="105">
        <f ca="1" t="shared" si="318"/>
        <v>-46313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>
        <f t="shared" si="319"/>
        <v>0</v>
      </c>
      <c r="AM1121" s="105">
        <f ca="1" t="shared" si="320"/>
        <v>-46313</v>
      </c>
      <c r="AN1121" s="115"/>
      <c r="AO1121" s="115"/>
      <c r="AP1121" s="115"/>
      <c r="AQ1121" s="93"/>
      <c r="AR1121" s="93"/>
      <c r="AS1121" s="94"/>
      <c r="AT1121" s="95"/>
      <c r="AU1121" s="79"/>
      <c r="AV1121" s="117"/>
      <c r="AW1121" s="115"/>
      <c r="AX1121" s="106"/>
      <c r="AY1121" s="104"/>
      <c r="AZ1121" s="105"/>
    </row>
    <row r="1122" customHeight="1" spans="1:52">
      <c r="A1122" s="70">
        <v>1123</v>
      </c>
      <c r="B1122" s="204" t="s">
        <v>1359</v>
      </c>
      <c r="C1122" s="70" t="s">
        <v>13</v>
      </c>
      <c r="D1122" s="205" t="s">
        <v>2858</v>
      </c>
      <c r="E1122" s="71" t="s">
        <v>2859</v>
      </c>
      <c r="F1122" s="72"/>
      <c r="G1122" s="73"/>
      <c r="H1122" s="75"/>
      <c r="I1122" s="102">
        <v>46114</v>
      </c>
      <c r="J1122" s="70" t="s">
        <v>767</v>
      </c>
      <c r="K1122" s="106"/>
      <c r="L1122" s="104" t="e">
        <f t="shared" si="321"/>
        <v>#VALUE!</v>
      </c>
      <c r="M1122" s="105" t="e">
        <f ca="1" t="shared" si="322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317"/>
        <v>0</v>
      </c>
      <c r="Z1122" s="105">
        <f ca="1" t="shared" si="318"/>
        <v>-46313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>
        <f t="shared" si="319"/>
        <v>0</v>
      </c>
      <c r="AM1122" s="105">
        <f ca="1" t="shared" si="320"/>
        <v>-46313</v>
      </c>
      <c r="AN1122" s="115"/>
      <c r="AO1122" s="115"/>
      <c r="AP1122" s="115"/>
      <c r="AQ1122" s="93"/>
      <c r="AR1122" s="93"/>
      <c r="AS1122" s="94"/>
      <c r="AT1122" s="95"/>
      <c r="AU1122" s="79"/>
      <c r="AV1122" s="117"/>
      <c r="AW1122" s="115"/>
      <c r="AX1122" s="106"/>
      <c r="AY1122" s="104"/>
      <c r="AZ1122" s="105"/>
    </row>
    <row r="1123" customHeight="1" spans="1:52">
      <c r="A1123" s="70">
        <v>1124</v>
      </c>
      <c r="B1123" s="204" t="s">
        <v>1359</v>
      </c>
      <c r="C1123" s="70" t="s">
        <v>13</v>
      </c>
      <c r="D1123" s="205" t="s">
        <v>2848</v>
      </c>
      <c r="E1123" s="71" t="s">
        <v>2849</v>
      </c>
      <c r="F1123" s="72"/>
      <c r="G1123" s="73"/>
      <c r="H1123" s="75"/>
      <c r="I1123" s="102">
        <v>46114</v>
      </c>
      <c r="J1123" s="70" t="s">
        <v>767</v>
      </c>
      <c r="K1123" s="106"/>
      <c r="L1123" s="104" t="e">
        <f t="shared" si="321"/>
        <v>#VALUE!</v>
      </c>
      <c r="M1123" s="105" t="e">
        <f ca="1" t="shared" si="322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317"/>
        <v>0</v>
      </c>
      <c r="Z1123" s="105">
        <f ca="1" t="shared" si="318"/>
        <v>-46313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>
        <f t="shared" si="319"/>
        <v>0</v>
      </c>
      <c r="AM1123" s="105">
        <f ca="1" t="shared" si="320"/>
        <v>-46313</v>
      </c>
      <c r="AN1123" s="115"/>
      <c r="AO1123" s="115"/>
      <c r="AP1123" s="115"/>
      <c r="AQ1123" s="93"/>
      <c r="AR1123" s="93"/>
      <c r="AS1123" s="94"/>
      <c r="AT1123" s="95"/>
      <c r="AU1123" s="79"/>
      <c r="AV1123" s="117"/>
      <c r="AW1123" s="115"/>
      <c r="AX1123" s="106"/>
      <c r="AY1123" s="104"/>
      <c r="AZ1123" s="105"/>
    </row>
    <row r="1124" customHeight="1" spans="1:52">
      <c r="A1124" s="70">
        <v>1125</v>
      </c>
      <c r="B1124" s="70" t="s">
        <v>644</v>
      </c>
      <c r="C1124" s="70" t="s">
        <v>264</v>
      </c>
      <c r="D1124" s="71" t="s">
        <v>2433</v>
      </c>
      <c r="E1124" s="71" t="s">
        <v>266</v>
      </c>
      <c r="F1124" s="72"/>
      <c r="G1124" s="73"/>
      <c r="H1124" s="75"/>
      <c r="I1124" s="102">
        <v>46114</v>
      </c>
      <c r="J1124" s="70" t="s">
        <v>767</v>
      </c>
      <c r="K1124" s="106"/>
      <c r="L1124" s="104" t="e">
        <f t="shared" si="321"/>
        <v>#VALUE!</v>
      </c>
      <c r="M1124" s="105" t="e">
        <f ca="1" t="shared" si="322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317"/>
        <v>0</v>
      </c>
      <c r="Z1124" s="105">
        <f ca="1" t="shared" si="318"/>
        <v>-46313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>
        <f t="shared" si="319"/>
        <v>0</v>
      </c>
      <c r="AM1124" s="105">
        <f ca="1" t="shared" si="320"/>
        <v>-46313</v>
      </c>
      <c r="AN1124" s="115"/>
      <c r="AO1124" s="115"/>
      <c r="AP1124" s="115"/>
      <c r="AQ1124" s="93"/>
      <c r="AR1124" s="93"/>
      <c r="AS1124" s="94"/>
      <c r="AT1124" s="95"/>
      <c r="AU1124" s="79"/>
      <c r="AV1124" s="117"/>
      <c r="AW1124" s="115"/>
      <c r="AX1124" s="106"/>
      <c r="AY1124" s="104"/>
      <c r="AZ1124" s="105"/>
    </row>
    <row r="1125" customHeight="1" spans="1:52">
      <c r="A1125" s="70">
        <v>1126</v>
      </c>
      <c r="B1125" s="70" t="s">
        <v>74</v>
      </c>
      <c r="C1125" s="70" t="s">
        <v>13</v>
      </c>
      <c r="D1125" s="205" t="s">
        <v>3695</v>
      </c>
      <c r="E1125" s="71" t="s">
        <v>34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3696</v>
      </c>
      <c r="L1125" s="104">
        <f t="shared" si="321"/>
        <v>46206</v>
      </c>
      <c r="M1125" s="105">
        <f ca="1" t="shared" si="322"/>
        <v>-107</v>
      </c>
      <c r="N1125" s="70"/>
      <c r="O1125" s="70" t="s">
        <v>74</v>
      </c>
      <c r="P1125" s="70" t="s">
        <v>13</v>
      </c>
      <c r="Q1125" s="205" t="s">
        <v>3695</v>
      </c>
      <c r="R1125" s="71" t="s">
        <v>34</v>
      </c>
      <c r="S1125" s="72"/>
      <c r="T1125" s="73"/>
      <c r="U1125" s="79" t="s">
        <v>16</v>
      </c>
      <c r="V1125" s="102">
        <v>46261</v>
      </c>
      <c r="W1125" s="70">
        <v>3</v>
      </c>
      <c r="X1125" s="103" t="s">
        <v>3697</v>
      </c>
      <c r="Y1125" s="104">
        <f t="shared" si="317"/>
        <v>46353</v>
      </c>
      <c r="Z1125" s="105">
        <f ca="1" t="shared" si="318"/>
        <v>40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>
        <f t="shared" si="319"/>
        <v>0</v>
      </c>
      <c r="AM1125" s="105">
        <f ca="1" t="shared" si="320"/>
        <v>-46313</v>
      </c>
      <c r="AN1125" s="115"/>
      <c r="AO1125" s="115"/>
      <c r="AP1125" s="115"/>
      <c r="AQ1125" s="93"/>
      <c r="AR1125" s="93"/>
      <c r="AS1125" s="94"/>
      <c r="AT1125" s="95"/>
      <c r="AU1125" s="79"/>
      <c r="AV1125" s="117"/>
      <c r="AW1125" s="115"/>
      <c r="AX1125" s="106"/>
      <c r="AY1125" s="104"/>
      <c r="AZ1125" s="105"/>
    </row>
    <row r="1126" customHeight="1" spans="1:52">
      <c r="A1126" s="70">
        <v>1127</v>
      </c>
      <c r="B1126" s="70" t="s">
        <v>570</v>
      </c>
      <c r="C1126" s="70" t="s">
        <v>13</v>
      </c>
      <c r="D1126" s="211" t="s">
        <v>3698</v>
      </c>
      <c r="E1126" s="71" t="s">
        <v>126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3699</v>
      </c>
      <c r="L1126" s="104">
        <f t="shared" si="321"/>
        <v>46206</v>
      </c>
      <c r="M1126" s="105">
        <f ca="1" t="shared" si="322"/>
        <v>-107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317"/>
        <v>0</v>
      </c>
      <c r="Z1126" s="105">
        <f ca="1" t="shared" si="318"/>
        <v>-46313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>
        <f t="shared" si="319"/>
        <v>0</v>
      </c>
      <c r="AM1126" s="105">
        <f ca="1" t="shared" si="320"/>
        <v>-46313</v>
      </c>
      <c r="AN1126" s="115"/>
      <c r="AO1126" s="115"/>
      <c r="AP1126" s="115"/>
      <c r="AQ1126" s="93"/>
      <c r="AR1126" s="93"/>
      <c r="AS1126" s="94"/>
      <c r="AT1126" s="95"/>
      <c r="AU1126" s="79"/>
      <c r="AV1126" s="117"/>
      <c r="AW1126" s="115"/>
      <c r="AX1126" s="106"/>
      <c r="AY1126" s="104"/>
      <c r="AZ1126" s="105"/>
    </row>
    <row r="1127" customHeight="1" spans="1:52">
      <c r="A1127" s="70">
        <v>1128</v>
      </c>
      <c r="B1127" s="70" t="s">
        <v>3462</v>
      </c>
      <c r="C1127" s="70" t="s">
        <v>13</v>
      </c>
      <c r="D1127" s="205" t="s">
        <v>3700</v>
      </c>
      <c r="E1127" s="71" t="s">
        <v>76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3701</v>
      </c>
      <c r="L1127" s="104">
        <f t="shared" si="321"/>
        <v>46206</v>
      </c>
      <c r="M1127" s="105">
        <f ca="1" t="shared" si="322"/>
        <v>-107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317"/>
        <v>0</v>
      </c>
      <c r="Z1127" s="105">
        <f ca="1" t="shared" si="318"/>
        <v>-46313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>
        <f t="shared" si="319"/>
        <v>0</v>
      </c>
      <c r="AM1127" s="105">
        <f ca="1" t="shared" si="320"/>
        <v>-46313</v>
      </c>
      <c r="AN1127" s="115"/>
      <c r="AO1127" s="115"/>
      <c r="AP1127" s="115"/>
      <c r="AQ1127" s="93"/>
      <c r="AR1127" s="93"/>
      <c r="AS1127" s="94"/>
      <c r="AT1127" s="95"/>
      <c r="AU1127" s="79"/>
      <c r="AV1127" s="117"/>
      <c r="AW1127" s="115"/>
      <c r="AX1127" s="106"/>
      <c r="AY1127" s="104"/>
      <c r="AZ1127" s="105"/>
    </row>
    <row r="1128" customHeight="1" spans="1:52">
      <c r="A1128" s="70">
        <v>1129</v>
      </c>
      <c r="B1128" s="70" t="s">
        <v>309</v>
      </c>
      <c r="C1128" s="70" t="s">
        <v>13</v>
      </c>
      <c r="D1128" s="71" t="s">
        <v>3702</v>
      </c>
      <c r="E1128" s="71" t="s">
        <v>1266</v>
      </c>
      <c r="F1128" s="72"/>
      <c r="G1128" s="73"/>
      <c r="H1128" s="75"/>
      <c r="I1128" s="102">
        <v>46115</v>
      </c>
      <c r="J1128" s="70">
        <v>3</v>
      </c>
      <c r="K1128" s="106" t="s">
        <v>3703</v>
      </c>
      <c r="L1128" s="104">
        <f t="shared" si="321"/>
        <v>46206</v>
      </c>
      <c r="M1128" s="105">
        <f ca="1" t="shared" si="322"/>
        <v>-107</v>
      </c>
      <c r="N1128" s="70"/>
      <c r="O1128" s="70" t="s">
        <v>309</v>
      </c>
      <c r="P1128" s="70" t="s">
        <v>13</v>
      </c>
      <c r="Q1128" s="71" t="s">
        <v>3702</v>
      </c>
      <c r="R1128" s="71" t="s">
        <v>1266</v>
      </c>
      <c r="S1128" s="72"/>
      <c r="T1128" s="73"/>
      <c r="U1128" s="75"/>
      <c r="V1128" s="102">
        <v>46195</v>
      </c>
      <c r="W1128" s="70">
        <v>3</v>
      </c>
      <c r="X1128" s="103" t="s">
        <v>3704</v>
      </c>
      <c r="Y1128" s="104">
        <f t="shared" si="317"/>
        <v>46287</v>
      </c>
      <c r="Z1128" s="105">
        <f ca="1" t="shared" si="318"/>
        <v>-26</v>
      </c>
      <c r="AA1128" s="70"/>
      <c r="AB1128" s="70" t="s">
        <v>309</v>
      </c>
      <c r="AC1128" s="70" t="s">
        <v>13</v>
      </c>
      <c r="AD1128" s="71" t="s">
        <v>3702</v>
      </c>
      <c r="AE1128" s="71" t="s">
        <v>1266</v>
      </c>
      <c r="AF1128" s="72"/>
      <c r="AG1128" s="73"/>
      <c r="AH1128" s="75"/>
      <c r="AI1128" s="102">
        <v>46292</v>
      </c>
      <c r="AJ1128" s="70">
        <v>3</v>
      </c>
      <c r="AK1128" s="103" t="s">
        <v>3705</v>
      </c>
      <c r="AL1128" s="104">
        <f t="shared" si="319"/>
        <v>46383</v>
      </c>
      <c r="AM1128" s="105">
        <f ca="1" t="shared" si="320"/>
        <v>70</v>
      </c>
      <c r="AN1128" s="115"/>
      <c r="AO1128" s="115"/>
      <c r="AP1128" s="115"/>
      <c r="AQ1128" s="93"/>
      <c r="AR1128" s="93"/>
      <c r="AS1128" s="94"/>
      <c r="AT1128" s="95"/>
      <c r="AU1128" s="79"/>
      <c r="AV1128" s="117"/>
      <c r="AW1128" s="115"/>
      <c r="AX1128" s="106"/>
      <c r="AY1128" s="104"/>
      <c r="AZ1128" s="105"/>
    </row>
    <row r="1129" customHeight="1" spans="1:52">
      <c r="A1129" s="70">
        <v>1130</v>
      </c>
      <c r="B1129" s="70" t="s">
        <v>2058</v>
      </c>
      <c r="C1129" s="70" t="s">
        <v>264</v>
      </c>
      <c r="D1129" s="71" t="s">
        <v>3706</v>
      </c>
      <c r="E1129" s="71" t="s">
        <v>264</v>
      </c>
      <c r="F1129" s="72"/>
      <c r="G1129" s="73"/>
      <c r="H1129" s="75"/>
      <c r="I1129" s="102">
        <v>46115</v>
      </c>
      <c r="J1129" s="70">
        <v>3</v>
      </c>
      <c r="K1129" s="106" t="s">
        <v>3707</v>
      </c>
      <c r="L1129" s="104">
        <f t="shared" si="321"/>
        <v>46206</v>
      </c>
      <c r="M1129" s="105">
        <f ca="1" t="shared" si="322"/>
        <v>-107</v>
      </c>
      <c r="N1129" s="70"/>
      <c r="O1129" s="70" t="s">
        <v>2058</v>
      </c>
      <c r="P1129" s="70" t="s">
        <v>264</v>
      </c>
      <c r="Q1129" s="71" t="s">
        <v>3706</v>
      </c>
      <c r="R1129" s="71" t="s">
        <v>264</v>
      </c>
      <c r="S1129" s="72"/>
      <c r="T1129" s="73"/>
      <c r="U1129" s="75"/>
      <c r="V1129" s="102">
        <v>46256</v>
      </c>
      <c r="W1129" s="70">
        <v>3</v>
      </c>
      <c r="X1129" s="103" t="s">
        <v>3708</v>
      </c>
      <c r="Y1129" s="104">
        <f t="shared" si="317"/>
        <v>46348</v>
      </c>
      <c r="Z1129" s="105">
        <f ca="1" t="shared" si="318"/>
        <v>35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>
        <f t="shared" si="319"/>
        <v>0</v>
      </c>
      <c r="AM1129" s="105">
        <f ca="1" t="shared" si="320"/>
        <v>-46313</v>
      </c>
      <c r="AN1129" s="115"/>
      <c r="AO1129" s="115"/>
      <c r="AP1129" s="115"/>
      <c r="AQ1129" s="93"/>
      <c r="AR1129" s="93"/>
      <c r="AS1129" s="94"/>
      <c r="AT1129" s="95"/>
      <c r="AU1129" s="79"/>
      <c r="AV1129" s="117"/>
      <c r="AW1129" s="115"/>
      <c r="AX1129" s="106"/>
      <c r="AY1129" s="104"/>
      <c r="AZ1129" s="105"/>
    </row>
    <row r="1130" customHeight="1" spans="1:52">
      <c r="A1130" s="70">
        <v>1131</v>
      </c>
      <c r="B1130" s="70" t="s">
        <v>1359</v>
      </c>
      <c r="C1130" s="70" t="s">
        <v>13</v>
      </c>
      <c r="D1130" s="71" t="s">
        <v>2848</v>
      </c>
      <c r="E1130" s="71" t="s">
        <v>2849</v>
      </c>
      <c r="F1130" s="72"/>
      <c r="G1130" s="73"/>
      <c r="H1130" s="75"/>
      <c r="I1130" s="102">
        <v>46115</v>
      </c>
      <c r="J1130" s="70" t="s">
        <v>767</v>
      </c>
      <c r="K1130" s="106"/>
      <c r="L1130" s="104" t="e">
        <f t="shared" si="321"/>
        <v>#VALUE!</v>
      </c>
      <c r="M1130" s="105" t="e">
        <f ca="1" t="shared" si="322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317"/>
        <v>0</v>
      </c>
      <c r="Z1130" s="105">
        <f ca="1" t="shared" si="318"/>
        <v>-46313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>
        <f t="shared" si="319"/>
        <v>0</v>
      </c>
      <c r="AM1130" s="105">
        <f ca="1" t="shared" si="320"/>
        <v>-46313</v>
      </c>
      <c r="AN1130" s="115"/>
      <c r="AO1130" s="115"/>
      <c r="AP1130" s="115"/>
      <c r="AQ1130" s="93"/>
      <c r="AR1130" s="93"/>
      <c r="AS1130" s="94"/>
      <c r="AT1130" s="95"/>
      <c r="AU1130" s="79"/>
      <c r="AV1130" s="117"/>
      <c r="AW1130" s="115"/>
      <c r="AX1130" s="106"/>
      <c r="AY1130" s="104"/>
      <c r="AZ1130" s="105"/>
    </row>
    <row r="1131" customHeight="1" spans="1:52">
      <c r="A1131" s="70">
        <v>1132</v>
      </c>
      <c r="B1131" s="70" t="s">
        <v>721</v>
      </c>
      <c r="C1131" s="70" t="s">
        <v>38</v>
      </c>
      <c r="D1131" s="205" t="s">
        <v>3709</v>
      </c>
      <c r="E1131" s="71" t="s">
        <v>40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3710</v>
      </c>
      <c r="L1131" s="104">
        <f t="shared" si="321"/>
        <v>46206</v>
      </c>
      <c r="M1131" s="105">
        <f ca="1" t="shared" si="322"/>
        <v>-107</v>
      </c>
      <c r="N1131" s="70"/>
      <c r="O1131" s="70" t="s">
        <v>721</v>
      </c>
      <c r="P1131" s="70" t="s">
        <v>38</v>
      </c>
      <c r="Q1131" s="205" t="s">
        <v>3709</v>
      </c>
      <c r="R1131" s="71" t="s">
        <v>40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3711</v>
      </c>
      <c r="Y1131" s="104">
        <f t="shared" si="317"/>
        <v>46292</v>
      </c>
      <c r="Z1131" s="105">
        <f ca="1" t="shared" si="318"/>
        <v>-21</v>
      </c>
      <c r="AA1131" s="70"/>
      <c r="AB1131" s="70" t="s">
        <v>721</v>
      </c>
      <c r="AC1131" s="70" t="s">
        <v>38</v>
      </c>
      <c r="AD1131" s="205" t="s">
        <v>3709</v>
      </c>
      <c r="AE1131" s="71" t="s">
        <v>40</v>
      </c>
      <c r="AF1131" s="72"/>
      <c r="AG1131" s="73"/>
      <c r="AH1131" s="79" t="s">
        <v>16</v>
      </c>
      <c r="AI1131" s="102">
        <v>46284</v>
      </c>
      <c r="AJ1131" s="70">
        <v>3</v>
      </c>
      <c r="AK1131" s="103" t="s">
        <v>3712</v>
      </c>
      <c r="AL1131" s="104">
        <f t="shared" si="319"/>
        <v>46375</v>
      </c>
      <c r="AM1131" s="105">
        <f ca="1" t="shared" si="320"/>
        <v>62</v>
      </c>
      <c r="AN1131" s="115"/>
      <c r="AO1131" s="115"/>
      <c r="AP1131" s="115"/>
      <c r="AQ1131" s="93"/>
      <c r="AR1131" s="93"/>
      <c r="AS1131" s="94"/>
      <c r="AT1131" s="95"/>
      <c r="AU1131" s="79"/>
      <c r="AV1131" s="117"/>
      <c r="AW1131" s="115"/>
      <c r="AX1131" s="106"/>
      <c r="AY1131" s="104"/>
      <c r="AZ1131" s="105"/>
    </row>
    <row r="1132" customHeight="1" spans="1:52">
      <c r="A1132" s="70">
        <v>1133</v>
      </c>
      <c r="B1132" s="70" t="s">
        <v>229</v>
      </c>
      <c r="C1132" s="70" t="s">
        <v>13</v>
      </c>
      <c r="D1132" s="71" t="s">
        <v>3713</v>
      </c>
      <c r="E1132" s="71" t="s">
        <v>136</v>
      </c>
      <c r="F1132" s="72"/>
      <c r="G1132" s="73"/>
      <c r="H1132" s="75"/>
      <c r="I1132" s="102">
        <v>46116</v>
      </c>
      <c r="J1132" s="70">
        <v>3</v>
      </c>
      <c r="K1132" s="106" t="s">
        <v>3714</v>
      </c>
      <c r="L1132" s="104">
        <f t="shared" si="321"/>
        <v>46207</v>
      </c>
      <c r="M1132" s="105">
        <f ca="1" t="shared" si="322"/>
        <v>-106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317"/>
        <v>0</v>
      </c>
      <c r="Z1132" s="105">
        <f ca="1" t="shared" si="318"/>
        <v>-46313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>
        <f t="shared" si="319"/>
        <v>0</v>
      </c>
      <c r="AM1132" s="105">
        <f ca="1" t="shared" si="320"/>
        <v>-46313</v>
      </c>
      <c r="AN1132" s="115"/>
      <c r="AO1132" s="115"/>
      <c r="AP1132" s="115"/>
      <c r="AQ1132" s="93"/>
      <c r="AR1132" s="93"/>
      <c r="AS1132" s="94"/>
      <c r="AT1132" s="95"/>
      <c r="AU1132" s="79"/>
      <c r="AV1132" s="117"/>
      <c r="AW1132" s="115"/>
      <c r="AX1132" s="106"/>
      <c r="AY1132" s="104"/>
      <c r="AZ1132" s="105"/>
    </row>
    <row r="1133" customHeight="1" spans="1:52">
      <c r="A1133" s="70">
        <v>1134</v>
      </c>
      <c r="B1133" s="70" t="s">
        <v>55</v>
      </c>
      <c r="C1133" s="70" t="s">
        <v>38</v>
      </c>
      <c r="D1133" s="71" t="s">
        <v>3715</v>
      </c>
      <c r="E1133" s="71" t="s">
        <v>189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3716</v>
      </c>
      <c r="L1133" s="104">
        <f t="shared" si="321"/>
        <v>46207</v>
      </c>
      <c r="M1133" s="105">
        <f ca="1" t="shared" si="322"/>
        <v>-106</v>
      </c>
      <c r="N1133" s="70"/>
      <c r="O1133" s="70" t="s">
        <v>55</v>
      </c>
      <c r="P1133" s="70" t="s">
        <v>38</v>
      </c>
      <c r="Q1133" s="71" t="s">
        <v>3715</v>
      </c>
      <c r="R1133" s="71" t="s">
        <v>189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3717</v>
      </c>
      <c r="Y1133" s="104">
        <f t="shared" si="317"/>
        <v>46337</v>
      </c>
      <c r="Z1133" s="105">
        <f ca="1" t="shared" si="318"/>
        <v>24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>
        <f t="shared" si="319"/>
        <v>0</v>
      </c>
      <c r="AM1133" s="105">
        <f ca="1" t="shared" si="320"/>
        <v>-46313</v>
      </c>
      <c r="AN1133" s="115"/>
      <c r="AO1133" s="115"/>
      <c r="AP1133" s="115"/>
      <c r="AQ1133" s="93"/>
      <c r="AR1133" s="93"/>
      <c r="AS1133" s="94"/>
      <c r="AT1133" s="95"/>
      <c r="AU1133" s="79"/>
      <c r="AV1133" s="117"/>
      <c r="AW1133" s="115"/>
      <c r="AX1133" s="106"/>
      <c r="AY1133" s="104"/>
      <c r="AZ1133" s="105"/>
    </row>
    <row r="1134" customHeight="1" spans="1:52">
      <c r="A1134" s="70">
        <v>1135</v>
      </c>
      <c r="B1134" s="70" t="s">
        <v>61</v>
      </c>
      <c r="C1134" s="70" t="s">
        <v>38</v>
      </c>
      <c r="D1134" s="71" t="s">
        <v>3718</v>
      </c>
      <c r="E1134" s="71" t="s">
        <v>28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3719</v>
      </c>
      <c r="L1134" s="104">
        <f t="shared" si="321"/>
        <v>46207</v>
      </c>
      <c r="M1134" s="105">
        <f ca="1" t="shared" si="322"/>
        <v>-106</v>
      </c>
      <c r="N1134" s="70"/>
      <c r="O1134" s="70" t="s">
        <v>255</v>
      </c>
      <c r="P1134" s="70" t="s">
        <v>38</v>
      </c>
      <c r="Q1134" s="71" t="s">
        <v>3718</v>
      </c>
      <c r="R1134" s="71" t="s">
        <v>28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3720</v>
      </c>
      <c r="Y1134" s="104">
        <f t="shared" si="317"/>
        <v>46293</v>
      </c>
      <c r="Z1134" s="105">
        <f ca="1" t="shared" si="318"/>
        <v>-20</v>
      </c>
      <c r="AA1134" s="70"/>
      <c r="AB1134" s="70" t="s">
        <v>61</v>
      </c>
      <c r="AC1134" s="70" t="s">
        <v>38</v>
      </c>
      <c r="AD1134" s="71" t="s">
        <v>3718</v>
      </c>
      <c r="AE1134" s="71" t="s">
        <v>28</v>
      </c>
      <c r="AF1134" s="72"/>
      <c r="AG1134" s="73"/>
      <c r="AH1134" s="79" t="s">
        <v>16</v>
      </c>
      <c r="AI1134" s="102">
        <v>46288</v>
      </c>
      <c r="AJ1134" s="70">
        <v>3</v>
      </c>
      <c r="AK1134" s="103" t="s">
        <v>3721</v>
      </c>
      <c r="AL1134" s="104">
        <f t="shared" si="319"/>
        <v>46379</v>
      </c>
      <c r="AM1134" s="105">
        <f ca="1" t="shared" si="320"/>
        <v>66</v>
      </c>
      <c r="AN1134" s="115"/>
      <c r="AO1134" s="115"/>
      <c r="AP1134" s="115"/>
      <c r="AQ1134" s="93"/>
      <c r="AR1134" s="93"/>
      <c r="AS1134" s="94"/>
      <c r="AT1134" s="95"/>
      <c r="AU1134" s="79"/>
      <c r="AV1134" s="117"/>
      <c r="AW1134" s="115"/>
      <c r="AX1134" s="106"/>
      <c r="AY1134" s="104"/>
      <c r="AZ1134" s="105"/>
    </row>
    <row r="1135" customHeight="1" spans="1:52">
      <c r="A1135" s="70">
        <v>1136</v>
      </c>
      <c r="B1135" s="108" t="s">
        <v>3722</v>
      </c>
      <c r="C1135" s="70" t="s">
        <v>38</v>
      </c>
      <c r="D1135" s="205" t="s">
        <v>3723</v>
      </c>
      <c r="E1135" s="71" t="s">
        <v>3387</v>
      </c>
      <c r="F1135" s="72"/>
      <c r="G1135" s="73"/>
      <c r="H1135" s="219"/>
      <c r="I1135" s="102">
        <v>46119</v>
      </c>
      <c r="J1135" s="70">
        <v>3</v>
      </c>
      <c r="K1135" s="106" t="s">
        <v>3724</v>
      </c>
      <c r="L1135" s="104">
        <f t="shared" si="321"/>
        <v>46210</v>
      </c>
      <c r="M1135" s="105">
        <f ca="1" t="shared" si="322"/>
        <v>-103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317"/>
        <v>0</v>
      </c>
      <c r="Z1135" s="105">
        <f ca="1" t="shared" si="318"/>
        <v>-46313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>
        <f t="shared" si="319"/>
        <v>0</v>
      </c>
      <c r="AM1135" s="105">
        <f ca="1" t="shared" si="320"/>
        <v>-46313</v>
      </c>
      <c r="AN1135" s="115"/>
      <c r="AO1135" s="115"/>
      <c r="AP1135" s="115"/>
      <c r="AQ1135" s="93"/>
      <c r="AR1135" s="93"/>
      <c r="AS1135" s="94"/>
      <c r="AT1135" s="95"/>
      <c r="AU1135" s="79"/>
      <c r="AV1135" s="117"/>
      <c r="AW1135" s="115"/>
      <c r="AX1135" s="106"/>
      <c r="AY1135" s="104"/>
      <c r="AZ1135" s="105"/>
    </row>
    <row r="1136" customHeight="1" spans="1:52">
      <c r="A1136" s="70">
        <v>1137</v>
      </c>
      <c r="B1136" s="108" t="s">
        <v>3722</v>
      </c>
      <c r="C1136" s="70" t="s">
        <v>38</v>
      </c>
      <c r="D1136" s="205" t="s">
        <v>3725</v>
      </c>
      <c r="E1136" s="71" t="s">
        <v>3387</v>
      </c>
      <c r="F1136" s="72"/>
      <c r="G1136" s="73"/>
      <c r="H1136" s="219"/>
      <c r="I1136" s="102">
        <v>46119</v>
      </c>
      <c r="J1136" s="70">
        <v>3</v>
      </c>
      <c r="K1136" s="106" t="s">
        <v>3726</v>
      </c>
      <c r="L1136" s="104">
        <f t="shared" si="321"/>
        <v>46210</v>
      </c>
      <c r="M1136" s="105">
        <f ca="1" t="shared" si="322"/>
        <v>-103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317"/>
        <v>0</v>
      </c>
      <c r="Z1136" s="105">
        <f ca="1" t="shared" si="318"/>
        <v>-46313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>
        <f t="shared" si="319"/>
        <v>0</v>
      </c>
      <c r="AM1136" s="105">
        <f ca="1" t="shared" si="320"/>
        <v>-46313</v>
      </c>
      <c r="AN1136" s="115"/>
      <c r="AO1136" s="115"/>
      <c r="AP1136" s="115"/>
      <c r="AQ1136" s="93"/>
      <c r="AR1136" s="93"/>
      <c r="AS1136" s="94"/>
      <c r="AT1136" s="95"/>
      <c r="AU1136" s="79"/>
      <c r="AV1136" s="117"/>
      <c r="AW1136" s="115"/>
      <c r="AX1136" s="106"/>
      <c r="AY1136" s="104"/>
      <c r="AZ1136" s="105"/>
    </row>
    <row r="1137" customHeight="1" spans="1:52">
      <c r="A1137" s="70">
        <v>1138</v>
      </c>
      <c r="B1137" s="108" t="s">
        <v>798</v>
      </c>
      <c r="C1137" s="70" t="s">
        <v>38</v>
      </c>
      <c r="D1137" s="108" t="s">
        <v>3727</v>
      </c>
      <c r="E1137" s="71" t="s">
        <v>332</v>
      </c>
      <c r="F1137" s="72"/>
      <c r="G1137" s="73"/>
      <c r="H1137" s="219"/>
      <c r="I1137" s="102">
        <v>46119</v>
      </c>
      <c r="J1137" s="70">
        <v>3</v>
      </c>
      <c r="K1137" s="106" t="s">
        <v>3728</v>
      </c>
      <c r="L1137" s="104">
        <f t="shared" si="321"/>
        <v>46210</v>
      </c>
      <c r="M1137" s="105">
        <f ca="1" t="shared" si="322"/>
        <v>-103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317"/>
        <v>0</v>
      </c>
      <c r="Z1137" s="105">
        <f ca="1" t="shared" si="318"/>
        <v>-46313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>
        <f t="shared" si="319"/>
        <v>0</v>
      </c>
      <c r="AM1137" s="105">
        <f ca="1" t="shared" si="320"/>
        <v>-46313</v>
      </c>
      <c r="AN1137" s="115"/>
      <c r="AO1137" s="115"/>
      <c r="AP1137" s="115"/>
      <c r="AQ1137" s="93"/>
      <c r="AR1137" s="93"/>
      <c r="AS1137" s="94"/>
      <c r="AT1137" s="95"/>
      <c r="AU1137" s="79"/>
      <c r="AV1137" s="117"/>
      <c r="AW1137" s="115"/>
      <c r="AX1137" s="106"/>
      <c r="AY1137" s="104"/>
      <c r="AZ1137" s="105"/>
    </row>
    <row r="1138" customHeight="1" spans="1:52">
      <c r="A1138" s="70">
        <v>1139</v>
      </c>
      <c r="B1138" s="108" t="s">
        <v>1409</v>
      </c>
      <c r="C1138" s="70" t="s">
        <v>374</v>
      </c>
      <c r="D1138" s="205" t="s">
        <v>3729</v>
      </c>
      <c r="E1138" s="71" t="s">
        <v>548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3730</v>
      </c>
      <c r="L1138" s="104">
        <f t="shared" si="321"/>
        <v>46210</v>
      </c>
      <c r="M1138" s="105">
        <f ca="1" t="shared" si="322"/>
        <v>-103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317"/>
        <v>0</v>
      </c>
      <c r="Z1138" s="105">
        <f ca="1" t="shared" si="318"/>
        <v>-46313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>
        <f t="shared" si="319"/>
        <v>0</v>
      </c>
      <c r="AM1138" s="105">
        <f ca="1" t="shared" si="320"/>
        <v>-46313</v>
      </c>
      <c r="AN1138" s="115"/>
      <c r="AO1138" s="115"/>
      <c r="AP1138" s="115"/>
      <c r="AQ1138" s="93"/>
      <c r="AR1138" s="93"/>
      <c r="AS1138" s="94"/>
      <c r="AT1138" s="95"/>
      <c r="AU1138" s="79"/>
      <c r="AV1138" s="117"/>
      <c r="AW1138" s="115"/>
      <c r="AX1138" s="106"/>
      <c r="AY1138" s="104"/>
      <c r="AZ1138" s="105"/>
    </row>
    <row r="1139" customHeight="1" spans="1:52">
      <c r="A1139" s="70">
        <v>1140</v>
      </c>
      <c r="B1139" s="108" t="s">
        <v>1409</v>
      </c>
      <c r="C1139" s="70" t="s">
        <v>374</v>
      </c>
      <c r="D1139" s="205" t="s">
        <v>3731</v>
      </c>
      <c r="E1139" s="71" t="s">
        <v>548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3732</v>
      </c>
      <c r="L1139" s="104">
        <f t="shared" ref="L1139:L1162" si="323">EDATE(I1139,J1139)</f>
        <v>46210</v>
      </c>
      <c r="M1139" s="105">
        <f ca="1" t="shared" ref="M1139:M1162" si="324">L1139-TODAY()</f>
        <v>-103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317"/>
        <v>0</v>
      </c>
      <c r="Z1139" s="105">
        <f ca="1" t="shared" si="318"/>
        <v>-46313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>
        <f t="shared" si="319"/>
        <v>0</v>
      </c>
      <c r="AM1139" s="105">
        <f ca="1" t="shared" si="320"/>
        <v>-46313</v>
      </c>
      <c r="AN1139" s="115"/>
      <c r="AO1139" s="115"/>
      <c r="AP1139" s="115"/>
      <c r="AQ1139" s="93"/>
      <c r="AR1139" s="93"/>
      <c r="AS1139" s="94"/>
      <c r="AT1139" s="95"/>
      <c r="AU1139" s="79"/>
      <c r="AV1139" s="117"/>
      <c r="AW1139" s="115"/>
      <c r="AX1139" s="106"/>
      <c r="AY1139" s="104"/>
      <c r="AZ1139" s="105"/>
    </row>
    <row r="1140" customHeight="1" spans="1:52">
      <c r="A1140" s="70">
        <v>1141</v>
      </c>
      <c r="B1140" s="108" t="s">
        <v>1409</v>
      </c>
      <c r="C1140" s="70" t="s">
        <v>374</v>
      </c>
      <c r="D1140" s="205" t="s">
        <v>3733</v>
      </c>
      <c r="E1140" s="71" t="s">
        <v>548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3734</v>
      </c>
      <c r="L1140" s="104">
        <f t="shared" si="323"/>
        <v>46210</v>
      </c>
      <c r="M1140" s="105">
        <f ca="1" t="shared" si="324"/>
        <v>-103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317"/>
        <v>0</v>
      </c>
      <c r="Z1140" s="105">
        <f ca="1" t="shared" si="318"/>
        <v>-46313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>
        <f t="shared" si="319"/>
        <v>0</v>
      </c>
      <c r="AM1140" s="105">
        <f ca="1" t="shared" si="320"/>
        <v>-46313</v>
      </c>
      <c r="AN1140" s="115"/>
      <c r="AO1140" s="115"/>
      <c r="AP1140" s="115"/>
      <c r="AQ1140" s="93"/>
      <c r="AR1140" s="93"/>
      <c r="AS1140" s="94"/>
      <c r="AT1140" s="95"/>
      <c r="AU1140" s="79"/>
      <c r="AV1140" s="117"/>
      <c r="AW1140" s="115"/>
      <c r="AX1140" s="106"/>
      <c r="AY1140" s="104"/>
      <c r="AZ1140" s="105"/>
    </row>
    <row r="1141" customHeight="1" spans="1:52">
      <c r="A1141" s="70">
        <v>1142</v>
      </c>
      <c r="B1141" s="108" t="s">
        <v>1409</v>
      </c>
      <c r="C1141" s="70" t="s">
        <v>374</v>
      </c>
      <c r="D1141" s="205" t="s">
        <v>3735</v>
      </c>
      <c r="E1141" s="71" t="s">
        <v>548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3736</v>
      </c>
      <c r="L1141" s="104">
        <f t="shared" si="323"/>
        <v>46210</v>
      </c>
      <c r="M1141" s="105">
        <f ca="1" t="shared" si="324"/>
        <v>-103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317"/>
        <v>0</v>
      </c>
      <c r="Z1141" s="105">
        <f ca="1" t="shared" si="318"/>
        <v>-46313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>
        <f t="shared" si="319"/>
        <v>0</v>
      </c>
      <c r="AM1141" s="105">
        <f ca="1" t="shared" si="320"/>
        <v>-46313</v>
      </c>
      <c r="AN1141" s="115"/>
      <c r="AO1141" s="115"/>
      <c r="AP1141" s="115"/>
      <c r="AQ1141" s="93"/>
      <c r="AR1141" s="93"/>
      <c r="AS1141" s="94"/>
      <c r="AT1141" s="95"/>
      <c r="AU1141" s="79"/>
      <c r="AV1141" s="117"/>
      <c r="AW1141" s="115"/>
      <c r="AX1141" s="106"/>
      <c r="AY1141" s="104"/>
      <c r="AZ1141" s="105"/>
    </row>
    <row r="1142" customHeight="1" spans="1:52">
      <c r="A1142" s="70">
        <v>1143</v>
      </c>
      <c r="B1142" s="108" t="s">
        <v>1409</v>
      </c>
      <c r="C1142" s="70" t="s">
        <v>374</v>
      </c>
      <c r="D1142" s="205" t="s">
        <v>3737</v>
      </c>
      <c r="E1142" s="71" t="s">
        <v>548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3738</v>
      </c>
      <c r="L1142" s="104">
        <f t="shared" si="323"/>
        <v>46210</v>
      </c>
      <c r="M1142" s="105">
        <f ca="1" t="shared" si="324"/>
        <v>-103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317"/>
        <v>0</v>
      </c>
      <c r="Z1142" s="105">
        <f ca="1" t="shared" si="318"/>
        <v>-46313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>
        <f t="shared" si="319"/>
        <v>0</v>
      </c>
      <c r="AM1142" s="105">
        <f ca="1" t="shared" si="320"/>
        <v>-46313</v>
      </c>
      <c r="AN1142" s="115"/>
      <c r="AO1142" s="115"/>
      <c r="AP1142" s="115"/>
      <c r="AQ1142" s="93"/>
      <c r="AR1142" s="93"/>
      <c r="AS1142" s="94"/>
      <c r="AT1142" s="95"/>
      <c r="AU1142" s="79"/>
      <c r="AV1142" s="117"/>
      <c r="AW1142" s="115"/>
      <c r="AX1142" s="106"/>
      <c r="AY1142" s="104"/>
      <c r="AZ1142" s="105"/>
    </row>
    <row r="1143" customHeight="1" spans="1:52">
      <c r="A1143" s="70">
        <v>1144</v>
      </c>
      <c r="B1143" s="108" t="s">
        <v>1409</v>
      </c>
      <c r="C1143" s="70" t="s">
        <v>374</v>
      </c>
      <c r="D1143" s="205" t="s">
        <v>3739</v>
      </c>
      <c r="E1143" s="71" t="s">
        <v>548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3740</v>
      </c>
      <c r="L1143" s="104">
        <f t="shared" si="323"/>
        <v>46210</v>
      </c>
      <c r="M1143" s="105">
        <f ca="1" t="shared" si="324"/>
        <v>-103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317"/>
        <v>0</v>
      </c>
      <c r="Z1143" s="105">
        <f ca="1" t="shared" si="318"/>
        <v>-46313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>
        <f t="shared" si="319"/>
        <v>0</v>
      </c>
      <c r="AM1143" s="105">
        <f ca="1" t="shared" si="320"/>
        <v>-46313</v>
      </c>
      <c r="AN1143" s="115"/>
      <c r="AO1143" s="115"/>
      <c r="AP1143" s="115"/>
      <c r="AQ1143" s="93"/>
      <c r="AR1143" s="93"/>
      <c r="AS1143" s="94"/>
      <c r="AT1143" s="95"/>
      <c r="AU1143" s="79"/>
      <c r="AV1143" s="117"/>
      <c r="AW1143" s="115"/>
      <c r="AX1143" s="106"/>
      <c r="AY1143" s="104"/>
      <c r="AZ1143" s="105"/>
    </row>
    <row r="1144" customHeight="1" spans="1:52">
      <c r="A1144" s="70">
        <v>1145</v>
      </c>
      <c r="B1144" s="108" t="s">
        <v>1409</v>
      </c>
      <c r="C1144" s="70" t="s">
        <v>374</v>
      </c>
      <c r="D1144" s="205" t="s">
        <v>3741</v>
      </c>
      <c r="E1144" s="71" t="s">
        <v>548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3742</v>
      </c>
      <c r="L1144" s="104">
        <f t="shared" si="323"/>
        <v>46210</v>
      </c>
      <c r="M1144" s="105">
        <f ca="1" t="shared" si="324"/>
        <v>-103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317"/>
        <v>0</v>
      </c>
      <c r="Z1144" s="105">
        <f ca="1" t="shared" si="318"/>
        <v>-46313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>
        <f t="shared" si="319"/>
        <v>0</v>
      </c>
      <c r="AM1144" s="105">
        <f ca="1" t="shared" si="320"/>
        <v>-46313</v>
      </c>
      <c r="AN1144" s="115"/>
      <c r="AO1144" s="115"/>
      <c r="AP1144" s="115"/>
      <c r="AQ1144" s="93"/>
      <c r="AR1144" s="93"/>
      <c r="AS1144" s="94"/>
      <c r="AT1144" s="95"/>
      <c r="AU1144" s="79"/>
      <c r="AV1144" s="117"/>
      <c r="AW1144" s="115"/>
      <c r="AX1144" s="106"/>
      <c r="AY1144" s="104"/>
      <c r="AZ1144" s="105"/>
    </row>
    <row r="1145" customHeight="1" spans="1:52">
      <c r="A1145" s="70">
        <v>1146</v>
      </c>
      <c r="B1145" s="108" t="s">
        <v>1409</v>
      </c>
      <c r="C1145" s="70" t="s">
        <v>374</v>
      </c>
      <c r="D1145" s="205" t="s">
        <v>3743</v>
      </c>
      <c r="E1145" s="71" t="s">
        <v>548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3744</v>
      </c>
      <c r="L1145" s="104">
        <f t="shared" si="323"/>
        <v>46210</v>
      </c>
      <c r="M1145" s="105">
        <f ca="1" t="shared" si="324"/>
        <v>-103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317"/>
        <v>0</v>
      </c>
      <c r="Z1145" s="105">
        <f ca="1" t="shared" si="318"/>
        <v>-46313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>
        <f t="shared" si="319"/>
        <v>0</v>
      </c>
      <c r="AM1145" s="105">
        <f ca="1" t="shared" si="320"/>
        <v>-46313</v>
      </c>
      <c r="AN1145" s="115"/>
      <c r="AO1145" s="115"/>
      <c r="AP1145" s="115"/>
      <c r="AQ1145" s="93"/>
      <c r="AR1145" s="93"/>
      <c r="AS1145" s="94"/>
      <c r="AT1145" s="95"/>
      <c r="AU1145" s="79"/>
      <c r="AV1145" s="117"/>
      <c r="AW1145" s="115"/>
      <c r="AX1145" s="106"/>
      <c r="AY1145" s="104"/>
      <c r="AZ1145" s="105"/>
    </row>
    <row r="1146" customHeight="1" spans="1:52">
      <c r="A1146" s="70">
        <v>1147</v>
      </c>
      <c r="B1146" s="108" t="s">
        <v>1409</v>
      </c>
      <c r="C1146" s="70" t="s">
        <v>374</v>
      </c>
      <c r="D1146" s="205" t="s">
        <v>3745</v>
      </c>
      <c r="E1146" s="71" t="s">
        <v>548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3746</v>
      </c>
      <c r="L1146" s="104">
        <f t="shared" si="323"/>
        <v>46210</v>
      </c>
      <c r="M1146" s="105">
        <f ca="1" t="shared" si="324"/>
        <v>-103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317"/>
        <v>0</v>
      </c>
      <c r="Z1146" s="105">
        <f ca="1" t="shared" si="318"/>
        <v>-46313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>
        <f t="shared" si="319"/>
        <v>0</v>
      </c>
      <c r="AM1146" s="105">
        <f ca="1" t="shared" si="320"/>
        <v>-46313</v>
      </c>
      <c r="AN1146" s="115"/>
      <c r="AO1146" s="115"/>
      <c r="AP1146" s="115"/>
      <c r="AQ1146" s="93"/>
      <c r="AR1146" s="93"/>
      <c r="AS1146" s="94"/>
      <c r="AT1146" s="95"/>
      <c r="AU1146" s="79"/>
      <c r="AV1146" s="117"/>
      <c r="AW1146" s="115"/>
      <c r="AX1146" s="106"/>
      <c r="AY1146" s="104"/>
      <c r="AZ1146" s="105"/>
    </row>
    <row r="1147" customHeight="1" spans="1:52">
      <c r="A1147" s="70">
        <v>1148</v>
      </c>
      <c r="B1147" s="108" t="s">
        <v>1409</v>
      </c>
      <c r="C1147" s="70" t="s">
        <v>374</v>
      </c>
      <c r="D1147" s="205" t="s">
        <v>3747</v>
      </c>
      <c r="E1147" s="71" t="s">
        <v>548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3748</v>
      </c>
      <c r="L1147" s="104">
        <f t="shared" si="323"/>
        <v>46210</v>
      </c>
      <c r="M1147" s="105">
        <f ca="1" t="shared" si="324"/>
        <v>-103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317"/>
        <v>0</v>
      </c>
      <c r="Z1147" s="105">
        <f ca="1" t="shared" si="318"/>
        <v>-46313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>
        <f t="shared" si="319"/>
        <v>0</v>
      </c>
      <c r="AM1147" s="105">
        <f ca="1" t="shared" si="320"/>
        <v>-46313</v>
      </c>
      <c r="AN1147" s="115"/>
      <c r="AO1147" s="115"/>
      <c r="AP1147" s="115"/>
      <c r="AQ1147" s="93"/>
      <c r="AR1147" s="93"/>
      <c r="AS1147" s="94"/>
      <c r="AT1147" s="95"/>
      <c r="AU1147" s="79"/>
      <c r="AV1147" s="117"/>
      <c r="AW1147" s="115"/>
      <c r="AX1147" s="106"/>
      <c r="AY1147" s="104"/>
      <c r="AZ1147" s="105"/>
    </row>
    <row r="1148" customHeight="1" spans="1:52">
      <c r="A1148" s="70">
        <v>1149</v>
      </c>
      <c r="B1148" s="108" t="s">
        <v>1409</v>
      </c>
      <c r="C1148" s="70" t="s">
        <v>374</v>
      </c>
      <c r="D1148" s="205" t="s">
        <v>3749</v>
      </c>
      <c r="E1148" s="71" t="s">
        <v>548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3750</v>
      </c>
      <c r="L1148" s="104">
        <f t="shared" si="323"/>
        <v>46210</v>
      </c>
      <c r="M1148" s="105">
        <f ca="1" t="shared" si="324"/>
        <v>-103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325">EDATE(V1148,W1148)</f>
        <v>0</v>
      </c>
      <c r="Z1148" s="105">
        <f ca="1" t="shared" ref="Z1148:Z1170" si="326">Y1148-TODAY()</f>
        <v>-46313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>
        <f t="shared" si="319"/>
        <v>0</v>
      </c>
      <c r="AM1148" s="105">
        <f ca="1" t="shared" si="320"/>
        <v>-46313</v>
      </c>
      <c r="AN1148" s="115"/>
      <c r="AO1148" s="115"/>
      <c r="AP1148" s="115"/>
      <c r="AQ1148" s="93"/>
      <c r="AR1148" s="93"/>
      <c r="AS1148" s="94"/>
      <c r="AT1148" s="95"/>
      <c r="AU1148" s="79"/>
      <c r="AV1148" s="117"/>
      <c r="AW1148" s="115"/>
      <c r="AX1148" s="106"/>
      <c r="AY1148" s="104"/>
      <c r="AZ1148" s="105"/>
    </row>
    <row r="1149" customHeight="1" spans="1:52">
      <c r="A1149" s="70">
        <v>1150</v>
      </c>
      <c r="B1149" s="108" t="s">
        <v>1409</v>
      </c>
      <c r="C1149" s="70" t="s">
        <v>374</v>
      </c>
      <c r="D1149" s="205" t="s">
        <v>3751</v>
      </c>
      <c r="E1149" s="71" t="s">
        <v>548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3752</v>
      </c>
      <c r="L1149" s="104">
        <f t="shared" si="323"/>
        <v>46210</v>
      </c>
      <c r="M1149" s="105">
        <f ca="1" t="shared" si="324"/>
        <v>-103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325"/>
        <v>0</v>
      </c>
      <c r="Z1149" s="105">
        <f ca="1" t="shared" si="326"/>
        <v>-46313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>
        <f t="shared" si="319"/>
        <v>0</v>
      </c>
      <c r="AM1149" s="105">
        <f ca="1" t="shared" si="320"/>
        <v>-46313</v>
      </c>
      <c r="AN1149" s="115"/>
      <c r="AO1149" s="115"/>
      <c r="AP1149" s="115"/>
      <c r="AQ1149" s="93"/>
      <c r="AR1149" s="93"/>
      <c r="AS1149" s="94"/>
      <c r="AT1149" s="95"/>
      <c r="AU1149" s="79"/>
      <c r="AV1149" s="117"/>
      <c r="AW1149" s="115"/>
      <c r="AX1149" s="106"/>
      <c r="AY1149" s="104"/>
      <c r="AZ1149" s="105"/>
    </row>
    <row r="1150" customHeight="1" spans="1:52">
      <c r="A1150" s="70">
        <v>1151</v>
      </c>
      <c r="B1150" s="108" t="s">
        <v>1409</v>
      </c>
      <c r="C1150" s="70" t="s">
        <v>374</v>
      </c>
      <c r="D1150" s="205" t="s">
        <v>3753</v>
      </c>
      <c r="E1150" s="71" t="s">
        <v>548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3754</v>
      </c>
      <c r="L1150" s="104">
        <f t="shared" si="323"/>
        <v>46210</v>
      </c>
      <c r="M1150" s="105">
        <f ca="1" t="shared" si="324"/>
        <v>-103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325"/>
        <v>0</v>
      </c>
      <c r="Z1150" s="105">
        <f ca="1" t="shared" si="326"/>
        <v>-46313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>
        <f t="shared" si="319"/>
        <v>0</v>
      </c>
      <c r="AM1150" s="105">
        <f ca="1" t="shared" si="320"/>
        <v>-46313</v>
      </c>
      <c r="AN1150" s="115"/>
      <c r="AO1150" s="115"/>
      <c r="AP1150" s="115"/>
      <c r="AQ1150" s="93"/>
      <c r="AR1150" s="93"/>
      <c r="AS1150" s="94"/>
      <c r="AT1150" s="95"/>
      <c r="AU1150" s="79"/>
      <c r="AV1150" s="117"/>
      <c r="AW1150" s="115"/>
      <c r="AX1150" s="106"/>
      <c r="AY1150" s="104"/>
      <c r="AZ1150" s="105"/>
    </row>
    <row r="1151" customHeight="1" spans="1:52">
      <c r="A1151" s="70">
        <v>1152</v>
      </c>
      <c r="B1151" s="108" t="s">
        <v>1409</v>
      </c>
      <c r="C1151" s="70" t="s">
        <v>374</v>
      </c>
      <c r="D1151" s="205" t="s">
        <v>3755</v>
      </c>
      <c r="E1151" s="71" t="s">
        <v>548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3756</v>
      </c>
      <c r="L1151" s="104">
        <f t="shared" si="323"/>
        <v>46210</v>
      </c>
      <c r="M1151" s="105">
        <f ca="1" t="shared" si="324"/>
        <v>-103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325"/>
        <v>0</v>
      </c>
      <c r="Z1151" s="105">
        <f ca="1" t="shared" si="326"/>
        <v>-46313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>
        <f t="shared" si="319"/>
        <v>0</v>
      </c>
      <c r="AM1151" s="105">
        <f ca="1" t="shared" si="320"/>
        <v>-46313</v>
      </c>
      <c r="AN1151" s="115"/>
      <c r="AO1151" s="115"/>
      <c r="AP1151" s="115"/>
      <c r="AQ1151" s="93"/>
      <c r="AR1151" s="93"/>
      <c r="AS1151" s="94"/>
      <c r="AT1151" s="95"/>
      <c r="AU1151" s="79"/>
      <c r="AV1151" s="117"/>
      <c r="AW1151" s="115"/>
      <c r="AX1151" s="106"/>
      <c r="AY1151" s="104"/>
      <c r="AZ1151" s="105"/>
    </row>
    <row r="1152" customHeight="1" spans="1:52">
      <c r="A1152" s="70">
        <v>1153</v>
      </c>
      <c r="B1152" s="108" t="s">
        <v>678</v>
      </c>
      <c r="C1152" s="70" t="s">
        <v>374</v>
      </c>
      <c r="D1152" s="205" t="s">
        <v>3757</v>
      </c>
      <c r="E1152" s="71" t="s">
        <v>680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3758</v>
      </c>
      <c r="L1152" s="104">
        <f t="shared" si="323"/>
        <v>46210</v>
      </c>
      <c r="M1152" s="105">
        <f ca="1" t="shared" si="324"/>
        <v>-103</v>
      </c>
      <c r="N1152" s="70"/>
      <c r="O1152" s="108" t="s">
        <v>678</v>
      </c>
      <c r="P1152" s="70" t="s">
        <v>374</v>
      </c>
      <c r="Q1152" s="205" t="s">
        <v>3757</v>
      </c>
      <c r="R1152" s="71" t="s">
        <v>680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3759</v>
      </c>
      <c r="Y1152" s="104">
        <f t="shared" si="325"/>
        <v>46334</v>
      </c>
      <c r="Z1152" s="105">
        <f ca="1" t="shared" si="326"/>
        <v>21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>
        <f t="shared" si="319"/>
        <v>0</v>
      </c>
      <c r="AM1152" s="105">
        <f ca="1" t="shared" si="320"/>
        <v>-46313</v>
      </c>
      <c r="AN1152" s="115"/>
      <c r="AO1152" s="115"/>
      <c r="AP1152" s="115"/>
      <c r="AQ1152" s="93"/>
      <c r="AR1152" s="93"/>
      <c r="AS1152" s="94"/>
      <c r="AT1152" s="95"/>
      <c r="AU1152" s="79"/>
      <c r="AV1152" s="117"/>
      <c r="AW1152" s="115"/>
      <c r="AX1152" s="106"/>
      <c r="AY1152" s="104"/>
      <c r="AZ1152" s="105"/>
    </row>
    <row r="1153" customHeight="1" spans="1:52">
      <c r="A1153" s="70">
        <v>1154</v>
      </c>
      <c r="B1153" s="108" t="s">
        <v>678</v>
      </c>
      <c r="C1153" s="70" t="s">
        <v>374</v>
      </c>
      <c r="D1153" s="205" t="s">
        <v>3760</v>
      </c>
      <c r="E1153" s="71" t="s">
        <v>680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3761</v>
      </c>
      <c r="L1153" s="104">
        <f t="shared" si="323"/>
        <v>46210</v>
      </c>
      <c r="M1153" s="105">
        <f ca="1" t="shared" si="324"/>
        <v>-103</v>
      </c>
      <c r="N1153" s="70"/>
      <c r="O1153" s="108" t="s">
        <v>678</v>
      </c>
      <c r="P1153" s="70" t="s">
        <v>374</v>
      </c>
      <c r="Q1153" s="205" t="s">
        <v>3760</v>
      </c>
      <c r="R1153" s="71" t="s">
        <v>680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3762</v>
      </c>
      <c r="Y1153" s="104">
        <f t="shared" si="325"/>
        <v>46334</v>
      </c>
      <c r="Z1153" s="105">
        <f ca="1" t="shared" si="326"/>
        <v>21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>
        <f t="shared" si="319"/>
        <v>0</v>
      </c>
      <c r="AM1153" s="105">
        <f ca="1" t="shared" si="320"/>
        <v>-46313</v>
      </c>
      <c r="AN1153" s="115"/>
      <c r="AO1153" s="115"/>
      <c r="AP1153" s="115"/>
      <c r="AQ1153" s="93"/>
      <c r="AR1153" s="93"/>
      <c r="AS1153" s="94"/>
      <c r="AT1153" s="95"/>
      <c r="AU1153" s="79"/>
      <c r="AV1153" s="117"/>
      <c r="AW1153" s="115"/>
      <c r="AX1153" s="106"/>
      <c r="AY1153" s="104"/>
      <c r="AZ1153" s="105"/>
    </row>
    <row r="1154" customHeight="1" spans="1:52">
      <c r="A1154" s="70">
        <v>1155</v>
      </c>
      <c r="B1154" s="215" t="s">
        <v>2862</v>
      </c>
      <c r="C1154" s="70" t="s">
        <v>374</v>
      </c>
      <c r="D1154" s="205" t="s">
        <v>3763</v>
      </c>
      <c r="E1154" s="71" t="s">
        <v>883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3764</v>
      </c>
      <c r="L1154" s="104">
        <f t="shared" si="323"/>
        <v>46210</v>
      </c>
      <c r="M1154" s="105">
        <f ca="1" t="shared" si="324"/>
        <v>-103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325"/>
        <v>0</v>
      </c>
      <c r="Z1154" s="105">
        <f ca="1" t="shared" si="326"/>
        <v>-46313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>
        <f t="shared" si="319"/>
        <v>0</v>
      </c>
      <c r="AM1154" s="105">
        <f ca="1" t="shared" si="320"/>
        <v>-46313</v>
      </c>
      <c r="AN1154" s="115"/>
      <c r="AO1154" s="115"/>
      <c r="AP1154" s="115"/>
      <c r="AQ1154" s="93"/>
      <c r="AR1154" s="93"/>
      <c r="AS1154" s="94"/>
      <c r="AT1154" s="95"/>
      <c r="AU1154" s="79"/>
      <c r="AV1154" s="117"/>
      <c r="AW1154" s="115"/>
      <c r="AX1154" s="106"/>
      <c r="AY1154" s="104"/>
      <c r="AZ1154" s="105"/>
    </row>
    <row r="1155" customHeight="1" spans="1:52">
      <c r="A1155" s="70">
        <v>1156</v>
      </c>
      <c r="B1155" s="108" t="s">
        <v>281</v>
      </c>
      <c r="C1155" s="70" t="s">
        <v>264</v>
      </c>
      <c r="D1155" s="205" t="s">
        <v>3765</v>
      </c>
      <c r="E1155" s="71" t="s">
        <v>3766</v>
      </c>
      <c r="F1155" s="72"/>
      <c r="G1155" s="73"/>
      <c r="H1155" s="75"/>
      <c r="I1155" s="102">
        <v>46119</v>
      </c>
      <c r="J1155" s="70">
        <v>3</v>
      </c>
      <c r="K1155" s="106" t="s">
        <v>3767</v>
      </c>
      <c r="L1155" s="104">
        <f t="shared" si="323"/>
        <v>46210</v>
      </c>
      <c r="M1155" s="105">
        <f ca="1" t="shared" si="324"/>
        <v>-103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325"/>
        <v>0</v>
      </c>
      <c r="Z1155" s="105">
        <f ca="1" t="shared" si="326"/>
        <v>-46313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>
        <f t="shared" si="319"/>
        <v>0</v>
      </c>
      <c r="AM1155" s="105">
        <f ca="1" t="shared" si="320"/>
        <v>-46313</v>
      </c>
      <c r="AN1155" s="115"/>
      <c r="AO1155" s="115"/>
      <c r="AP1155" s="115"/>
      <c r="AQ1155" s="93"/>
      <c r="AR1155" s="93"/>
      <c r="AS1155" s="94"/>
      <c r="AT1155" s="95"/>
      <c r="AU1155" s="79"/>
      <c r="AV1155" s="117"/>
      <c r="AW1155" s="115"/>
      <c r="AX1155" s="106"/>
      <c r="AY1155" s="104"/>
      <c r="AZ1155" s="105"/>
    </row>
    <row r="1156" customHeight="1" spans="1:52">
      <c r="A1156" s="70">
        <v>1157</v>
      </c>
      <c r="B1156" s="108" t="s">
        <v>1238</v>
      </c>
      <c r="C1156" s="70" t="s">
        <v>264</v>
      </c>
      <c r="D1156" s="220" t="s">
        <v>3768</v>
      </c>
      <c r="E1156" s="71" t="s">
        <v>2744</v>
      </c>
      <c r="F1156" s="72"/>
      <c r="G1156" s="73"/>
      <c r="H1156" s="75"/>
      <c r="I1156" s="102">
        <v>46119</v>
      </c>
      <c r="J1156" s="70">
        <v>3</v>
      </c>
      <c r="K1156" s="106" t="s">
        <v>3769</v>
      </c>
      <c r="L1156" s="104">
        <f t="shared" si="323"/>
        <v>46210</v>
      </c>
      <c r="M1156" s="105">
        <f ca="1" t="shared" si="324"/>
        <v>-103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325"/>
        <v>0</v>
      </c>
      <c r="Z1156" s="105">
        <f ca="1" t="shared" si="326"/>
        <v>-46313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>
        <f t="shared" si="319"/>
        <v>0</v>
      </c>
      <c r="AM1156" s="105">
        <f ca="1" t="shared" si="320"/>
        <v>-46313</v>
      </c>
      <c r="AN1156" s="115"/>
      <c r="AO1156" s="115"/>
      <c r="AP1156" s="115"/>
      <c r="AQ1156" s="93"/>
      <c r="AR1156" s="93"/>
      <c r="AS1156" s="94"/>
      <c r="AT1156" s="95"/>
      <c r="AU1156" s="79"/>
      <c r="AV1156" s="117"/>
      <c r="AW1156" s="115"/>
      <c r="AX1156" s="106"/>
      <c r="AY1156" s="104"/>
      <c r="AZ1156" s="105"/>
    </row>
    <row r="1157" customHeight="1" spans="1:52">
      <c r="A1157" s="70">
        <v>1158</v>
      </c>
      <c r="B1157" s="108" t="s">
        <v>1238</v>
      </c>
      <c r="C1157" s="70" t="s">
        <v>264</v>
      </c>
      <c r="D1157" s="205" t="s">
        <v>3770</v>
      </c>
      <c r="E1157" s="71" t="s">
        <v>2741</v>
      </c>
      <c r="F1157" s="72"/>
      <c r="G1157" s="73"/>
      <c r="H1157" s="75"/>
      <c r="I1157" s="102">
        <v>46119</v>
      </c>
      <c r="J1157" s="70">
        <v>3</v>
      </c>
      <c r="K1157" s="106" t="s">
        <v>3771</v>
      </c>
      <c r="L1157" s="104">
        <f t="shared" si="323"/>
        <v>46210</v>
      </c>
      <c r="M1157" s="105">
        <f ca="1" t="shared" si="324"/>
        <v>-103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325"/>
        <v>0</v>
      </c>
      <c r="Z1157" s="105">
        <f ca="1" t="shared" si="326"/>
        <v>-46313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>
        <f t="shared" si="319"/>
        <v>0</v>
      </c>
      <c r="AM1157" s="105">
        <f ca="1" t="shared" si="320"/>
        <v>-46313</v>
      </c>
      <c r="AN1157" s="115"/>
      <c r="AO1157" s="115"/>
      <c r="AP1157" s="115"/>
      <c r="AQ1157" s="93"/>
      <c r="AR1157" s="93"/>
      <c r="AS1157" s="94"/>
      <c r="AT1157" s="95"/>
      <c r="AU1157" s="79"/>
      <c r="AV1157" s="117"/>
      <c r="AW1157" s="115"/>
      <c r="AX1157" s="106"/>
      <c r="AY1157" s="104"/>
      <c r="AZ1157" s="105"/>
    </row>
    <row r="1158" customHeight="1" spans="1:52">
      <c r="A1158" s="70">
        <v>1159</v>
      </c>
      <c r="B1158" s="108" t="s">
        <v>3772</v>
      </c>
      <c r="C1158" s="70" t="s">
        <v>264</v>
      </c>
      <c r="D1158" s="205" t="s">
        <v>955</v>
      </c>
      <c r="E1158" s="71" t="s">
        <v>764</v>
      </c>
      <c r="F1158" s="72"/>
      <c r="G1158" s="73"/>
      <c r="H1158" s="75"/>
      <c r="I1158" s="102">
        <v>46119</v>
      </c>
      <c r="J1158" s="70" t="s">
        <v>767</v>
      </c>
      <c r="K1158" s="106"/>
      <c r="L1158" s="104" t="e">
        <f t="shared" si="323"/>
        <v>#VALUE!</v>
      </c>
      <c r="M1158" s="105" t="e">
        <f ca="1" t="shared" si="324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325"/>
        <v>0</v>
      </c>
      <c r="Z1158" s="105">
        <f ca="1" t="shared" si="326"/>
        <v>-46313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>
        <f t="shared" si="319"/>
        <v>0</v>
      </c>
      <c r="AM1158" s="105">
        <f ca="1" t="shared" si="320"/>
        <v>-46313</v>
      </c>
      <c r="AN1158" s="115"/>
      <c r="AO1158" s="115"/>
      <c r="AP1158" s="115"/>
      <c r="AQ1158" s="93"/>
      <c r="AR1158" s="93"/>
      <c r="AS1158" s="94"/>
      <c r="AT1158" s="95"/>
      <c r="AU1158" s="79"/>
      <c r="AV1158" s="117"/>
      <c r="AW1158" s="115"/>
      <c r="AX1158" s="106"/>
      <c r="AY1158" s="104"/>
      <c r="AZ1158" s="105"/>
    </row>
    <row r="1159" customHeight="1" spans="1:52">
      <c r="A1159" s="70">
        <v>1160</v>
      </c>
      <c r="B1159" s="108" t="s">
        <v>648</v>
      </c>
      <c r="C1159" s="70" t="s">
        <v>264</v>
      </c>
      <c r="D1159" s="205" t="s">
        <v>2699</v>
      </c>
      <c r="E1159" s="71" t="s">
        <v>2700</v>
      </c>
      <c r="F1159" s="72"/>
      <c r="G1159" s="73"/>
      <c r="H1159" s="75"/>
      <c r="I1159" s="102">
        <v>46119</v>
      </c>
      <c r="J1159" s="70" t="s">
        <v>767</v>
      </c>
      <c r="K1159" s="106"/>
      <c r="L1159" s="104" t="e">
        <f t="shared" si="323"/>
        <v>#VALUE!</v>
      </c>
      <c r="M1159" s="105" t="e">
        <f ca="1" t="shared" si="324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325"/>
        <v>0</v>
      </c>
      <c r="Z1159" s="105">
        <f ca="1" t="shared" si="326"/>
        <v>-46313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>
        <f t="shared" si="319"/>
        <v>0</v>
      </c>
      <c r="AM1159" s="105">
        <f ca="1" t="shared" si="320"/>
        <v>-46313</v>
      </c>
      <c r="AN1159" s="115"/>
      <c r="AO1159" s="115"/>
      <c r="AP1159" s="115"/>
      <c r="AQ1159" s="93"/>
      <c r="AR1159" s="93"/>
      <c r="AS1159" s="94"/>
      <c r="AT1159" s="95"/>
      <c r="AU1159" s="79"/>
      <c r="AV1159" s="117"/>
      <c r="AW1159" s="115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3773</v>
      </c>
      <c r="E1160" s="71" t="s">
        <v>126</v>
      </c>
      <c r="F1160" s="72"/>
      <c r="G1160" s="73"/>
      <c r="H1160" s="192" t="s">
        <v>16</v>
      </c>
      <c r="I1160" s="102">
        <v>46120</v>
      </c>
      <c r="J1160" s="70">
        <v>3</v>
      </c>
      <c r="K1160" s="106" t="s">
        <v>3774</v>
      </c>
      <c r="L1160" s="104">
        <f t="shared" si="323"/>
        <v>46211</v>
      </c>
      <c r="M1160" s="105">
        <f ca="1" t="shared" si="324"/>
        <v>-102</v>
      </c>
      <c r="N1160" s="70"/>
      <c r="O1160" s="70" t="s">
        <v>12</v>
      </c>
      <c r="P1160" s="70" t="s">
        <v>13</v>
      </c>
      <c r="Q1160" s="71" t="s">
        <v>3773</v>
      </c>
      <c r="R1160" s="71" t="s">
        <v>126</v>
      </c>
      <c r="S1160" s="72"/>
      <c r="T1160" s="73"/>
      <c r="U1160" s="192" t="s">
        <v>16</v>
      </c>
      <c r="V1160" s="102">
        <v>46212</v>
      </c>
      <c r="W1160" s="70">
        <v>3</v>
      </c>
      <c r="X1160" s="103" t="s">
        <v>3775</v>
      </c>
      <c r="Y1160" s="104">
        <f t="shared" si="325"/>
        <v>46304</v>
      </c>
      <c r="Z1160" s="105">
        <f ca="1" t="shared" si="326"/>
        <v>-9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>
        <f t="shared" si="319"/>
        <v>0</v>
      </c>
      <c r="AM1160" s="105">
        <f ca="1" t="shared" si="320"/>
        <v>-46313</v>
      </c>
      <c r="AN1160" s="115"/>
      <c r="AO1160" s="115"/>
      <c r="AP1160" s="115"/>
      <c r="AQ1160" s="93"/>
      <c r="AR1160" s="93"/>
      <c r="AS1160" s="94"/>
      <c r="AT1160" s="95"/>
      <c r="AU1160" s="79"/>
      <c r="AV1160" s="117"/>
      <c r="AW1160" s="115"/>
      <c r="AX1160" s="106"/>
      <c r="AY1160" s="104"/>
      <c r="AZ1160" s="105"/>
    </row>
    <row r="1161" customHeight="1" spans="1:52">
      <c r="A1161" s="70">
        <v>1162</v>
      </c>
      <c r="B1161" s="70" t="s">
        <v>1574</v>
      </c>
      <c r="C1161" s="70" t="s">
        <v>38</v>
      </c>
      <c r="D1161" s="71" t="s">
        <v>3776</v>
      </c>
      <c r="E1161" s="71" t="s">
        <v>3777</v>
      </c>
      <c r="F1161" s="72"/>
      <c r="G1161" s="73"/>
      <c r="H1161" s="75"/>
      <c r="I1161" s="102">
        <v>46120</v>
      </c>
      <c r="J1161" s="70">
        <v>3</v>
      </c>
      <c r="K1161" s="106" t="s">
        <v>3778</v>
      </c>
      <c r="L1161" s="104">
        <f t="shared" si="323"/>
        <v>46211</v>
      </c>
      <c r="M1161" s="105">
        <f ca="1" t="shared" si="324"/>
        <v>-102</v>
      </c>
      <c r="N1161" s="70"/>
      <c r="O1161" s="70" t="s">
        <v>1574</v>
      </c>
      <c r="P1161" s="70" t="s">
        <v>38</v>
      </c>
      <c r="Q1161" s="71" t="s">
        <v>3776</v>
      </c>
      <c r="R1161" s="71" t="s">
        <v>3777</v>
      </c>
      <c r="S1161" s="72"/>
      <c r="T1161" s="73"/>
      <c r="U1161" s="75"/>
      <c r="V1161" s="102">
        <v>46235</v>
      </c>
      <c r="W1161" s="70">
        <v>3</v>
      </c>
      <c r="X1161" s="103" t="s">
        <v>3779</v>
      </c>
      <c r="Y1161" s="104">
        <f t="shared" si="325"/>
        <v>46327</v>
      </c>
      <c r="Z1161" s="105">
        <f ca="1" t="shared" si="326"/>
        <v>14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>
        <f t="shared" si="319"/>
        <v>0</v>
      </c>
      <c r="AM1161" s="105">
        <f ca="1" t="shared" si="320"/>
        <v>-46313</v>
      </c>
      <c r="AN1161" s="115"/>
      <c r="AO1161" s="115"/>
      <c r="AP1161" s="115"/>
      <c r="AQ1161" s="93"/>
      <c r="AR1161" s="93"/>
      <c r="AS1161" s="94"/>
      <c r="AT1161" s="95"/>
      <c r="AU1161" s="79"/>
      <c r="AV1161" s="117"/>
      <c r="AW1161" s="115"/>
      <c r="AX1161" s="106"/>
      <c r="AY1161" s="104"/>
      <c r="AZ1161" s="105"/>
    </row>
    <row r="1162" customHeight="1" spans="1:52">
      <c r="A1162" s="70">
        <v>1163</v>
      </c>
      <c r="B1162" s="70" t="s">
        <v>3780</v>
      </c>
      <c r="C1162" s="70" t="s">
        <v>264</v>
      </c>
      <c r="D1162" s="71" t="s">
        <v>367</v>
      </c>
      <c r="E1162" s="71" t="s">
        <v>368</v>
      </c>
      <c r="F1162" s="72"/>
      <c r="G1162" s="73"/>
      <c r="H1162" s="75"/>
      <c r="I1162" s="102">
        <v>46120</v>
      </c>
      <c r="J1162" s="70">
        <v>3</v>
      </c>
      <c r="K1162" s="106" t="s">
        <v>3781</v>
      </c>
      <c r="L1162" s="104">
        <f t="shared" si="323"/>
        <v>46211</v>
      </c>
      <c r="M1162" s="105">
        <f ca="1" t="shared" si="324"/>
        <v>-102</v>
      </c>
      <c r="N1162" s="70"/>
      <c r="O1162" s="70" t="s">
        <v>3780</v>
      </c>
      <c r="P1162" s="70" t="s">
        <v>264</v>
      </c>
      <c r="Q1162" s="71" t="s">
        <v>367</v>
      </c>
      <c r="R1162" s="71" t="s">
        <v>368</v>
      </c>
      <c r="S1162" s="72"/>
      <c r="T1162" s="73"/>
      <c r="U1162" s="75"/>
      <c r="V1162" s="102">
        <v>46203</v>
      </c>
      <c r="W1162" s="70">
        <v>3</v>
      </c>
      <c r="X1162" s="103" t="s">
        <v>3782</v>
      </c>
      <c r="Y1162" s="104">
        <f t="shared" si="325"/>
        <v>46295</v>
      </c>
      <c r="Z1162" s="105">
        <f ca="1" t="shared" si="326"/>
        <v>-18</v>
      </c>
      <c r="AA1162" s="70"/>
      <c r="AB1162" s="70" t="s">
        <v>3780</v>
      </c>
      <c r="AC1162" s="70" t="s">
        <v>264</v>
      </c>
      <c r="AD1162" s="71" t="s">
        <v>367</v>
      </c>
      <c r="AE1162" s="71" t="s">
        <v>368</v>
      </c>
      <c r="AF1162" s="72"/>
      <c r="AG1162" s="73"/>
      <c r="AH1162" s="75"/>
      <c r="AI1162" s="102">
        <v>46295</v>
      </c>
      <c r="AJ1162" s="70">
        <v>3</v>
      </c>
      <c r="AK1162" s="103" t="s">
        <v>3783</v>
      </c>
      <c r="AL1162" s="104">
        <f t="shared" si="319"/>
        <v>46386</v>
      </c>
      <c r="AM1162" s="105">
        <f ca="1" t="shared" si="320"/>
        <v>73</v>
      </c>
      <c r="AN1162" s="115"/>
      <c r="AO1162" s="115"/>
      <c r="AP1162" s="115"/>
      <c r="AQ1162" s="93"/>
      <c r="AR1162" s="93"/>
      <c r="AS1162" s="94"/>
      <c r="AT1162" s="95"/>
      <c r="AU1162" s="79"/>
      <c r="AV1162" s="117"/>
      <c r="AW1162" s="115"/>
      <c r="AX1162" s="106"/>
      <c r="AY1162" s="104"/>
      <c r="AZ1162" s="105"/>
    </row>
    <row r="1163" customHeight="1" spans="1:52">
      <c r="A1163" s="70">
        <v>1164</v>
      </c>
      <c r="B1163" s="108" t="s">
        <v>3772</v>
      </c>
      <c r="C1163" s="70" t="s">
        <v>264</v>
      </c>
      <c r="D1163" s="205" t="s">
        <v>955</v>
      </c>
      <c r="E1163" s="71" t="s">
        <v>764</v>
      </c>
      <c r="F1163" s="72"/>
      <c r="G1163" s="73"/>
      <c r="H1163" s="75"/>
      <c r="I1163" s="102">
        <v>46120</v>
      </c>
      <c r="J1163" s="70" t="s">
        <v>767</v>
      </c>
      <c r="K1163" s="106"/>
      <c r="L1163" s="104" t="e">
        <f t="shared" ref="L1163:L1177" si="327">EDATE(I1163,J1163)</f>
        <v>#VALUE!</v>
      </c>
      <c r="M1163" s="105" t="e">
        <f ca="1" t="shared" ref="M1163:M1177" si="32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325"/>
        <v>0</v>
      </c>
      <c r="Z1163" s="105">
        <f ca="1" t="shared" si="326"/>
        <v>-46313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>
        <f t="shared" si="319"/>
        <v>0</v>
      </c>
      <c r="AM1163" s="105">
        <f ca="1" t="shared" si="320"/>
        <v>-46313</v>
      </c>
      <c r="AN1163" s="115"/>
      <c r="AO1163" s="115"/>
      <c r="AP1163" s="115"/>
      <c r="AQ1163" s="93"/>
      <c r="AR1163" s="93"/>
      <c r="AS1163" s="94"/>
      <c r="AT1163" s="95"/>
      <c r="AU1163" s="79"/>
      <c r="AV1163" s="117"/>
      <c r="AW1163" s="115"/>
      <c r="AX1163" s="106"/>
      <c r="AY1163" s="104"/>
      <c r="AZ1163" s="105"/>
    </row>
    <row r="1164" customHeight="1" spans="1:52">
      <c r="A1164" s="70">
        <v>1165</v>
      </c>
      <c r="B1164" s="108" t="s">
        <v>281</v>
      </c>
      <c r="C1164" s="70" t="s">
        <v>264</v>
      </c>
      <c r="D1164" s="205" t="s">
        <v>2618</v>
      </c>
      <c r="E1164" s="71" t="s">
        <v>364</v>
      </c>
      <c r="F1164" s="72"/>
      <c r="G1164" s="73"/>
      <c r="H1164" s="75"/>
      <c r="I1164" s="102">
        <v>46120</v>
      </c>
      <c r="J1164" s="70" t="s">
        <v>767</v>
      </c>
      <c r="K1164" s="106"/>
      <c r="L1164" s="104" t="e">
        <f t="shared" si="327"/>
        <v>#VALUE!</v>
      </c>
      <c r="M1164" s="105" t="e">
        <f ca="1" t="shared" si="32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325"/>
        <v>0</v>
      </c>
      <c r="Z1164" s="105">
        <f ca="1" t="shared" si="326"/>
        <v>-46313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>
        <f t="shared" si="319"/>
        <v>0</v>
      </c>
      <c r="AM1164" s="105">
        <f ca="1" t="shared" si="320"/>
        <v>-46313</v>
      </c>
      <c r="AN1164" s="115"/>
      <c r="AO1164" s="115"/>
      <c r="AP1164" s="115"/>
      <c r="AQ1164" s="93"/>
      <c r="AR1164" s="93"/>
      <c r="AS1164" s="94"/>
      <c r="AT1164" s="95"/>
      <c r="AU1164" s="79"/>
      <c r="AV1164" s="117"/>
      <c r="AW1164" s="115"/>
      <c r="AX1164" s="106"/>
      <c r="AY1164" s="104"/>
      <c r="AZ1164" s="105"/>
    </row>
    <row r="1165" customHeight="1" spans="1:52">
      <c r="A1165" s="70">
        <v>1166</v>
      </c>
      <c r="B1165" s="204" t="s">
        <v>1359</v>
      </c>
      <c r="C1165" s="70" t="s">
        <v>13</v>
      </c>
      <c r="D1165" s="205" t="s">
        <v>2779</v>
      </c>
      <c r="E1165" s="71" t="s">
        <v>2780</v>
      </c>
      <c r="F1165" s="72"/>
      <c r="G1165" s="73"/>
      <c r="H1165" s="75"/>
      <c r="I1165" s="102">
        <v>46120</v>
      </c>
      <c r="J1165" s="70" t="s">
        <v>767</v>
      </c>
      <c r="K1165" s="106"/>
      <c r="L1165" s="104" t="e">
        <f t="shared" si="327"/>
        <v>#VALUE!</v>
      </c>
      <c r="M1165" s="105" t="e">
        <f ca="1" t="shared" si="32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325"/>
        <v>0</v>
      </c>
      <c r="Z1165" s="105">
        <f ca="1" t="shared" si="326"/>
        <v>-46313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>
        <f t="shared" si="319"/>
        <v>0</v>
      </c>
      <c r="AM1165" s="105">
        <f ca="1" t="shared" si="320"/>
        <v>-46313</v>
      </c>
      <c r="AN1165" s="115"/>
      <c r="AO1165" s="115"/>
      <c r="AP1165" s="115"/>
      <c r="AQ1165" s="93"/>
      <c r="AR1165" s="93"/>
      <c r="AS1165" s="94"/>
      <c r="AT1165" s="95"/>
      <c r="AU1165" s="79"/>
      <c r="AV1165" s="117"/>
      <c r="AW1165" s="115"/>
      <c r="AX1165" s="106"/>
      <c r="AY1165" s="104"/>
      <c r="AZ1165" s="105"/>
    </row>
    <row r="1166" customHeight="1" spans="1:52">
      <c r="A1166" s="70">
        <v>1167</v>
      </c>
      <c r="B1166" s="204" t="s">
        <v>1359</v>
      </c>
      <c r="C1166" s="70" t="s">
        <v>13</v>
      </c>
      <c r="D1166" s="205" t="s">
        <v>2775</v>
      </c>
      <c r="E1166" s="71" t="s">
        <v>2776</v>
      </c>
      <c r="F1166" s="72"/>
      <c r="G1166" s="73"/>
      <c r="H1166" s="75"/>
      <c r="I1166" s="102">
        <v>46120</v>
      </c>
      <c r="J1166" s="70" t="s">
        <v>767</v>
      </c>
      <c r="K1166" s="106"/>
      <c r="L1166" s="104" t="e">
        <f t="shared" si="327"/>
        <v>#VALUE!</v>
      </c>
      <c r="M1166" s="105" t="e">
        <f ca="1" t="shared" si="32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325"/>
        <v>0</v>
      </c>
      <c r="Z1166" s="105">
        <f ca="1" t="shared" si="326"/>
        <v>-46313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>
        <f t="shared" si="319"/>
        <v>0</v>
      </c>
      <c r="AM1166" s="105">
        <f ca="1" t="shared" si="320"/>
        <v>-46313</v>
      </c>
      <c r="AN1166" s="115"/>
      <c r="AO1166" s="115"/>
      <c r="AP1166" s="115"/>
      <c r="AQ1166" s="93"/>
      <c r="AR1166" s="93"/>
      <c r="AS1166" s="94"/>
      <c r="AT1166" s="95"/>
      <c r="AU1166" s="79"/>
      <c r="AV1166" s="117"/>
      <c r="AW1166" s="115"/>
      <c r="AX1166" s="106"/>
      <c r="AY1166" s="104"/>
      <c r="AZ1166" s="105"/>
    </row>
    <row r="1167" customHeight="1" spans="1:52">
      <c r="A1167" s="70">
        <v>1168</v>
      </c>
      <c r="B1167" s="204" t="s">
        <v>1359</v>
      </c>
      <c r="C1167" s="70" t="s">
        <v>13</v>
      </c>
      <c r="D1167" s="205" t="s">
        <v>2848</v>
      </c>
      <c r="E1167" s="71" t="s">
        <v>2859</v>
      </c>
      <c r="F1167" s="72"/>
      <c r="G1167" s="73"/>
      <c r="H1167" s="75"/>
      <c r="I1167" s="102">
        <v>46120</v>
      </c>
      <c r="J1167" s="70" t="s">
        <v>767</v>
      </c>
      <c r="K1167" s="106"/>
      <c r="L1167" s="104" t="e">
        <f t="shared" si="327"/>
        <v>#VALUE!</v>
      </c>
      <c r="M1167" s="105" t="e">
        <f ca="1" t="shared" si="328"/>
        <v>#VALUE!</v>
      </c>
      <c r="N1167" s="70"/>
      <c r="O1167" s="70"/>
      <c r="P1167" s="70"/>
      <c r="Q1167" s="71"/>
      <c r="R1167" s="71"/>
      <c r="S1167" s="72"/>
      <c r="T1167" s="73"/>
      <c r="U1167" s="146"/>
      <c r="V1167" s="102"/>
      <c r="W1167" s="70"/>
      <c r="X1167" s="103"/>
      <c r="Y1167" s="104">
        <f t="shared" si="325"/>
        <v>0</v>
      </c>
      <c r="Z1167" s="105">
        <f ca="1" t="shared" si="326"/>
        <v>-46313</v>
      </c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>
        <f t="shared" si="319"/>
        <v>0</v>
      </c>
      <c r="AM1167" s="105">
        <f ca="1" t="shared" si="320"/>
        <v>-46313</v>
      </c>
      <c r="AN1167" s="115"/>
      <c r="AO1167" s="115"/>
      <c r="AP1167" s="115"/>
      <c r="AQ1167" s="93"/>
      <c r="AR1167" s="93"/>
      <c r="AS1167" s="94"/>
      <c r="AT1167" s="95"/>
      <c r="AU1167" s="79"/>
      <c r="AV1167" s="117"/>
      <c r="AW1167" s="115"/>
      <c r="AX1167" s="106"/>
      <c r="AY1167" s="104"/>
      <c r="AZ1167" s="105"/>
    </row>
    <row r="1168" customHeight="1" spans="1:52">
      <c r="A1168" s="70">
        <v>1169</v>
      </c>
      <c r="B1168" s="204" t="s">
        <v>1359</v>
      </c>
      <c r="C1168" s="70" t="s">
        <v>13</v>
      </c>
      <c r="D1168" s="205" t="s">
        <v>2858</v>
      </c>
      <c r="E1168" s="71" t="s">
        <v>2849</v>
      </c>
      <c r="F1168" s="72"/>
      <c r="G1168" s="73"/>
      <c r="H1168" s="75"/>
      <c r="I1168" s="102">
        <v>46120</v>
      </c>
      <c r="J1168" s="70" t="s">
        <v>767</v>
      </c>
      <c r="K1168" s="106"/>
      <c r="L1168" s="104" t="e">
        <f t="shared" si="327"/>
        <v>#VALUE!</v>
      </c>
      <c r="M1168" s="105" t="e">
        <f ca="1" t="shared" si="32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325"/>
        <v>0</v>
      </c>
      <c r="Z1168" s="105">
        <f ca="1" t="shared" si="326"/>
        <v>-46313</v>
      </c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>
        <f t="shared" si="319"/>
        <v>0</v>
      </c>
      <c r="AM1168" s="105">
        <f ca="1" t="shared" si="320"/>
        <v>-46313</v>
      </c>
      <c r="AN1168" s="115"/>
      <c r="AO1168" s="115"/>
      <c r="AP1168" s="115"/>
      <c r="AQ1168" s="93"/>
      <c r="AR1168" s="93"/>
      <c r="AS1168" s="94"/>
      <c r="AT1168" s="95"/>
      <c r="AU1168" s="79"/>
      <c r="AV1168" s="117"/>
      <c r="AW1168" s="115"/>
      <c r="AX1168" s="106"/>
      <c r="AY1168" s="104"/>
      <c r="AZ1168" s="105"/>
    </row>
    <row r="1169" customHeight="1" spans="1:52">
      <c r="A1169" s="70">
        <v>1170</v>
      </c>
      <c r="B1169" s="70" t="s">
        <v>644</v>
      </c>
      <c r="C1169" s="70" t="s">
        <v>264</v>
      </c>
      <c r="D1169" s="71" t="s">
        <v>265</v>
      </c>
      <c r="E1169" s="71" t="s">
        <v>266</v>
      </c>
      <c r="F1169" s="72"/>
      <c r="G1169" s="73"/>
      <c r="H1169" s="75"/>
      <c r="I1169" s="102">
        <v>46120</v>
      </c>
      <c r="J1169" s="70" t="s">
        <v>767</v>
      </c>
      <c r="K1169" s="106"/>
      <c r="L1169" s="104" t="e">
        <f t="shared" si="327"/>
        <v>#VALUE!</v>
      </c>
      <c r="M1169" s="105" t="e">
        <f ca="1" t="shared" si="32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325"/>
        <v>0</v>
      </c>
      <c r="Z1169" s="105">
        <f ca="1" t="shared" si="326"/>
        <v>-46313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>
        <f t="shared" si="319"/>
        <v>0</v>
      </c>
      <c r="AM1169" s="105">
        <f ca="1" t="shared" si="320"/>
        <v>-46313</v>
      </c>
      <c r="AN1169" s="115"/>
      <c r="AO1169" s="115"/>
      <c r="AP1169" s="115"/>
      <c r="AQ1169" s="93"/>
      <c r="AR1169" s="93"/>
      <c r="AS1169" s="94"/>
      <c r="AT1169" s="95"/>
      <c r="AU1169" s="79"/>
      <c r="AV1169" s="117"/>
      <c r="AW1169" s="115"/>
      <c r="AX1169" s="106"/>
      <c r="AY1169" s="104"/>
      <c r="AZ1169" s="105"/>
    </row>
    <row r="1170" customHeight="1" spans="1:52">
      <c r="A1170" s="70">
        <v>1171</v>
      </c>
      <c r="B1170" s="108" t="s">
        <v>3784</v>
      </c>
      <c r="C1170" s="70" t="s">
        <v>38</v>
      </c>
      <c r="D1170" s="205" t="s">
        <v>3785</v>
      </c>
      <c r="E1170" s="71" t="s">
        <v>3786</v>
      </c>
      <c r="F1170" s="72"/>
      <c r="G1170" s="73"/>
      <c r="H1170" s="75"/>
      <c r="I1170" s="102">
        <v>46121</v>
      </c>
      <c r="J1170" s="70">
        <v>3</v>
      </c>
      <c r="K1170" s="106" t="s">
        <v>3787</v>
      </c>
      <c r="L1170" s="104">
        <f t="shared" si="327"/>
        <v>46212</v>
      </c>
      <c r="M1170" s="105">
        <f ca="1" t="shared" si="328"/>
        <v>-101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325"/>
        <v>0</v>
      </c>
      <c r="Z1170" s="105">
        <f ca="1" t="shared" si="326"/>
        <v>-46313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>
        <f t="shared" si="319"/>
        <v>0</v>
      </c>
      <c r="AM1170" s="105">
        <f ca="1" t="shared" si="320"/>
        <v>-46313</v>
      </c>
      <c r="AN1170" s="115"/>
      <c r="AO1170" s="115"/>
      <c r="AP1170" s="115"/>
      <c r="AQ1170" s="93"/>
      <c r="AR1170" s="93"/>
      <c r="AS1170" s="94"/>
      <c r="AT1170" s="95"/>
      <c r="AU1170" s="79"/>
      <c r="AV1170" s="117"/>
      <c r="AW1170" s="115"/>
      <c r="AX1170" s="106"/>
      <c r="AY1170" s="104"/>
      <c r="AZ1170" s="105"/>
    </row>
    <row r="1171" customHeight="1" spans="1:52">
      <c r="A1171" s="70">
        <v>1172</v>
      </c>
      <c r="B1171" s="204" t="s">
        <v>561</v>
      </c>
      <c r="C1171" s="70" t="s">
        <v>374</v>
      </c>
      <c r="D1171" s="71" t="s">
        <v>3788</v>
      </c>
      <c r="E1171" s="71" t="s">
        <v>568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3789</v>
      </c>
      <c r="L1171" s="104">
        <f t="shared" si="327"/>
        <v>46212</v>
      </c>
      <c r="M1171" s="105">
        <f ca="1" t="shared" si="328"/>
        <v>-101</v>
      </c>
      <c r="N1171" s="70"/>
      <c r="O1171" s="204" t="s">
        <v>561</v>
      </c>
      <c r="P1171" s="70" t="s">
        <v>374</v>
      </c>
      <c r="Q1171" s="71" t="s">
        <v>3788</v>
      </c>
      <c r="R1171" s="71" t="s">
        <v>568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3790</v>
      </c>
      <c r="Y1171" s="104">
        <f t="shared" ref="Y1171:Y1198" si="329">EDATE(V1171,W1171)</f>
        <v>46298</v>
      </c>
      <c r="Z1171" s="105">
        <f ca="1" t="shared" ref="Z1171:Z1198" si="330">Y1171-TODAY()</f>
        <v>-15</v>
      </c>
      <c r="AA1171" s="70"/>
      <c r="AB1171" s="204" t="s">
        <v>561</v>
      </c>
      <c r="AC1171" s="70" t="s">
        <v>374</v>
      </c>
      <c r="AD1171" s="71" t="s">
        <v>3788</v>
      </c>
      <c r="AE1171" s="71" t="s">
        <v>568</v>
      </c>
      <c r="AF1171" s="72"/>
      <c r="AG1171" s="73"/>
      <c r="AH1171" s="74" t="s">
        <v>16</v>
      </c>
      <c r="AI1171" s="102">
        <v>46302</v>
      </c>
      <c r="AJ1171" s="70">
        <v>3</v>
      </c>
      <c r="AK1171" s="103" t="s">
        <v>3791</v>
      </c>
      <c r="AL1171" s="104">
        <f t="shared" si="319"/>
        <v>46394</v>
      </c>
      <c r="AM1171" s="105">
        <f ca="1" t="shared" si="320"/>
        <v>81</v>
      </c>
      <c r="AN1171" s="115"/>
      <c r="AO1171" s="115"/>
      <c r="AP1171" s="115"/>
      <c r="AQ1171" s="93"/>
      <c r="AR1171" s="93"/>
      <c r="AS1171" s="94"/>
      <c r="AT1171" s="95"/>
      <c r="AU1171" s="79"/>
      <c r="AV1171" s="117"/>
      <c r="AW1171" s="115"/>
      <c r="AX1171" s="106"/>
      <c r="AY1171" s="104"/>
      <c r="AZ1171" s="105"/>
    </row>
    <row r="1172" customHeight="1" spans="1:52">
      <c r="A1172" s="70">
        <v>1173</v>
      </c>
      <c r="B1172" s="204" t="s">
        <v>1359</v>
      </c>
      <c r="C1172" s="70" t="s">
        <v>13</v>
      </c>
      <c r="D1172" s="205" t="s">
        <v>2622</v>
      </c>
      <c r="E1172" s="71" t="s">
        <v>2623</v>
      </c>
      <c r="F1172" s="72"/>
      <c r="G1172" s="73"/>
      <c r="H1172" s="151"/>
      <c r="I1172" s="102">
        <v>46121</v>
      </c>
      <c r="J1172" s="70" t="s">
        <v>767</v>
      </c>
      <c r="K1172" s="106"/>
      <c r="L1172" s="104" t="e">
        <f t="shared" si="327"/>
        <v>#VALUE!</v>
      </c>
      <c r="M1172" s="105" t="e">
        <f ca="1" t="shared" si="32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329"/>
        <v>0</v>
      </c>
      <c r="Z1172" s="105">
        <f ca="1" t="shared" si="330"/>
        <v>-46313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>
        <f>EDATE(AI1172,AJ1172)</f>
        <v>0</v>
      </c>
      <c r="AM1172" s="105">
        <f ca="1">AL1172-TODAY()</f>
        <v>-46313</v>
      </c>
      <c r="AN1172" s="115"/>
      <c r="AO1172" s="115"/>
      <c r="AP1172" s="115"/>
      <c r="AQ1172" s="93"/>
      <c r="AR1172" s="93"/>
      <c r="AS1172" s="94"/>
      <c r="AT1172" s="95"/>
      <c r="AU1172" s="79"/>
      <c r="AV1172" s="117"/>
      <c r="AW1172" s="115"/>
      <c r="AX1172" s="106"/>
      <c r="AY1172" s="104"/>
      <c r="AZ1172" s="105"/>
    </row>
    <row r="1173" customHeight="1" spans="1:52">
      <c r="A1173" s="70">
        <v>1174</v>
      </c>
      <c r="B1173" s="204" t="s">
        <v>1359</v>
      </c>
      <c r="C1173" s="70" t="s">
        <v>13</v>
      </c>
      <c r="D1173" s="205" t="s">
        <v>2714</v>
      </c>
      <c r="E1173" s="71" t="s">
        <v>3792</v>
      </c>
      <c r="F1173" s="72"/>
      <c r="G1173" s="73"/>
      <c r="H1173" s="151"/>
      <c r="I1173" s="102">
        <v>46121</v>
      </c>
      <c r="J1173" s="70" t="s">
        <v>767</v>
      </c>
      <c r="K1173" s="106"/>
      <c r="L1173" s="104" t="e">
        <f t="shared" si="327"/>
        <v>#VALUE!</v>
      </c>
      <c r="M1173" s="105" t="e">
        <f ca="1" t="shared" si="32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329"/>
        <v>0</v>
      </c>
      <c r="Z1173" s="105">
        <f ca="1" t="shared" si="330"/>
        <v>-46313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5"/>
      <c r="AO1173" s="115"/>
      <c r="AP1173" s="115"/>
      <c r="AQ1173" s="93"/>
      <c r="AR1173" s="93"/>
      <c r="AS1173" s="94"/>
      <c r="AT1173" s="95"/>
      <c r="AU1173" s="79"/>
      <c r="AV1173" s="117"/>
      <c r="AW1173" s="115"/>
      <c r="AX1173" s="106"/>
      <c r="AY1173" s="104"/>
      <c r="AZ1173" s="105"/>
    </row>
    <row r="1174" customHeight="1" spans="1:52">
      <c r="A1174" s="70">
        <v>1175</v>
      </c>
      <c r="B1174" s="108" t="s">
        <v>868</v>
      </c>
      <c r="C1174" s="70" t="s">
        <v>264</v>
      </c>
      <c r="D1174" s="214" t="s">
        <v>2749</v>
      </c>
      <c r="E1174" s="71" t="s">
        <v>2734</v>
      </c>
      <c r="F1174" s="72"/>
      <c r="G1174" s="73"/>
      <c r="H1174" s="151"/>
      <c r="I1174" s="102">
        <v>46121</v>
      </c>
      <c r="J1174" s="70" t="s">
        <v>767</v>
      </c>
      <c r="K1174" s="106"/>
      <c r="L1174" s="104" t="e">
        <f t="shared" si="327"/>
        <v>#VALUE!</v>
      </c>
      <c r="M1174" s="105" t="e">
        <f ca="1" t="shared" si="32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329"/>
        <v>0</v>
      </c>
      <c r="Z1174" s="105">
        <f ca="1" t="shared" si="330"/>
        <v>-46313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5"/>
      <c r="AO1174" s="115"/>
      <c r="AP1174" s="115"/>
      <c r="AQ1174" s="93"/>
      <c r="AR1174" s="93"/>
      <c r="AS1174" s="94"/>
      <c r="AT1174" s="95"/>
      <c r="AU1174" s="79"/>
      <c r="AV1174" s="117"/>
      <c r="AW1174" s="115"/>
      <c r="AX1174" s="106"/>
      <c r="AY1174" s="104"/>
      <c r="AZ1174" s="105"/>
    </row>
    <row r="1175" customHeight="1" spans="1:52">
      <c r="A1175" s="70">
        <v>1176</v>
      </c>
      <c r="B1175" s="108" t="s">
        <v>868</v>
      </c>
      <c r="C1175" s="70" t="s">
        <v>264</v>
      </c>
      <c r="D1175" s="205" t="s">
        <v>2740</v>
      </c>
      <c r="E1175" s="71" t="s">
        <v>2741</v>
      </c>
      <c r="F1175" s="72"/>
      <c r="G1175" s="73"/>
      <c r="H1175" s="151"/>
      <c r="I1175" s="102">
        <v>46121</v>
      </c>
      <c r="J1175" s="70" t="s">
        <v>767</v>
      </c>
      <c r="K1175" s="106"/>
      <c r="L1175" s="104" t="e">
        <f t="shared" si="327"/>
        <v>#VALUE!</v>
      </c>
      <c r="M1175" s="105" t="e">
        <f ca="1" t="shared" si="32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329"/>
        <v>0</v>
      </c>
      <c r="Z1175" s="105">
        <f ca="1" t="shared" si="330"/>
        <v>-46313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5"/>
      <c r="AO1175" s="115"/>
      <c r="AP1175" s="115"/>
      <c r="AQ1175" s="93"/>
      <c r="AR1175" s="93"/>
      <c r="AS1175" s="94"/>
      <c r="AT1175" s="95"/>
      <c r="AU1175" s="79"/>
      <c r="AV1175" s="117"/>
      <c r="AW1175" s="115"/>
      <c r="AX1175" s="106"/>
      <c r="AY1175" s="104"/>
      <c r="AZ1175" s="105"/>
    </row>
    <row r="1176" customHeight="1" spans="1:52">
      <c r="A1176" s="70">
        <v>1177</v>
      </c>
      <c r="B1176" s="108" t="s">
        <v>868</v>
      </c>
      <c r="C1176" s="70" t="s">
        <v>264</v>
      </c>
      <c r="D1176" s="205" t="s">
        <v>2746</v>
      </c>
      <c r="E1176" s="71" t="s">
        <v>2747</v>
      </c>
      <c r="F1176" s="72"/>
      <c r="G1176" s="73"/>
      <c r="H1176" s="151"/>
      <c r="I1176" s="102">
        <v>46121</v>
      </c>
      <c r="J1176" s="70" t="s">
        <v>767</v>
      </c>
      <c r="K1176" s="106"/>
      <c r="L1176" s="104" t="e">
        <f t="shared" si="327"/>
        <v>#VALUE!</v>
      </c>
      <c r="M1176" s="105" t="e">
        <f ca="1" t="shared" si="32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329"/>
        <v>0</v>
      </c>
      <c r="Z1176" s="105">
        <f ca="1" t="shared" si="330"/>
        <v>-46313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5"/>
      <c r="AO1176" s="115"/>
      <c r="AP1176" s="115"/>
      <c r="AQ1176" s="93"/>
      <c r="AR1176" s="93"/>
      <c r="AS1176" s="94"/>
      <c r="AT1176" s="95"/>
      <c r="AU1176" s="79"/>
      <c r="AV1176" s="117"/>
      <c r="AW1176" s="115"/>
      <c r="AX1176" s="106"/>
      <c r="AY1176" s="104"/>
      <c r="AZ1176" s="105"/>
    </row>
    <row r="1177" customHeight="1" spans="1:52">
      <c r="A1177" s="70">
        <v>1178</v>
      </c>
      <c r="B1177" s="70" t="s">
        <v>229</v>
      </c>
      <c r="C1177" s="70" t="s">
        <v>13</v>
      </c>
      <c r="D1177" s="71" t="s">
        <v>3793</v>
      </c>
      <c r="E1177" s="71" t="s">
        <v>3794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3795</v>
      </c>
      <c r="L1177" s="104">
        <f t="shared" si="327"/>
        <v>46213</v>
      </c>
      <c r="M1177" s="105">
        <f ca="1" t="shared" si="328"/>
        <v>-100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329"/>
        <v>0</v>
      </c>
      <c r="Z1177" s="105">
        <f ca="1" t="shared" si="330"/>
        <v>-46313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>
        <f t="shared" ref="AL1177:AL1204" si="331">EDATE(AI1177,AJ1177)</f>
        <v>0</v>
      </c>
      <c r="AM1177" s="105">
        <f ca="1" t="shared" ref="AM1177:AM1204" si="332">AL1177-TODAY()</f>
        <v>-46313</v>
      </c>
      <c r="AN1177" s="115"/>
      <c r="AO1177" s="115"/>
      <c r="AP1177" s="115"/>
      <c r="AQ1177" s="93"/>
      <c r="AR1177" s="93"/>
      <c r="AS1177" s="94"/>
      <c r="AT1177" s="95"/>
      <c r="AU1177" s="79"/>
      <c r="AV1177" s="117"/>
      <c r="AW1177" s="115"/>
      <c r="AX1177" s="106"/>
      <c r="AY1177" s="104"/>
      <c r="AZ1177" s="105"/>
    </row>
    <row r="1178" customHeight="1" spans="1:52">
      <c r="A1178" s="70">
        <v>1179</v>
      </c>
      <c r="B1178" s="204" t="s">
        <v>263</v>
      </c>
      <c r="C1178" s="70" t="s">
        <v>264</v>
      </c>
      <c r="D1178" s="205" t="s">
        <v>265</v>
      </c>
      <c r="E1178" s="71" t="s">
        <v>266</v>
      </c>
      <c r="F1178" s="72"/>
      <c r="G1178" s="73"/>
      <c r="H1178" s="75"/>
      <c r="I1178" s="102">
        <v>46122</v>
      </c>
      <c r="J1178" s="70" t="s">
        <v>767</v>
      </c>
      <c r="K1178" s="106"/>
      <c r="L1178" s="104" t="e">
        <f t="shared" ref="L1178:L1188" si="333">EDATE(I1178,J1178)</f>
        <v>#VALUE!</v>
      </c>
      <c r="M1178" s="105" t="e">
        <f ca="1" t="shared" ref="M1178:M1188" si="334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329"/>
        <v>0</v>
      </c>
      <c r="Z1178" s="105">
        <f ca="1" t="shared" si="330"/>
        <v>-46313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>
        <f t="shared" si="331"/>
        <v>0</v>
      </c>
      <c r="AM1178" s="105">
        <f ca="1" t="shared" si="332"/>
        <v>-46313</v>
      </c>
      <c r="AN1178" s="115"/>
      <c r="AO1178" s="115"/>
      <c r="AP1178" s="115"/>
      <c r="AQ1178" s="93"/>
      <c r="AR1178" s="93"/>
      <c r="AS1178" s="94"/>
      <c r="AT1178" s="95"/>
      <c r="AU1178" s="79"/>
      <c r="AV1178" s="117"/>
      <c r="AW1178" s="115"/>
      <c r="AX1178" s="106"/>
      <c r="AY1178" s="104"/>
      <c r="AZ1178" s="105"/>
    </row>
    <row r="1179" customHeight="1" spans="1:52">
      <c r="A1179" s="70">
        <v>1180</v>
      </c>
      <c r="B1179" s="70" t="s">
        <v>644</v>
      </c>
      <c r="C1179" s="70" t="s">
        <v>264</v>
      </c>
      <c r="D1179" s="71" t="s">
        <v>2433</v>
      </c>
      <c r="E1179" s="71" t="s">
        <v>266</v>
      </c>
      <c r="F1179" s="72"/>
      <c r="G1179" s="73"/>
      <c r="H1179" s="75"/>
      <c r="I1179" s="102">
        <v>46122</v>
      </c>
      <c r="J1179" s="70" t="s">
        <v>767</v>
      </c>
      <c r="K1179" s="106"/>
      <c r="L1179" s="104" t="e">
        <f t="shared" si="333"/>
        <v>#VALUE!</v>
      </c>
      <c r="M1179" s="105" t="e">
        <f ca="1" t="shared" si="334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329"/>
        <v>0</v>
      </c>
      <c r="Z1179" s="105">
        <f ca="1" t="shared" si="330"/>
        <v>-46313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>
        <f t="shared" si="331"/>
        <v>0</v>
      </c>
      <c r="AM1179" s="105">
        <f ca="1" t="shared" si="332"/>
        <v>-46313</v>
      </c>
      <c r="AN1179" s="115"/>
      <c r="AO1179" s="115"/>
      <c r="AP1179" s="115"/>
      <c r="AQ1179" s="93"/>
      <c r="AR1179" s="93"/>
      <c r="AS1179" s="94"/>
      <c r="AT1179" s="95"/>
      <c r="AU1179" s="79"/>
      <c r="AV1179" s="117"/>
      <c r="AW1179" s="115"/>
      <c r="AX1179" s="106"/>
      <c r="AY1179" s="104"/>
      <c r="AZ1179" s="105"/>
    </row>
    <row r="1180" customHeight="1" spans="1:52">
      <c r="A1180" s="70">
        <v>1181</v>
      </c>
      <c r="B1180" s="70" t="s">
        <v>731</v>
      </c>
      <c r="C1180" s="70" t="s">
        <v>38</v>
      </c>
      <c r="D1180" s="71" t="s">
        <v>3796</v>
      </c>
      <c r="E1180" s="71" t="s">
        <v>735</v>
      </c>
      <c r="F1180" s="72"/>
      <c r="G1180" s="73"/>
      <c r="H1180" s="75"/>
      <c r="I1180" s="102">
        <v>46123</v>
      </c>
      <c r="J1180" s="70">
        <v>3</v>
      </c>
      <c r="K1180" s="106" t="s">
        <v>3797</v>
      </c>
      <c r="L1180" s="104">
        <f t="shared" si="333"/>
        <v>46214</v>
      </c>
      <c r="M1180" s="105">
        <f ca="1" t="shared" si="334"/>
        <v>-99</v>
      </c>
      <c r="N1180" s="70"/>
      <c r="O1180" s="70" t="s">
        <v>731</v>
      </c>
      <c r="P1180" s="70" t="s">
        <v>38</v>
      </c>
      <c r="Q1180" s="71" t="s">
        <v>3796</v>
      </c>
      <c r="R1180" s="71" t="s">
        <v>735</v>
      </c>
      <c r="S1180" s="72"/>
      <c r="T1180" s="73"/>
      <c r="U1180" s="75"/>
      <c r="V1180" s="102">
        <v>46234</v>
      </c>
      <c r="W1180" s="70">
        <v>3</v>
      </c>
      <c r="X1180" s="103" t="s">
        <v>3798</v>
      </c>
      <c r="Y1180" s="104">
        <f t="shared" si="329"/>
        <v>46326</v>
      </c>
      <c r="Z1180" s="105">
        <f ca="1" t="shared" si="330"/>
        <v>13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>
        <f t="shared" si="331"/>
        <v>0</v>
      </c>
      <c r="AM1180" s="105">
        <f ca="1" t="shared" si="332"/>
        <v>-46313</v>
      </c>
      <c r="AN1180" s="115"/>
      <c r="AO1180" s="115"/>
      <c r="AP1180" s="115"/>
      <c r="AQ1180" s="93"/>
      <c r="AR1180" s="93"/>
      <c r="AS1180" s="94"/>
      <c r="AT1180" s="95"/>
      <c r="AU1180" s="79"/>
      <c r="AV1180" s="117"/>
      <c r="AW1180" s="115"/>
      <c r="AX1180" s="106"/>
      <c r="AY1180" s="104"/>
      <c r="AZ1180" s="105"/>
    </row>
    <row r="1181" customHeight="1" spans="1:52">
      <c r="A1181" s="70">
        <v>1182</v>
      </c>
      <c r="B1181" s="70" t="s">
        <v>2575</v>
      </c>
      <c r="C1181" s="70" t="s">
        <v>13</v>
      </c>
      <c r="D1181" s="71" t="s">
        <v>3799</v>
      </c>
      <c r="E1181" s="71" t="s">
        <v>126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3800</v>
      </c>
      <c r="L1181" s="104">
        <f t="shared" si="333"/>
        <v>46214</v>
      </c>
      <c r="M1181" s="105">
        <f ca="1" t="shared" si="334"/>
        <v>-99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329"/>
        <v>0</v>
      </c>
      <c r="Z1181" s="105">
        <f ca="1" t="shared" si="330"/>
        <v>-46313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>
        <f t="shared" si="331"/>
        <v>0</v>
      </c>
      <c r="AM1181" s="105">
        <f ca="1" t="shared" si="332"/>
        <v>-46313</v>
      </c>
      <c r="AN1181" s="115"/>
      <c r="AO1181" s="115"/>
      <c r="AP1181" s="115"/>
      <c r="AQ1181" s="93"/>
      <c r="AR1181" s="93"/>
      <c r="AS1181" s="94"/>
      <c r="AT1181" s="95"/>
      <c r="AU1181" s="79"/>
      <c r="AV1181" s="117"/>
      <c r="AW1181" s="115"/>
      <c r="AX1181" s="106"/>
      <c r="AY1181" s="104"/>
      <c r="AZ1181" s="105"/>
    </row>
    <row r="1182" customHeight="1" spans="1:52">
      <c r="A1182" s="70">
        <v>1183</v>
      </c>
      <c r="B1182" s="70" t="s">
        <v>721</v>
      </c>
      <c r="C1182" s="70" t="s">
        <v>38</v>
      </c>
      <c r="D1182" s="71" t="s">
        <v>3801</v>
      </c>
      <c r="E1182" s="71" t="s">
        <v>40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3802</v>
      </c>
      <c r="L1182" s="104">
        <f t="shared" si="333"/>
        <v>46214</v>
      </c>
      <c r="M1182" s="105">
        <f ca="1" t="shared" si="334"/>
        <v>-99</v>
      </c>
      <c r="N1182" s="70"/>
      <c r="O1182" s="70" t="s">
        <v>721</v>
      </c>
      <c r="P1182" s="70" t="s">
        <v>38</v>
      </c>
      <c r="Q1182" s="71" t="s">
        <v>3801</v>
      </c>
      <c r="R1182" s="71" t="s">
        <v>40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803</v>
      </c>
      <c r="Y1182" s="104">
        <f t="shared" si="329"/>
        <v>46306</v>
      </c>
      <c r="Z1182" s="105">
        <f ca="1" t="shared" si="330"/>
        <v>-7</v>
      </c>
      <c r="AA1182" s="70"/>
      <c r="AB1182" s="70" t="s">
        <v>721</v>
      </c>
      <c r="AC1182" s="70" t="s">
        <v>38</v>
      </c>
      <c r="AD1182" s="71" t="s">
        <v>3801</v>
      </c>
      <c r="AE1182" s="71" t="s">
        <v>40</v>
      </c>
      <c r="AF1182" s="72"/>
      <c r="AG1182" s="73"/>
      <c r="AH1182" s="79" t="s">
        <v>16</v>
      </c>
      <c r="AI1182" s="102">
        <v>46300</v>
      </c>
      <c r="AJ1182" s="70">
        <v>3</v>
      </c>
      <c r="AK1182" s="103" t="s">
        <v>3803</v>
      </c>
      <c r="AL1182" s="104">
        <f t="shared" si="331"/>
        <v>46392</v>
      </c>
      <c r="AM1182" s="105">
        <f ca="1" t="shared" si="332"/>
        <v>79</v>
      </c>
      <c r="AN1182" s="115"/>
      <c r="AO1182" s="115"/>
      <c r="AP1182" s="115"/>
      <c r="AQ1182" s="93"/>
      <c r="AR1182" s="93"/>
      <c r="AS1182" s="94"/>
      <c r="AT1182" s="95"/>
      <c r="AU1182" s="79"/>
      <c r="AV1182" s="117"/>
      <c r="AW1182" s="115"/>
      <c r="AX1182" s="106"/>
      <c r="AY1182" s="104"/>
      <c r="AZ1182" s="105"/>
    </row>
    <row r="1183" customHeight="1" spans="1:52">
      <c r="A1183" s="70">
        <v>1184</v>
      </c>
      <c r="B1183" s="70" t="s">
        <v>3804</v>
      </c>
      <c r="C1183" s="70" t="s">
        <v>264</v>
      </c>
      <c r="D1183" s="71" t="s">
        <v>3805</v>
      </c>
      <c r="E1183" s="71" t="s">
        <v>3806</v>
      </c>
      <c r="F1183" s="72"/>
      <c r="G1183" s="73"/>
      <c r="H1183" s="221"/>
      <c r="I1183" s="102">
        <v>46123</v>
      </c>
      <c r="J1183" s="70">
        <v>3</v>
      </c>
      <c r="K1183" s="106" t="s">
        <v>3807</v>
      </c>
      <c r="L1183" s="104">
        <f t="shared" si="333"/>
        <v>46214</v>
      </c>
      <c r="M1183" s="105">
        <f ca="1" t="shared" si="334"/>
        <v>-99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329"/>
        <v>0</v>
      </c>
      <c r="Z1183" s="105">
        <f ca="1" t="shared" si="330"/>
        <v>-46313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>
        <f t="shared" si="331"/>
        <v>0</v>
      </c>
      <c r="AM1183" s="105">
        <f ca="1" t="shared" si="332"/>
        <v>-46313</v>
      </c>
      <c r="AN1183" s="115"/>
      <c r="AO1183" s="115"/>
      <c r="AP1183" s="115"/>
      <c r="AQ1183" s="93"/>
      <c r="AR1183" s="93"/>
      <c r="AS1183" s="94"/>
      <c r="AT1183" s="95"/>
      <c r="AU1183" s="79"/>
      <c r="AV1183" s="117"/>
      <c r="AW1183" s="115"/>
      <c r="AX1183" s="106"/>
      <c r="AY1183" s="104"/>
      <c r="AZ1183" s="105"/>
    </row>
    <row r="1184" customHeight="1" spans="1:52">
      <c r="A1184" s="70">
        <v>1185</v>
      </c>
      <c r="B1184" s="204" t="s">
        <v>868</v>
      </c>
      <c r="C1184" s="70" t="s">
        <v>264</v>
      </c>
      <c r="D1184" s="205" t="s">
        <v>3808</v>
      </c>
      <c r="E1184" s="71" t="s">
        <v>2744</v>
      </c>
      <c r="F1184" s="72"/>
      <c r="G1184" s="73"/>
      <c r="H1184" s="221"/>
      <c r="I1184" s="102">
        <v>46123</v>
      </c>
      <c r="J1184" s="70" t="s">
        <v>767</v>
      </c>
      <c r="K1184" s="106"/>
      <c r="L1184" s="104" t="e">
        <f t="shared" si="333"/>
        <v>#VALUE!</v>
      </c>
      <c r="M1184" s="105" t="e">
        <f ca="1" t="shared" si="334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329"/>
        <v>0</v>
      </c>
      <c r="Z1184" s="105">
        <f ca="1" t="shared" si="330"/>
        <v>-46313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>
        <f t="shared" si="331"/>
        <v>0</v>
      </c>
      <c r="AM1184" s="105">
        <f ca="1" t="shared" si="332"/>
        <v>-46313</v>
      </c>
      <c r="AN1184" s="115"/>
      <c r="AO1184" s="115"/>
      <c r="AP1184" s="115"/>
      <c r="AQ1184" s="93"/>
      <c r="AR1184" s="93"/>
      <c r="AS1184" s="94"/>
      <c r="AT1184" s="95"/>
      <c r="AU1184" s="79"/>
      <c r="AV1184" s="117"/>
      <c r="AW1184" s="115"/>
      <c r="AX1184" s="106"/>
      <c r="AY1184" s="104"/>
      <c r="AZ1184" s="105"/>
    </row>
    <row r="1185" customHeight="1" spans="1:52">
      <c r="A1185" s="70">
        <v>1186</v>
      </c>
      <c r="B1185" s="204" t="s">
        <v>868</v>
      </c>
      <c r="C1185" s="70" t="s">
        <v>264</v>
      </c>
      <c r="D1185" s="205" t="s">
        <v>2746</v>
      </c>
      <c r="E1185" s="71" t="s">
        <v>2747</v>
      </c>
      <c r="F1185" s="72"/>
      <c r="G1185" s="73"/>
      <c r="H1185" s="221"/>
      <c r="I1185" s="102">
        <v>46123</v>
      </c>
      <c r="J1185" s="70" t="s">
        <v>767</v>
      </c>
      <c r="K1185" s="106"/>
      <c r="L1185" s="104" t="e">
        <f t="shared" si="333"/>
        <v>#VALUE!</v>
      </c>
      <c r="M1185" s="105" t="e">
        <f ca="1" t="shared" si="334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329"/>
        <v>0</v>
      </c>
      <c r="Z1185" s="105">
        <f ca="1" t="shared" si="330"/>
        <v>-46313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>
        <f t="shared" si="331"/>
        <v>0</v>
      </c>
      <c r="AM1185" s="105">
        <f ca="1" t="shared" si="332"/>
        <v>-46313</v>
      </c>
      <c r="AN1185" s="115"/>
      <c r="AO1185" s="115"/>
      <c r="AP1185" s="115"/>
      <c r="AQ1185" s="93"/>
      <c r="AR1185" s="93"/>
      <c r="AS1185" s="94"/>
      <c r="AT1185" s="95"/>
      <c r="AU1185" s="79"/>
      <c r="AV1185" s="117"/>
      <c r="AW1185" s="115"/>
      <c r="AX1185" s="106"/>
      <c r="AY1185" s="104"/>
      <c r="AZ1185" s="105"/>
    </row>
    <row r="1186" customHeight="1" spans="1:52">
      <c r="A1186" s="70">
        <v>1187</v>
      </c>
      <c r="B1186" s="204" t="s">
        <v>868</v>
      </c>
      <c r="C1186" s="70" t="s">
        <v>264</v>
      </c>
      <c r="D1186" s="205" t="s">
        <v>2737</v>
      </c>
      <c r="E1186" s="71" t="s">
        <v>2738</v>
      </c>
      <c r="F1186" s="72"/>
      <c r="G1186" s="73"/>
      <c r="H1186" s="221"/>
      <c r="I1186" s="102">
        <v>46123</v>
      </c>
      <c r="J1186" s="70" t="s">
        <v>767</v>
      </c>
      <c r="K1186" s="106"/>
      <c r="L1186" s="104" t="e">
        <f t="shared" si="333"/>
        <v>#VALUE!</v>
      </c>
      <c r="M1186" s="105" t="e">
        <f ca="1" t="shared" si="334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329"/>
        <v>0</v>
      </c>
      <c r="Z1186" s="105">
        <f ca="1" t="shared" si="330"/>
        <v>-46313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>
        <f t="shared" si="331"/>
        <v>0</v>
      </c>
      <c r="AM1186" s="105">
        <f ca="1" t="shared" si="332"/>
        <v>-46313</v>
      </c>
      <c r="AN1186" s="115"/>
      <c r="AO1186" s="115"/>
      <c r="AP1186" s="115"/>
      <c r="AQ1186" s="93"/>
      <c r="AR1186" s="93"/>
      <c r="AS1186" s="94"/>
      <c r="AT1186" s="95"/>
      <c r="AU1186" s="79"/>
      <c r="AV1186" s="117"/>
      <c r="AW1186" s="115"/>
      <c r="AX1186" s="106"/>
      <c r="AY1186" s="104"/>
      <c r="AZ1186" s="105"/>
    </row>
    <row r="1187" customHeight="1" spans="1:52">
      <c r="A1187" s="70">
        <v>1188</v>
      </c>
      <c r="B1187" s="108" t="s">
        <v>169</v>
      </c>
      <c r="C1187" s="70" t="s">
        <v>38</v>
      </c>
      <c r="D1187" s="205" t="s">
        <v>170</v>
      </c>
      <c r="E1187" s="71" t="s">
        <v>3230</v>
      </c>
      <c r="F1187" s="72"/>
      <c r="G1187" s="73"/>
      <c r="H1187" s="221"/>
      <c r="I1187" s="102">
        <v>46123</v>
      </c>
      <c r="J1187" s="70" t="s">
        <v>767</v>
      </c>
      <c r="K1187" s="106"/>
      <c r="L1187" s="104" t="e">
        <f t="shared" si="333"/>
        <v>#VALUE!</v>
      </c>
      <c r="M1187" s="105" t="e">
        <f ca="1" t="shared" si="334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329"/>
        <v>0</v>
      </c>
      <c r="Z1187" s="105">
        <f ca="1" t="shared" si="330"/>
        <v>-46313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>
        <f t="shared" si="331"/>
        <v>0</v>
      </c>
      <c r="AM1187" s="105">
        <f ca="1" t="shared" si="332"/>
        <v>-46313</v>
      </c>
      <c r="AN1187" s="115"/>
      <c r="AO1187" s="115"/>
      <c r="AP1187" s="115"/>
      <c r="AQ1187" s="93"/>
      <c r="AR1187" s="93"/>
      <c r="AS1187" s="94"/>
      <c r="AT1187" s="95"/>
      <c r="AU1187" s="79"/>
      <c r="AV1187" s="117"/>
      <c r="AW1187" s="115"/>
      <c r="AX1187" s="106"/>
      <c r="AY1187" s="104"/>
      <c r="AZ1187" s="105"/>
    </row>
    <row r="1188" customHeight="1" spans="1:52">
      <c r="A1188" s="70">
        <v>1189</v>
      </c>
      <c r="B1188" s="108" t="s">
        <v>169</v>
      </c>
      <c r="C1188" s="70" t="s">
        <v>38</v>
      </c>
      <c r="D1188" s="205" t="s">
        <v>3229</v>
      </c>
      <c r="E1188" s="71" t="s">
        <v>3230</v>
      </c>
      <c r="F1188" s="72"/>
      <c r="G1188" s="73"/>
      <c r="H1188" s="221"/>
      <c r="I1188" s="102">
        <v>46123</v>
      </c>
      <c r="J1188" s="70" t="s">
        <v>767</v>
      </c>
      <c r="K1188" s="106"/>
      <c r="L1188" s="104" t="e">
        <f t="shared" si="333"/>
        <v>#VALUE!</v>
      </c>
      <c r="M1188" s="105" t="e">
        <f ca="1" t="shared" si="334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329"/>
        <v>0</v>
      </c>
      <c r="Z1188" s="105">
        <f ca="1" t="shared" si="330"/>
        <v>-46313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>
        <f t="shared" si="331"/>
        <v>0</v>
      </c>
      <c r="AM1188" s="105">
        <f ca="1" t="shared" si="332"/>
        <v>-46313</v>
      </c>
      <c r="AN1188" s="115"/>
      <c r="AO1188" s="115"/>
      <c r="AP1188" s="115"/>
      <c r="AQ1188" s="93"/>
      <c r="AR1188" s="93"/>
      <c r="AS1188" s="94"/>
      <c r="AT1188" s="95"/>
      <c r="AU1188" s="79"/>
      <c r="AV1188" s="117"/>
      <c r="AW1188" s="115"/>
      <c r="AX1188" s="106"/>
      <c r="AY1188" s="104"/>
      <c r="AZ1188" s="105"/>
    </row>
    <row r="1189" customHeight="1" spans="1:52">
      <c r="A1189" s="70">
        <v>1190</v>
      </c>
      <c r="B1189" s="70" t="s">
        <v>134</v>
      </c>
      <c r="C1189" s="70" t="s">
        <v>13</v>
      </c>
      <c r="D1189" s="71" t="s">
        <v>3809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3810</v>
      </c>
      <c r="L1189" s="104">
        <f t="shared" ref="L1189:L1195" si="335">EDATE(I1189,J1189)</f>
        <v>46215</v>
      </c>
      <c r="M1189" s="105">
        <f ca="1" t="shared" ref="M1189:M1195" si="336">L1189-TODAY()</f>
        <v>-98</v>
      </c>
      <c r="N1189" s="70"/>
      <c r="O1189" s="70" t="s">
        <v>134</v>
      </c>
      <c r="P1189" s="70" t="s">
        <v>13</v>
      </c>
      <c r="Q1189" s="71" t="s">
        <v>3809</v>
      </c>
      <c r="R1189" s="71" t="s">
        <v>15</v>
      </c>
      <c r="S1189" s="72"/>
      <c r="T1189" s="73"/>
      <c r="U1189" s="75" t="s">
        <v>434</v>
      </c>
      <c r="V1189" s="102">
        <v>46204</v>
      </c>
      <c r="W1189" s="70">
        <v>3</v>
      </c>
      <c r="X1189" s="103" t="s">
        <v>3811</v>
      </c>
      <c r="Y1189" s="104">
        <f t="shared" si="329"/>
        <v>46296</v>
      </c>
      <c r="Z1189" s="105">
        <f ca="1" t="shared" si="330"/>
        <v>-17</v>
      </c>
      <c r="AA1189" s="70"/>
      <c r="AB1189" s="70" t="s">
        <v>134</v>
      </c>
      <c r="AC1189" s="70" t="s">
        <v>13</v>
      </c>
      <c r="AD1189" s="71" t="s">
        <v>3809</v>
      </c>
      <c r="AE1189" s="71" t="s">
        <v>15</v>
      </c>
      <c r="AF1189" s="72"/>
      <c r="AG1189" s="73"/>
      <c r="AH1189" s="75" t="s">
        <v>434</v>
      </c>
      <c r="AI1189" s="102">
        <v>46302</v>
      </c>
      <c r="AJ1189" s="70">
        <v>3</v>
      </c>
      <c r="AK1189" s="103" t="s">
        <v>3812</v>
      </c>
      <c r="AL1189" s="104">
        <f t="shared" si="331"/>
        <v>46394</v>
      </c>
      <c r="AM1189" s="105">
        <f ca="1" t="shared" si="332"/>
        <v>81</v>
      </c>
      <c r="AN1189" s="115"/>
      <c r="AO1189" s="115"/>
      <c r="AP1189" s="115"/>
      <c r="AQ1189" s="93"/>
      <c r="AR1189" s="93"/>
      <c r="AS1189" s="94"/>
      <c r="AT1189" s="95"/>
      <c r="AU1189" s="79"/>
      <c r="AV1189" s="117"/>
      <c r="AW1189" s="115"/>
      <c r="AX1189" s="106"/>
      <c r="AY1189" s="104"/>
      <c r="AZ1189" s="105"/>
    </row>
    <row r="1190" customHeight="1" spans="1:52">
      <c r="A1190" s="70">
        <v>1191</v>
      </c>
      <c r="B1190" s="204" t="s">
        <v>281</v>
      </c>
      <c r="C1190" s="70" t="s">
        <v>264</v>
      </c>
      <c r="D1190" s="205" t="s">
        <v>2618</v>
      </c>
      <c r="E1190" s="71" t="s">
        <v>364</v>
      </c>
      <c r="F1190" s="72"/>
      <c r="G1190" s="73"/>
      <c r="H1190" s="75"/>
      <c r="I1190" s="102">
        <v>46124</v>
      </c>
      <c r="J1190" s="70" t="s">
        <v>767</v>
      </c>
      <c r="K1190" s="106"/>
      <c r="L1190" s="104" t="e">
        <f t="shared" si="335"/>
        <v>#VALUE!</v>
      </c>
      <c r="M1190" s="105" t="e">
        <f ca="1" t="shared" si="336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329"/>
        <v>0</v>
      </c>
      <c r="Z1190" s="105">
        <f ca="1" t="shared" si="330"/>
        <v>-46313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>
        <f t="shared" si="331"/>
        <v>0</v>
      </c>
      <c r="AM1190" s="105">
        <f ca="1" t="shared" si="332"/>
        <v>-46313</v>
      </c>
      <c r="AN1190" s="115"/>
      <c r="AO1190" s="115"/>
      <c r="AP1190" s="115"/>
      <c r="AQ1190" s="93"/>
      <c r="AR1190" s="93"/>
      <c r="AS1190" s="94"/>
      <c r="AT1190" s="95"/>
      <c r="AU1190" s="79"/>
      <c r="AV1190" s="117"/>
      <c r="AW1190" s="115"/>
      <c r="AX1190" s="106"/>
      <c r="AY1190" s="104"/>
      <c r="AZ1190" s="105"/>
    </row>
    <row r="1191" customHeight="1" spans="1:52">
      <c r="A1191" s="70">
        <v>1192</v>
      </c>
      <c r="B1191" s="204" t="s">
        <v>281</v>
      </c>
      <c r="C1191" s="70" t="s">
        <v>264</v>
      </c>
      <c r="D1191" s="205" t="s">
        <v>2518</v>
      </c>
      <c r="E1191" s="71" t="s">
        <v>3813</v>
      </c>
      <c r="F1191" s="72"/>
      <c r="G1191" s="73"/>
      <c r="H1191" s="75"/>
      <c r="I1191" s="102">
        <v>46124</v>
      </c>
      <c r="J1191" s="70" t="s">
        <v>767</v>
      </c>
      <c r="K1191" s="106"/>
      <c r="L1191" s="104" t="e">
        <f t="shared" si="335"/>
        <v>#VALUE!</v>
      </c>
      <c r="M1191" s="105" t="e">
        <f ca="1" t="shared" si="336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329"/>
        <v>0</v>
      </c>
      <c r="Z1191" s="105">
        <f ca="1" t="shared" si="330"/>
        <v>-46313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>
        <f t="shared" si="331"/>
        <v>0</v>
      </c>
      <c r="AM1191" s="105">
        <f ca="1" t="shared" si="332"/>
        <v>-46313</v>
      </c>
      <c r="AN1191" s="115"/>
      <c r="AO1191" s="115"/>
      <c r="AP1191" s="115"/>
      <c r="AQ1191" s="93"/>
      <c r="AR1191" s="93"/>
      <c r="AS1191" s="94"/>
      <c r="AT1191" s="95"/>
      <c r="AU1191" s="79"/>
      <c r="AV1191" s="117"/>
      <c r="AW1191" s="115"/>
      <c r="AX1191" s="106"/>
      <c r="AY1191" s="104"/>
      <c r="AZ1191" s="105"/>
    </row>
    <row r="1192" customHeight="1" spans="1:52">
      <c r="A1192" s="70">
        <v>1193</v>
      </c>
      <c r="B1192" s="204" t="s">
        <v>281</v>
      </c>
      <c r="C1192" s="70" t="s">
        <v>264</v>
      </c>
      <c r="D1192" s="205" t="s">
        <v>2512</v>
      </c>
      <c r="E1192" s="71" t="s">
        <v>3814</v>
      </c>
      <c r="F1192" s="72"/>
      <c r="G1192" s="73"/>
      <c r="H1192" s="75"/>
      <c r="I1192" s="102">
        <v>46124</v>
      </c>
      <c r="J1192" s="70" t="s">
        <v>767</v>
      </c>
      <c r="K1192" s="106"/>
      <c r="L1192" s="104" t="e">
        <f t="shared" si="335"/>
        <v>#VALUE!</v>
      </c>
      <c r="M1192" s="105" t="e">
        <f ca="1" t="shared" si="336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329"/>
        <v>0</v>
      </c>
      <c r="Z1192" s="105">
        <f ca="1" t="shared" si="330"/>
        <v>-46313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>
        <f t="shared" si="331"/>
        <v>0</v>
      </c>
      <c r="AM1192" s="105">
        <f ca="1" t="shared" si="332"/>
        <v>-46313</v>
      </c>
      <c r="AN1192" s="115"/>
      <c r="AO1192" s="115"/>
      <c r="AP1192" s="115"/>
      <c r="AQ1192" s="93"/>
      <c r="AR1192" s="93"/>
      <c r="AS1192" s="94"/>
      <c r="AT1192" s="95"/>
      <c r="AU1192" s="79"/>
      <c r="AV1192" s="117"/>
      <c r="AW1192" s="115"/>
      <c r="AX1192" s="106"/>
      <c r="AY1192" s="104"/>
      <c r="AZ1192" s="105"/>
    </row>
    <row r="1193" customHeight="1" spans="1:52">
      <c r="A1193" s="70">
        <v>1194</v>
      </c>
      <c r="B1193" s="204" t="s">
        <v>281</v>
      </c>
      <c r="C1193" s="70" t="s">
        <v>264</v>
      </c>
      <c r="D1193" s="205" t="s">
        <v>2508</v>
      </c>
      <c r="E1193" s="71" t="s">
        <v>3815</v>
      </c>
      <c r="F1193" s="72"/>
      <c r="G1193" s="73"/>
      <c r="H1193" s="75"/>
      <c r="I1193" s="102">
        <v>46124</v>
      </c>
      <c r="J1193" s="70" t="s">
        <v>767</v>
      </c>
      <c r="K1193" s="106"/>
      <c r="L1193" s="104" t="e">
        <f t="shared" si="335"/>
        <v>#VALUE!</v>
      </c>
      <c r="M1193" s="105" t="e">
        <f ca="1" t="shared" si="336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329"/>
        <v>0</v>
      </c>
      <c r="Z1193" s="105">
        <f ca="1" t="shared" si="330"/>
        <v>-46313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>
        <f t="shared" si="331"/>
        <v>0</v>
      </c>
      <c r="AM1193" s="105">
        <f ca="1" t="shared" si="332"/>
        <v>-46313</v>
      </c>
      <c r="AN1193" s="115"/>
      <c r="AO1193" s="115"/>
      <c r="AP1193" s="115"/>
      <c r="AQ1193" s="93"/>
      <c r="AR1193" s="93"/>
      <c r="AS1193" s="94"/>
      <c r="AT1193" s="95"/>
      <c r="AU1193" s="79"/>
      <c r="AV1193" s="117"/>
      <c r="AW1193" s="115"/>
      <c r="AX1193" s="106"/>
      <c r="AY1193" s="104"/>
      <c r="AZ1193" s="105"/>
    </row>
    <row r="1194" customHeight="1" spans="1:52">
      <c r="A1194" s="70">
        <v>1195</v>
      </c>
      <c r="B1194" s="204" t="s">
        <v>281</v>
      </c>
      <c r="C1194" s="70" t="s">
        <v>264</v>
      </c>
      <c r="D1194" s="205" t="s">
        <v>2417</v>
      </c>
      <c r="E1194" s="71" t="s">
        <v>3816</v>
      </c>
      <c r="F1194" s="72"/>
      <c r="G1194" s="73"/>
      <c r="H1194" s="75"/>
      <c r="I1194" s="102">
        <v>46124</v>
      </c>
      <c r="J1194" s="70" t="s">
        <v>767</v>
      </c>
      <c r="K1194" s="106"/>
      <c r="L1194" s="104" t="e">
        <f t="shared" si="335"/>
        <v>#VALUE!</v>
      </c>
      <c r="M1194" s="105" t="e">
        <f ca="1" t="shared" si="336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329"/>
        <v>0</v>
      </c>
      <c r="Z1194" s="105">
        <f ca="1" t="shared" si="330"/>
        <v>-46313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>
        <f t="shared" si="331"/>
        <v>0</v>
      </c>
      <c r="AM1194" s="105">
        <f ca="1" t="shared" si="332"/>
        <v>-46313</v>
      </c>
      <c r="AN1194" s="115"/>
      <c r="AO1194" s="115"/>
      <c r="AP1194" s="115"/>
      <c r="AQ1194" s="93"/>
      <c r="AR1194" s="93"/>
      <c r="AS1194" s="94"/>
      <c r="AT1194" s="95"/>
      <c r="AU1194" s="79"/>
      <c r="AV1194" s="117"/>
      <c r="AW1194" s="115"/>
      <c r="AX1194" s="106"/>
      <c r="AY1194" s="104"/>
      <c r="AZ1194" s="105"/>
    </row>
    <row r="1195" customHeight="1" spans="1:52">
      <c r="A1195" s="70">
        <v>1196</v>
      </c>
      <c r="B1195" s="204" t="s">
        <v>281</v>
      </c>
      <c r="C1195" s="70" t="s">
        <v>264</v>
      </c>
      <c r="D1195" s="205" t="s">
        <v>2422</v>
      </c>
      <c r="E1195" s="71" t="s">
        <v>3817</v>
      </c>
      <c r="F1195" s="72"/>
      <c r="G1195" s="73"/>
      <c r="H1195" s="75"/>
      <c r="I1195" s="102">
        <v>46124</v>
      </c>
      <c r="J1195" s="70" t="s">
        <v>767</v>
      </c>
      <c r="K1195" s="106"/>
      <c r="L1195" s="104" t="e">
        <f t="shared" si="335"/>
        <v>#VALUE!</v>
      </c>
      <c r="M1195" s="105" t="e">
        <f ca="1" t="shared" si="336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329"/>
        <v>0</v>
      </c>
      <c r="Z1195" s="105">
        <f ca="1" t="shared" si="330"/>
        <v>-46313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>
        <f t="shared" si="331"/>
        <v>0</v>
      </c>
      <c r="AM1195" s="105">
        <f ca="1" t="shared" si="332"/>
        <v>-46313</v>
      </c>
      <c r="AN1195" s="115"/>
      <c r="AO1195" s="115"/>
      <c r="AP1195" s="115"/>
      <c r="AQ1195" s="93"/>
      <c r="AR1195" s="93"/>
      <c r="AS1195" s="94"/>
      <c r="AT1195" s="95"/>
      <c r="AU1195" s="79"/>
      <c r="AV1195" s="117"/>
      <c r="AW1195" s="115"/>
      <c r="AX1195" s="106"/>
      <c r="AY1195" s="104"/>
      <c r="AZ1195" s="105"/>
    </row>
    <row r="1196" customHeight="1" spans="1:52">
      <c r="A1196" s="70">
        <v>1197</v>
      </c>
      <c r="B1196" s="204" t="s">
        <v>12</v>
      </c>
      <c r="C1196" s="70" t="s">
        <v>38</v>
      </c>
      <c r="D1196" s="205" t="s">
        <v>3818</v>
      </c>
      <c r="E1196" s="71" t="s">
        <v>28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3819</v>
      </c>
      <c r="L1196" s="104">
        <f t="shared" ref="L1196:L1205" si="337">EDATE(I1196,J1196)</f>
        <v>46216</v>
      </c>
      <c r="M1196" s="105">
        <f ca="1" t="shared" ref="M1196:M1205" si="338">L1196-TODAY()</f>
        <v>-97</v>
      </c>
      <c r="N1196" s="70"/>
      <c r="O1196" s="204" t="s">
        <v>12</v>
      </c>
      <c r="P1196" s="70" t="s">
        <v>38</v>
      </c>
      <c r="Q1196" s="205" t="s">
        <v>3818</v>
      </c>
      <c r="R1196" s="71" t="s">
        <v>28</v>
      </c>
      <c r="S1196" s="72"/>
      <c r="T1196" s="73"/>
      <c r="U1196" s="74" t="s">
        <v>16</v>
      </c>
      <c r="V1196" s="102">
        <v>46271</v>
      </c>
      <c r="W1196" s="70">
        <v>3</v>
      </c>
      <c r="X1196" s="103" t="s">
        <v>3820</v>
      </c>
      <c r="Y1196" s="104">
        <f t="shared" si="329"/>
        <v>46362</v>
      </c>
      <c r="Z1196" s="105">
        <f ca="1" t="shared" si="330"/>
        <v>49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>
        <f t="shared" si="331"/>
        <v>0</v>
      </c>
      <c r="AM1196" s="105">
        <f ca="1" t="shared" si="332"/>
        <v>-46313</v>
      </c>
      <c r="AN1196" s="115"/>
      <c r="AO1196" s="115"/>
      <c r="AP1196" s="115"/>
      <c r="AQ1196" s="93"/>
      <c r="AR1196" s="93"/>
      <c r="AS1196" s="94"/>
      <c r="AT1196" s="95"/>
      <c r="AU1196" s="79"/>
      <c r="AV1196" s="117"/>
      <c r="AW1196" s="115"/>
      <c r="AX1196" s="106"/>
      <c r="AY1196" s="104"/>
      <c r="AZ1196" s="105"/>
    </row>
    <row r="1197" customHeight="1" spans="1:52">
      <c r="A1197" s="70">
        <v>1198</v>
      </c>
      <c r="B1197" s="204" t="s">
        <v>12</v>
      </c>
      <c r="C1197" s="70" t="s">
        <v>38</v>
      </c>
      <c r="D1197" s="205" t="s">
        <v>3821</v>
      </c>
      <c r="E1197" s="71" t="s">
        <v>28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3822</v>
      </c>
      <c r="L1197" s="104">
        <f t="shared" si="337"/>
        <v>46216</v>
      </c>
      <c r="M1197" s="105">
        <f ca="1" t="shared" si="338"/>
        <v>-97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329"/>
        <v>0</v>
      </c>
      <c r="Z1197" s="105">
        <f ca="1" t="shared" si="330"/>
        <v>-46313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>
        <f t="shared" si="331"/>
        <v>0</v>
      </c>
      <c r="AM1197" s="105">
        <f ca="1" t="shared" si="332"/>
        <v>-46313</v>
      </c>
      <c r="AN1197" s="115"/>
      <c r="AO1197" s="115"/>
      <c r="AP1197" s="115"/>
      <c r="AQ1197" s="93"/>
      <c r="AR1197" s="93"/>
      <c r="AS1197" s="94"/>
      <c r="AT1197" s="95"/>
      <c r="AU1197" s="79"/>
      <c r="AV1197" s="117"/>
      <c r="AW1197" s="115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38</v>
      </c>
      <c r="D1198" s="205" t="s">
        <v>3823</v>
      </c>
      <c r="E1198" s="71" t="s">
        <v>28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3824</v>
      </c>
      <c r="L1198" s="104">
        <f t="shared" si="337"/>
        <v>46216</v>
      </c>
      <c r="M1198" s="105">
        <f ca="1" t="shared" si="338"/>
        <v>-97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329"/>
        <v>0</v>
      </c>
      <c r="Z1198" s="105">
        <f ca="1" t="shared" si="330"/>
        <v>-46313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>
        <f t="shared" si="331"/>
        <v>0</v>
      </c>
      <c r="AM1198" s="105">
        <f ca="1" t="shared" si="332"/>
        <v>-46313</v>
      </c>
      <c r="AN1198" s="115"/>
      <c r="AO1198" s="115"/>
      <c r="AP1198" s="115"/>
      <c r="AQ1198" s="93"/>
      <c r="AR1198" s="93"/>
      <c r="AS1198" s="94"/>
      <c r="AT1198" s="95"/>
      <c r="AU1198" s="79"/>
      <c r="AV1198" s="117"/>
      <c r="AW1198" s="115"/>
      <c r="AX1198" s="106"/>
      <c r="AY1198" s="104"/>
      <c r="AZ1198" s="105"/>
    </row>
    <row r="1199" customHeight="1" spans="1:52">
      <c r="A1199" s="70">
        <v>1200</v>
      </c>
      <c r="B1199" s="204" t="s">
        <v>1275</v>
      </c>
      <c r="C1199" s="70" t="s">
        <v>38</v>
      </c>
      <c r="D1199" s="205" t="s">
        <v>3825</v>
      </c>
      <c r="E1199" s="71" t="s">
        <v>28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3826</v>
      </c>
      <c r="L1199" s="104">
        <f t="shared" si="337"/>
        <v>46216</v>
      </c>
      <c r="M1199" s="105">
        <f ca="1" t="shared" si="338"/>
        <v>-97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339">EDATE(V1199,W1199)</f>
        <v>0</v>
      </c>
      <c r="Z1199" s="105">
        <f ca="1" t="shared" ref="Z1199:Z1221" si="340">Y1199-TODAY()</f>
        <v>-46313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>
        <f t="shared" si="331"/>
        <v>0</v>
      </c>
      <c r="AM1199" s="105">
        <f ca="1" t="shared" si="332"/>
        <v>-46313</v>
      </c>
      <c r="AN1199" s="115"/>
      <c r="AO1199" s="115"/>
      <c r="AP1199" s="115"/>
      <c r="AQ1199" s="93"/>
      <c r="AR1199" s="93"/>
      <c r="AS1199" s="94"/>
      <c r="AT1199" s="95"/>
      <c r="AU1199" s="79"/>
      <c r="AV1199" s="117"/>
      <c r="AW1199" s="115"/>
      <c r="AX1199" s="106"/>
      <c r="AY1199" s="104"/>
      <c r="AZ1199" s="105"/>
    </row>
    <row r="1200" customHeight="1" spans="1:52">
      <c r="A1200" s="70">
        <v>1201</v>
      </c>
      <c r="B1200" s="204" t="s">
        <v>55</v>
      </c>
      <c r="C1200" s="70" t="s">
        <v>13</v>
      </c>
      <c r="D1200" s="205" t="s">
        <v>3827</v>
      </c>
      <c r="E1200" s="71" t="s">
        <v>76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3828</v>
      </c>
      <c r="L1200" s="104">
        <f t="shared" si="337"/>
        <v>46216</v>
      </c>
      <c r="M1200" s="105">
        <f ca="1" t="shared" si="338"/>
        <v>-97</v>
      </c>
      <c r="N1200" s="70"/>
      <c r="O1200" s="204" t="s">
        <v>12</v>
      </c>
      <c r="P1200" s="70" t="s">
        <v>13</v>
      </c>
      <c r="Q1200" s="205" t="s">
        <v>3827</v>
      </c>
      <c r="R1200" s="71" t="s">
        <v>76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3829</v>
      </c>
      <c r="Y1200" s="104">
        <f t="shared" si="339"/>
        <v>46297</v>
      </c>
      <c r="Z1200" s="105">
        <f ca="1" t="shared" si="340"/>
        <v>-16</v>
      </c>
      <c r="AA1200" s="70"/>
      <c r="AB1200" s="204" t="s">
        <v>12</v>
      </c>
      <c r="AC1200" s="70" t="s">
        <v>13</v>
      </c>
      <c r="AD1200" s="205" t="s">
        <v>3827</v>
      </c>
      <c r="AE1200" s="71" t="s">
        <v>76</v>
      </c>
      <c r="AF1200" s="72"/>
      <c r="AG1200" s="73"/>
      <c r="AH1200" s="74" t="s">
        <v>16</v>
      </c>
      <c r="AI1200" s="102">
        <v>46291</v>
      </c>
      <c r="AJ1200" s="70">
        <v>3</v>
      </c>
      <c r="AK1200" s="103" t="s">
        <v>3830</v>
      </c>
      <c r="AL1200" s="104">
        <f t="shared" si="331"/>
        <v>46382</v>
      </c>
      <c r="AM1200" s="105">
        <f ca="1" t="shared" si="332"/>
        <v>69</v>
      </c>
      <c r="AN1200" s="115"/>
      <c r="AO1200" s="115"/>
      <c r="AP1200" s="115"/>
      <c r="AQ1200" s="93"/>
      <c r="AR1200" s="93"/>
      <c r="AS1200" s="94"/>
      <c r="AT1200" s="95"/>
      <c r="AU1200" s="79"/>
      <c r="AV1200" s="117"/>
      <c r="AW1200" s="115"/>
      <c r="AX1200" s="106"/>
      <c r="AY1200" s="104"/>
      <c r="AZ1200" s="105"/>
    </row>
    <row r="1201" customHeight="1" spans="1:52">
      <c r="A1201" s="70">
        <v>1202</v>
      </c>
      <c r="B1201" s="204" t="s">
        <v>55</v>
      </c>
      <c r="C1201" s="70" t="s">
        <v>13</v>
      </c>
      <c r="D1201" s="205" t="s">
        <v>3831</v>
      </c>
      <c r="E1201" s="71" t="s">
        <v>136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3832</v>
      </c>
      <c r="L1201" s="104">
        <f t="shared" si="337"/>
        <v>46216</v>
      </c>
      <c r="M1201" s="105">
        <f ca="1" t="shared" si="338"/>
        <v>-97</v>
      </c>
      <c r="N1201" s="70"/>
      <c r="O1201" s="204" t="s">
        <v>55</v>
      </c>
      <c r="P1201" s="70" t="s">
        <v>13</v>
      </c>
      <c r="Q1201" s="205" t="s">
        <v>3831</v>
      </c>
      <c r="R1201" s="71" t="s">
        <v>136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3833</v>
      </c>
      <c r="Y1201" s="104">
        <f t="shared" si="339"/>
        <v>46301</v>
      </c>
      <c r="Z1201" s="105">
        <f ca="1" t="shared" si="340"/>
        <v>-12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>
        <f t="shared" si="331"/>
        <v>0</v>
      </c>
      <c r="AM1201" s="105">
        <f ca="1" t="shared" si="332"/>
        <v>-46313</v>
      </c>
      <c r="AN1201" s="115"/>
      <c r="AO1201" s="115"/>
      <c r="AP1201" s="115"/>
      <c r="AQ1201" s="93"/>
      <c r="AR1201" s="93"/>
      <c r="AS1201" s="94"/>
      <c r="AT1201" s="95"/>
      <c r="AU1201" s="79"/>
      <c r="AV1201" s="117"/>
      <c r="AW1201" s="115"/>
      <c r="AX1201" s="106"/>
      <c r="AY1201" s="104"/>
      <c r="AZ1201" s="105"/>
    </row>
    <row r="1202" customHeight="1" spans="1:52">
      <c r="A1202" s="70">
        <v>1203</v>
      </c>
      <c r="B1202" s="204" t="s">
        <v>1908</v>
      </c>
      <c r="C1202" s="70" t="s">
        <v>13</v>
      </c>
      <c r="D1202" s="205" t="s">
        <v>3834</v>
      </c>
      <c r="E1202" s="71" t="s">
        <v>126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337"/>
        <v>46216</v>
      </c>
      <c r="M1202" s="105">
        <f ca="1" t="shared" si="338"/>
        <v>-97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339"/>
        <v>0</v>
      </c>
      <c r="Z1202" s="105">
        <f ca="1" t="shared" si="340"/>
        <v>-46313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>
        <f t="shared" si="331"/>
        <v>0</v>
      </c>
      <c r="AM1202" s="105">
        <f ca="1" t="shared" si="332"/>
        <v>-46313</v>
      </c>
      <c r="AN1202" s="115"/>
      <c r="AO1202" s="115"/>
      <c r="AP1202" s="115"/>
      <c r="AQ1202" s="93"/>
      <c r="AR1202" s="93"/>
      <c r="AS1202" s="94"/>
      <c r="AT1202" s="95"/>
      <c r="AU1202" s="79"/>
      <c r="AV1202" s="117"/>
      <c r="AW1202" s="115"/>
      <c r="AX1202" s="106"/>
      <c r="AY1202" s="104"/>
      <c r="AZ1202" s="105"/>
    </row>
    <row r="1203" customHeight="1" spans="1:52">
      <c r="A1203" s="70">
        <v>1204</v>
      </c>
      <c r="B1203" s="204" t="s">
        <v>1908</v>
      </c>
      <c r="C1203" s="70" t="s">
        <v>13</v>
      </c>
      <c r="D1203" s="205" t="s">
        <v>3835</v>
      </c>
      <c r="E1203" s="71" t="s">
        <v>2813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337"/>
        <v>46216</v>
      </c>
      <c r="M1203" s="105">
        <f ca="1" t="shared" si="338"/>
        <v>-97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339"/>
        <v>0</v>
      </c>
      <c r="Z1203" s="105">
        <f ca="1" t="shared" si="340"/>
        <v>-46313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>
        <f t="shared" si="331"/>
        <v>0</v>
      </c>
      <c r="AM1203" s="105">
        <f ca="1" t="shared" si="332"/>
        <v>-46313</v>
      </c>
      <c r="AN1203" s="115"/>
      <c r="AO1203" s="115"/>
      <c r="AP1203" s="115"/>
      <c r="AQ1203" s="93"/>
      <c r="AR1203" s="93"/>
      <c r="AS1203" s="94"/>
      <c r="AT1203" s="95"/>
      <c r="AU1203" s="79"/>
      <c r="AV1203" s="117"/>
      <c r="AW1203" s="115"/>
      <c r="AX1203" s="106"/>
      <c r="AY1203" s="104"/>
      <c r="AZ1203" s="105"/>
    </row>
    <row r="1204" customHeight="1" spans="1:52">
      <c r="A1204" s="70">
        <v>1205</v>
      </c>
      <c r="B1204" s="204" t="s">
        <v>134</v>
      </c>
      <c r="C1204" s="70" t="s">
        <v>38</v>
      </c>
      <c r="D1204" s="205" t="s">
        <v>3836</v>
      </c>
      <c r="E1204" s="71" t="s">
        <v>3837</v>
      </c>
      <c r="F1204" s="72"/>
      <c r="G1204" s="73"/>
      <c r="H1204" s="75"/>
      <c r="I1204" s="102">
        <v>46125</v>
      </c>
      <c r="J1204" s="70" t="s">
        <v>767</v>
      </c>
      <c r="K1204" s="106"/>
      <c r="L1204" s="104" t="e">
        <f t="shared" ref="L1204:L1213" si="341">EDATE(I1204,J1204)</f>
        <v>#VALUE!</v>
      </c>
      <c r="M1204" s="105" t="e">
        <f ca="1" t="shared" ref="M1204:M1213" si="342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339"/>
        <v>0</v>
      </c>
      <c r="Z1204" s="105">
        <f ca="1" t="shared" si="340"/>
        <v>-46313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>
        <f t="shared" si="331"/>
        <v>0</v>
      </c>
      <c r="AM1204" s="105">
        <f ca="1" t="shared" si="332"/>
        <v>-46313</v>
      </c>
      <c r="AN1204" s="115"/>
      <c r="AO1204" s="115"/>
      <c r="AP1204" s="115"/>
      <c r="AQ1204" s="93"/>
      <c r="AR1204" s="93"/>
      <c r="AS1204" s="94"/>
      <c r="AT1204" s="95"/>
      <c r="AU1204" s="79"/>
      <c r="AV1204" s="117"/>
      <c r="AW1204" s="115"/>
      <c r="AX1204" s="106"/>
      <c r="AY1204" s="104"/>
      <c r="AZ1204" s="105"/>
    </row>
    <row r="1205" customHeight="1" spans="1:52">
      <c r="A1205" s="70">
        <v>1206</v>
      </c>
      <c r="B1205" s="204" t="s">
        <v>270</v>
      </c>
      <c r="C1205" s="70" t="s">
        <v>264</v>
      </c>
      <c r="D1205" s="222" t="s">
        <v>3838</v>
      </c>
      <c r="E1205" s="71" t="s">
        <v>870</v>
      </c>
      <c r="F1205" s="72"/>
      <c r="G1205" s="73"/>
      <c r="H1205" s="75"/>
      <c r="I1205" s="102">
        <v>46126</v>
      </c>
      <c r="J1205" s="70">
        <v>3</v>
      </c>
      <c r="K1205" s="106" t="s">
        <v>3839</v>
      </c>
      <c r="L1205" s="104">
        <f t="shared" si="341"/>
        <v>46217</v>
      </c>
      <c r="M1205" s="105">
        <f ca="1" t="shared" si="342"/>
        <v>-96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339"/>
        <v>0</v>
      </c>
      <c r="Z1205" s="105">
        <f ca="1" t="shared" si="340"/>
        <v>-46313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5"/>
      <c r="AO1205" s="115"/>
      <c r="AP1205" s="115"/>
      <c r="AQ1205" s="93"/>
      <c r="AR1205" s="93"/>
      <c r="AS1205" s="94"/>
      <c r="AT1205" s="95"/>
      <c r="AU1205" s="79"/>
      <c r="AV1205" s="117"/>
      <c r="AW1205" s="115"/>
      <c r="AX1205" s="106"/>
      <c r="AY1205" s="104"/>
      <c r="AZ1205" s="105"/>
    </row>
    <row r="1206" customHeight="1" spans="1:52">
      <c r="A1206" s="70">
        <v>1207</v>
      </c>
      <c r="B1206" s="70" t="s">
        <v>224</v>
      </c>
      <c r="C1206" s="70" t="s">
        <v>38</v>
      </c>
      <c r="D1206" s="71" t="s">
        <v>3840</v>
      </c>
      <c r="E1206" s="71" t="s">
        <v>3841</v>
      </c>
      <c r="F1206" s="72"/>
      <c r="G1206" s="73"/>
      <c r="H1206" s="75"/>
      <c r="I1206" s="102">
        <v>46126</v>
      </c>
      <c r="J1206" s="70">
        <v>3</v>
      </c>
      <c r="K1206" s="106" t="s">
        <v>3842</v>
      </c>
      <c r="L1206" s="104">
        <f t="shared" si="341"/>
        <v>46217</v>
      </c>
      <c r="M1206" s="105">
        <f ca="1" t="shared" si="342"/>
        <v>-96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339"/>
        <v>0</v>
      </c>
      <c r="Z1206" s="105">
        <f ca="1" t="shared" si="340"/>
        <v>-46313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5"/>
      <c r="AO1206" s="115"/>
      <c r="AP1206" s="115"/>
      <c r="AQ1206" s="93"/>
      <c r="AR1206" s="93"/>
      <c r="AS1206" s="94"/>
      <c r="AT1206" s="95"/>
      <c r="AU1206" s="79"/>
      <c r="AV1206" s="117"/>
      <c r="AW1206" s="115"/>
      <c r="AX1206" s="106"/>
      <c r="AY1206" s="104"/>
      <c r="AZ1206" s="105"/>
    </row>
    <row r="1207" customHeight="1" spans="1:52">
      <c r="A1207" s="70">
        <v>1208</v>
      </c>
      <c r="B1207" s="204" t="s">
        <v>1908</v>
      </c>
      <c r="C1207" s="70" t="s">
        <v>13</v>
      </c>
      <c r="D1207" s="205" t="s">
        <v>3843</v>
      </c>
      <c r="E1207" s="71" t="s">
        <v>311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341"/>
        <v>46217</v>
      </c>
      <c r="M1207" s="105">
        <f ca="1" t="shared" si="342"/>
        <v>-96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339"/>
        <v>0</v>
      </c>
      <c r="Z1207" s="105">
        <f ca="1" t="shared" si="340"/>
        <v>-46313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5"/>
      <c r="AO1207" s="115"/>
      <c r="AP1207" s="115"/>
      <c r="AQ1207" s="93"/>
      <c r="AR1207" s="93"/>
      <c r="AS1207" s="94"/>
      <c r="AT1207" s="95"/>
      <c r="AU1207" s="79"/>
      <c r="AV1207" s="117"/>
      <c r="AW1207" s="115"/>
      <c r="AX1207" s="106"/>
      <c r="AY1207" s="104"/>
      <c r="AZ1207" s="105"/>
    </row>
    <row r="1208" customHeight="1" spans="1:52">
      <c r="A1208" s="70">
        <v>1209</v>
      </c>
      <c r="B1208" s="204" t="s">
        <v>1908</v>
      </c>
      <c r="C1208" s="70" t="s">
        <v>13</v>
      </c>
      <c r="D1208" s="205" t="s">
        <v>3844</v>
      </c>
      <c r="E1208" s="71" t="s">
        <v>3845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341"/>
        <v>46217</v>
      </c>
      <c r="M1208" s="105">
        <f ca="1" t="shared" si="342"/>
        <v>-96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339"/>
        <v>0</v>
      </c>
      <c r="Z1208" s="105">
        <f ca="1" t="shared" si="340"/>
        <v>-46313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5"/>
      <c r="AO1208" s="115"/>
      <c r="AP1208" s="115"/>
      <c r="AQ1208" s="93"/>
      <c r="AR1208" s="93"/>
      <c r="AS1208" s="94"/>
      <c r="AT1208" s="95"/>
      <c r="AU1208" s="79"/>
      <c r="AV1208" s="117"/>
      <c r="AW1208" s="115"/>
      <c r="AX1208" s="106"/>
      <c r="AY1208" s="104"/>
      <c r="AZ1208" s="105"/>
    </row>
    <row r="1209" customHeight="1" spans="1:52">
      <c r="A1209" s="70">
        <v>1210</v>
      </c>
      <c r="B1209" s="204" t="s">
        <v>1908</v>
      </c>
      <c r="C1209" s="70" t="s">
        <v>13</v>
      </c>
      <c r="D1209" s="205" t="s">
        <v>3846</v>
      </c>
      <c r="E1209" s="71" t="s">
        <v>1266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341"/>
        <v>46217</v>
      </c>
      <c r="M1209" s="105">
        <f ca="1" t="shared" si="342"/>
        <v>-96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339"/>
        <v>0</v>
      </c>
      <c r="Z1209" s="105">
        <f ca="1" t="shared" si="340"/>
        <v>-46313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5"/>
      <c r="AO1209" s="115"/>
      <c r="AP1209" s="115"/>
      <c r="AQ1209" s="93"/>
      <c r="AR1209" s="93"/>
      <c r="AS1209" s="94"/>
      <c r="AT1209" s="95"/>
      <c r="AU1209" s="79"/>
      <c r="AV1209" s="117"/>
      <c r="AW1209" s="115"/>
      <c r="AX1209" s="106"/>
      <c r="AY1209" s="104"/>
      <c r="AZ1209" s="105"/>
    </row>
    <row r="1210" customHeight="1" spans="1:52">
      <c r="A1210" s="70">
        <v>1211</v>
      </c>
      <c r="B1210" s="204" t="s">
        <v>1908</v>
      </c>
      <c r="C1210" s="70" t="s">
        <v>13</v>
      </c>
      <c r="D1210" s="205" t="s">
        <v>3847</v>
      </c>
      <c r="E1210" s="71" t="s">
        <v>2388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341"/>
        <v>46217</v>
      </c>
      <c r="M1210" s="105">
        <f ca="1" t="shared" si="342"/>
        <v>-96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339"/>
        <v>0</v>
      </c>
      <c r="Z1210" s="105">
        <f ca="1" t="shared" si="340"/>
        <v>-46313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5"/>
      <c r="AO1210" s="115"/>
      <c r="AP1210" s="115"/>
      <c r="AQ1210" s="93"/>
      <c r="AR1210" s="93"/>
      <c r="AS1210" s="94"/>
      <c r="AT1210" s="95"/>
      <c r="AU1210" s="79"/>
      <c r="AV1210" s="117"/>
      <c r="AW1210" s="115"/>
      <c r="AX1210" s="106"/>
      <c r="AY1210" s="104"/>
      <c r="AZ1210" s="105"/>
    </row>
    <row r="1211" customHeight="1" spans="1:52">
      <c r="A1211" s="70">
        <v>1212</v>
      </c>
      <c r="B1211" s="204" t="s">
        <v>1359</v>
      </c>
      <c r="C1211" s="70" t="s">
        <v>13</v>
      </c>
      <c r="D1211" s="205" t="s">
        <v>2858</v>
      </c>
      <c r="E1211" s="71" t="s">
        <v>2859</v>
      </c>
      <c r="F1211" s="72"/>
      <c r="G1211" s="73"/>
      <c r="H1211" s="75"/>
      <c r="I1211" s="102">
        <v>46126</v>
      </c>
      <c r="J1211" s="70" t="s">
        <v>767</v>
      </c>
      <c r="K1211" s="106"/>
      <c r="L1211" s="104" t="e">
        <f t="shared" ref="L1211:L1224" si="343">EDATE(I1211,J1211)</f>
        <v>#VALUE!</v>
      </c>
      <c r="M1211" s="105" t="e">
        <f ca="1" t="shared" ref="M1211:M1224" si="344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339"/>
        <v>0</v>
      </c>
      <c r="Z1211" s="105">
        <f ca="1" t="shared" si="340"/>
        <v>-46313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5"/>
      <c r="AO1211" s="115"/>
      <c r="AP1211" s="115"/>
      <c r="AQ1211" s="93"/>
      <c r="AR1211" s="93"/>
      <c r="AS1211" s="94"/>
      <c r="AT1211" s="95"/>
      <c r="AU1211" s="79"/>
      <c r="AV1211" s="117"/>
      <c r="AW1211" s="115"/>
      <c r="AX1211" s="106"/>
      <c r="AY1211" s="104"/>
      <c r="AZ1211" s="105"/>
    </row>
    <row r="1212" customHeight="1" spans="1:52">
      <c r="A1212" s="70">
        <v>1213</v>
      </c>
      <c r="B1212" s="204" t="s">
        <v>1359</v>
      </c>
      <c r="C1212" s="70" t="s">
        <v>13</v>
      </c>
      <c r="D1212" s="205" t="s">
        <v>2714</v>
      </c>
      <c r="E1212" s="71" t="s">
        <v>3792</v>
      </c>
      <c r="F1212" s="72"/>
      <c r="G1212" s="73"/>
      <c r="H1212" s="75"/>
      <c r="I1212" s="102">
        <v>46126</v>
      </c>
      <c r="J1212" s="70" t="s">
        <v>767</v>
      </c>
      <c r="K1212" s="106"/>
      <c r="L1212" s="104" t="e">
        <f t="shared" si="343"/>
        <v>#VALUE!</v>
      </c>
      <c r="M1212" s="105" t="e">
        <f ca="1" t="shared" si="344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339"/>
        <v>0</v>
      </c>
      <c r="Z1212" s="105">
        <f ca="1" t="shared" si="340"/>
        <v>-46313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>
        <f t="shared" ref="AL1212:AL1243" si="345">EDATE(AI1212,AJ1212)</f>
        <v>0</v>
      </c>
      <c r="AM1212" s="105">
        <f ca="1" t="shared" ref="AM1212:AM1243" si="346">AL1212-TODAY()</f>
        <v>-46313</v>
      </c>
      <c r="AN1212" s="115"/>
      <c r="AO1212" s="115"/>
      <c r="AP1212" s="115"/>
      <c r="AQ1212" s="93"/>
      <c r="AR1212" s="93"/>
      <c r="AS1212" s="94"/>
      <c r="AT1212" s="95"/>
      <c r="AU1212" s="79"/>
      <c r="AV1212" s="117"/>
      <c r="AW1212" s="115"/>
      <c r="AX1212" s="106"/>
      <c r="AY1212" s="104"/>
      <c r="AZ1212" s="105"/>
    </row>
    <row r="1213" customHeight="1" spans="1:52">
      <c r="A1213" s="70">
        <v>1214</v>
      </c>
      <c r="B1213" s="204" t="s">
        <v>229</v>
      </c>
      <c r="C1213" s="70" t="s">
        <v>38</v>
      </c>
      <c r="D1213" s="205" t="s">
        <v>3848</v>
      </c>
      <c r="E1213" s="71" t="s">
        <v>51</v>
      </c>
      <c r="F1213" s="72"/>
      <c r="G1213" s="73"/>
      <c r="H1213" s="75"/>
      <c r="I1213" s="102">
        <v>46127</v>
      </c>
      <c r="J1213" s="70">
        <v>3</v>
      </c>
      <c r="K1213" s="106" t="s">
        <v>3849</v>
      </c>
      <c r="L1213" s="104">
        <f t="shared" si="343"/>
        <v>46218</v>
      </c>
      <c r="M1213" s="105">
        <f ca="1" t="shared" si="344"/>
        <v>-95</v>
      </c>
      <c r="N1213" s="70"/>
      <c r="O1213" s="204" t="s">
        <v>229</v>
      </c>
      <c r="P1213" s="70" t="s">
        <v>38</v>
      </c>
      <c r="Q1213" s="205" t="s">
        <v>3848</v>
      </c>
      <c r="R1213" s="71" t="s">
        <v>51</v>
      </c>
      <c r="S1213" s="72"/>
      <c r="T1213" s="73"/>
      <c r="U1213" s="75"/>
      <c r="V1213" s="102">
        <v>46258</v>
      </c>
      <c r="W1213" s="70">
        <v>3</v>
      </c>
      <c r="X1213" s="103" t="s">
        <v>3850</v>
      </c>
      <c r="Y1213" s="104">
        <f t="shared" si="339"/>
        <v>46350</v>
      </c>
      <c r="Z1213" s="105">
        <f ca="1" t="shared" si="340"/>
        <v>37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>
        <f t="shared" si="345"/>
        <v>0</v>
      </c>
      <c r="AM1213" s="105">
        <f ca="1" t="shared" si="346"/>
        <v>-46313</v>
      </c>
      <c r="AN1213" s="115"/>
      <c r="AO1213" s="115"/>
      <c r="AP1213" s="115"/>
      <c r="AQ1213" s="93"/>
      <c r="AR1213" s="93"/>
      <c r="AS1213" s="94"/>
      <c r="AT1213" s="95"/>
      <c r="AU1213" s="79"/>
      <c r="AV1213" s="117"/>
      <c r="AW1213" s="115"/>
      <c r="AX1213" s="106"/>
      <c r="AY1213" s="104"/>
      <c r="AZ1213" s="105"/>
    </row>
    <row r="1214" customHeight="1" spans="1:52">
      <c r="A1214" s="70">
        <v>1215</v>
      </c>
      <c r="B1214" s="108" t="s">
        <v>78</v>
      </c>
      <c r="C1214" s="70" t="s">
        <v>13</v>
      </c>
      <c r="D1214" s="71" t="s">
        <v>1448</v>
      </c>
      <c r="E1214" s="71" t="s">
        <v>126</v>
      </c>
      <c r="F1214" s="72"/>
      <c r="G1214" s="73"/>
      <c r="H1214" s="75"/>
      <c r="I1214" s="102">
        <v>46127</v>
      </c>
      <c r="J1214" s="70">
        <v>3</v>
      </c>
      <c r="K1214" s="106" t="s">
        <v>3851</v>
      </c>
      <c r="L1214" s="104">
        <f t="shared" si="343"/>
        <v>46218</v>
      </c>
      <c r="M1214" s="105">
        <f ca="1" t="shared" si="344"/>
        <v>-95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339"/>
        <v>0</v>
      </c>
      <c r="Z1214" s="105">
        <f ca="1" t="shared" si="340"/>
        <v>-46313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>
        <f t="shared" si="345"/>
        <v>0</v>
      </c>
      <c r="AM1214" s="105">
        <f ca="1" t="shared" si="346"/>
        <v>-46313</v>
      </c>
      <c r="AN1214" s="115"/>
      <c r="AO1214" s="115"/>
      <c r="AP1214" s="115"/>
      <c r="AQ1214" s="93"/>
      <c r="AR1214" s="93"/>
      <c r="AS1214" s="94"/>
      <c r="AT1214" s="95"/>
      <c r="AU1214" s="79"/>
      <c r="AV1214" s="117"/>
      <c r="AW1214" s="115"/>
      <c r="AX1214" s="106"/>
      <c r="AY1214" s="104"/>
      <c r="AZ1214" s="105"/>
    </row>
    <row r="1215" customHeight="1" spans="1:52">
      <c r="A1215" s="70">
        <v>1216</v>
      </c>
      <c r="B1215" s="70" t="s">
        <v>134</v>
      </c>
      <c r="C1215" s="70" t="s">
        <v>13</v>
      </c>
      <c r="D1215" s="205" t="s">
        <v>3852</v>
      </c>
      <c r="E1215" s="71" t="s">
        <v>45</v>
      </c>
      <c r="F1215" s="72"/>
      <c r="G1215" s="73"/>
      <c r="H1215" s="75"/>
      <c r="I1215" s="102">
        <v>46127</v>
      </c>
      <c r="J1215" s="70">
        <v>3</v>
      </c>
      <c r="K1215" s="106" t="s">
        <v>3853</v>
      </c>
      <c r="L1215" s="104">
        <f t="shared" si="343"/>
        <v>46218</v>
      </c>
      <c r="M1215" s="105">
        <f ca="1" t="shared" si="344"/>
        <v>-95</v>
      </c>
      <c r="N1215" s="70"/>
      <c r="O1215" s="70" t="s">
        <v>134</v>
      </c>
      <c r="P1215" s="70" t="s">
        <v>13</v>
      </c>
      <c r="Q1215" s="205" t="s">
        <v>3852</v>
      </c>
      <c r="R1215" s="71" t="s">
        <v>45</v>
      </c>
      <c r="S1215" s="72"/>
      <c r="T1215" s="73"/>
      <c r="U1215" s="75"/>
      <c r="V1215" s="102">
        <v>46217</v>
      </c>
      <c r="W1215" s="70">
        <v>3</v>
      </c>
      <c r="X1215" s="103" t="s">
        <v>3854</v>
      </c>
      <c r="Y1215" s="104">
        <f t="shared" si="339"/>
        <v>46309</v>
      </c>
      <c r="Z1215" s="105">
        <f ca="1" t="shared" si="340"/>
        <v>-4</v>
      </c>
      <c r="AA1215" s="70"/>
      <c r="AB1215" s="70" t="s">
        <v>134</v>
      </c>
      <c r="AC1215" s="70" t="s">
        <v>13</v>
      </c>
      <c r="AD1215" s="205" t="s">
        <v>3852</v>
      </c>
      <c r="AE1215" s="71" t="s">
        <v>45</v>
      </c>
      <c r="AF1215" s="72"/>
      <c r="AG1215" s="73"/>
      <c r="AH1215" s="75"/>
      <c r="AI1215" s="102">
        <v>46307</v>
      </c>
      <c r="AJ1215" s="70">
        <v>3</v>
      </c>
      <c r="AK1215" s="103"/>
      <c r="AL1215" s="104">
        <f t="shared" si="345"/>
        <v>46399</v>
      </c>
      <c r="AM1215" s="105">
        <f ca="1" t="shared" si="346"/>
        <v>86</v>
      </c>
      <c r="AN1215" s="115"/>
      <c r="AO1215" s="115"/>
      <c r="AP1215" s="115"/>
      <c r="AQ1215" s="93"/>
      <c r="AR1215" s="93"/>
      <c r="AS1215" s="94"/>
      <c r="AT1215" s="95"/>
      <c r="AU1215" s="79"/>
      <c r="AV1215" s="117"/>
      <c r="AW1215" s="115"/>
      <c r="AX1215" s="106"/>
      <c r="AY1215" s="104"/>
      <c r="AZ1215" s="105"/>
    </row>
    <row r="1216" customHeight="1" spans="1:52">
      <c r="A1216" s="70">
        <v>1217</v>
      </c>
      <c r="B1216" s="70" t="s">
        <v>134</v>
      </c>
      <c r="C1216" s="70" t="s">
        <v>13</v>
      </c>
      <c r="D1216" s="205" t="s">
        <v>3855</v>
      </c>
      <c r="E1216" s="71" t="s">
        <v>2813</v>
      </c>
      <c r="F1216" s="72"/>
      <c r="G1216" s="73"/>
      <c r="H1216" s="75"/>
      <c r="I1216" s="102">
        <v>46127</v>
      </c>
      <c r="J1216" s="70">
        <v>3</v>
      </c>
      <c r="K1216" s="106" t="s">
        <v>3856</v>
      </c>
      <c r="L1216" s="104">
        <f t="shared" si="343"/>
        <v>46218</v>
      </c>
      <c r="M1216" s="105">
        <f ca="1" t="shared" si="344"/>
        <v>-95</v>
      </c>
      <c r="N1216" s="70"/>
      <c r="O1216" s="70" t="s">
        <v>134</v>
      </c>
      <c r="P1216" s="70" t="s">
        <v>13</v>
      </c>
      <c r="Q1216" s="205" t="s">
        <v>3855</v>
      </c>
      <c r="R1216" s="71" t="s">
        <v>2813</v>
      </c>
      <c r="S1216" s="72"/>
      <c r="T1216" s="73"/>
      <c r="U1216" s="75"/>
      <c r="V1216" s="102">
        <v>46214</v>
      </c>
      <c r="W1216" s="70">
        <v>3</v>
      </c>
      <c r="X1216" s="103" t="s">
        <v>3857</v>
      </c>
      <c r="Y1216" s="104">
        <f t="shared" si="339"/>
        <v>46306</v>
      </c>
      <c r="Z1216" s="105">
        <f ca="1" t="shared" si="340"/>
        <v>-7</v>
      </c>
      <c r="AA1216" s="70"/>
      <c r="AB1216" s="70" t="s">
        <v>134</v>
      </c>
      <c r="AC1216" s="70" t="s">
        <v>13</v>
      </c>
      <c r="AD1216" s="205" t="s">
        <v>3855</v>
      </c>
      <c r="AE1216" s="71" t="s">
        <v>2813</v>
      </c>
      <c r="AF1216" s="72"/>
      <c r="AG1216" s="73"/>
      <c r="AH1216" s="75"/>
      <c r="AI1216" s="102">
        <v>46307</v>
      </c>
      <c r="AJ1216" s="70">
        <v>3</v>
      </c>
      <c r="AK1216" s="103"/>
      <c r="AL1216" s="104">
        <f t="shared" si="345"/>
        <v>46399</v>
      </c>
      <c r="AM1216" s="105">
        <f ca="1" t="shared" si="346"/>
        <v>86</v>
      </c>
      <c r="AN1216" s="115"/>
      <c r="AO1216" s="115"/>
      <c r="AP1216" s="115"/>
      <c r="AQ1216" s="93"/>
      <c r="AR1216" s="93"/>
      <c r="AS1216" s="94"/>
      <c r="AT1216" s="95"/>
      <c r="AU1216" s="79"/>
      <c r="AV1216" s="117"/>
      <c r="AW1216" s="115"/>
      <c r="AX1216" s="106"/>
      <c r="AY1216" s="104"/>
      <c r="AZ1216" s="105"/>
    </row>
    <row r="1217" customHeight="1" spans="1:52">
      <c r="A1217" s="70">
        <v>1218</v>
      </c>
      <c r="B1217" s="204" t="s">
        <v>798</v>
      </c>
      <c r="C1217" s="70" t="s">
        <v>38</v>
      </c>
      <c r="D1217" s="205" t="s">
        <v>3858</v>
      </c>
      <c r="E1217" s="71" t="s">
        <v>145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3859</v>
      </c>
      <c r="L1217" s="104">
        <f t="shared" si="343"/>
        <v>46218</v>
      </c>
      <c r="M1217" s="105">
        <f ca="1" t="shared" si="344"/>
        <v>-95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339"/>
        <v>0</v>
      </c>
      <c r="Z1217" s="105">
        <f ca="1" t="shared" si="340"/>
        <v>-46313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>
        <f t="shared" si="345"/>
        <v>0</v>
      </c>
      <c r="AM1217" s="105">
        <f ca="1" t="shared" si="346"/>
        <v>-46313</v>
      </c>
      <c r="AN1217" s="115"/>
      <c r="AO1217" s="115"/>
      <c r="AP1217" s="115"/>
      <c r="AQ1217" s="93"/>
      <c r="AR1217" s="93"/>
      <c r="AS1217" s="94"/>
      <c r="AT1217" s="95"/>
      <c r="AU1217" s="79"/>
      <c r="AV1217" s="117"/>
      <c r="AW1217" s="115"/>
      <c r="AX1217" s="106"/>
      <c r="AY1217" s="104"/>
      <c r="AZ1217" s="105"/>
    </row>
    <row r="1218" customHeight="1" spans="1:52">
      <c r="A1218" s="70">
        <v>1219</v>
      </c>
      <c r="B1218" s="204" t="s">
        <v>798</v>
      </c>
      <c r="C1218" s="70" t="s">
        <v>38</v>
      </c>
      <c r="D1218" s="205" t="s">
        <v>3860</v>
      </c>
      <c r="E1218" s="71" t="s">
        <v>145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3861</v>
      </c>
      <c r="L1218" s="104">
        <f t="shared" si="343"/>
        <v>46218</v>
      </c>
      <c r="M1218" s="105">
        <f ca="1" t="shared" si="344"/>
        <v>-95</v>
      </c>
      <c r="N1218" s="70"/>
      <c r="O1218" s="204" t="s">
        <v>12</v>
      </c>
      <c r="P1218" s="70" t="s">
        <v>38</v>
      </c>
      <c r="Q1218" s="205" t="s">
        <v>3860</v>
      </c>
      <c r="R1218" s="71" t="s">
        <v>145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3862</v>
      </c>
      <c r="Y1218" s="104">
        <f t="shared" si="339"/>
        <v>46311</v>
      </c>
      <c r="Z1218" s="105">
        <f ca="1" t="shared" si="340"/>
        <v>-2</v>
      </c>
      <c r="AA1218" s="70"/>
      <c r="AB1218" s="204" t="s">
        <v>12</v>
      </c>
      <c r="AC1218" s="70" t="s">
        <v>38</v>
      </c>
      <c r="AD1218" s="205" t="s">
        <v>3860</v>
      </c>
      <c r="AE1218" s="71" t="s">
        <v>145</v>
      </c>
      <c r="AF1218" s="72"/>
      <c r="AG1218" s="73"/>
      <c r="AH1218" s="74" t="s">
        <v>16</v>
      </c>
      <c r="AI1218" s="102">
        <v>46311</v>
      </c>
      <c r="AJ1218" s="70">
        <v>3</v>
      </c>
      <c r="AK1218" s="103"/>
      <c r="AL1218" s="104">
        <f t="shared" si="345"/>
        <v>46403</v>
      </c>
      <c r="AM1218" s="105">
        <f ca="1" t="shared" si="346"/>
        <v>90</v>
      </c>
      <c r="AN1218" s="115"/>
      <c r="AO1218" s="115"/>
      <c r="AP1218" s="115"/>
      <c r="AQ1218" s="93"/>
      <c r="AR1218" s="93"/>
      <c r="AS1218" s="94"/>
      <c r="AT1218" s="95"/>
      <c r="AU1218" s="79"/>
      <c r="AV1218" s="117"/>
      <c r="AW1218" s="115"/>
      <c r="AX1218" s="106"/>
      <c r="AY1218" s="104"/>
      <c r="AZ1218" s="105"/>
    </row>
    <row r="1219" customHeight="1" spans="1:52">
      <c r="A1219" s="70">
        <v>1220</v>
      </c>
      <c r="B1219" s="108" t="s">
        <v>886</v>
      </c>
      <c r="C1219" s="70" t="s">
        <v>374</v>
      </c>
      <c r="D1219" s="205" t="s">
        <v>3863</v>
      </c>
      <c r="E1219" s="71" t="s">
        <v>568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3864</v>
      </c>
      <c r="L1219" s="104">
        <f t="shared" si="343"/>
        <v>46218</v>
      </c>
      <c r="M1219" s="105">
        <f ca="1" t="shared" si="344"/>
        <v>-95</v>
      </c>
      <c r="N1219" s="70"/>
      <c r="O1219" s="108" t="s">
        <v>886</v>
      </c>
      <c r="P1219" s="70" t="s">
        <v>374</v>
      </c>
      <c r="Q1219" s="205" t="s">
        <v>3863</v>
      </c>
      <c r="R1219" s="71" t="s">
        <v>568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3865</v>
      </c>
      <c r="Y1219" s="104">
        <f t="shared" si="339"/>
        <v>46338</v>
      </c>
      <c r="Z1219" s="105">
        <f ca="1" t="shared" si="340"/>
        <v>25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>
        <f t="shared" si="345"/>
        <v>0</v>
      </c>
      <c r="AM1219" s="105">
        <f ca="1" t="shared" si="346"/>
        <v>-46313</v>
      </c>
      <c r="AN1219" s="115"/>
      <c r="AO1219" s="115"/>
      <c r="AP1219" s="115"/>
      <c r="AQ1219" s="93"/>
      <c r="AR1219" s="93"/>
      <c r="AS1219" s="94"/>
      <c r="AT1219" s="95"/>
      <c r="AU1219" s="79"/>
      <c r="AV1219" s="117"/>
      <c r="AW1219" s="115"/>
      <c r="AX1219" s="106"/>
      <c r="AY1219" s="104"/>
      <c r="AZ1219" s="105"/>
    </row>
    <row r="1220" customHeight="1" spans="1:52">
      <c r="A1220" s="70">
        <v>1221</v>
      </c>
      <c r="B1220" s="108" t="s">
        <v>3780</v>
      </c>
      <c r="C1220" s="70" t="s">
        <v>264</v>
      </c>
      <c r="D1220" s="205" t="s">
        <v>367</v>
      </c>
      <c r="E1220" s="71" t="s">
        <v>368</v>
      </c>
      <c r="F1220" s="72"/>
      <c r="G1220" s="73"/>
      <c r="H1220" s="75"/>
      <c r="I1220" s="102">
        <v>46127</v>
      </c>
      <c r="J1220" s="70" t="s">
        <v>767</v>
      </c>
      <c r="K1220" s="106"/>
      <c r="L1220" s="104" t="e">
        <f t="shared" si="343"/>
        <v>#VALUE!</v>
      </c>
      <c r="M1220" s="105" t="e">
        <f ca="1" t="shared" si="344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339"/>
        <v>0</v>
      </c>
      <c r="Z1220" s="105">
        <f ca="1" t="shared" si="340"/>
        <v>-46313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>
        <f t="shared" si="345"/>
        <v>0</v>
      </c>
      <c r="AM1220" s="105">
        <f ca="1" t="shared" si="346"/>
        <v>-46313</v>
      </c>
      <c r="AN1220" s="115"/>
      <c r="AO1220" s="115"/>
      <c r="AP1220" s="115"/>
      <c r="AQ1220" s="93"/>
      <c r="AR1220" s="93"/>
      <c r="AS1220" s="94"/>
      <c r="AT1220" s="95"/>
      <c r="AU1220" s="79"/>
      <c r="AV1220" s="117"/>
      <c r="AW1220" s="115"/>
      <c r="AX1220" s="106"/>
      <c r="AY1220" s="104"/>
      <c r="AZ1220" s="105"/>
    </row>
    <row r="1221" customHeight="1" spans="1:52">
      <c r="A1221" s="70">
        <v>1222</v>
      </c>
      <c r="B1221" s="215" t="s">
        <v>134</v>
      </c>
      <c r="C1221" s="70" t="s">
        <v>264</v>
      </c>
      <c r="D1221" s="205" t="s">
        <v>3836</v>
      </c>
      <c r="E1221" s="71" t="s">
        <v>3837</v>
      </c>
      <c r="F1221" s="72"/>
      <c r="G1221" s="73"/>
      <c r="H1221" s="75"/>
      <c r="I1221" s="102">
        <v>46127</v>
      </c>
      <c r="J1221" s="70" t="s">
        <v>767</v>
      </c>
      <c r="K1221" s="106"/>
      <c r="L1221" s="104" t="e">
        <f t="shared" si="343"/>
        <v>#VALUE!</v>
      </c>
      <c r="M1221" s="105" t="e">
        <f ca="1" t="shared" si="344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339"/>
        <v>0</v>
      </c>
      <c r="Z1221" s="105">
        <f ca="1" t="shared" si="340"/>
        <v>-46313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>
        <f t="shared" si="345"/>
        <v>0</v>
      </c>
      <c r="AM1221" s="105">
        <f ca="1" t="shared" si="346"/>
        <v>-46313</v>
      </c>
      <c r="AN1221" s="115"/>
      <c r="AO1221" s="115"/>
      <c r="AP1221" s="115"/>
      <c r="AQ1221" s="93"/>
      <c r="AR1221" s="93"/>
      <c r="AS1221" s="94"/>
      <c r="AT1221" s="95"/>
      <c r="AU1221" s="79"/>
      <c r="AV1221" s="117"/>
      <c r="AW1221" s="115"/>
      <c r="AX1221" s="106"/>
      <c r="AY1221" s="104"/>
      <c r="AZ1221" s="105"/>
    </row>
    <row r="1222" customHeight="1" spans="1:52">
      <c r="A1222" s="70">
        <v>1223</v>
      </c>
      <c r="B1222" s="215" t="s">
        <v>134</v>
      </c>
      <c r="C1222" s="70" t="s">
        <v>264</v>
      </c>
      <c r="D1222" s="205" t="s">
        <v>3866</v>
      </c>
      <c r="E1222" s="71" t="s">
        <v>3837</v>
      </c>
      <c r="F1222" s="72"/>
      <c r="G1222" s="73"/>
      <c r="H1222" s="75"/>
      <c r="I1222" s="102">
        <v>46127</v>
      </c>
      <c r="J1222" s="70" t="s">
        <v>767</v>
      </c>
      <c r="K1222" s="106"/>
      <c r="L1222" s="104" t="e">
        <f t="shared" si="343"/>
        <v>#VALUE!</v>
      </c>
      <c r="M1222" s="105" t="e">
        <f ca="1" t="shared" si="344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347">EDATE(V1222,W1222)</f>
        <v>0</v>
      </c>
      <c r="Z1222" s="105">
        <f ca="1" t="shared" ref="Z1215:Z1247" si="348">Y1222-TODAY()</f>
        <v>-46313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>
        <f t="shared" si="345"/>
        <v>0</v>
      </c>
      <c r="AM1222" s="105">
        <f ca="1" t="shared" si="346"/>
        <v>-46313</v>
      </c>
      <c r="AN1222" s="115"/>
      <c r="AO1222" s="115"/>
      <c r="AP1222" s="115"/>
      <c r="AQ1222" s="93"/>
      <c r="AR1222" s="93"/>
      <c r="AS1222" s="94"/>
      <c r="AT1222" s="95"/>
      <c r="AU1222" s="79"/>
      <c r="AV1222" s="117"/>
      <c r="AW1222" s="115"/>
      <c r="AX1222" s="106"/>
      <c r="AY1222" s="104"/>
      <c r="AZ1222" s="105"/>
    </row>
    <row r="1223" customHeight="1" spans="1:52">
      <c r="A1223" s="70">
        <v>1224</v>
      </c>
      <c r="B1223" s="215" t="s">
        <v>134</v>
      </c>
      <c r="C1223" s="70" t="s">
        <v>13</v>
      </c>
      <c r="D1223" s="205" t="s">
        <v>3867</v>
      </c>
      <c r="E1223" s="71" t="s">
        <v>1854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3868</v>
      </c>
      <c r="L1223" s="104">
        <f t="shared" si="343"/>
        <v>46219</v>
      </c>
      <c r="M1223" s="105">
        <f ca="1" t="shared" si="344"/>
        <v>-94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347"/>
        <v>0</v>
      </c>
      <c r="Z1223" s="105">
        <f ca="1" t="shared" si="348"/>
        <v>-46313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>
        <f t="shared" si="345"/>
        <v>0</v>
      </c>
      <c r="AM1223" s="105">
        <f ca="1" t="shared" si="346"/>
        <v>-46313</v>
      </c>
      <c r="AN1223" s="115"/>
      <c r="AO1223" s="115"/>
      <c r="AP1223" s="115"/>
      <c r="AQ1223" s="93"/>
      <c r="AR1223" s="93"/>
      <c r="AS1223" s="94"/>
      <c r="AT1223" s="95"/>
      <c r="AU1223" s="79"/>
      <c r="AV1223" s="117"/>
      <c r="AW1223" s="115"/>
      <c r="AX1223" s="106"/>
      <c r="AY1223" s="104"/>
      <c r="AZ1223" s="105"/>
    </row>
    <row r="1224" customHeight="1" spans="1:52">
      <c r="A1224" s="70">
        <v>1225</v>
      </c>
      <c r="B1224" s="215" t="s">
        <v>134</v>
      </c>
      <c r="C1224" s="70" t="s">
        <v>13</v>
      </c>
      <c r="D1224" s="205" t="s">
        <v>3869</v>
      </c>
      <c r="E1224" s="71" t="s">
        <v>3870</v>
      </c>
      <c r="F1224" s="72"/>
      <c r="G1224" s="73"/>
      <c r="H1224" s="75" t="s">
        <v>434</v>
      </c>
      <c r="I1224" s="102">
        <v>46128</v>
      </c>
      <c r="J1224" s="70">
        <v>3</v>
      </c>
      <c r="K1224" s="106" t="s">
        <v>3871</v>
      </c>
      <c r="L1224" s="104">
        <f t="shared" ref="L1224:L1231" si="349">EDATE(I1224,J1224)</f>
        <v>46219</v>
      </c>
      <c r="M1224" s="105">
        <f ca="1" t="shared" ref="M1224:M1231" si="350">L1224-TODAY()</f>
        <v>-94</v>
      </c>
      <c r="N1224" s="70"/>
      <c r="O1224" s="215" t="s">
        <v>134</v>
      </c>
      <c r="P1224" s="70" t="s">
        <v>13</v>
      </c>
      <c r="Q1224" s="205" t="s">
        <v>3869</v>
      </c>
      <c r="R1224" s="71" t="s">
        <v>3870</v>
      </c>
      <c r="S1224" s="72"/>
      <c r="T1224" s="73"/>
      <c r="U1224" s="75" t="s">
        <v>434</v>
      </c>
      <c r="V1224" s="102">
        <v>46220</v>
      </c>
      <c r="W1224" s="70">
        <v>3</v>
      </c>
      <c r="X1224" s="103" t="s">
        <v>3872</v>
      </c>
      <c r="Y1224" s="104">
        <f t="shared" si="347"/>
        <v>46312</v>
      </c>
      <c r="Z1224" s="105">
        <f ca="1" t="shared" si="348"/>
        <v>-1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>
        <f t="shared" si="345"/>
        <v>0</v>
      </c>
      <c r="AM1224" s="105">
        <f ca="1" t="shared" si="346"/>
        <v>-46313</v>
      </c>
      <c r="AN1224" s="115"/>
      <c r="AO1224" s="115"/>
      <c r="AP1224" s="115"/>
      <c r="AQ1224" s="93"/>
      <c r="AR1224" s="93"/>
      <c r="AS1224" s="94"/>
      <c r="AT1224" s="95"/>
      <c r="AU1224" s="79"/>
      <c r="AV1224" s="117"/>
      <c r="AW1224" s="115"/>
      <c r="AX1224" s="106"/>
      <c r="AY1224" s="104"/>
      <c r="AZ1224" s="105"/>
    </row>
    <row r="1225" customHeight="1" spans="1:52">
      <c r="A1225" s="70">
        <v>1226</v>
      </c>
      <c r="B1225" s="215" t="s">
        <v>134</v>
      </c>
      <c r="C1225" s="70" t="s">
        <v>13</v>
      </c>
      <c r="D1225" s="205" t="s">
        <v>3873</v>
      </c>
      <c r="E1225" s="71" t="s">
        <v>3874</v>
      </c>
      <c r="F1225" s="72"/>
      <c r="G1225" s="73"/>
      <c r="H1225" s="75"/>
      <c r="I1225" s="102">
        <v>46128</v>
      </c>
      <c r="J1225" s="70">
        <v>3</v>
      </c>
      <c r="K1225" s="106" t="s">
        <v>3875</v>
      </c>
      <c r="L1225" s="104">
        <f t="shared" si="349"/>
        <v>46219</v>
      </c>
      <c r="M1225" s="105">
        <f ca="1" t="shared" si="350"/>
        <v>-94</v>
      </c>
      <c r="N1225" s="70"/>
      <c r="O1225" s="215" t="s">
        <v>134</v>
      </c>
      <c r="P1225" s="70" t="s">
        <v>13</v>
      </c>
      <c r="Q1225" s="205" t="s">
        <v>3873</v>
      </c>
      <c r="R1225" s="71" t="s">
        <v>3874</v>
      </c>
      <c r="S1225" s="72"/>
      <c r="T1225" s="73"/>
      <c r="U1225" s="75"/>
      <c r="V1225" s="102">
        <v>46219</v>
      </c>
      <c r="W1225" s="70">
        <v>3</v>
      </c>
      <c r="X1225" s="103" t="s">
        <v>3876</v>
      </c>
      <c r="Y1225" s="104">
        <f t="shared" si="347"/>
        <v>46311</v>
      </c>
      <c r="Z1225" s="105">
        <f ca="1" t="shared" si="348"/>
        <v>-2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>
        <f t="shared" si="345"/>
        <v>0</v>
      </c>
      <c r="AM1225" s="105">
        <f ca="1" t="shared" si="346"/>
        <v>-46313</v>
      </c>
      <c r="AN1225" s="115"/>
      <c r="AO1225" s="115"/>
      <c r="AP1225" s="115"/>
      <c r="AQ1225" s="93"/>
      <c r="AR1225" s="93"/>
      <c r="AS1225" s="94"/>
      <c r="AT1225" s="95"/>
      <c r="AU1225" s="79"/>
      <c r="AV1225" s="117"/>
      <c r="AW1225" s="115"/>
      <c r="AX1225" s="106"/>
      <c r="AY1225" s="104"/>
      <c r="AZ1225" s="105"/>
    </row>
    <row r="1226" customHeight="1" spans="1:52">
      <c r="A1226" s="70">
        <v>1227</v>
      </c>
      <c r="B1226" s="215" t="s">
        <v>134</v>
      </c>
      <c r="C1226" s="70" t="s">
        <v>13</v>
      </c>
      <c r="D1226" s="71" t="s">
        <v>3877</v>
      </c>
      <c r="E1226" s="71" t="s">
        <v>34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3878</v>
      </c>
      <c r="L1226" s="104">
        <f t="shared" si="349"/>
        <v>46219</v>
      </c>
      <c r="M1226" s="105">
        <f ca="1" t="shared" si="350"/>
        <v>-94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347"/>
        <v>0</v>
      </c>
      <c r="Z1226" s="105">
        <f ca="1" t="shared" si="348"/>
        <v>-46313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>
        <f t="shared" si="345"/>
        <v>0</v>
      </c>
      <c r="AM1226" s="105">
        <f ca="1" t="shared" si="346"/>
        <v>-46313</v>
      </c>
      <c r="AN1226" s="115"/>
      <c r="AO1226" s="115"/>
      <c r="AP1226" s="115"/>
      <c r="AQ1226" s="93"/>
      <c r="AR1226" s="93"/>
      <c r="AS1226" s="94"/>
      <c r="AT1226" s="95"/>
      <c r="AU1226" s="79"/>
      <c r="AV1226" s="117"/>
      <c r="AW1226" s="115"/>
      <c r="AX1226" s="106"/>
      <c r="AY1226" s="104"/>
      <c r="AZ1226" s="105"/>
    </row>
    <row r="1227" customHeight="1" spans="1:52">
      <c r="A1227" s="70">
        <v>1228</v>
      </c>
      <c r="B1227" s="108" t="s">
        <v>3879</v>
      </c>
      <c r="C1227" s="70" t="s">
        <v>38</v>
      </c>
      <c r="D1227" s="205" t="s">
        <v>3880</v>
      </c>
      <c r="E1227" s="71" t="s">
        <v>3881</v>
      </c>
      <c r="F1227" s="72"/>
      <c r="G1227" s="73"/>
      <c r="H1227" s="75"/>
      <c r="I1227" s="102">
        <v>46128</v>
      </c>
      <c r="J1227" s="70">
        <v>3</v>
      </c>
      <c r="K1227" s="106" t="s">
        <v>3882</v>
      </c>
      <c r="L1227" s="104">
        <f t="shared" si="349"/>
        <v>46219</v>
      </c>
      <c r="M1227" s="105">
        <f ca="1" t="shared" si="350"/>
        <v>-94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347"/>
        <v>0</v>
      </c>
      <c r="Z1227" s="105">
        <f ca="1" t="shared" si="348"/>
        <v>-46313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>
        <f t="shared" si="345"/>
        <v>0</v>
      </c>
      <c r="AM1227" s="105">
        <f ca="1" t="shared" si="346"/>
        <v>-46313</v>
      </c>
      <c r="AN1227" s="115"/>
      <c r="AO1227" s="115"/>
      <c r="AP1227" s="115"/>
      <c r="AQ1227" s="93"/>
      <c r="AR1227" s="93"/>
      <c r="AS1227" s="94"/>
      <c r="AT1227" s="95"/>
      <c r="AU1227" s="79"/>
      <c r="AV1227" s="117"/>
      <c r="AW1227" s="115"/>
      <c r="AX1227" s="106"/>
      <c r="AY1227" s="104"/>
      <c r="AZ1227" s="105"/>
    </row>
    <row r="1228" customHeight="1" spans="1:52">
      <c r="A1228" s="70">
        <v>1229</v>
      </c>
      <c r="B1228" s="108" t="s">
        <v>3879</v>
      </c>
      <c r="C1228" s="70" t="s">
        <v>38</v>
      </c>
      <c r="D1228" s="205" t="s">
        <v>3883</v>
      </c>
      <c r="E1228" s="71" t="s">
        <v>3884</v>
      </c>
      <c r="F1228" s="72"/>
      <c r="G1228" s="73"/>
      <c r="H1228" s="75"/>
      <c r="I1228" s="102">
        <v>46128</v>
      </c>
      <c r="J1228" s="70">
        <v>3</v>
      </c>
      <c r="K1228" s="106" t="s">
        <v>3885</v>
      </c>
      <c r="L1228" s="104">
        <f t="shared" si="349"/>
        <v>46219</v>
      </c>
      <c r="M1228" s="105">
        <f ca="1" t="shared" si="350"/>
        <v>-94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347"/>
        <v>0</v>
      </c>
      <c r="Z1228" s="105">
        <f ca="1" t="shared" si="348"/>
        <v>-46313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>
        <f t="shared" si="345"/>
        <v>0</v>
      </c>
      <c r="AM1228" s="105">
        <f ca="1" t="shared" si="346"/>
        <v>-46313</v>
      </c>
      <c r="AN1228" s="115"/>
      <c r="AO1228" s="115"/>
      <c r="AP1228" s="115"/>
      <c r="AQ1228" s="93"/>
      <c r="AR1228" s="93"/>
      <c r="AS1228" s="94"/>
      <c r="AT1228" s="95"/>
      <c r="AU1228" s="79"/>
      <c r="AV1228" s="117"/>
      <c r="AW1228" s="115"/>
      <c r="AX1228" s="106"/>
      <c r="AY1228" s="104"/>
      <c r="AZ1228" s="105"/>
    </row>
    <row r="1229" customHeight="1" spans="1:52">
      <c r="A1229" s="70">
        <v>1230</v>
      </c>
      <c r="B1229" s="204" t="s">
        <v>55</v>
      </c>
      <c r="C1229" s="70" t="s">
        <v>13</v>
      </c>
      <c r="D1229" s="205" t="s">
        <v>3886</v>
      </c>
      <c r="E1229" s="71" t="s">
        <v>76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3887</v>
      </c>
      <c r="L1229" s="104">
        <f t="shared" si="349"/>
        <v>46219</v>
      </c>
      <c r="M1229" s="105">
        <f ca="1" t="shared" si="350"/>
        <v>-94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347"/>
        <v>0</v>
      </c>
      <c r="Z1229" s="105">
        <f ca="1" t="shared" si="348"/>
        <v>-46313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>
        <f t="shared" si="345"/>
        <v>0</v>
      </c>
      <c r="AM1229" s="105">
        <f ca="1" t="shared" si="346"/>
        <v>-46313</v>
      </c>
      <c r="AN1229" s="115"/>
      <c r="AO1229" s="115"/>
      <c r="AP1229" s="115"/>
      <c r="AQ1229" s="93"/>
      <c r="AR1229" s="93"/>
      <c r="AS1229" s="94"/>
      <c r="AT1229" s="95"/>
      <c r="AU1229" s="79"/>
      <c r="AV1229" s="117"/>
      <c r="AW1229" s="115"/>
      <c r="AX1229" s="106"/>
      <c r="AY1229" s="104"/>
      <c r="AZ1229" s="105"/>
    </row>
    <row r="1230" customHeight="1" spans="1:52">
      <c r="A1230" s="70">
        <v>1231</v>
      </c>
      <c r="B1230" s="108" t="s">
        <v>2650</v>
      </c>
      <c r="C1230" s="70" t="s">
        <v>374</v>
      </c>
      <c r="D1230" s="205" t="s">
        <v>3888</v>
      </c>
      <c r="E1230" s="71" t="s">
        <v>3889</v>
      </c>
      <c r="F1230" s="72"/>
      <c r="G1230" s="73"/>
      <c r="H1230" s="75"/>
      <c r="I1230" s="102">
        <v>46128</v>
      </c>
      <c r="J1230" s="70">
        <v>3</v>
      </c>
      <c r="K1230" s="106" t="s">
        <v>3890</v>
      </c>
      <c r="L1230" s="104">
        <f t="shared" si="349"/>
        <v>46219</v>
      </c>
      <c r="M1230" s="105">
        <f ca="1" t="shared" si="350"/>
        <v>-94</v>
      </c>
      <c r="N1230" s="70"/>
      <c r="O1230" s="108" t="s">
        <v>2650</v>
      </c>
      <c r="P1230" s="70" t="s">
        <v>374</v>
      </c>
      <c r="Q1230" s="205" t="s">
        <v>3888</v>
      </c>
      <c r="R1230" s="71" t="s">
        <v>3889</v>
      </c>
      <c r="S1230" s="72"/>
      <c r="T1230" s="73"/>
      <c r="U1230" s="75"/>
      <c r="V1230" s="102">
        <v>46236</v>
      </c>
      <c r="W1230" s="70">
        <v>3</v>
      </c>
      <c r="X1230" s="103" t="s">
        <v>3891</v>
      </c>
      <c r="Y1230" s="104">
        <f t="shared" si="347"/>
        <v>46328</v>
      </c>
      <c r="Z1230" s="105">
        <f ca="1" t="shared" si="348"/>
        <v>15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>
        <f t="shared" si="345"/>
        <v>0</v>
      </c>
      <c r="AM1230" s="105">
        <f ca="1" t="shared" si="346"/>
        <v>-46313</v>
      </c>
      <c r="AN1230" s="115"/>
      <c r="AO1230" s="115"/>
      <c r="AP1230" s="115"/>
      <c r="AQ1230" s="93"/>
      <c r="AR1230" s="93"/>
      <c r="AS1230" s="94"/>
      <c r="AT1230" s="95"/>
      <c r="AU1230" s="79"/>
      <c r="AV1230" s="117"/>
      <c r="AW1230" s="115"/>
      <c r="AX1230" s="106"/>
      <c r="AY1230" s="104"/>
      <c r="AZ1230" s="105"/>
    </row>
    <row r="1231" customHeight="1" spans="1:52">
      <c r="A1231" s="70">
        <v>1232</v>
      </c>
      <c r="B1231" s="108" t="s">
        <v>644</v>
      </c>
      <c r="C1231" s="70" t="s">
        <v>264</v>
      </c>
      <c r="D1231" s="205" t="s">
        <v>2433</v>
      </c>
      <c r="E1231" s="71" t="s">
        <v>266</v>
      </c>
      <c r="F1231" s="72"/>
      <c r="G1231" s="73"/>
      <c r="H1231" s="75"/>
      <c r="I1231" s="102">
        <v>46128</v>
      </c>
      <c r="J1231" s="70" t="s">
        <v>767</v>
      </c>
      <c r="K1231" s="106"/>
      <c r="L1231" s="104" t="e">
        <f t="shared" ref="L1231:L1243" si="351">EDATE(I1231,J1231)</f>
        <v>#VALUE!</v>
      </c>
      <c r="M1231" s="105" t="e">
        <f ca="1" t="shared" ref="M1231:M1243" si="35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347"/>
        <v>0</v>
      </c>
      <c r="Z1231" s="105">
        <f ca="1" t="shared" si="348"/>
        <v>-46313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>
        <f t="shared" si="345"/>
        <v>0</v>
      </c>
      <c r="AM1231" s="105">
        <f ca="1" t="shared" si="346"/>
        <v>-46313</v>
      </c>
      <c r="AN1231" s="115"/>
      <c r="AO1231" s="115"/>
      <c r="AP1231" s="115"/>
      <c r="AQ1231" s="93"/>
      <c r="AR1231" s="93"/>
      <c r="AS1231" s="94"/>
      <c r="AT1231" s="95"/>
      <c r="AU1231" s="79"/>
      <c r="AV1231" s="117"/>
      <c r="AW1231" s="115"/>
      <c r="AX1231" s="106"/>
      <c r="AY1231" s="104"/>
      <c r="AZ1231" s="105"/>
    </row>
    <row r="1232" customHeight="1" spans="1:52">
      <c r="A1232" s="70">
        <v>1233</v>
      </c>
      <c r="B1232" s="108" t="s">
        <v>229</v>
      </c>
      <c r="C1232" s="70" t="s">
        <v>38</v>
      </c>
      <c r="D1232" s="205" t="s">
        <v>3892</v>
      </c>
      <c r="E1232" s="71" t="s">
        <v>3893</v>
      </c>
      <c r="F1232" s="72"/>
      <c r="G1232" s="73"/>
      <c r="H1232" s="75"/>
      <c r="I1232" s="102">
        <v>46129</v>
      </c>
      <c r="J1232" s="70">
        <v>3</v>
      </c>
      <c r="K1232" s="106" t="s">
        <v>3894</v>
      </c>
      <c r="L1232" s="104">
        <f t="shared" si="351"/>
        <v>46220</v>
      </c>
      <c r="M1232" s="105">
        <f ca="1" t="shared" si="352"/>
        <v>-93</v>
      </c>
      <c r="N1232" s="70"/>
      <c r="O1232" s="108" t="s">
        <v>229</v>
      </c>
      <c r="P1232" s="70" t="s">
        <v>38</v>
      </c>
      <c r="Q1232" s="205" t="s">
        <v>3892</v>
      </c>
      <c r="R1232" s="71" t="s">
        <v>3893</v>
      </c>
      <c r="S1232" s="72"/>
      <c r="T1232" s="73"/>
      <c r="U1232" s="75"/>
      <c r="V1232" s="102">
        <v>46197</v>
      </c>
      <c r="W1232" s="70">
        <v>3</v>
      </c>
      <c r="X1232" s="103" t="s">
        <v>3895</v>
      </c>
      <c r="Y1232" s="104">
        <f t="shared" si="347"/>
        <v>46289</v>
      </c>
      <c r="Z1232" s="105">
        <f ca="1" t="shared" si="348"/>
        <v>-24</v>
      </c>
      <c r="AA1232" s="70"/>
      <c r="AB1232" s="108" t="s">
        <v>229</v>
      </c>
      <c r="AC1232" s="70" t="s">
        <v>38</v>
      </c>
      <c r="AD1232" s="205" t="s">
        <v>3892</v>
      </c>
      <c r="AE1232" s="71" t="s">
        <v>3893</v>
      </c>
      <c r="AF1232" s="72"/>
      <c r="AG1232" s="73"/>
      <c r="AH1232" s="75"/>
      <c r="AI1232" s="102">
        <v>46300</v>
      </c>
      <c r="AJ1232" s="70">
        <v>3</v>
      </c>
      <c r="AK1232" s="103" t="s">
        <v>3896</v>
      </c>
      <c r="AL1232" s="104">
        <f t="shared" si="345"/>
        <v>46392</v>
      </c>
      <c r="AM1232" s="105">
        <f ca="1" t="shared" si="346"/>
        <v>79</v>
      </c>
      <c r="AN1232" s="115"/>
      <c r="AO1232" s="115"/>
      <c r="AP1232" s="115"/>
      <c r="AQ1232" s="93"/>
      <c r="AR1232" s="93"/>
      <c r="AS1232" s="94"/>
      <c r="AT1232" s="95"/>
      <c r="AU1232" s="79"/>
      <c r="AV1232" s="117"/>
      <c r="AW1232" s="115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38</v>
      </c>
      <c r="D1233" s="218" t="s">
        <v>3897</v>
      </c>
      <c r="E1233" s="71" t="s">
        <v>189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3898</v>
      </c>
      <c r="L1233" s="104">
        <f t="shared" si="351"/>
        <v>46220</v>
      </c>
      <c r="M1233" s="105">
        <f ca="1" t="shared" si="352"/>
        <v>-93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347"/>
        <v>0</v>
      </c>
      <c r="Z1233" s="105">
        <f ca="1" t="shared" si="348"/>
        <v>-46313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>
        <f t="shared" si="345"/>
        <v>0</v>
      </c>
      <c r="AM1233" s="105">
        <f ca="1" t="shared" si="346"/>
        <v>-46313</v>
      </c>
      <c r="AN1233" s="115"/>
      <c r="AO1233" s="115"/>
      <c r="AP1233" s="115"/>
      <c r="AQ1233" s="93"/>
      <c r="AR1233" s="93"/>
      <c r="AS1233" s="94"/>
      <c r="AT1233" s="95"/>
      <c r="AU1233" s="79"/>
      <c r="AV1233" s="117"/>
      <c r="AW1233" s="115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38</v>
      </c>
      <c r="D1234" s="205" t="s">
        <v>3899</v>
      </c>
      <c r="E1234" s="71" t="s">
        <v>189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3900</v>
      </c>
      <c r="L1234" s="104">
        <f t="shared" si="351"/>
        <v>46220</v>
      </c>
      <c r="M1234" s="105">
        <f ca="1" t="shared" si="352"/>
        <v>-93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347"/>
        <v>0</v>
      </c>
      <c r="Z1234" s="105">
        <f ca="1" t="shared" si="348"/>
        <v>-46313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>
        <f t="shared" si="345"/>
        <v>0</v>
      </c>
      <c r="AM1234" s="105">
        <f ca="1" t="shared" si="346"/>
        <v>-46313</v>
      </c>
      <c r="AN1234" s="115"/>
      <c r="AO1234" s="115"/>
      <c r="AP1234" s="115"/>
      <c r="AQ1234" s="93"/>
      <c r="AR1234" s="93"/>
      <c r="AS1234" s="94"/>
      <c r="AT1234" s="95"/>
      <c r="AU1234" s="79"/>
      <c r="AV1234" s="117"/>
      <c r="AW1234" s="115"/>
      <c r="AX1234" s="106"/>
      <c r="AY1234" s="104"/>
      <c r="AZ1234" s="105"/>
    </row>
    <row r="1235" customHeight="1" spans="1:52">
      <c r="A1235" s="70">
        <v>1236</v>
      </c>
      <c r="B1235" s="108" t="s">
        <v>3901</v>
      </c>
      <c r="C1235" s="70" t="s">
        <v>38</v>
      </c>
      <c r="D1235" s="108" t="s">
        <v>3902</v>
      </c>
      <c r="E1235" s="71" t="s">
        <v>3903</v>
      </c>
      <c r="F1235" s="72"/>
      <c r="G1235" s="73"/>
      <c r="H1235" s="75"/>
      <c r="I1235" s="102">
        <v>46129</v>
      </c>
      <c r="J1235" s="70">
        <v>3</v>
      </c>
      <c r="K1235" s="106" t="s">
        <v>3904</v>
      </c>
      <c r="L1235" s="104">
        <f t="shared" si="351"/>
        <v>46220</v>
      </c>
      <c r="M1235" s="105">
        <f ca="1" t="shared" si="352"/>
        <v>-93</v>
      </c>
      <c r="N1235" s="70"/>
      <c r="O1235" s="108" t="s">
        <v>3901</v>
      </c>
      <c r="P1235" s="70" t="s">
        <v>38</v>
      </c>
      <c r="Q1235" s="108" t="s">
        <v>3902</v>
      </c>
      <c r="R1235" s="71" t="s">
        <v>3903</v>
      </c>
      <c r="S1235" s="72"/>
      <c r="T1235" s="73"/>
      <c r="U1235" s="75"/>
      <c r="V1235" s="102">
        <v>46261</v>
      </c>
      <c r="W1235" s="70">
        <v>3</v>
      </c>
      <c r="X1235" s="103" t="s">
        <v>3905</v>
      </c>
      <c r="Y1235" s="104">
        <f t="shared" si="347"/>
        <v>46353</v>
      </c>
      <c r="Z1235" s="105">
        <f ca="1" t="shared" si="348"/>
        <v>40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>
        <f t="shared" si="345"/>
        <v>0</v>
      </c>
      <c r="AM1235" s="105">
        <f ca="1" t="shared" si="346"/>
        <v>-46313</v>
      </c>
      <c r="AN1235" s="115"/>
      <c r="AO1235" s="115"/>
      <c r="AP1235" s="115"/>
      <c r="AQ1235" s="93"/>
      <c r="AR1235" s="93"/>
      <c r="AS1235" s="94"/>
      <c r="AT1235" s="95"/>
      <c r="AU1235" s="79"/>
      <c r="AV1235" s="117"/>
      <c r="AW1235" s="115"/>
      <c r="AX1235" s="106"/>
      <c r="AY1235" s="104"/>
      <c r="AZ1235" s="105"/>
    </row>
    <row r="1236" customHeight="1" spans="1:52">
      <c r="A1236" s="70">
        <v>1237</v>
      </c>
      <c r="B1236" s="108" t="s">
        <v>3901</v>
      </c>
      <c r="C1236" s="70" t="s">
        <v>38</v>
      </c>
      <c r="D1236" s="218" t="s">
        <v>3906</v>
      </c>
      <c r="E1236" s="71" t="s">
        <v>3907</v>
      </c>
      <c r="F1236" s="72"/>
      <c r="G1236" s="73"/>
      <c r="H1236" s="75"/>
      <c r="I1236" s="102">
        <v>46129</v>
      </c>
      <c r="J1236" s="70">
        <v>3</v>
      </c>
      <c r="K1236" s="106" t="s">
        <v>3908</v>
      </c>
      <c r="L1236" s="104">
        <f t="shared" si="351"/>
        <v>46220</v>
      </c>
      <c r="M1236" s="105">
        <f ca="1" t="shared" si="352"/>
        <v>-93</v>
      </c>
      <c r="N1236" s="70"/>
      <c r="O1236" s="108" t="s">
        <v>3901</v>
      </c>
      <c r="P1236" s="70" t="s">
        <v>38</v>
      </c>
      <c r="Q1236" s="218" t="s">
        <v>3906</v>
      </c>
      <c r="R1236" s="71" t="s">
        <v>3907</v>
      </c>
      <c r="S1236" s="72"/>
      <c r="T1236" s="73"/>
      <c r="U1236" s="75"/>
      <c r="V1236" s="102">
        <v>46261</v>
      </c>
      <c r="W1236" s="70">
        <v>3</v>
      </c>
      <c r="X1236" s="103" t="s">
        <v>3909</v>
      </c>
      <c r="Y1236" s="104">
        <f t="shared" si="347"/>
        <v>46353</v>
      </c>
      <c r="Z1236" s="105">
        <f ca="1" t="shared" si="348"/>
        <v>40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>
        <f t="shared" si="345"/>
        <v>0</v>
      </c>
      <c r="AM1236" s="105">
        <f ca="1" t="shared" si="346"/>
        <v>-46313</v>
      </c>
      <c r="AN1236" s="115"/>
      <c r="AO1236" s="115"/>
      <c r="AP1236" s="115"/>
      <c r="AQ1236" s="93"/>
      <c r="AR1236" s="93"/>
      <c r="AS1236" s="94"/>
      <c r="AT1236" s="95"/>
      <c r="AU1236" s="79"/>
      <c r="AV1236" s="117"/>
      <c r="AW1236" s="115"/>
      <c r="AX1236" s="106"/>
      <c r="AY1236" s="104"/>
      <c r="AZ1236" s="105"/>
    </row>
    <row r="1237" customHeight="1" spans="1:52">
      <c r="A1237" s="70">
        <v>1238</v>
      </c>
      <c r="B1237" s="204" t="s">
        <v>1399</v>
      </c>
      <c r="C1237" s="70" t="s">
        <v>374</v>
      </c>
      <c r="D1237" s="108" t="s">
        <v>3910</v>
      </c>
      <c r="E1237" s="71" t="s">
        <v>883</v>
      </c>
      <c r="F1237" s="72"/>
      <c r="G1237" s="73"/>
      <c r="H1237" s="75"/>
      <c r="I1237" s="102">
        <v>46129</v>
      </c>
      <c r="J1237" s="70">
        <v>3</v>
      </c>
      <c r="K1237" s="106" t="s">
        <v>3911</v>
      </c>
      <c r="L1237" s="104">
        <f t="shared" si="351"/>
        <v>46220</v>
      </c>
      <c r="M1237" s="105">
        <f ca="1" t="shared" si="352"/>
        <v>-93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347"/>
        <v>0</v>
      </c>
      <c r="Z1237" s="105">
        <f ca="1" t="shared" si="348"/>
        <v>-46313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>
        <f t="shared" si="345"/>
        <v>0</v>
      </c>
      <c r="AM1237" s="105">
        <f ca="1" t="shared" si="346"/>
        <v>-46313</v>
      </c>
      <c r="AN1237" s="115"/>
      <c r="AO1237" s="115"/>
      <c r="AP1237" s="115"/>
      <c r="AQ1237" s="93"/>
      <c r="AR1237" s="93"/>
      <c r="AS1237" s="94"/>
      <c r="AT1237" s="95"/>
      <c r="AU1237" s="79"/>
      <c r="AV1237" s="117"/>
      <c r="AW1237" s="115"/>
      <c r="AX1237" s="106"/>
      <c r="AY1237" s="104"/>
      <c r="AZ1237" s="105"/>
    </row>
    <row r="1238" customHeight="1" spans="1:52">
      <c r="A1238" s="70">
        <v>1239</v>
      </c>
      <c r="B1238" s="204" t="s">
        <v>1399</v>
      </c>
      <c r="C1238" s="70" t="s">
        <v>374</v>
      </c>
      <c r="D1238" s="211" t="s">
        <v>3912</v>
      </c>
      <c r="E1238" s="71" t="s">
        <v>883</v>
      </c>
      <c r="F1238" s="72"/>
      <c r="G1238" s="73"/>
      <c r="H1238" s="75"/>
      <c r="I1238" s="102">
        <v>46129</v>
      </c>
      <c r="J1238" s="70">
        <v>3</v>
      </c>
      <c r="K1238" s="106" t="s">
        <v>3913</v>
      </c>
      <c r="L1238" s="104">
        <f t="shared" si="351"/>
        <v>46220</v>
      </c>
      <c r="M1238" s="105">
        <f ca="1" t="shared" si="352"/>
        <v>-93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347"/>
        <v>0</v>
      </c>
      <c r="Z1238" s="105">
        <f ca="1" t="shared" si="348"/>
        <v>-46313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>
        <f t="shared" si="345"/>
        <v>0</v>
      </c>
      <c r="AM1238" s="105">
        <f ca="1" t="shared" si="346"/>
        <v>-46313</v>
      </c>
      <c r="AN1238" s="115"/>
      <c r="AO1238" s="115"/>
      <c r="AP1238" s="115"/>
      <c r="AQ1238" s="93"/>
      <c r="AR1238" s="93"/>
      <c r="AS1238" s="94"/>
      <c r="AT1238" s="95"/>
      <c r="AU1238" s="79"/>
      <c r="AV1238" s="117"/>
      <c r="AW1238" s="115"/>
      <c r="AX1238" s="106"/>
      <c r="AY1238" s="104"/>
      <c r="AZ1238" s="105"/>
    </row>
    <row r="1239" customHeight="1" spans="1:52">
      <c r="A1239" s="70">
        <v>1240</v>
      </c>
      <c r="B1239" s="204" t="s">
        <v>1399</v>
      </c>
      <c r="C1239" s="70" t="s">
        <v>374</v>
      </c>
      <c r="D1239" s="71" t="s">
        <v>3914</v>
      </c>
      <c r="E1239" s="71" t="s">
        <v>883</v>
      </c>
      <c r="F1239" s="72"/>
      <c r="G1239" s="73"/>
      <c r="H1239" s="75"/>
      <c r="I1239" s="102">
        <v>46129</v>
      </c>
      <c r="J1239" s="70">
        <v>3</v>
      </c>
      <c r="K1239" s="106" t="s">
        <v>3915</v>
      </c>
      <c r="L1239" s="104">
        <f t="shared" si="351"/>
        <v>46220</v>
      </c>
      <c r="M1239" s="105">
        <f ca="1" t="shared" si="352"/>
        <v>-93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347"/>
        <v>0</v>
      </c>
      <c r="Z1239" s="105">
        <f ca="1" t="shared" si="348"/>
        <v>-46313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>
        <f t="shared" si="345"/>
        <v>0</v>
      </c>
      <c r="AM1239" s="105">
        <f ca="1" t="shared" si="346"/>
        <v>-46313</v>
      </c>
      <c r="AN1239" s="115"/>
      <c r="AO1239" s="115"/>
      <c r="AP1239" s="115"/>
      <c r="AQ1239" s="93"/>
      <c r="AR1239" s="93"/>
      <c r="AS1239" s="94"/>
      <c r="AT1239" s="95"/>
      <c r="AU1239" s="79"/>
      <c r="AV1239" s="117"/>
      <c r="AW1239" s="115"/>
      <c r="AX1239" s="106"/>
      <c r="AY1239" s="104"/>
      <c r="AZ1239" s="105"/>
    </row>
    <row r="1240" customHeight="1" spans="1:52">
      <c r="A1240" s="70">
        <v>1241</v>
      </c>
      <c r="B1240" s="204" t="s">
        <v>295</v>
      </c>
      <c r="C1240" s="70" t="s">
        <v>264</v>
      </c>
      <c r="D1240" s="204" t="s">
        <v>2694</v>
      </c>
      <c r="E1240" s="71" t="s">
        <v>1707</v>
      </c>
      <c r="F1240" s="72"/>
      <c r="G1240" s="73"/>
      <c r="H1240" s="75"/>
      <c r="I1240" s="102">
        <v>46129</v>
      </c>
      <c r="J1240" s="70" t="s">
        <v>767</v>
      </c>
      <c r="K1240" s="106"/>
      <c r="L1240" s="104" t="e">
        <f t="shared" si="351"/>
        <v>#VALUE!</v>
      </c>
      <c r="M1240" s="105" t="e">
        <f ca="1" t="shared" si="35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347"/>
        <v>0</v>
      </c>
      <c r="Z1240" s="105">
        <f ca="1" t="shared" si="348"/>
        <v>-46313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>
        <f t="shared" si="345"/>
        <v>0</v>
      </c>
      <c r="AM1240" s="105">
        <f ca="1" t="shared" si="346"/>
        <v>-46313</v>
      </c>
      <c r="AN1240" s="115"/>
      <c r="AO1240" s="115"/>
      <c r="AP1240" s="115"/>
      <c r="AQ1240" s="93"/>
      <c r="AR1240" s="93"/>
      <c r="AS1240" s="94"/>
      <c r="AT1240" s="95"/>
      <c r="AU1240" s="79"/>
      <c r="AV1240" s="117"/>
      <c r="AW1240" s="115"/>
      <c r="AX1240" s="106"/>
      <c r="AY1240" s="104"/>
      <c r="AZ1240" s="105"/>
    </row>
    <row r="1241" customHeight="1" spans="1:52">
      <c r="A1241" s="70">
        <v>1242</v>
      </c>
      <c r="B1241" s="204" t="s">
        <v>295</v>
      </c>
      <c r="C1241" s="70" t="s">
        <v>264</v>
      </c>
      <c r="D1241" s="211" t="s">
        <v>3020</v>
      </c>
      <c r="E1241" s="71" t="s">
        <v>3916</v>
      </c>
      <c r="F1241" s="72"/>
      <c r="G1241" s="73"/>
      <c r="H1241" s="75"/>
      <c r="I1241" s="102">
        <v>46129</v>
      </c>
      <c r="J1241" s="70" t="s">
        <v>767</v>
      </c>
      <c r="K1241" s="106"/>
      <c r="L1241" s="104" t="e">
        <f t="shared" si="351"/>
        <v>#VALUE!</v>
      </c>
      <c r="M1241" s="105" t="e">
        <f ca="1" t="shared" si="35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347"/>
        <v>0</v>
      </c>
      <c r="Z1241" s="105">
        <f ca="1" t="shared" si="348"/>
        <v>-46313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>
        <f t="shared" si="345"/>
        <v>0</v>
      </c>
      <c r="AM1241" s="105">
        <f ca="1" t="shared" si="346"/>
        <v>-46313</v>
      </c>
      <c r="AN1241" s="115"/>
      <c r="AO1241" s="115"/>
      <c r="AP1241" s="115"/>
      <c r="AQ1241" s="93"/>
      <c r="AR1241" s="93"/>
      <c r="AS1241" s="94"/>
      <c r="AT1241" s="95"/>
      <c r="AU1241" s="79"/>
      <c r="AV1241" s="117"/>
      <c r="AW1241" s="115"/>
      <c r="AX1241" s="106"/>
      <c r="AY1241" s="104"/>
      <c r="AZ1241" s="105"/>
    </row>
    <row r="1242" customHeight="1" spans="1:52">
      <c r="A1242" s="70">
        <v>1243</v>
      </c>
      <c r="B1242" s="204" t="s">
        <v>1507</v>
      </c>
      <c r="C1242" s="70" t="s">
        <v>374</v>
      </c>
      <c r="D1242" s="205" t="s">
        <v>3917</v>
      </c>
      <c r="E1242" s="71" t="s">
        <v>1509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3918</v>
      </c>
      <c r="L1242" s="104">
        <f t="shared" si="351"/>
        <v>46221</v>
      </c>
      <c r="M1242" s="105">
        <f ca="1" t="shared" si="352"/>
        <v>-92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347"/>
        <v>0</v>
      </c>
      <c r="Z1242" s="105">
        <f ca="1" t="shared" si="348"/>
        <v>-46313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>
        <f t="shared" si="345"/>
        <v>0</v>
      </c>
      <c r="AM1242" s="105">
        <f ca="1" t="shared" si="346"/>
        <v>-46313</v>
      </c>
      <c r="AN1242" s="115"/>
      <c r="AO1242" s="115"/>
      <c r="AP1242" s="115"/>
      <c r="AQ1242" s="93"/>
      <c r="AR1242" s="93"/>
      <c r="AS1242" s="94"/>
      <c r="AT1242" s="95"/>
      <c r="AU1242" s="79"/>
      <c r="AV1242" s="117"/>
      <c r="AW1242" s="115"/>
      <c r="AX1242" s="106"/>
      <c r="AY1242" s="104"/>
      <c r="AZ1242" s="105"/>
    </row>
    <row r="1243" customHeight="1" spans="1:52">
      <c r="A1243" s="70">
        <v>1244</v>
      </c>
      <c r="B1243" s="204" t="s">
        <v>648</v>
      </c>
      <c r="C1243" s="70" t="s">
        <v>264</v>
      </c>
      <c r="D1243" s="205" t="s">
        <v>3153</v>
      </c>
      <c r="E1243" s="71" t="s">
        <v>272</v>
      </c>
      <c r="F1243" s="72"/>
      <c r="G1243" s="73"/>
      <c r="H1243" s="75"/>
      <c r="I1243" s="102">
        <v>46130</v>
      </c>
      <c r="J1243" s="70" t="s">
        <v>767</v>
      </c>
      <c r="K1243" s="106"/>
      <c r="L1243" s="104" t="e">
        <f t="shared" ref="L1243:L1262" si="353">EDATE(I1243,J1243)</f>
        <v>#VALUE!</v>
      </c>
      <c r="M1243" s="105" t="e">
        <f ca="1" t="shared" ref="M1243:M1262" si="35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347"/>
        <v>0</v>
      </c>
      <c r="Z1243" s="105">
        <f ca="1" t="shared" si="348"/>
        <v>-46313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>
        <f t="shared" si="345"/>
        <v>0</v>
      </c>
      <c r="AM1243" s="105">
        <f ca="1" t="shared" si="346"/>
        <v>-46313</v>
      </c>
      <c r="AN1243" s="115"/>
      <c r="AO1243" s="115"/>
      <c r="AP1243" s="115"/>
      <c r="AQ1243" s="93"/>
      <c r="AR1243" s="93"/>
      <c r="AS1243" s="94"/>
      <c r="AT1243" s="95"/>
      <c r="AU1243" s="79"/>
      <c r="AV1243" s="117"/>
      <c r="AW1243" s="115"/>
      <c r="AX1243" s="106"/>
      <c r="AY1243" s="104"/>
      <c r="AZ1243" s="105"/>
    </row>
    <row r="1244" customHeight="1" spans="1:52">
      <c r="A1244" s="70">
        <v>1245</v>
      </c>
      <c r="B1244" s="108" t="s">
        <v>570</v>
      </c>
      <c r="C1244" s="70" t="s">
        <v>13</v>
      </c>
      <c r="D1244" s="205" t="s">
        <v>3919</v>
      </c>
      <c r="E1244" s="71" t="s">
        <v>3920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3921</v>
      </c>
      <c r="L1244" s="104">
        <f t="shared" si="353"/>
        <v>46222</v>
      </c>
      <c r="M1244" s="105">
        <f ca="1" t="shared" si="354"/>
        <v>-91</v>
      </c>
      <c r="N1244" s="70"/>
      <c r="O1244" s="108" t="s">
        <v>570</v>
      </c>
      <c r="P1244" s="70" t="s">
        <v>13</v>
      </c>
      <c r="Q1244" s="205" t="s">
        <v>3919</v>
      </c>
      <c r="R1244" s="71" t="s">
        <v>3920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3922</v>
      </c>
      <c r="Y1244" s="104">
        <f t="shared" si="347"/>
        <v>46324</v>
      </c>
      <c r="Z1244" s="105">
        <f ca="1" t="shared" si="348"/>
        <v>11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5"/>
      <c r="AO1244" s="115"/>
      <c r="AP1244" s="115"/>
      <c r="AQ1244" s="93"/>
      <c r="AR1244" s="93"/>
      <c r="AS1244" s="94"/>
      <c r="AT1244" s="95"/>
      <c r="AU1244" s="79"/>
      <c r="AV1244" s="117"/>
      <c r="AW1244" s="115"/>
      <c r="AX1244" s="106"/>
      <c r="AY1244" s="104"/>
      <c r="AZ1244" s="105"/>
    </row>
    <row r="1245" customHeight="1" spans="1:52">
      <c r="A1245" s="70">
        <v>1246</v>
      </c>
      <c r="B1245" s="108" t="s">
        <v>570</v>
      </c>
      <c r="C1245" s="70" t="s">
        <v>13</v>
      </c>
      <c r="D1245" s="205" t="s">
        <v>3923</v>
      </c>
      <c r="E1245" s="71" t="s">
        <v>136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3924</v>
      </c>
      <c r="L1245" s="104">
        <f t="shared" si="353"/>
        <v>46222</v>
      </c>
      <c r="M1245" s="105">
        <f ca="1" t="shared" si="354"/>
        <v>-91</v>
      </c>
      <c r="N1245" s="70"/>
      <c r="O1245" s="108" t="s">
        <v>570</v>
      </c>
      <c r="P1245" s="70" t="s">
        <v>13</v>
      </c>
      <c r="Q1245" s="205" t="s">
        <v>3923</v>
      </c>
      <c r="R1245" s="71" t="s">
        <v>136</v>
      </c>
      <c r="S1245" s="72"/>
      <c r="T1245" s="73"/>
      <c r="U1245" s="79" t="s">
        <v>16</v>
      </c>
      <c r="V1245" s="102">
        <v>46292</v>
      </c>
      <c r="W1245" s="70">
        <v>3</v>
      </c>
      <c r="X1245" s="103" t="s">
        <v>3925</v>
      </c>
      <c r="Y1245" s="104">
        <f t="shared" si="347"/>
        <v>46383</v>
      </c>
      <c r="Z1245" s="105">
        <f ca="1" t="shared" si="348"/>
        <v>70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5"/>
      <c r="AO1245" s="115"/>
      <c r="AP1245" s="115"/>
      <c r="AQ1245" s="93"/>
      <c r="AR1245" s="93"/>
      <c r="AS1245" s="94"/>
      <c r="AT1245" s="95"/>
      <c r="AU1245" s="79"/>
      <c r="AV1245" s="117"/>
      <c r="AW1245" s="115"/>
      <c r="AX1245" s="106"/>
      <c r="AY1245" s="104"/>
      <c r="AZ1245" s="105"/>
    </row>
    <row r="1246" customHeight="1" spans="1:52">
      <c r="A1246" s="70">
        <v>1247</v>
      </c>
      <c r="B1246" s="108" t="s">
        <v>570</v>
      </c>
      <c r="C1246" s="70" t="s">
        <v>13</v>
      </c>
      <c r="D1246" s="205" t="s">
        <v>3926</v>
      </c>
      <c r="E1246" s="71" t="s">
        <v>80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3927</v>
      </c>
      <c r="L1246" s="104">
        <f t="shared" si="353"/>
        <v>46222</v>
      </c>
      <c r="M1246" s="105">
        <f ca="1" t="shared" si="354"/>
        <v>-91</v>
      </c>
      <c r="N1246" s="70"/>
      <c r="O1246" s="108" t="s">
        <v>570</v>
      </c>
      <c r="P1246" s="70" t="s">
        <v>13</v>
      </c>
      <c r="Q1246" s="205" t="s">
        <v>3926</v>
      </c>
      <c r="R1246" s="71" t="s">
        <v>80</v>
      </c>
      <c r="S1246" s="72"/>
      <c r="T1246" s="73"/>
      <c r="U1246" s="79" t="s">
        <v>16</v>
      </c>
      <c r="V1246" s="102">
        <v>46265</v>
      </c>
      <c r="W1246" s="70">
        <v>3</v>
      </c>
      <c r="X1246" s="103" t="s">
        <v>3928</v>
      </c>
      <c r="Y1246" s="104">
        <f t="shared" si="347"/>
        <v>46356</v>
      </c>
      <c r="Z1246" s="105">
        <f ca="1" t="shared" si="348"/>
        <v>43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5"/>
      <c r="AO1246" s="115"/>
      <c r="AP1246" s="115"/>
      <c r="AQ1246" s="93"/>
      <c r="AR1246" s="93"/>
      <c r="AS1246" s="94"/>
      <c r="AT1246" s="95"/>
      <c r="AU1246" s="79"/>
      <c r="AV1246" s="117"/>
      <c r="AW1246" s="115"/>
      <c r="AX1246" s="106"/>
      <c r="AY1246" s="104"/>
      <c r="AZ1246" s="105"/>
    </row>
    <row r="1247" customHeight="1" spans="1:52">
      <c r="A1247" s="70">
        <v>1248</v>
      </c>
      <c r="B1247" s="108" t="s">
        <v>570</v>
      </c>
      <c r="C1247" s="70" t="s">
        <v>13</v>
      </c>
      <c r="D1247" s="220" t="s">
        <v>3929</v>
      </c>
      <c r="E1247" s="71" t="s">
        <v>687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3930</v>
      </c>
      <c r="L1247" s="104">
        <f t="shared" si="353"/>
        <v>46222</v>
      </c>
      <c r="M1247" s="105">
        <f ca="1" t="shared" si="354"/>
        <v>-91</v>
      </c>
      <c r="N1247" s="70"/>
      <c r="O1247" s="108" t="s">
        <v>570</v>
      </c>
      <c r="P1247" s="70" t="s">
        <v>13</v>
      </c>
      <c r="Q1247" s="220" t="s">
        <v>3929</v>
      </c>
      <c r="R1247" s="71" t="s">
        <v>687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3931</v>
      </c>
      <c r="Y1247" s="104">
        <f t="shared" si="347"/>
        <v>46333</v>
      </c>
      <c r="Z1247" s="105">
        <f ca="1" t="shared" si="348"/>
        <v>20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5"/>
      <c r="AO1247" s="115"/>
      <c r="AP1247" s="115"/>
      <c r="AQ1247" s="93"/>
      <c r="AR1247" s="93"/>
      <c r="AS1247" s="94"/>
      <c r="AT1247" s="95"/>
      <c r="AU1247" s="79"/>
      <c r="AV1247" s="117"/>
      <c r="AW1247" s="115"/>
      <c r="AX1247" s="106"/>
      <c r="AY1247" s="104"/>
      <c r="AZ1247" s="105"/>
    </row>
    <row r="1248" customHeight="1" spans="1:52">
      <c r="A1248" s="70">
        <v>1249</v>
      </c>
      <c r="B1248" s="108" t="s">
        <v>570</v>
      </c>
      <c r="C1248" s="70" t="s">
        <v>13</v>
      </c>
      <c r="D1248" s="205" t="s">
        <v>3932</v>
      </c>
      <c r="E1248" s="71" t="s">
        <v>126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3933</v>
      </c>
      <c r="L1248" s="104">
        <f t="shared" si="353"/>
        <v>46222</v>
      </c>
      <c r="M1248" s="105">
        <f ca="1" t="shared" si="354"/>
        <v>-91</v>
      </c>
      <c r="N1248" s="70"/>
      <c r="O1248" s="108" t="s">
        <v>570</v>
      </c>
      <c r="P1248" s="70" t="s">
        <v>13</v>
      </c>
      <c r="Q1248" s="205" t="s">
        <v>3932</v>
      </c>
      <c r="R1248" s="71" t="s">
        <v>126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3934</v>
      </c>
      <c r="Y1248" s="104">
        <f t="shared" ref="Y1248:Y1258" si="355">EDATE(V1248,W1248)</f>
        <v>46318</v>
      </c>
      <c r="Z1248" s="105">
        <f ca="1" t="shared" ref="Z1248:Z1258" si="356">Y1248-TODAY()</f>
        <v>5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5"/>
      <c r="AO1248" s="115"/>
      <c r="AP1248" s="115"/>
      <c r="AQ1248" s="93"/>
      <c r="AR1248" s="93"/>
      <c r="AS1248" s="94"/>
      <c r="AT1248" s="95"/>
      <c r="AU1248" s="79"/>
      <c r="AV1248" s="117"/>
      <c r="AW1248" s="115"/>
      <c r="AX1248" s="106"/>
      <c r="AY1248" s="104"/>
      <c r="AZ1248" s="105"/>
    </row>
    <row r="1249" customHeight="1" spans="1:52">
      <c r="A1249" s="70">
        <v>1250</v>
      </c>
      <c r="B1249" s="108" t="s">
        <v>791</v>
      </c>
      <c r="C1249" s="70" t="s">
        <v>374</v>
      </c>
      <c r="D1249" s="71" t="s">
        <v>3935</v>
      </c>
      <c r="E1249" s="71" t="s">
        <v>3936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3937</v>
      </c>
      <c r="L1249" s="104">
        <f t="shared" si="353"/>
        <v>46222</v>
      </c>
      <c r="M1249" s="105">
        <f ca="1" t="shared" si="354"/>
        <v>-91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355"/>
        <v>0</v>
      </c>
      <c r="Z1249" s="105">
        <f ca="1" t="shared" si="356"/>
        <v>-46313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5"/>
      <c r="AO1249" s="115"/>
      <c r="AP1249" s="115"/>
      <c r="AQ1249" s="93"/>
      <c r="AR1249" s="93"/>
      <c r="AS1249" s="94"/>
      <c r="AT1249" s="95"/>
      <c r="AU1249" s="79"/>
      <c r="AV1249" s="117"/>
      <c r="AW1249" s="115"/>
      <c r="AX1249" s="106"/>
      <c r="AY1249" s="104"/>
      <c r="AZ1249" s="105"/>
    </row>
    <row r="1250" customHeight="1" spans="1:52">
      <c r="A1250" s="70">
        <v>1251</v>
      </c>
      <c r="B1250" s="70" t="s">
        <v>224</v>
      </c>
      <c r="C1250" s="70" t="s">
        <v>38</v>
      </c>
      <c r="D1250" s="71" t="s">
        <v>3938</v>
      </c>
      <c r="E1250" s="71" t="s">
        <v>3939</v>
      </c>
      <c r="F1250" s="72"/>
      <c r="G1250" s="73"/>
      <c r="H1250" s="75"/>
      <c r="I1250" s="102">
        <v>46132</v>
      </c>
      <c r="J1250" s="70">
        <v>3</v>
      </c>
      <c r="K1250" s="106" t="s">
        <v>3940</v>
      </c>
      <c r="L1250" s="104">
        <f t="shared" si="353"/>
        <v>46223</v>
      </c>
      <c r="M1250" s="105">
        <f ca="1" t="shared" si="354"/>
        <v>-90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355"/>
        <v>0</v>
      </c>
      <c r="Z1250" s="105">
        <f ca="1" t="shared" si="356"/>
        <v>-46313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5"/>
      <c r="AO1250" s="115"/>
      <c r="AP1250" s="115"/>
      <c r="AQ1250" s="93"/>
      <c r="AR1250" s="93"/>
      <c r="AS1250" s="94"/>
      <c r="AT1250" s="95"/>
      <c r="AU1250" s="79"/>
      <c r="AV1250" s="117"/>
      <c r="AW1250" s="115"/>
      <c r="AX1250" s="106"/>
      <c r="AY1250" s="104"/>
      <c r="AZ1250" s="105"/>
    </row>
    <row r="1251" customHeight="1" spans="1:52">
      <c r="A1251" s="70">
        <v>1252</v>
      </c>
      <c r="B1251" s="108" t="s">
        <v>570</v>
      </c>
      <c r="C1251" s="70" t="s">
        <v>13</v>
      </c>
      <c r="D1251" s="71" t="s">
        <v>3941</v>
      </c>
      <c r="E1251" s="71" t="s">
        <v>45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3942</v>
      </c>
      <c r="L1251" s="104">
        <f t="shared" si="353"/>
        <v>46223</v>
      </c>
      <c r="M1251" s="105">
        <f ca="1" t="shared" si="354"/>
        <v>-90</v>
      </c>
      <c r="N1251" s="70"/>
      <c r="O1251" s="108" t="s">
        <v>570</v>
      </c>
      <c r="P1251" s="70" t="s">
        <v>13</v>
      </c>
      <c r="Q1251" s="71" t="s">
        <v>3941</v>
      </c>
      <c r="R1251" s="71" t="s">
        <v>45</v>
      </c>
      <c r="S1251" s="72"/>
      <c r="T1251" s="73"/>
      <c r="U1251" s="74" t="s">
        <v>16</v>
      </c>
      <c r="V1251" s="102">
        <v>46264</v>
      </c>
      <c r="W1251" s="70">
        <v>3</v>
      </c>
      <c r="X1251" s="103" t="s">
        <v>3943</v>
      </c>
      <c r="Y1251" s="104">
        <f t="shared" si="355"/>
        <v>46356</v>
      </c>
      <c r="Z1251" s="105">
        <f ca="1" t="shared" si="356"/>
        <v>43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5"/>
      <c r="AO1251" s="115"/>
      <c r="AP1251" s="115"/>
      <c r="AQ1251" s="93"/>
      <c r="AR1251" s="93"/>
      <c r="AS1251" s="94"/>
      <c r="AT1251" s="95"/>
      <c r="AU1251" s="79"/>
      <c r="AV1251" s="117"/>
      <c r="AW1251" s="115"/>
      <c r="AX1251" s="106"/>
      <c r="AY1251" s="104"/>
      <c r="AZ1251" s="105"/>
    </row>
    <row r="1252" customHeight="1" spans="1:52">
      <c r="A1252" s="70">
        <v>1253</v>
      </c>
      <c r="B1252" s="108" t="s">
        <v>844</v>
      </c>
      <c r="C1252" s="70" t="s">
        <v>13</v>
      </c>
      <c r="D1252" s="71" t="s">
        <v>3944</v>
      </c>
      <c r="E1252" s="71" t="s">
        <v>76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3945</v>
      </c>
      <c r="L1252" s="104">
        <f t="shared" si="353"/>
        <v>46223</v>
      </c>
      <c r="M1252" s="105">
        <f ca="1" t="shared" si="354"/>
        <v>-90</v>
      </c>
      <c r="N1252" s="70"/>
      <c r="O1252" s="108" t="s">
        <v>3067</v>
      </c>
      <c r="P1252" s="70" t="s">
        <v>13</v>
      </c>
      <c r="Q1252" s="71" t="s">
        <v>3944</v>
      </c>
      <c r="R1252" s="71" t="s">
        <v>76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3946</v>
      </c>
      <c r="Y1252" s="104">
        <f t="shared" si="355"/>
        <v>46327</v>
      </c>
      <c r="Z1252" s="105">
        <f ca="1" t="shared" si="356"/>
        <v>14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5"/>
      <c r="AO1252" s="115"/>
      <c r="AP1252" s="115"/>
      <c r="AQ1252" s="93"/>
      <c r="AR1252" s="93"/>
      <c r="AS1252" s="94"/>
      <c r="AT1252" s="95"/>
      <c r="AU1252" s="79"/>
      <c r="AV1252" s="117"/>
      <c r="AW1252" s="115"/>
      <c r="AX1252" s="106"/>
      <c r="AY1252" s="104"/>
      <c r="AZ1252" s="105"/>
    </row>
    <row r="1253" customHeight="1" spans="1:52">
      <c r="A1253" s="70">
        <v>1254</v>
      </c>
      <c r="B1253" s="108" t="s">
        <v>672</v>
      </c>
      <c r="C1253" s="70" t="s">
        <v>374</v>
      </c>
      <c r="D1253" s="205" t="s">
        <v>3947</v>
      </c>
      <c r="E1253" s="71" t="s">
        <v>674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3948</v>
      </c>
      <c r="L1253" s="104">
        <f t="shared" si="353"/>
        <v>46223</v>
      </c>
      <c r="M1253" s="105">
        <f ca="1" t="shared" si="354"/>
        <v>-90</v>
      </c>
      <c r="N1253" s="70"/>
      <c r="O1253" s="108" t="s">
        <v>672</v>
      </c>
      <c r="P1253" s="70" t="s">
        <v>374</v>
      </c>
      <c r="Q1253" s="205" t="s">
        <v>3947</v>
      </c>
      <c r="R1253" s="71" t="s">
        <v>674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3949</v>
      </c>
      <c r="Y1253" s="104">
        <f t="shared" si="355"/>
        <v>46298</v>
      </c>
      <c r="Z1253" s="105">
        <f ca="1" t="shared" si="356"/>
        <v>-15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5"/>
      <c r="AO1253" s="115"/>
      <c r="AP1253" s="115"/>
      <c r="AQ1253" s="93"/>
      <c r="AR1253" s="93"/>
      <c r="AS1253" s="94"/>
      <c r="AT1253" s="95"/>
      <c r="AU1253" s="79"/>
      <c r="AV1253" s="117"/>
      <c r="AW1253" s="115"/>
      <c r="AX1253" s="106"/>
      <c r="AY1253" s="104"/>
      <c r="AZ1253" s="105"/>
    </row>
    <row r="1254" customHeight="1" spans="1:52">
      <c r="A1254" s="70">
        <v>1255</v>
      </c>
      <c r="B1254" s="108" t="s">
        <v>672</v>
      </c>
      <c r="C1254" s="70" t="s">
        <v>374</v>
      </c>
      <c r="D1254" s="205" t="s">
        <v>3950</v>
      </c>
      <c r="E1254" s="71" t="s">
        <v>1312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3951</v>
      </c>
      <c r="L1254" s="104">
        <f t="shared" si="353"/>
        <v>46223</v>
      </c>
      <c r="M1254" s="105">
        <f ca="1" t="shared" si="354"/>
        <v>-90</v>
      </c>
      <c r="N1254" s="70"/>
      <c r="O1254" s="108" t="s">
        <v>672</v>
      </c>
      <c r="P1254" s="70" t="s">
        <v>374</v>
      </c>
      <c r="Q1254" s="205" t="s">
        <v>3950</v>
      </c>
      <c r="R1254" s="71" t="s">
        <v>1312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3952</v>
      </c>
      <c r="Y1254" s="104">
        <f t="shared" si="355"/>
        <v>46308</v>
      </c>
      <c r="Z1254" s="105">
        <f ca="1" t="shared" si="356"/>
        <v>-5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5"/>
      <c r="AO1254" s="115"/>
      <c r="AP1254" s="115"/>
      <c r="AQ1254" s="93"/>
      <c r="AR1254" s="93"/>
      <c r="AS1254" s="94"/>
      <c r="AT1254" s="95"/>
      <c r="AU1254" s="79"/>
      <c r="AV1254" s="117"/>
      <c r="AW1254" s="115"/>
      <c r="AX1254" s="106"/>
      <c r="AY1254" s="104"/>
      <c r="AZ1254" s="105"/>
    </row>
    <row r="1255" customHeight="1" spans="1:52">
      <c r="A1255" s="70">
        <v>1256</v>
      </c>
      <c r="B1255" s="70" t="s">
        <v>169</v>
      </c>
      <c r="C1255" s="70" t="s">
        <v>38</v>
      </c>
      <c r="D1255" s="71" t="s">
        <v>170</v>
      </c>
      <c r="E1255" s="71" t="s">
        <v>3230</v>
      </c>
      <c r="F1255" s="72"/>
      <c r="G1255" s="73"/>
      <c r="H1255" s="75"/>
      <c r="I1255" s="102">
        <v>46132</v>
      </c>
      <c r="J1255" s="70" t="s">
        <v>767</v>
      </c>
      <c r="K1255" s="106"/>
      <c r="L1255" s="104" t="e">
        <f t="shared" si="353"/>
        <v>#VALUE!</v>
      </c>
      <c r="M1255" s="105" t="e">
        <f ca="1" t="shared" si="35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355"/>
        <v>0</v>
      </c>
      <c r="Z1255" s="105">
        <f ca="1" t="shared" si="356"/>
        <v>-46313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5"/>
      <c r="AO1255" s="115"/>
      <c r="AP1255" s="115"/>
      <c r="AQ1255" s="93"/>
      <c r="AR1255" s="93"/>
      <c r="AS1255" s="94"/>
      <c r="AT1255" s="95"/>
      <c r="AU1255" s="79"/>
      <c r="AV1255" s="117"/>
      <c r="AW1255" s="115"/>
      <c r="AX1255" s="106"/>
      <c r="AY1255" s="104"/>
      <c r="AZ1255" s="105"/>
    </row>
    <row r="1256" customHeight="1" spans="1:52">
      <c r="A1256" s="70">
        <v>1257</v>
      </c>
      <c r="B1256" s="215" t="s">
        <v>366</v>
      </c>
      <c r="C1256" s="70" t="s">
        <v>264</v>
      </c>
      <c r="D1256" s="205" t="s">
        <v>3953</v>
      </c>
      <c r="E1256" s="71" t="s">
        <v>3954</v>
      </c>
      <c r="F1256" s="72"/>
      <c r="G1256" s="73"/>
      <c r="H1256" s="75"/>
      <c r="I1256" s="102">
        <v>46133</v>
      </c>
      <c r="J1256" s="70">
        <v>3</v>
      </c>
      <c r="K1256" s="106" t="s">
        <v>3955</v>
      </c>
      <c r="L1256" s="104">
        <f t="shared" si="353"/>
        <v>46224</v>
      </c>
      <c r="M1256" s="105">
        <f ca="1" t="shared" si="354"/>
        <v>-89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355"/>
        <v>0</v>
      </c>
      <c r="Z1256" s="105">
        <f ca="1" t="shared" si="356"/>
        <v>-46313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5"/>
      <c r="AO1256" s="115"/>
      <c r="AP1256" s="115"/>
      <c r="AQ1256" s="93"/>
      <c r="AR1256" s="93"/>
      <c r="AS1256" s="94"/>
      <c r="AT1256" s="95"/>
      <c r="AU1256" s="79"/>
      <c r="AV1256" s="117"/>
      <c r="AW1256" s="115"/>
      <c r="AX1256" s="106"/>
      <c r="AY1256" s="104"/>
      <c r="AZ1256" s="105"/>
    </row>
    <row r="1257" customHeight="1" spans="1:52">
      <c r="A1257" s="70">
        <v>1258</v>
      </c>
      <c r="B1257" s="215" t="s">
        <v>1234</v>
      </c>
      <c r="C1257" s="70" t="s">
        <v>264</v>
      </c>
      <c r="D1257" s="205" t="s">
        <v>3956</v>
      </c>
      <c r="E1257" s="71" t="s">
        <v>3957</v>
      </c>
      <c r="F1257" s="72"/>
      <c r="G1257" s="73"/>
      <c r="H1257" s="75"/>
      <c r="I1257" s="102">
        <v>46133</v>
      </c>
      <c r="J1257" s="70">
        <v>3</v>
      </c>
      <c r="K1257" s="106" t="s">
        <v>3958</v>
      </c>
      <c r="L1257" s="104">
        <f t="shared" si="353"/>
        <v>46224</v>
      </c>
      <c r="M1257" s="105">
        <f ca="1" t="shared" si="354"/>
        <v>-89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355"/>
        <v>0</v>
      </c>
      <c r="Z1257" s="105">
        <f ca="1" t="shared" si="356"/>
        <v>-46313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5"/>
      <c r="AO1257" s="115"/>
      <c r="AP1257" s="115"/>
      <c r="AQ1257" s="93"/>
      <c r="AR1257" s="93"/>
      <c r="AS1257" s="94"/>
      <c r="AT1257" s="95"/>
      <c r="AU1257" s="79"/>
      <c r="AV1257" s="117"/>
      <c r="AW1257" s="115"/>
      <c r="AX1257" s="106"/>
      <c r="AY1257" s="104"/>
      <c r="AZ1257" s="105"/>
    </row>
    <row r="1258" customHeight="1" spans="1:52">
      <c r="A1258" s="70">
        <v>1259</v>
      </c>
      <c r="B1258" s="215" t="s">
        <v>366</v>
      </c>
      <c r="C1258" s="70" t="s">
        <v>264</v>
      </c>
      <c r="D1258" s="205" t="s">
        <v>367</v>
      </c>
      <c r="E1258" s="71" t="s">
        <v>368</v>
      </c>
      <c r="F1258" s="72"/>
      <c r="G1258" s="73"/>
      <c r="H1258" s="75"/>
      <c r="I1258" s="102">
        <v>46133</v>
      </c>
      <c r="J1258" s="70" t="s">
        <v>767</v>
      </c>
      <c r="K1258" s="106"/>
      <c r="L1258" s="104" t="e">
        <f t="shared" si="353"/>
        <v>#VALUE!</v>
      </c>
      <c r="M1258" s="105" t="e">
        <f ca="1" t="shared" si="35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355"/>
        <v>0</v>
      </c>
      <c r="Z1258" s="105">
        <f ca="1" t="shared" si="356"/>
        <v>-46313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5"/>
      <c r="AO1258" s="115"/>
      <c r="AP1258" s="115"/>
      <c r="AQ1258" s="93"/>
      <c r="AR1258" s="93"/>
      <c r="AS1258" s="94"/>
      <c r="AT1258" s="95"/>
      <c r="AU1258" s="79"/>
      <c r="AV1258" s="117"/>
      <c r="AW1258" s="115"/>
      <c r="AX1258" s="106"/>
      <c r="AY1258" s="104"/>
      <c r="AZ1258" s="105"/>
    </row>
    <row r="1259" customHeight="1" spans="1:52">
      <c r="A1259" s="70">
        <v>1260</v>
      </c>
      <c r="B1259" s="215" t="s">
        <v>757</v>
      </c>
      <c r="C1259" s="70" t="s">
        <v>264</v>
      </c>
      <c r="D1259" s="71" t="s">
        <v>758</v>
      </c>
      <c r="E1259" s="71" t="s">
        <v>368</v>
      </c>
      <c r="F1259" s="72"/>
      <c r="G1259" s="73"/>
      <c r="H1259" s="75"/>
      <c r="I1259" s="102">
        <v>46133</v>
      </c>
      <c r="J1259" s="70" t="s">
        <v>767</v>
      </c>
      <c r="K1259" s="106"/>
      <c r="L1259" s="104" t="e">
        <f t="shared" si="353"/>
        <v>#VALUE!</v>
      </c>
      <c r="M1259" s="105" t="e">
        <f ca="1" t="shared" si="35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357">EDATE(V1259,W1259)</f>
        <v>0</v>
      </c>
      <c r="Z1259" s="105">
        <f ca="1" t="shared" ref="Z1252:Z1315" si="358">Y1259-TODAY()</f>
        <v>-46313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5"/>
      <c r="AO1259" s="115"/>
      <c r="AP1259" s="115"/>
      <c r="AQ1259" s="93"/>
      <c r="AR1259" s="93"/>
      <c r="AS1259" s="94"/>
      <c r="AT1259" s="95"/>
      <c r="AU1259" s="79"/>
      <c r="AV1259" s="117"/>
      <c r="AW1259" s="115"/>
      <c r="AX1259" s="106"/>
      <c r="AY1259" s="104"/>
      <c r="AZ1259" s="105"/>
    </row>
    <row r="1260" customHeight="1" spans="1:52">
      <c r="A1260" s="70">
        <v>1261</v>
      </c>
      <c r="B1260" s="108" t="s">
        <v>366</v>
      </c>
      <c r="C1260" s="70" t="s">
        <v>13</v>
      </c>
      <c r="D1260" s="108" t="s">
        <v>3959</v>
      </c>
      <c r="E1260" s="71" t="s">
        <v>3960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3961</v>
      </c>
      <c r="L1260" s="104">
        <f t="shared" si="353"/>
        <v>46225</v>
      </c>
      <c r="M1260" s="105">
        <f ca="1" t="shared" si="354"/>
        <v>-88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357"/>
        <v>0</v>
      </c>
      <c r="Z1260" s="105">
        <f ca="1" t="shared" si="358"/>
        <v>-46313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5"/>
      <c r="AO1260" s="115"/>
      <c r="AP1260" s="115"/>
      <c r="AQ1260" s="93"/>
      <c r="AR1260" s="93"/>
      <c r="AS1260" s="94"/>
      <c r="AT1260" s="95"/>
      <c r="AU1260" s="79"/>
      <c r="AV1260" s="117"/>
      <c r="AW1260" s="115"/>
      <c r="AX1260" s="106"/>
      <c r="AY1260" s="104"/>
      <c r="AZ1260" s="105"/>
    </row>
    <row r="1261" customHeight="1" spans="1:52">
      <c r="A1261" s="70">
        <v>1262</v>
      </c>
      <c r="B1261" s="108" t="s">
        <v>798</v>
      </c>
      <c r="C1261" s="70" t="s">
        <v>264</v>
      </c>
      <c r="D1261" s="205" t="s">
        <v>3962</v>
      </c>
      <c r="E1261" s="71" t="s">
        <v>3963</v>
      </c>
      <c r="F1261" s="72"/>
      <c r="G1261" s="73"/>
      <c r="H1261" s="75"/>
      <c r="I1261" s="102">
        <v>46134</v>
      </c>
      <c r="J1261" s="70">
        <v>3</v>
      </c>
      <c r="K1261" s="106" t="s">
        <v>3964</v>
      </c>
      <c r="L1261" s="104">
        <f t="shared" si="353"/>
        <v>46225</v>
      </c>
      <c r="M1261" s="105">
        <f ca="1" t="shared" si="354"/>
        <v>-88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357"/>
        <v>0</v>
      </c>
      <c r="Z1261" s="105">
        <f ca="1" t="shared" si="358"/>
        <v>-46313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5"/>
      <c r="AO1261" s="115"/>
      <c r="AP1261" s="115"/>
      <c r="AQ1261" s="93"/>
      <c r="AR1261" s="93"/>
      <c r="AS1261" s="94"/>
      <c r="AT1261" s="95"/>
      <c r="AU1261" s="79"/>
      <c r="AV1261" s="117"/>
      <c r="AW1261" s="115"/>
      <c r="AX1261" s="106"/>
      <c r="AY1261" s="104"/>
      <c r="AZ1261" s="105"/>
    </row>
    <row r="1262" customHeight="1" spans="1:52">
      <c r="A1262" s="70">
        <v>1263</v>
      </c>
      <c r="B1262" s="108" t="s">
        <v>270</v>
      </c>
      <c r="C1262" s="70" t="s">
        <v>264</v>
      </c>
      <c r="D1262" s="71" t="s">
        <v>958</v>
      </c>
      <c r="E1262" s="71" t="s">
        <v>1232</v>
      </c>
      <c r="F1262" s="72"/>
      <c r="G1262" s="73"/>
      <c r="H1262" s="75"/>
      <c r="I1262" s="102">
        <v>46134</v>
      </c>
      <c r="J1262" s="70" t="s">
        <v>767</v>
      </c>
      <c r="K1262" s="106"/>
      <c r="L1262" s="104" t="e">
        <f t="shared" ref="L1262:L1268" si="359">EDATE(I1262,J1262)</f>
        <v>#VALUE!</v>
      </c>
      <c r="M1262" s="105" t="e">
        <f ca="1" t="shared" ref="M1262:M1268" si="36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357"/>
        <v>0</v>
      </c>
      <c r="Z1262" s="105">
        <f ca="1" t="shared" si="358"/>
        <v>-46313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5"/>
      <c r="AO1262" s="115"/>
      <c r="AP1262" s="115"/>
      <c r="AQ1262" s="93"/>
      <c r="AR1262" s="93"/>
      <c r="AS1262" s="94"/>
      <c r="AT1262" s="95"/>
      <c r="AU1262" s="79"/>
      <c r="AV1262" s="117"/>
      <c r="AW1262" s="115"/>
      <c r="AX1262" s="106"/>
      <c r="AY1262" s="104"/>
      <c r="AZ1262" s="105"/>
    </row>
    <row r="1263" customHeight="1" spans="1:52">
      <c r="A1263" s="70">
        <v>1264</v>
      </c>
      <c r="B1263" s="108" t="s">
        <v>721</v>
      </c>
      <c r="C1263" s="70" t="s">
        <v>13</v>
      </c>
      <c r="D1263" s="71" t="s">
        <v>3965</v>
      </c>
      <c r="E1263" s="71" t="s">
        <v>126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3966</v>
      </c>
      <c r="L1263" s="104">
        <f t="shared" si="359"/>
        <v>46226</v>
      </c>
      <c r="M1263" s="105">
        <f ca="1" t="shared" si="360"/>
        <v>-87</v>
      </c>
      <c r="N1263" s="70"/>
      <c r="O1263" s="108" t="s">
        <v>721</v>
      </c>
      <c r="P1263" s="70" t="s">
        <v>13</v>
      </c>
      <c r="Q1263" s="71" t="s">
        <v>3965</v>
      </c>
      <c r="R1263" s="71" t="s">
        <v>126</v>
      </c>
      <c r="S1263" s="72"/>
      <c r="T1263" s="73"/>
      <c r="U1263" s="79" t="s">
        <v>16</v>
      </c>
      <c r="V1263" s="102">
        <v>46272</v>
      </c>
      <c r="W1263" s="70">
        <v>3</v>
      </c>
      <c r="X1263" s="103" t="s">
        <v>3967</v>
      </c>
      <c r="Y1263" s="104">
        <f t="shared" si="357"/>
        <v>46363</v>
      </c>
      <c r="Z1263" s="105">
        <f ca="1" t="shared" si="358"/>
        <v>50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5"/>
      <c r="AO1263" s="115"/>
      <c r="AP1263" s="115"/>
      <c r="AQ1263" s="93"/>
      <c r="AR1263" s="93"/>
      <c r="AS1263" s="94"/>
      <c r="AT1263" s="95"/>
      <c r="AU1263" s="79"/>
      <c r="AV1263" s="117"/>
      <c r="AW1263" s="115"/>
      <c r="AX1263" s="106"/>
      <c r="AY1263" s="104"/>
      <c r="AZ1263" s="105"/>
    </row>
    <row r="1264" customHeight="1" spans="1:52">
      <c r="A1264" s="70">
        <v>1265</v>
      </c>
      <c r="B1264" s="108" t="s">
        <v>3968</v>
      </c>
      <c r="C1264" s="70" t="s">
        <v>13</v>
      </c>
      <c r="D1264" s="71" t="s">
        <v>3969</v>
      </c>
      <c r="E1264" s="71" t="s">
        <v>126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3970</v>
      </c>
      <c r="L1264" s="104">
        <f t="shared" si="359"/>
        <v>46226</v>
      </c>
      <c r="M1264" s="105">
        <f ca="1" t="shared" si="360"/>
        <v>-87</v>
      </c>
      <c r="N1264" s="70"/>
      <c r="O1264" s="108" t="s">
        <v>12</v>
      </c>
      <c r="P1264" s="70" t="s">
        <v>13</v>
      </c>
      <c r="Q1264" s="71" t="s">
        <v>3969</v>
      </c>
      <c r="R1264" s="71" t="s">
        <v>126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3971</v>
      </c>
      <c r="Y1264" s="104">
        <f t="shared" si="357"/>
        <v>46316</v>
      </c>
      <c r="Z1264" s="105">
        <f ca="1" t="shared" si="358"/>
        <v>3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5"/>
      <c r="AO1264" s="115"/>
      <c r="AP1264" s="115"/>
      <c r="AQ1264" s="93"/>
      <c r="AR1264" s="93"/>
      <c r="AS1264" s="94"/>
      <c r="AT1264" s="95"/>
      <c r="AU1264" s="79"/>
      <c r="AV1264" s="117"/>
      <c r="AW1264" s="115"/>
      <c r="AX1264" s="106"/>
      <c r="AY1264" s="104"/>
      <c r="AZ1264" s="105"/>
    </row>
    <row r="1265" customHeight="1" spans="1:52">
      <c r="A1265" s="70">
        <v>1266</v>
      </c>
      <c r="B1265" s="108" t="s">
        <v>3879</v>
      </c>
      <c r="C1265" s="70" t="s">
        <v>38</v>
      </c>
      <c r="D1265" s="71" t="s">
        <v>3972</v>
      </c>
      <c r="E1265" s="71" t="s">
        <v>332</v>
      </c>
      <c r="F1265" s="72"/>
      <c r="G1265" s="73"/>
      <c r="H1265" s="223"/>
      <c r="I1265" s="102">
        <v>46135</v>
      </c>
      <c r="J1265" s="70">
        <v>3</v>
      </c>
      <c r="K1265" s="106" t="s">
        <v>3973</v>
      </c>
      <c r="L1265" s="104">
        <f t="shared" si="359"/>
        <v>46226</v>
      </c>
      <c r="M1265" s="105">
        <f ca="1" t="shared" si="360"/>
        <v>-87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357"/>
        <v>0</v>
      </c>
      <c r="Z1265" s="105">
        <f ca="1" t="shared" si="358"/>
        <v>-46313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5"/>
      <c r="AO1265" s="115"/>
      <c r="AP1265" s="115"/>
      <c r="AQ1265" s="93"/>
      <c r="AR1265" s="93"/>
      <c r="AS1265" s="94"/>
      <c r="AT1265" s="95"/>
      <c r="AU1265" s="79"/>
      <c r="AV1265" s="117"/>
      <c r="AW1265" s="115"/>
      <c r="AX1265" s="106"/>
      <c r="AY1265" s="104"/>
      <c r="AZ1265" s="105"/>
    </row>
    <row r="1266" customHeight="1" spans="1:52">
      <c r="A1266" s="70">
        <v>1267</v>
      </c>
      <c r="B1266" s="70" t="s">
        <v>229</v>
      </c>
      <c r="C1266" s="70" t="s">
        <v>13</v>
      </c>
      <c r="D1266" s="71" t="s">
        <v>3974</v>
      </c>
      <c r="E1266" s="71" t="s">
        <v>136</v>
      </c>
      <c r="F1266" s="72"/>
      <c r="G1266" s="73"/>
      <c r="H1266" s="223"/>
      <c r="I1266" s="102">
        <v>46135</v>
      </c>
      <c r="J1266" s="70">
        <v>3</v>
      </c>
      <c r="K1266" s="106" t="s">
        <v>3975</v>
      </c>
      <c r="L1266" s="104">
        <f t="shared" si="359"/>
        <v>46226</v>
      </c>
      <c r="M1266" s="105">
        <f ca="1" t="shared" si="360"/>
        <v>-87</v>
      </c>
      <c r="N1266" s="70"/>
      <c r="O1266" s="70" t="s">
        <v>229</v>
      </c>
      <c r="P1266" s="70" t="s">
        <v>13</v>
      </c>
      <c r="Q1266" s="71" t="s">
        <v>3974</v>
      </c>
      <c r="R1266" s="71" t="s">
        <v>136</v>
      </c>
      <c r="S1266" s="72"/>
      <c r="T1266" s="73"/>
      <c r="U1266" s="223"/>
      <c r="V1266" s="102">
        <v>46231</v>
      </c>
      <c r="W1266" s="70">
        <v>3</v>
      </c>
      <c r="X1266" s="103" t="s">
        <v>3976</v>
      </c>
      <c r="Y1266" s="104">
        <f t="shared" si="357"/>
        <v>46323</v>
      </c>
      <c r="Z1266" s="105">
        <f ca="1" t="shared" si="358"/>
        <v>10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5"/>
      <c r="AO1266" s="115"/>
      <c r="AP1266" s="115"/>
      <c r="AQ1266" s="93"/>
      <c r="AR1266" s="93"/>
      <c r="AS1266" s="94"/>
      <c r="AT1266" s="95"/>
      <c r="AU1266" s="79"/>
      <c r="AV1266" s="117"/>
      <c r="AW1266" s="115"/>
      <c r="AX1266" s="106"/>
      <c r="AY1266" s="104"/>
      <c r="AZ1266" s="105"/>
    </row>
    <row r="1267" customHeight="1" spans="1:52">
      <c r="A1267" s="70">
        <v>1268</v>
      </c>
      <c r="B1267" s="70" t="s">
        <v>229</v>
      </c>
      <c r="C1267" s="70" t="s">
        <v>38</v>
      </c>
      <c r="D1267" s="71" t="s">
        <v>3977</v>
      </c>
      <c r="E1267" s="71" t="s">
        <v>40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3978</v>
      </c>
      <c r="L1267" s="104">
        <f t="shared" si="359"/>
        <v>46226</v>
      </c>
      <c r="M1267" s="105">
        <f ca="1" t="shared" si="360"/>
        <v>-87</v>
      </c>
      <c r="N1267" s="70"/>
      <c r="O1267" s="70" t="s">
        <v>229</v>
      </c>
      <c r="P1267" s="70" t="s">
        <v>38</v>
      </c>
      <c r="Q1267" s="71" t="s">
        <v>3977</v>
      </c>
      <c r="R1267" s="71" t="s">
        <v>40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3979</v>
      </c>
      <c r="Y1267" s="104">
        <f t="shared" si="357"/>
        <v>46323</v>
      </c>
      <c r="Z1267" s="105">
        <f ca="1" t="shared" si="358"/>
        <v>10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5"/>
      <c r="AO1267" s="115"/>
      <c r="AP1267" s="115"/>
      <c r="AQ1267" s="93"/>
      <c r="AR1267" s="93"/>
      <c r="AS1267" s="94"/>
      <c r="AT1267" s="95"/>
      <c r="AU1267" s="79"/>
      <c r="AV1267" s="117"/>
      <c r="AW1267" s="115"/>
      <c r="AX1267" s="106"/>
      <c r="AY1267" s="104"/>
      <c r="AZ1267" s="105"/>
    </row>
    <row r="1268" customHeight="1" spans="1:52">
      <c r="A1268" s="70">
        <v>1269</v>
      </c>
      <c r="B1268" s="70" t="s">
        <v>2650</v>
      </c>
      <c r="C1268" s="70" t="s">
        <v>374</v>
      </c>
      <c r="D1268" s="71" t="s">
        <v>3980</v>
      </c>
      <c r="E1268" s="71" t="s">
        <v>2656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3981</v>
      </c>
      <c r="L1268" s="104">
        <f t="shared" si="359"/>
        <v>46226</v>
      </c>
      <c r="M1268" s="105">
        <f ca="1" t="shared" si="360"/>
        <v>-87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357"/>
        <v>0</v>
      </c>
      <c r="Z1268" s="105">
        <f ca="1" t="shared" si="358"/>
        <v>-46313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5"/>
      <c r="AO1268" s="115"/>
      <c r="AP1268" s="115"/>
      <c r="AQ1268" s="93"/>
      <c r="AR1268" s="93"/>
      <c r="AS1268" s="94"/>
      <c r="AT1268" s="95"/>
      <c r="AU1268" s="79"/>
      <c r="AV1268" s="117"/>
      <c r="AW1268" s="115"/>
      <c r="AX1268" s="106"/>
      <c r="AY1268" s="104"/>
      <c r="AZ1268" s="105"/>
    </row>
    <row r="1269" customHeight="1" spans="1:52">
      <c r="A1269" s="70">
        <v>1270</v>
      </c>
      <c r="B1269" s="70" t="s">
        <v>229</v>
      </c>
      <c r="C1269" s="70" t="s">
        <v>38</v>
      </c>
      <c r="D1269" s="71" t="s">
        <v>3982</v>
      </c>
      <c r="E1269" s="71" t="s">
        <v>69</v>
      </c>
      <c r="F1269" s="72"/>
      <c r="G1269" s="73"/>
      <c r="H1269" s="75"/>
      <c r="I1269" s="102">
        <v>46136</v>
      </c>
      <c r="J1269" s="70">
        <v>3</v>
      </c>
      <c r="K1269" s="106" t="s">
        <v>3983</v>
      </c>
      <c r="L1269" s="104">
        <f t="shared" ref="L1269:L1277" si="361">EDATE(I1269,J1269)</f>
        <v>46227</v>
      </c>
      <c r="M1269" s="105">
        <f ca="1" t="shared" ref="M1269:M1277" si="362">L1269-TODAY()</f>
        <v>-86</v>
      </c>
      <c r="N1269" s="70"/>
      <c r="O1269" s="70" t="s">
        <v>229</v>
      </c>
      <c r="P1269" s="70" t="s">
        <v>38</v>
      </c>
      <c r="Q1269" s="71" t="s">
        <v>3982</v>
      </c>
      <c r="R1269" s="71" t="s">
        <v>69</v>
      </c>
      <c r="S1269" s="72"/>
      <c r="T1269" s="73"/>
      <c r="U1269" s="75"/>
      <c r="V1269" s="102">
        <v>46291</v>
      </c>
      <c r="W1269" s="70">
        <v>3</v>
      </c>
      <c r="X1269" s="103" t="s">
        <v>3984</v>
      </c>
      <c r="Y1269" s="104">
        <f t="shared" si="357"/>
        <v>46382</v>
      </c>
      <c r="Z1269" s="105">
        <f ca="1" t="shared" si="358"/>
        <v>69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5"/>
      <c r="AO1269" s="115"/>
      <c r="AP1269" s="115"/>
      <c r="AQ1269" s="93"/>
      <c r="AR1269" s="93"/>
      <c r="AS1269" s="94"/>
      <c r="AT1269" s="95"/>
      <c r="AU1269" s="79"/>
      <c r="AV1269" s="117"/>
      <c r="AW1269" s="115"/>
      <c r="AX1269" s="106"/>
      <c r="AY1269" s="104"/>
      <c r="AZ1269" s="105"/>
    </row>
    <row r="1270" customHeight="1" spans="1:52">
      <c r="A1270" s="70">
        <v>1271</v>
      </c>
      <c r="B1270" s="108" t="s">
        <v>3985</v>
      </c>
      <c r="C1270" s="70" t="s">
        <v>13</v>
      </c>
      <c r="D1270" s="71" t="s">
        <v>3986</v>
      </c>
      <c r="E1270" s="71" t="s">
        <v>3987</v>
      </c>
      <c r="F1270" s="72"/>
      <c r="G1270" s="73"/>
      <c r="H1270" s="75"/>
      <c r="I1270" s="102">
        <v>46136</v>
      </c>
      <c r="J1270" s="70">
        <v>3</v>
      </c>
      <c r="K1270" s="106" t="s">
        <v>3988</v>
      </c>
      <c r="L1270" s="104">
        <f t="shared" si="361"/>
        <v>46227</v>
      </c>
      <c r="M1270" s="105">
        <f ca="1" t="shared" si="362"/>
        <v>-86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357"/>
        <v>0</v>
      </c>
      <c r="Z1270" s="105">
        <f ca="1" t="shared" si="358"/>
        <v>-46313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5"/>
      <c r="AO1270" s="115"/>
      <c r="AP1270" s="115"/>
      <c r="AQ1270" s="93"/>
      <c r="AR1270" s="93"/>
      <c r="AS1270" s="94"/>
      <c r="AT1270" s="95"/>
      <c r="AU1270" s="79"/>
      <c r="AV1270" s="117"/>
      <c r="AW1270" s="115"/>
      <c r="AX1270" s="106"/>
      <c r="AY1270" s="104"/>
      <c r="AZ1270" s="105"/>
    </row>
    <row r="1271" customHeight="1" spans="1:52">
      <c r="A1271" s="70">
        <v>1272</v>
      </c>
      <c r="B1271" s="108" t="s">
        <v>281</v>
      </c>
      <c r="C1271" s="70" t="s">
        <v>264</v>
      </c>
      <c r="D1271" s="205" t="s">
        <v>3989</v>
      </c>
      <c r="E1271" s="71" t="s">
        <v>3990</v>
      </c>
      <c r="F1271" s="72"/>
      <c r="G1271" s="73"/>
      <c r="H1271" s="75"/>
      <c r="I1271" s="102">
        <v>46136</v>
      </c>
      <c r="J1271" s="70">
        <v>3</v>
      </c>
      <c r="K1271" s="106" t="s">
        <v>3991</v>
      </c>
      <c r="L1271" s="104">
        <f t="shared" si="361"/>
        <v>46227</v>
      </c>
      <c r="M1271" s="105">
        <f ca="1" t="shared" si="362"/>
        <v>-86</v>
      </c>
      <c r="N1271" s="70"/>
      <c r="O1271" s="108" t="s">
        <v>281</v>
      </c>
      <c r="P1271" s="70" t="s">
        <v>264</v>
      </c>
      <c r="Q1271" s="205" t="s">
        <v>3989</v>
      </c>
      <c r="R1271" s="71" t="s">
        <v>3990</v>
      </c>
      <c r="S1271" s="72"/>
      <c r="T1271" s="73"/>
      <c r="U1271" s="75"/>
      <c r="V1271" s="102">
        <v>46287</v>
      </c>
      <c r="W1271" s="70">
        <v>3</v>
      </c>
      <c r="X1271" s="103" t="s">
        <v>3992</v>
      </c>
      <c r="Y1271" s="104">
        <f t="shared" si="357"/>
        <v>46378</v>
      </c>
      <c r="Z1271" s="105">
        <f ca="1" t="shared" si="358"/>
        <v>65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5"/>
      <c r="AO1271" s="115"/>
      <c r="AP1271" s="115"/>
      <c r="AQ1271" s="93"/>
      <c r="AR1271" s="93"/>
      <c r="AS1271" s="94"/>
      <c r="AT1271" s="95"/>
      <c r="AU1271" s="79"/>
      <c r="AV1271" s="117"/>
      <c r="AW1271" s="115"/>
      <c r="AX1271" s="106"/>
      <c r="AY1271" s="104"/>
      <c r="AZ1271" s="105"/>
    </row>
    <row r="1272" customHeight="1" spans="1:52">
      <c r="A1272" s="70">
        <v>1273</v>
      </c>
      <c r="B1272" s="108" t="s">
        <v>263</v>
      </c>
      <c r="C1272" s="70" t="s">
        <v>264</v>
      </c>
      <c r="D1272" s="205" t="s">
        <v>265</v>
      </c>
      <c r="E1272" s="71" t="s">
        <v>266</v>
      </c>
      <c r="F1272" s="72"/>
      <c r="G1272" s="73"/>
      <c r="H1272" s="75"/>
      <c r="I1272" s="102">
        <v>46136</v>
      </c>
      <c r="J1272" s="70" t="s">
        <v>767</v>
      </c>
      <c r="K1272" s="106"/>
      <c r="L1272" s="104" t="e">
        <f t="shared" si="361"/>
        <v>#VALUE!</v>
      </c>
      <c r="M1272" s="105" t="e">
        <f ca="1" t="shared" si="36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357"/>
        <v>0</v>
      </c>
      <c r="Z1272" s="105">
        <f ca="1" t="shared" si="358"/>
        <v>-46313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5"/>
      <c r="AO1272" s="115"/>
      <c r="AP1272" s="115"/>
      <c r="AQ1272" s="93"/>
      <c r="AR1272" s="93"/>
      <c r="AS1272" s="94"/>
      <c r="AT1272" s="95"/>
      <c r="AU1272" s="79"/>
      <c r="AV1272" s="117"/>
      <c r="AW1272" s="115"/>
      <c r="AX1272" s="106"/>
      <c r="AY1272" s="104"/>
      <c r="AZ1272" s="105"/>
    </row>
    <row r="1273" customHeight="1" spans="1:52">
      <c r="A1273" s="70">
        <v>1274</v>
      </c>
      <c r="B1273" s="108" t="s">
        <v>1234</v>
      </c>
      <c r="C1273" s="70" t="s">
        <v>264</v>
      </c>
      <c r="D1273" s="205" t="s">
        <v>1235</v>
      </c>
      <c r="E1273" s="71" t="s">
        <v>264</v>
      </c>
      <c r="F1273" s="72"/>
      <c r="G1273" s="73"/>
      <c r="H1273" s="75"/>
      <c r="I1273" s="102">
        <v>46136</v>
      </c>
      <c r="J1273" s="70" t="s">
        <v>767</v>
      </c>
      <c r="K1273" s="106"/>
      <c r="L1273" s="104" t="e">
        <f t="shared" si="361"/>
        <v>#VALUE!</v>
      </c>
      <c r="M1273" s="105" t="e">
        <f ca="1" t="shared" si="36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357"/>
        <v>0</v>
      </c>
      <c r="Z1273" s="105">
        <f ca="1" t="shared" si="358"/>
        <v>-46313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5"/>
      <c r="AO1273" s="115"/>
      <c r="AP1273" s="115"/>
      <c r="AQ1273" s="93"/>
      <c r="AR1273" s="93"/>
      <c r="AS1273" s="94"/>
      <c r="AT1273" s="95"/>
      <c r="AU1273" s="79"/>
      <c r="AV1273" s="117"/>
      <c r="AW1273" s="115"/>
      <c r="AX1273" s="106"/>
      <c r="AY1273" s="104"/>
      <c r="AZ1273" s="105"/>
    </row>
    <row r="1274" customHeight="1" spans="1:52">
      <c r="A1274" s="70">
        <v>1275</v>
      </c>
      <c r="B1274" s="108" t="s">
        <v>281</v>
      </c>
      <c r="C1274" s="70" t="s">
        <v>264</v>
      </c>
      <c r="D1274" s="205" t="s">
        <v>3381</v>
      </c>
      <c r="E1274" s="71" t="s">
        <v>364</v>
      </c>
      <c r="F1274" s="72"/>
      <c r="G1274" s="73"/>
      <c r="H1274" s="75"/>
      <c r="I1274" s="102">
        <v>46136</v>
      </c>
      <c r="J1274" s="70" t="s">
        <v>767</v>
      </c>
      <c r="K1274" s="106"/>
      <c r="L1274" s="104" t="e">
        <f t="shared" si="361"/>
        <v>#VALUE!</v>
      </c>
      <c r="M1274" s="105" t="e">
        <f ca="1" t="shared" si="36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357"/>
        <v>0</v>
      </c>
      <c r="Z1274" s="105">
        <f ca="1" t="shared" si="358"/>
        <v>-46313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5"/>
      <c r="AO1274" s="115"/>
      <c r="AP1274" s="115"/>
      <c r="AQ1274" s="93"/>
      <c r="AR1274" s="93"/>
      <c r="AS1274" s="94"/>
      <c r="AT1274" s="95"/>
      <c r="AU1274" s="79"/>
      <c r="AV1274" s="117"/>
      <c r="AW1274" s="115"/>
      <c r="AX1274" s="106"/>
      <c r="AY1274" s="104"/>
      <c r="AZ1274" s="105"/>
    </row>
    <row r="1275" customHeight="1" spans="1:52">
      <c r="A1275" s="70">
        <v>1276</v>
      </c>
      <c r="B1275" s="108" t="s">
        <v>751</v>
      </c>
      <c r="C1275" s="70" t="s">
        <v>13</v>
      </c>
      <c r="D1275" s="205" t="s">
        <v>3993</v>
      </c>
      <c r="E1275" s="71" t="s">
        <v>45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3994</v>
      </c>
      <c r="L1275" s="104">
        <f t="shared" si="361"/>
        <v>46228</v>
      </c>
      <c r="M1275" s="105">
        <f ca="1" t="shared" si="362"/>
        <v>-85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357"/>
        <v>0</v>
      </c>
      <c r="Z1275" s="105">
        <f ca="1" t="shared" si="358"/>
        <v>-46313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5"/>
      <c r="AO1275" s="115"/>
      <c r="AP1275" s="115"/>
      <c r="AQ1275" s="93"/>
      <c r="AR1275" s="93"/>
      <c r="AS1275" s="94"/>
      <c r="AT1275" s="95"/>
      <c r="AU1275" s="79"/>
      <c r="AV1275" s="117"/>
      <c r="AW1275" s="115"/>
      <c r="AX1275" s="106"/>
      <c r="AY1275" s="104"/>
      <c r="AZ1275" s="105"/>
    </row>
    <row r="1276" customHeight="1" spans="1:52">
      <c r="A1276" s="70">
        <v>1277</v>
      </c>
      <c r="B1276" s="70" t="s">
        <v>721</v>
      </c>
      <c r="C1276" s="70" t="s">
        <v>13</v>
      </c>
      <c r="D1276" s="71" t="s">
        <v>3995</v>
      </c>
      <c r="E1276" s="71" t="s">
        <v>126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3996</v>
      </c>
      <c r="L1276" s="104">
        <f t="shared" si="361"/>
        <v>46228</v>
      </c>
      <c r="M1276" s="105">
        <f ca="1" t="shared" si="362"/>
        <v>-85</v>
      </c>
      <c r="N1276" s="70"/>
      <c r="O1276" s="70" t="s">
        <v>721</v>
      </c>
      <c r="P1276" s="70" t="s">
        <v>13</v>
      </c>
      <c r="Q1276" s="71" t="s">
        <v>3995</v>
      </c>
      <c r="R1276" s="71" t="s">
        <v>126</v>
      </c>
      <c r="S1276" s="72"/>
      <c r="T1276" s="73"/>
      <c r="U1276" s="79" t="s">
        <v>16</v>
      </c>
      <c r="V1276" s="102">
        <v>46247</v>
      </c>
      <c r="W1276" s="70">
        <v>3</v>
      </c>
      <c r="X1276" s="103" t="s">
        <v>3997</v>
      </c>
      <c r="Y1276" s="104">
        <f t="shared" si="357"/>
        <v>46339</v>
      </c>
      <c r="Z1276" s="105">
        <f ca="1" t="shared" si="358"/>
        <v>26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5"/>
      <c r="AO1276" s="115"/>
      <c r="AP1276" s="115"/>
      <c r="AQ1276" s="93"/>
      <c r="AR1276" s="93"/>
      <c r="AS1276" s="94"/>
      <c r="AT1276" s="95"/>
      <c r="AU1276" s="79"/>
      <c r="AV1276" s="117"/>
      <c r="AW1276" s="115"/>
      <c r="AX1276" s="106"/>
      <c r="AY1276" s="104"/>
      <c r="AZ1276" s="105"/>
    </row>
    <row r="1277" customHeight="1" spans="1:52">
      <c r="A1277" s="70">
        <v>1278</v>
      </c>
      <c r="B1277" s="204" t="s">
        <v>309</v>
      </c>
      <c r="C1277" s="70" t="s">
        <v>13</v>
      </c>
      <c r="D1277" s="205" t="s">
        <v>3998</v>
      </c>
      <c r="E1277" s="71" t="s">
        <v>311</v>
      </c>
      <c r="F1277" s="72"/>
      <c r="G1277" s="73"/>
      <c r="H1277" s="75"/>
      <c r="I1277" s="102">
        <v>46137</v>
      </c>
      <c r="J1277" s="70">
        <v>3</v>
      </c>
      <c r="K1277" s="106" t="s">
        <v>3999</v>
      </c>
      <c r="L1277" s="104">
        <f t="shared" si="361"/>
        <v>46228</v>
      </c>
      <c r="M1277" s="105">
        <f ca="1" t="shared" si="362"/>
        <v>-85</v>
      </c>
      <c r="N1277" s="70"/>
      <c r="O1277" s="204" t="s">
        <v>309</v>
      </c>
      <c r="P1277" s="70" t="s">
        <v>13</v>
      </c>
      <c r="Q1277" s="205" t="s">
        <v>3998</v>
      </c>
      <c r="R1277" s="71" t="s">
        <v>311</v>
      </c>
      <c r="S1277" s="72"/>
      <c r="T1277" s="73"/>
      <c r="U1277" s="75"/>
      <c r="V1277" s="102">
        <v>46233</v>
      </c>
      <c r="W1277" s="70">
        <v>3</v>
      </c>
      <c r="X1277" s="103" t="s">
        <v>4000</v>
      </c>
      <c r="Y1277" s="104">
        <f t="shared" si="357"/>
        <v>46325</v>
      </c>
      <c r="Z1277" s="105">
        <f ca="1" t="shared" si="358"/>
        <v>12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5"/>
      <c r="AO1277" s="115"/>
      <c r="AP1277" s="115"/>
      <c r="AQ1277" s="93"/>
      <c r="AR1277" s="93"/>
      <c r="AS1277" s="94"/>
      <c r="AT1277" s="95"/>
      <c r="AU1277" s="79"/>
      <c r="AV1277" s="117"/>
      <c r="AW1277" s="115"/>
      <c r="AX1277" s="106"/>
      <c r="AY1277" s="104"/>
      <c r="AZ1277" s="105"/>
    </row>
    <row r="1278" customHeight="1" spans="1:52">
      <c r="A1278" s="70">
        <v>1280</v>
      </c>
      <c r="B1278" s="70" t="s">
        <v>1944</v>
      </c>
      <c r="C1278" s="70" t="s">
        <v>374</v>
      </c>
      <c r="D1278" s="71" t="s">
        <v>4001</v>
      </c>
      <c r="E1278" s="71" t="s">
        <v>1684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4002</v>
      </c>
      <c r="L1278" s="104">
        <f t="shared" ref="L1278:L1286" si="363">EDATE(I1278,J1278)</f>
        <v>46228</v>
      </c>
      <c r="M1278" s="105">
        <f ca="1" t="shared" ref="M1278:M1286" si="364">L1278-TODAY()</f>
        <v>-85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357"/>
        <v>0</v>
      </c>
      <c r="Z1278" s="105">
        <f ca="1" t="shared" si="358"/>
        <v>-46313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5"/>
      <c r="AO1278" s="115"/>
      <c r="AP1278" s="115"/>
      <c r="AQ1278" s="93"/>
      <c r="AR1278" s="93"/>
      <c r="AS1278" s="94"/>
      <c r="AT1278" s="95"/>
      <c r="AU1278" s="79"/>
      <c r="AV1278" s="117"/>
      <c r="AW1278" s="115"/>
      <c r="AX1278" s="106"/>
      <c r="AY1278" s="104"/>
      <c r="AZ1278" s="105"/>
    </row>
    <row r="1279" customHeight="1" spans="1:52">
      <c r="A1279" s="70">
        <v>1281</v>
      </c>
      <c r="B1279" s="70" t="s">
        <v>55</v>
      </c>
      <c r="C1279" s="70" t="s">
        <v>13</v>
      </c>
      <c r="D1279" s="71" t="s">
        <v>4003</v>
      </c>
      <c r="E1279" s="71" t="s">
        <v>126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4004</v>
      </c>
      <c r="L1279" s="104">
        <f t="shared" si="363"/>
        <v>46229</v>
      </c>
      <c r="M1279" s="105">
        <f ca="1" t="shared" si="364"/>
        <v>-84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357"/>
        <v>0</v>
      </c>
      <c r="Z1279" s="105">
        <f ca="1" t="shared" si="358"/>
        <v>-46313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5"/>
      <c r="AO1279" s="115"/>
      <c r="AP1279" s="115"/>
      <c r="AQ1279" s="93"/>
      <c r="AR1279" s="93"/>
      <c r="AS1279" s="94"/>
      <c r="AT1279" s="95"/>
      <c r="AU1279" s="79"/>
      <c r="AV1279" s="117"/>
      <c r="AW1279" s="115"/>
      <c r="AX1279" s="106"/>
      <c r="AY1279" s="104"/>
      <c r="AZ1279" s="105"/>
    </row>
    <row r="1280" customHeight="1" spans="1:52">
      <c r="A1280" s="70">
        <v>1282</v>
      </c>
      <c r="B1280" s="70" t="s">
        <v>55</v>
      </c>
      <c r="C1280" s="70" t="s">
        <v>13</v>
      </c>
      <c r="D1280" s="71" t="s">
        <v>4005</v>
      </c>
      <c r="E1280" s="71" t="s">
        <v>76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4006</v>
      </c>
      <c r="L1280" s="104">
        <f t="shared" si="363"/>
        <v>46229</v>
      </c>
      <c r="M1280" s="105">
        <f ca="1" t="shared" si="364"/>
        <v>-84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357"/>
        <v>0</v>
      </c>
      <c r="Z1280" s="105">
        <f ca="1" t="shared" si="358"/>
        <v>-46313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5"/>
      <c r="AO1280" s="115"/>
      <c r="AP1280" s="115"/>
      <c r="AQ1280" s="93"/>
      <c r="AR1280" s="93"/>
      <c r="AS1280" s="94"/>
      <c r="AT1280" s="95"/>
      <c r="AU1280" s="79"/>
      <c r="AV1280" s="117"/>
      <c r="AW1280" s="115"/>
      <c r="AX1280" s="106"/>
      <c r="AY1280" s="104"/>
      <c r="AZ1280" s="105"/>
    </row>
    <row r="1281" customHeight="1" spans="1:52">
      <c r="A1281" s="70">
        <v>1283</v>
      </c>
      <c r="B1281" s="70" t="s">
        <v>782</v>
      </c>
      <c r="C1281" s="70" t="s">
        <v>374</v>
      </c>
      <c r="D1281" s="71" t="s">
        <v>4007</v>
      </c>
      <c r="E1281" s="71" t="s">
        <v>770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4008</v>
      </c>
      <c r="L1281" s="104">
        <f t="shared" si="363"/>
        <v>46229</v>
      </c>
      <c r="M1281" s="105">
        <f ca="1" t="shared" si="364"/>
        <v>-84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357"/>
        <v>0</v>
      </c>
      <c r="Z1281" s="105">
        <f ca="1" t="shared" si="358"/>
        <v>-46313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5"/>
      <c r="AO1281" s="115"/>
      <c r="AP1281" s="115"/>
      <c r="AQ1281" s="93"/>
      <c r="AR1281" s="93"/>
      <c r="AS1281" s="94"/>
      <c r="AT1281" s="95"/>
      <c r="AU1281" s="79"/>
      <c r="AV1281" s="117"/>
      <c r="AW1281" s="115"/>
      <c r="AX1281" s="106"/>
      <c r="AY1281" s="104"/>
      <c r="AZ1281" s="105"/>
    </row>
    <row r="1282" customHeight="1" spans="1:52">
      <c r="A1282" s="70">
        <v>1284</v>
      </c>
      <c r="B1282" s="70" t="s">
        <v>886</v>
      </c>
      <c r="C1282" s="70" t="s">
        <v>374</v>
      </c>
      <c r="D1282" s="71" t="s">
        <v>4009</v>
      </c>
      <c r="E1282" s="71" t="s">
        <v>888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4010</v>
      </c>
      <c r="L1282" s="104">
        <f t="shared" si="363"/>
        <v>46229</v>
      </c>
      <c r="M1282" s="105">
        <f ca="1" t="shared" si="364"/>
        <v>-84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357"/>
        <v>0</v>
      </c>
      <c r="Z1282" s="105">
        <f ca="1" t="shared" si="358"/>
        <v>-46313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5"/>
      <c r="AO1282" s="115"/>
      <c r="AP1282" s="115"/>
      <c r="AQ1282" s="93"/>
      <c r="AR1282" s="93"/>
      <c r="AS1282" s="94"/>
      <c r="AT1282" s="95"/>
      <c r="AU1282" s="79"/>
      <c r="AV1282" s="117"/>
      <c r="AW1282" s="115"/>
      <c r="AX1282" s="106"/>
      <c r="AY1282" s="104"/>
      <c r="AZ1282" s="105"/>
    </row>
    <row r="1283" customHeight="1" spans="1:52">
      <c r="A1283" s="70">
        <v>1285</v>
      </c>
      <c r="B1283" s="204" t="s">
        <v>1238</v>
      </c>
      <c r="C1283" s="70" t="s">
        <v>264</v>
      </c>
      <c r="D1283" s="224" t="s">
        <v>4011</v>
      </c>
      <c r="E1283" s="71" t="s">
        <v>4012</v>
      </c>
      <c r="F1283" s="72"/>
      <c r="G1283" s="73"/>
      <c r="H1283" s="75"/>
      <c r="I1283" s="102">
        <v>46138</v>
      </c>
      <c r="J1283" s="70">
        <v>3</v>
      </c>
      <c r="K1283" s="106" t="s">
        <v>4013</v>
      </c>
      <c r="L1283" s="104">
        <f t="shared" si="363"/>
        <v>46229</v>
      </c>
      <c r="M1283" s="105">
        <f ca="1" t="shared" si="364"/>
        <v>-84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357"/>
        <v>0</v>
      </c>
      <c r="Z1283" s="105">
        <f ca="1" t="shared" si="358"/>
        <v>-46313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5"/>
      <c r="AO1283" s="115"/>
      <c r="AP1283" s="115"/>
      <c r="AQ1283" s="93"/>
      <c r="AR1283" s="93"/>
      <c r="AS1283" s="94"/>
      <c r="AT1283" s="95"/>
      <c r="AU1283" s="79"/>
      <c r="AV1283" s="117"/>
      <c r="AW1283" s="115"/>
      <c r="AX1283" s="106"/>
      <c r="AY1283" s="104"/>
      <c r="AZ1283" s="105"/>
    </row>
    <row r="1284" customHeight="1" spans="1:52">
      <c r="A1284" s="70">
        <v>1286</v>
      </c>
      <c r="B1284" s="204" t="s">
        <v>295</v>
      </c>
      <c r="C1284" s="70" t="s">
        <v>264</v>
      </c>
      <c r="D1284" s="224" t="s">
        <v>3020</v>
      </c>
      <c r="E1284" s="71" t="s">
        <v>3655</v>
      </c>
      <c r="F1284" s="72"/>
      <c r="G1284" s="73"/>
      <c r="H1284" s="75"/>
      <c r="I1284" s="102">
        <v>46138</v>
      </c>
      <c r="J1284" s="70" t="s">
        <v>767</v>
      </c>
      <c r="K1284" s="106"/>
      <c r="L1284" s="104" t="e">
        <f t="shared" si="363"/>
        <v>#VALUE!</v>
      </c>
      <c r="M1284" s="105" t="e">
        <f ca="1" t="shared" si="36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357"/>
        <v>0</v>
      </c>
      <c r="Z1284" s="105">
        <f ca="1" t="shared" si="358"/>
        <v>-46313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5"/>
      <c r="AO1284" s="115"/>
      <c r="AP1284" s="115"/>
      <c r="AQ1284" s="93"/>
      <c r="AR1284" s="93"/>
      <c r="AS1284" s="94"/>
      <c r="AT1284" s="95"/>
      <c r="AU1284" s="79"/>
      <c r="AV1284" s="117"/>
      <c r="AW1284" s="115"/>
      <c r="AX1284" s="106"/>
      <c r="AY1284" s="104"/>
      <c r="AZ1284" s="105"/>
    </row>
    <row r="1285" customHeight="1" spans="1:52">
      <c r="A1285" s="70">
        <v>1287</v>
      </c>
      <c r="B1285" s="204" t="s">
        <v>3804</v>
      </c>
      <c r="C1285" s="70" t="s">
        <v>264</v>
      </c>
      <c r="D1285" s="224" t="s">
        <v>3805</v>
      </c>
      <c r="E1285" s="71" t="s">
        <v>3963</v>
      </c>
      <c r="F1285" s="72"/>
      <c r="G1285" s="73"/>
      <c r="H1285" s="75"/>
      <c r="I1285" s="102">
        <v>46138</v>
      </c>
      <c r="J1285" s="70" t="s">
        <v>767</v>
      </c>
      <c r="K1285" s="106"/>
      <c r="L1285" s="104" t="e">
        <f t="shared" si="363"/>
        <v>#VALUE!</v>
      </c>
      <c r="M1285" s="105" t="e">
        <f ca="1" t="shared" si="36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357"/>
        <v>0</v>
      </c>
      <c r="Z1285" s="105">
        <f ca="1" t="shared" si="358"/>
        <v>-46313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5"/>
      <c r="AO1285" s="115"/>
      <c r="AP1285" s="115"/>
      <c r="AQ1285" s="93"/>
      <c r="AR1285" s="93"/>
      <c r="AS1285" s="94"/>
      <c r="AT1285" s="95"/>
      <c r="AU1285" s="79"/>
      <c r="AV1285" s="117"/>
      <c r="AW1285" s="115"/>
      <c r="AX1285" s="106"/>
      <c r="AY1285" s="104"/>
      <c r="AZ1285" s="105"/>
    </row>
    <row r="1286" customHeight="1" spans="1:52">
      <c r="A1286" s="70">
        <v>1288</v>
      </c>
      <c r="B1286" s="204" t="s">
        <v>229</v>
      </c>
      <c r="C1286" s="70" t="s">
        <v>38</v>
      </c>
      <c r="D1286" s="224" t="s">
        <v>4014</v>
      </c>
      <c r="E1286" s="71" t="s">
        <v>4015</v>
      </c>
      <c r="F1286" s="72"/>
      <c r="G1286" s="73"/>
      <c r="H1286" s="75"/>
      <c r="I1286" s="102">
        <v>46139</v>
      </c>
      <c r="J1286" s="70">
        <v>3</v>
      </c>
      <c r="K1286" s="106" t="s">
        <v>4016</v>
      </c>
      <c r="L1286" s="104">
        <f t="shared" si="363"/>
        <v>46230</v>
      </c>
      <c r="M1286" s="105">
        <f ca="1" t="shared" si="364"/>
        <v>-83</v>
      </c>
      <c r="N1286" s="70"/>
      <c r="O1286" s="204" t="s">
        <v>229</v>
      </c>
      <c r="P1286" s="70" t="s">
        <v>38</v>
      </c>
      <c r="Q1286" s="224" t="s">
        <v>4014</v>
      </c>
      <c r="R1286" s="71" t="s">
        <v>4015</v>
      </c>
      <c r="S1286" s="72"/>
      <c r="T1286" s="73"/>
      <c r="U1286" s="75"/>
      <c r="V1286" s="102">
        <v>46220</v>
      </c>
      <c r="W1286" s="70">
        <v>3</v>
      </c>
      <c r="X1286" s="103" t="s">
        <v>4017</v>
      </c>
      <c r="Y1286" s="104">
        <f t="shared" si="357"/>
        <v>46312</v>
      </c>
      <c r="Z1286" s="105">
        <f ca="1" t="shared" si="358"/>
        <v>-1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5"/>
      <c r="AO1286" s="115"/>
      <c r="AP1286" s="115"/>
      <c r="AQ1286" s="93"/>
      <c r="AR1286" s="93"/>
      <c r="AS1286" s="94"/>
      <c r="AT1286" s="95"/>
      <c r="AU1286" s="79"/>
      <c r="AV1286" s="117"/>
      <c r="AW1286" s="115"/>
      <c r="AX1286" s="106"/>
      <c r="AY1286" s="104"/>
      <c r="AZ1286" s="105"/>
    </row>
    <row r="1287" customHeight="1" spans="1:52">
      <c r="A1287" s="70">
        <v>1289</v>
      </c>
      <c r="B1287" s="70" t="s">
        <v>751</v>
      </c>
      <c r="C1287" s="70" t="s">
        <v>38</v>
      </c>
      <c r="D1287" s="71" t="s">
        <v>4018</v>
      </c>
      <c r="E1287" s="71" t="s">
        <v>4019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4020</v>
      </c>
      <c r="L1287" s="104">
        <f t="shared" ref="L1287:L1311" si="365">EDATE(I1287,J1287)</f>
        <v>46230</v>
      </c>
      <c r="M1287" s="105">
        <f ca="1" t="shared" ref="M1287:M1311" si="366">L1287-TODAY()</f>
        <v>-83</v>
      </c>
      <c r="N1287" s="70"/>
      <c r="O1287" s="70" t="s">
        <v>751</v>
      </c>
      <c r="P1287" s="70" t="s">
        <v>38</v>
      </c>
      <c r="Q1287" s="71" t="s">
        <v>4018</v>
      </c>
      <c r="R1287" s="71" t="s">
        <v>4019</v>
      </c>
      <c r="S1287" s="72"/>
      <c r="T1287" s="73"/>
      <c r="U1287" s="79" t="s">
        <v>16</v>
      </c>
      <c r="V1287" s="102">
        <v>46262</v>
      </c>
      <c r="W1287" s="70">
        <v>3</v>
      </c>
      <c r="X1287" s="103" t="s">
        <v>4021</v>
      </c>
      <c r="Y1287" s="104">
        <f t="shared" si="357"/>
        <v>46354</v>
      </c>
      <c r="Z1287" s="105">
        <f ca="1" t="shared" si="358"/>
        <v>41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5"/>
      <c r="AO1287" s="115"/>
      <c r="AP1287" s="115"/>
      <c r="AQ1287" s="93"/>
      <c r="AR1287" s="93"/>
      <c r="AS1287" s="94"/>
      <c r="AT1287" s="95"/>
      <c r="AU1287" s="79"/>
      <c r="AV1287" s="117"/>
      <c r="AW1287" s="115"/>
      <c r="AX1287" s="106"/>
      <c r="AY1287" s="104"/>
      <c r="AZ1287" s="105"/>
    </row>
    <row r="1288" customHeight="1" spans="1:52">
      <c r="A1288" s="70">
        <v>1290</v>
      </c>
      <c r="B1288" s="70" t="s">
        <v>731</v>
      </c>
      <c r="C1288" s="70" t="s">
        <v>38</v>
      </c>
      <c r="D1288" s="71" t="s">
        <v>4022</v>
      </c>
      <c r="E1288" s="71" t="s">
        <v>735</v>
      </c>
      <c r="F1288" s="72"/>
      <c r="G1288" s="73"/>
      <c r="H1288" s="75"/>
      <c r="I1288" s="102">
        <v>46139</v>
      </c>
      <c r="J1288" s="70">
        <v>3</v>
      </c>
      <c r="K1288" s="106" t="s">
        <v>4023</v>
      </c>
      <c r="L1288" s="104">
        <f t="shared" si="365"/>
        <v>46230</v>
      </c>
      <c r="M1288" s="105">
        <f ca="1" t="shared" si="366"/>
        <v>-83</v>
      </c>
      <c r="N1288" s="70"/>
      <c r="O1288" s="70" t="s">
        <v>731</v>
      </c>
      <c r="P1288" s="70" t="s">
        <v>38</v>
      </c>
      <c r="Q1288" s="71" t="s">
        <v>4022</v>
      </c>
      <c r="R1288" s="71" t="s">
        <v>735</v>
      </c>
      <c r="S1288" s="72"/>
      <c r="T1288" s="73"/>
      <c r="U1288" s="75"/>
      <c r="V1288" s="102">
        <v>46231</v>
      </c>
      <c r="W1288" s="70">
        <v>3</v>
      </c>
      <c r="X1288" s="103" t="s">
        <v>4024</v>
      </c>
      <c r="Y1288" s="104">
        <f t="shared" si="357"/>
        <v>46323</v>
      </c>
      <c r="Z1288" s="105">
        <f ca="1" t="shared" si="358"/>
        <v>10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5"/>
      <c r="AO1288" s="115"/>
      <c r="AP1288" s="115"/>
      <c r="AQ1288" s="93"/>
      <c r="AR1288" s="93"/>
      <c r="AS1288" s="94"/>
      <c r="AT1288" s="95"/>
      <c r="AU1288" s="79"/>
      <c r="AV1288" s="117"/>
      <c r="AW1288" s="115"/>
      <c r="AX1288" s="106"/>
      <c r="AY1288" s="104"/>
      <c r="AZ1288" s="105"/>
    </row>
    <row r="1289" customHeight="1" spans="1:52">
      <c r="A1289" s="70">
        <v>1291</v>
      </c>
      <c r="B1289" s="70" t="s">
        <v>4025</v>
      </c>
      <c r="C1289" s="70" t="s">
        <v>264</v>
      </c>
      <c r="D1289" s="71" t="s">
        <v>4026</v>
      </c>
      <c r="E1289" s="71" t="s">
        <v>272</v>
      </c>
      <c r="F1289" s="72"/>
      <c r="G1289" s="73"/>
      <c r="H1289" s="75"/>
      <c r="I1289" s="102">
        <v>46139</v>
      </c>
      <c r="J1289" s="70">
        <v>3</v>
      </c>
      <c r="K1289" s="106" t="s">
        <v>4027</v>
      </c>
      <c r="L1289" s="104">
        <f t="shared" si="365"/>
        <v>46230</v>
      </c>
      <c r="M1289" s="105">
        <f ca="1" t="shared" si="366"/>
        <v>-83</v>
      </c>
      <c r="N1289" s="70"/>
      <c r="O1289" s="70" t="s">
        <v>4025</v>
      </c>
      <c r="P1289" s="70" t="s">
        <v>264</v>
      </c>
      <c r="Q1289" s="71" t="s">
        <v>4026</v>
      </c>
      <c r="R1289" s="71" t="s">
        <v>272</v>
      </c>
      <c r="S1289" s="72"/>
      <c r="T1289" s="73"/>
      <c r="U1289" s="75"/>
      <c r="V1289" s="102">
        <v>46248</v>
      </c>
      <c r="W1289" s="70">
        <v>3</v>
      </c>
      <c r="X1289" s="103" t="s">
        <v>4028</v>
      </c>
      <c r="Y1289" s="104">
        <f t="shared" si="357"/>
        <v>46340</v>
      </c>
      <c r="Z1289" s="105">
        <f ca="1" t="shared" si="358"/>
        <v>27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5"/>
      <c r="AO1289" s="115"/>
      <c r="AP1289" s="115"/>
      <c r="AQ1289" s="93"/>
      <c r="AR1289" s="93"/>
      <c r="AS1289" s="94"/>
      <c r="AT1289" s="95"/>
      <c r="AU1289" s="79"/>
      <c r="AV1289" s="117"/>
      <c r="AW1289" s="115"/>
      <c r="AX1289" s="106"/>
      <c r="AY1289" s="104"/>
      <c r="AZ1289" s="105"/>
    </row>
    <row r="1290" customHeight="1" spans="1:52">
      <c r="A1290" s="70">
        <v>1292</v>
      </c>
      <c r="B1290" s="70" t="s">
        <v>270</v>
      </c>
      <c r="C1290" s="70" t="s">
        <v>264</v>
      </c>
      <c r="D1290" s="71" t="s">
        <v>4029</v>
      </c>
      <c r="E1290" s="71" t="s">
        <v>264</v>
      </c>
      <c r="F1290" s="72"/>
      <c r="G1290" s="73"/>
      <c r="H1290" s="75"/>
      <c r="I1290" s="102">
        <v>46139</v>
      </c>
      <c r="J1290" s="70">
        <v>3</v>
      </c>
      <c r="K1290" s="106" t="s">
        <v>4030</v>
      </c>
      <c r="L1290" s="104">
        <f t="shared" si="365"/>
        <v>46230</v>
      </c>
      <c r="M1290" s="105">
        <f ca="1" t="shared" si="366"/>
        <v>-83</v>
      </c>
      <c r="N1290" s="70"/>
      <c r="O1290" s="70" t="s">
        <v>270</v>
      </c>
      <c r="P1290" s="70" t="s">
        <v>264</v>
      </c>
      <c r="Q1290" s="71" t="s">
        <v>4029</v>
      </c>
      <c r="R1290" s="71" t="s">
        <v>264</v>
      </c>
      <c r="S1290" s="72"/>
      <c r="T1290" s="73"/>
      <c r="U1290" s="75"/>
      <c r="V1290" s="102">
        <v>46261</v>
      </c>
      <c r="W1290" s="70">
        <v>3</v>
      </c>
      <c r="X1290" s="103" t="s">
        <v>4031</v>
      </c>
      <c r="Y1290" s="104">
        <f t="shared" si="357"/>
        <v>46353</v>
      </c>
      <c r="Z1290" s="105">
        <f ca="1" t="shared" si="358"/>
        <v>40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5"/>
      <c r="AO1290" s="115"/>
      <c r="AP1290" s="115"/>
      <c r="AQ1290" s="93"/>
      <c r="AR1290" s="93"/>
      <c r="AS1290" s="94"/>
      <c r="AT1290" s="95"/>
      <c r="AU1290" s="79"/>
      <c r="AV1290" s="117"/>
      <c r="AW1290" s="115"/>
      <c r="AX1290" s="106"/>
      <c r="AY1290" s="104"/>
      <c r="AZ1290" s="105"/>
    </row>
    <row r="1291" customHeight="1" spans="1:52">
      <c r="A1291" s="70">
        <v>1293</v>
      </c>
      <c r="B1291" s="204" t="s">
        <v>270</v>
      </c>
      <c r="C1291" s="70" t="s">
        <v>264</v>
      </c>
      <c r="D1291" s="205" t="s">
        <v>367</v>
      </c>
      <c r="E1291" s="71" t="s">
        <v>368</v>
      </c>
      <c r="F1291" s="72"/>
      <c r="G1291" s="73"/>
      <c r="H1291" s="75"/>
      <c r="I1291" s="102">
        <v>46139</v>
      </c>
      <c r="J1291" s="70" t="s">
        <v>767</v>
      </c>
      <c r="K1291" s="106"/>
      <c r="L1291" s="104" t="e">
        <f t="shared" si="365"/>
        <v>#VALUE!</v>
      </c>
      <c r="M1291" s="105" t="e">
        <f ca="1" t="shared" si="36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357"/>
        <v>0</v>
      </c>
      <c r="Z1291" s="105">
        <f ca="1" t="shared" si="358"/>
        <v>-46313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5"/>
      <c r="AO1291" s="115"/>
      <c r="AP1291" s="115"/>
      <c r="AQ1291" s="93"/>
      <c r="AR1291" s="93"/>
      <c r="AS1291" s="94"/>
      <c r="AT1291" s="95"/>
      <c r="AU1291" s="79"/>
      <c r="AV1291" s="117"/>
      <c r="AW1291" s="115"/>
      <c r="AX1291" s="106"/>
      <c r="AY1291" s="104"/>
      <c r="AZ1291" s="105"/>
    </row>
    <row r="1292" customHeight="1" spans="1:52">
      <c r="A1292" s="70">
        <v>1294</v>
      </c>
      <c r="B1292" s="204" t="s">
        <v>270</v>
      </c>
      <c r="C1292" s="70" t="s">
        <v>264</v>
      </c>
      <c r="D1292" s="205" t="s">
        <v>276</v>
      </c>
      <c r="E1292" s="71" t="s">
        <v>277</v>
      </c>
      <c r="F1292" s="72"/>
      <c r="G1292" s="73"/>
      <c r="H1292" s="75"/>
      <c r="I1292" s="102">
        <v>46139</v>
      </c>
      <c r="J1292" s="70" t="s">
        <v>767</v>
      </c>
      <c r="K1292" s="106"/>
      <c r="L1292" s="104" t="e">
        <f t="shared" si="365"/>
        <v>#VALUE!</v>
      </c>
      <c r="M1292" s="105" t="e">
        <f ca="1" t="shared" si="36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357"/>
        <v>0</v>
      </c>
      <c r="Z1292" s="105">
        <f ca="1" t="shared" si="358"/>
        <v>-46313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5"/>
      <c r="AO1292" s="115"/>
      <c r="AP1292" s="115"/>
      <c r="AQ1292" s="93"/>
      <c r="AR1292" s="93"/>
      <c r="AS1292" s="94"/>
      <c r="AT1292" s="95"/>
      <c r="AU1292" s="79"/>
      <c r="AV1292" s="117"/>
      <c r="AW1292" s="115"/>
      <c r="AX1292" s="106"/>
      <c r="AY1292" s="104"/>
      <c r="AZ1292" s="105"/>
    </row>
    <row r="1293" customHeight="1" spans="1:52">
      <c r="A1293" s="70">
        <v>1295</v>
      </c>
      <c r="B1293" s="108" t="s">
        <v>1205</v>
      </c>
      <c r="C1293" s="70" t="s">
        <v>38</v>
      </c>
      <c r="D1293" s="71" t="s">
        <v>4032</v>
      </c>
      <c r="E1293" s="71" t="s">
        <v>189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4033</v>
      </c>
      <c r="L1293" s="104">
        <f t="shared" si="365"/>
        <v>46231</v>
      </c>
      <c r="M1293" s="105">
        <f ca="1" t="shared" si="366"/>
        <v>-82</v>
      </c>
      <c r="N1293" s="70"/>
      <c r="O1293" s="108" t="s">
        <v>1205</v>
      </c>
      <c r="P1293" s="70" t="s">
        <v>38</v>
      </c>
      <c r="Q1293" s="71" t="s">
        <v>4032</v>
      </c>
      <c r="R1293" s="71" t="s">
        <v>189</v>
      </c>
      <c r="S1293" s="72"/>
      <c r="T1293" s="73"/>
      <c r="U1293" s="79" t="s">
        <v>16</v>
      </c>
      <c r="V1293" s="102">
        <v>46304</v>
      </c>
      <c r="W1293" s="70">
        <v>3</v>
      </c>
      <c r="X1293" s="103" t="s">
        <v>4034</v>
      </c>
      <c r="Y1293" s="104">
        <f t="shared" si="357"/>
        <v>46396</v>
      </c>
      <c r="Z1293" s="105">
        <f ca="1" t="shared" si="358"/>
        <v>83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5"/>
      <c r="AO1293" s="115"/>
      <c r="AP1293" s="115"/>
      <c r="AQ1293" s="93"/>
      <c r="AR1293" s="93"/>
      <c r="AS1293" s="94"/>
      <c r="AT1293" s="95"/>
      <c r="AU1293" s="79"/>
      <c r="AV1293" s="117"/>
      <c r="AW1293" s="115"/>
      <c r="AX1293" s="106"/>
      <c r="AY1293" s="104"/>
      <c r="AZ1293" s="105"/>
    </row>
    <row r="1294" customHeight="1" spans="1:52">
      <c r="A1294" s="70">
        <v>1296</v>
      </c>
      <c r="B1294" s="108" t="s">
        <v>1205</v>
      </c>
      <c r="C1294" s="70" t="s">
        <v>13</v>
      </c>
      <c r="D1294" s="71" t="s">
        <v>4035</v>
      </c>
      <c r="E1294" s="71" t="s">
        <v>45</v>
      </c>
      <c r="F1294" s="72"/>
      <c r="G1294" s="73"/>
      <c r="H1294" s="75"/>
      <c r="I1294" s="102">
        <v>46140</v>
      </c>
      <c r="J1294" s="73">
        <v>3</v>
      </c>
      <c r="K1294" s="106" t="s">
        <v>4036</v>
      </c>
      <c r="L1294" s="104">
        <f t="shared" si="365"/>
        <v>46231</v>
      </c>
      <c r="M1294" s="105">
        <f ca="1" t="shared" si="366"/>
        <v>-82</v>
      </c>
      <c r="N1294" s="70"/>
      <c r="O1294" s="108" t="s">
        <v>1205</v>
      </c>
      <c r="P1294" s="70" t="s">
        <v>13</v>
      </c>
      <c r="Q1294" s="71" t="s">
        <v>4035</v>
      </c>
      <c r="R1294" s="71" t="s">
        <v>45</v>
      </c>
      <c r="S1294" s="72"/>
      <c r="T1294" s="73"/>
      <c r="U1294" s="75"/>
      <c r="V1294" s="102">
        <v>46245</v>
      </c>
      <c r="W1294" s="70">
        <v>3</v>
      </c>
      <c r="X1294" s="103" t="s">
        <v>4037</v>
      </c>
      <c r="Y1294" s="104">
        <f t="shared" si="357"/>
        <v>46337</v>
      </c>
      <c r="Z1294" s="105">
        <f ca="1" t="shared" si="358"/>
        <v>24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5"/>
      <c r="AO1294" s="115"/>
      <c r="AP1294" s="115"/>
      <c r="AQ1294" s="93"/>
      <c r="AR1294" s="93"/>
      <c r="AS1294" s="94"/>
      <c r="AT1294" s="95"/>
      <c r="AU1294" s="79"/>
      <c r="AV1294" s="117"/>
      <c r="AW1294" s="115"/>
      <c r="AX1294" s="106"/>
      <c r="AY1294" s="104"/>
      <c r="AZ1294" s="105"/>
    </row>
    <row r="1295" customHeight="1" spans="1:52">
      <c r="A1295" s="70">
        <v>1297</v>
      </c>
      <c r="B1295" s="108" t="s">
        <v>1205</v>
      </c>
      <c r="C1295" s="70" t="s">
        <v>13</v>
      </c>
      <c r="D1295" s="71" t="s">
        <v>4038</v>
      </c>
      <c r="E1295" s="71" t="s">
        <v>45</v>
      </c>
      <c r="F1295" s="72"/>
      <c r="G1295" s="73"/>
      <c r="H1295" s="75"/>
      <c r="I1295" s="102">
        <v>46140</v>
      </c>
      <c r="J1295" s="73">
        <v>3</v>
      </c>
      <c r="K1295" s="106" t="s">
        <v>4039</v>
      </c>
      <c r="L1295" s="104">
        <f t="shared" si="365"/>
        <v>46231</v>
      </c>
      <c r="M1295" s="105">
        <f ca="1" t="shared" si="366"/>
        <v>-82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357"/>
        <v>0</v>
      </c>
      <c r="Z1295" s="105">
        <f ca="1" t="shared" si="358"/>
        <v>-46313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5"/>
      <c r="AO1295" s="115"/>
      <c r="AP1295" s="115"/>
      <c r="AQ1295" s="93"/>
      <c r="AR1295" s="93"/>
      <c r="AS1295" s="94"/>
      <c r="AT1295" s="95"/>
      <c r="AU1295" s="79"/>
      <c r="AV1295" s="117"/>
      <c r="AW1295" s="115"/>
      <c r="AX1295" s="106"/>
      <c r="AY1295" s="104"/>
      <c r="AZ1295" s="105"/>
    </row>
    <row r="1296" customHeight="1" spans="1:52">
      <c r="A1296" s="70">
        <v>1298</v>
      </c>
      <c r="B1296" s="215" t="s">
        <v>4040</v>
      </c>
      <c r="C1296" s="70" t="s">
        <v>38</v>
      </c>
      <c r="D1296" s="71" t="s">
        <v>4041</v>
      </c>
      <c r="E1296" s="71" t="s">
        <v>189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4042</v>
      </c>
      <c r="L1296" s="104">
        <f t="shared" si="365"/>
        <v>46231</v>
      </c>
      <c r="M1296" s="105">
        <f ca="1" t="shared" si="366"/>
        <v>-82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357"/>
        <v>0</v>
      </c>
      <c r="Z1296" s="105">
        <f ca="1" t="shared" si="358"/>
        <v>-46313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5"/>
      <c r="AO1296" s="115"/>
      <c r="AP1296" s="115"/>
      <c r="AQ1296" s="93"/>
      <c r="AR1296" s="93"/>
      <c r="AS1296" s="94"/>
      <c r="AT1296" s="95"/>
      <c r="AU1296" s="79"/>
      <c r="AV1296" s="117"/>
      <c r="AW1296" s="115"/>
      <c r="AX1296" s="106"/>
      <c r="AY1296" s="104"/>
      <c r="AZ1296" s="105"/>
    </row>
    <row r="1297" customHeight="1" spans="1:52">
      <c r="A1297" s="70">
        <v>1299</v>
      </c>
      <c r="B1297" s="215" t="s">
        <v>4040</v>
      </c>
      <c r="C1297" s="70" t="s">
        <v>13</v>
      </c>
      <c r="D1297" s="71" t="s">
        <v>4043</v>
      </c>
      <c r="E1297" s="71" t="s">
        <v>45</v>
      </c>
      <c r="F1297" s="72"/>
      <c r="G1297" s="73"/>
      <c r="H1297" s="75"/>
      <c r="I1297" s="102">
        <v>46140</v>
      </c>
      <c r="J1297" s="73">
        <v>3</v>
      </c>
      <c r="K1297" s="106" t="s">
        <v>4044</v>
      </c>
      <c r="L1297" s="104">
        <f t="shared" si="365"/>
        <v>46231</v>
      </c>
      <c r="M1297" s="105">
        <f ca="1" t="shared" si="366"/>
        <v>-82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357"/>
        <v>0</v>
      </c>
      <c r="Z1297" s="105">
        <f ca="1" t="shared" si="358"/>
        <v>-46313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5"/>
      <c r="AO1297" s="115"/>
      <c r="AP1297" s="115"/>
      <c r="AQ1297" s="93"/>
      <c r="AR1297" s="93"/>
      <c r="AS1297" s="94"/>
      <c r="AT1297" s="95"/>
      <c r="AU1297" s="79"/>
      <c r="AV1297" s="117"/>
      <c r="AW1297" s="115"/>
      <c r="AX1297" s="106"/>
      <c r="AY1297" s="104"/>
      <c r="AZ1297" s="105"/>
    </row>
    <row r="1298" customHeight="1" spans="1:52">
      <c r="A1298" s="70">
        <v>1300</v>
      </c>
      <c r="B1298" s="108" t="s">
        <v>4045</v>
      </c>
      <c r="C1298" s="70" t="s">
        <v>264</v>
      </c>
      <c r="D1298" s="205" t="s">
        <v>4046</v>
      </c>
      <c r="E1298" s="71" t="s">
        <v>2941</v>
      </c>
      <c r="F1298" s="72"/>
      <c r="G1298" s="73"/>
      <c r="H1298" s="75"/>
      <c r="I1298" s="102">
        <v>46140</v>
      </c>
      <c r="J1298" s="73">
        <v>3</v>
      </c>
      <c r="K1298" s="106" t="s">
        <v>4047</v>
      </c>
      <c r="L1298" s="104">
        <f t="shared" si="365"/>
        <v>46231</v>
      </c>
      <c r="M1298" s="105">
        <f ca="1" t="shared" si="366"/>
        <v>-82</v>
      </c>
      <c r="N1298" s="70"/>
      <c r="O1298" s="70"/>
      <c r="P1298" s="70"/>
      <c r="Q1298" s="217"/>
      <c r="R1298" s="71"/>
      <c r="S1298" s="72"/>
      <c r="T1298" s="73"/>
      <c r="U1298" s="79"/>
      <c r="V1298" s="102"/>
      <c r="W1298" s="70"/>
      <c r="X1298" s="103"/>
      <c r="Y1298" s="104">
        <f t="shared" si="357"/>
        <v>0</v>
      </c>
      <c r="Z1298" s="105">
        <f ca="1" t="shared" si="358"/>
        <v>-46313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5"/>
      <c r="AO1298" s="115"/>
      <c r="AP1298" s="115"/>
      <c r="AQ1298" s="93"/>
      <c r="AR1298" s="93"/>
      <c r="AS1298" s="94"/>
      <c r="AT1298" s="95"/>
      <c r="AU1298" s="79"/>
      <c r="AV1298" s="117"/>
      <c r="AW1298" s="115"/>
      <c r="AX1298" s="106"/>
      <c r="AY1298" s="104"/>
      <c r="AZ1298" s="105"/>
    </row>
    <row r="1299" customHeight="1" spans="1:52">
      <c r="A1299" s="70">
        <v>1301</v>
      </c>
      <c r="B1299" s="204" t="s">
        <v>644</v>
      </c>
      <c r="C1299" s="70" t="s">
        <v>264</v>
      </c>
      <c r="D1299" s="205" t="s">
        <v>265</v>
      </c>
      <c r="E1299" s="71" t="s">
        <v>266</v>
      </c>
      <c r="F1299" s="72"/>
      <c r="G1299" s="73"/>
      <c r="H1299" s="75"/>
      <c r="I1299" s="102">
        <v>46140</v>
      </c>
      <c r="J1299" s="70" t="s">
        <v>767</v>
      </c>
      <c r="K1299" s="106"/>
      <c r="L1299" s="104" t="e">
        <f t="shared" si="365"/>
        <v>#VALUE!</v>
      </c>
      <c r="M1299" s="105" t="e">
        <f ca="1" t="shared" si="366"/>
        <v>#VALUE!</v>
      </c>
      <c r="N1299" s="70"/>
      <c r="O1299" s="70"/>
      <c r="P1299" s="70"/>
      <c r="Q1299" s="205"/>
      <c r="R1299" s="71"/>
      <c r="S1299" s="72"/>
      <c r="T1299" s="73"/>
      <c r="U1299" s="79"/>
      <c r="V1299" s="102"/>
      <c r="W1299" s="70"/>
      <c r="X1299" s="103"/>
      <c r="Y1299" s="104">
        <f t="shared" si="357"/>
        <v>0</v>
      </c>
      <c r="Z1299" s="105">
        <f ca="1" t="shared" si="358"/>
        <v>-46313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5"/>
      <c r="AO1299" s="115"/>
      <c r="AP1299" s="115"/>
      <c r="AQ1299" s="93"/>
      <c r="AR1299" s="93"/>
      <c r="AS1299" s="94"/>
      <c r="AT1299" s="95"/>
      <c r="AU1299" s="79"/>
      <c r="AV1299" s="117"/>
      <c r="AW1299" s="115"/>
      <c r="AX1299" s="106"/>
      <c r="AY1299" s="104"/>
      <c r="AZ1299" s="105"/>
    </row>
    <row r="1300" customHeight="1" spans="1:52">
      <c r="A1300" s="70">
        <v>1302</v>
      </c>
      <c r="B1300" s="204" t="s">
        <v>644</v>
      </c>
      <c r="C1300" s="70" t="s">
        <v>264</v>
      </c>
      <c r="D1300" s="205" t="s">
        <v>2433</v>
      </c>
      <c r="E1300" s="71" t="s">
        <v>266</v>
      </c>
      <c r="F1300" s="72"/>
      <c r="G1300" s="73"/>
      <c r="H1300" s="75"/>
      <c r="I1300" s="102">
        <v>46140</v>
      </c>
      <c r="J1300" s="70" t="s">
        <v>767</v>
      </c>
      <c r="K1300" s="106"/>
      <c r="L1300" s="104" t="e">
        <f t="shared" si="365"/>
        <v>#VALUE!</v>
      </c>
      <c r="M1300" s="105" t="e">
        <f ca="1" t="shared" si="36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357"/>
        <v>0</v>
      </c>
      <c r="Z1300" s="105">
        <f ca="1" t="shared" si="358"/>
        <v>-46313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5"/>
      <c r="AO1300" s="115"/>
      <c r="AP1300" s="115"/>
      <c r="AQ1300" s="93"/>
      <c r="AR1300" s="93"/>
      <c r="AS1300" s="94"/>
      <c r="AT1300" s="95"/>
      <c r="AU1300" s="79"/>
      <c r="AV1300" s="117"/>
      <c r="AW1300" s="115"/>
      <c r="AX1300" s="106"/>
      <c r="AY1300" s="104"/>
      <c r="AZ1300" s="105"/>
    </row>
    <row r="1301" customHeight="1" spans="1:52">
      <c r="A1301" s="70">
        <v>1303</v>
      </c>
      <c r="B1301" s="204" t="s">
        <v>263</v>
      </c>
      <c r="C1301" s="70" t="s">
        <v>264</v>
      </c>
      <c r="D1301" s="205" t="s">
        <v>265</v>
      </c>
      <c r="E1301" s="71" t="s">
        <v>266</v>
      </c>
      <c r="F1301" s="72"/>
      <c r="G1301" s="73"/>
      <c r="H1301" s="75"/>
      <c r="I1301" s="102">
        <v>46140</v>
      </c>
      <c r="J1301" s="70" t="s">
        <v>767</v>
      </c>
      <c r="K1301" s="106"/>
      <c r="L1301" s="104" t="e">
        <f t="shared" si="365"/>
        <v>#VALUE!</v>
      </c>
      <c r="M1301" s="105" t="e">
        <f ca="1" t="shared" si="36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357"/>
        <v>0</v>
      </c>
      <c r="Z1301" s="105">
        <f ca="1" t="shared" si="358"/>
        <v>-46313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5"/>
      <c r="AO1301" s="115"/>
      <c r="AP1301" s="115"/>
      <c r="AQ1301" s="93"/>
      <c r="AR1301" s="93"/>
      <c r="AS1301" s="94"/>
      <c r="AT1301" s="95"/>
      <c r="AU1301" s="79"/>
      <c r="AV1301" s="117"/>
      <c r="AW1301" s="115"/>
      <c r="AX1301" s="106"/>
      <c r="AY1301" s="104"/>
      <c r="AZ1301" s="105"/>
    </row>
    <row r="1302" customHeight="1" spans="1:52">
      <c r="A1302" s="70">
        <v>1304</v>
      </c>
      <c r="B1302" s="108" t="s">
        <v>962</v>
      </c>
      <c r="C1302" s="70" t="s">
        <v>13</v>
      </c>
      <c r="D1302" s="205" t="s">
        <v>4048</v>
      </c>
      <c r="E1302" s="71" t="s">
        <v>15</v>
      </c>
      <c r="F1302" s="72"/>
      <c r="G1302" s="73"/>
      <c r="H1302" s="75" t="s">
        <v>434</v>
      </c>
      <c r="I1302" s="102">
        <v>46141</v>
      </c>
      <c r="J1302" s="70">
        <v>3</v>
      </c>
      <c r="K1302" s="106" t="s">
        <v>4049</v>
      </c>
      <c r="L1302" s="104">
        <f t="shared" si="365"/>
        <v>46232</v>
      </c>
      <c r="M1302" s="105">
        <f ca="1" t="shared" si="366"/>
        <v>-81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357"/>
        <v>0</v>
      </c>
      <c r="Z1302" s="105">
        <f ca="1" t="shared" si="358"/>
        <v>-46313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5"/>
      <c r="AO1302" s="115"/>
      <c r="AP1302" s="115"/>
      <c r="AQ1302" s="93"/>
      <c r="AR1302" s="93"/>
      <c r="AS1302" s="94"/>
      <c r="AT1302" s="95"/>
      <c r="AU1302" s="79"/>
      <c r="AV1302" s="117"/>
      <c r="AW1302" s="115"/>
      <c r="AX1302" s="106"/>
      <c r="AY1302" s="104"/>
      <c r="AZ1302" s="105"/>
    </row>
    <row r="1303" customHeight="1" spans="1:52">
      <c r="A1303" s="70">
        <v>1305</v>
      </c>
      <c r="B1303" s="204" t="s">
        <v>2130</v>
      </c>
      <c r="C1303" s="70" t="s">
        <v>13</v>
      </c>
      <c r="D1303" s="205" t="s">
        <v>4050</v>
      </c>
      <c r="E1303" s="71" t="s">
        <v>4051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4052</v>
      </c>
      <c r="L1303" s="104">
        <f t="shared" si="365"/>
        <v>46232</v>
      </c>
      <c r="M1303" s="105">
        <f ca="1" t="shared" si="366"/>
        <v>-81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357"/>
        <v>0</v>
      </c>
      <c r="Z1303" s="105">
        <f ca="1" t="shared" si="358"/>
        <v>-46313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5"/>
      <c r="AO1303" s="115"/>
      <c r="AP1303" s="115"/>
      <c r="AQ1303" s="93"/>
      <c r="AR1303" s="93"/>
      <c r="AS1303" s="94"/>
      <c r="AT1303" s="95"/>
      <c r="AU1303" s="79"/>
      <c r="AV1303" s="117"/>
      <c r="AW1303" s="115"/>
      <c r="AX1303" s="106"/>
      <c r="AY1303" s="104"/>
      <c r="AZ1303" s="105"/>
    </row>
    <row r="1304" customHeight="1" spans="1:52">
      <c r="A1304" s="70">
        <v>1306</v>
      </c>
      <c r="B1304" s="204" t="s">
        <v>2130</v>
      </c>
      <c r="C1304" s="70" t="s">
        <v>13</v>
      </c>
      <c r="D1304" s="205" t="s">
        <v>4053</v>
      </c>
      <c r="E1304" s="71" t="s">
        <v>4054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4055</v>
      </c>
      <c r="L1304" s="104">
        <f t="shared" si="365"/>
        <v>46232</v>
      </c>
      <c r="M1304" s="105">
        <f ca="1" t="shared" si="366"/>
        <v>-81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357"/>
        <v>0</v>
      </c>
      <c r="Z1304" s="105">
        <f ca="1" t="shared" si="358"/>
        <v>-46313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5"/>
      <c r="AO1304" s="115"/>
      <c r="AP1304" s="115"/>
      <c r="AQ1304" s="93"/>
      <c r="AR1304" s="93"/>
      <c r="AS1304" s="94"/>
      <c r="AT1304" s="95"/>
      <c r="AU1304" s="79"/>
      <c r="AV1304" s="117"/>
      <c r="AW1304" s="115"/>
      <c r="AX1304" s="106"/>
      <c r="AY1304" s="104"/>
      <c r="AZ1304" s="105"/>
    </row>
    <row r="1305" customHeight="1" spans="1:52">
      <c r="A1305" s="70">
        <v>1307</v>
      </c>
      <c r="B1305" s="204" t="s">
        <v>644</v>
      </c>
      <c r="C1305" s="70" t="s">
        <v>264</v>
      </c>
      <c r="D1305" s="205" t="s">
        <v>1922</v>
      </c>
      <c r="E1305" s="71" t="s">
        <v>266</v>
      </c>
      <c r="F1305" s="72"/>
      <c r="G1305" s="73"/>
      <c r="H1305" s="75"/>
      <c r="I1305" s="102">
        <v>46141</v>
      </c>
      <c r="J1305" s="70" t="s">
        <v>767</v>
      </c>
      <c r="K1305" s="106"/>
      <c r="L1305" s="104" t="e">
        <f t="shared" si="365"/>
        <v>#VALUE!</v>
      </c>
      <c r="M1305" s="105" t="e">
        <f ca="1" t="shared" si="36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357"/>
        <v>0</v>
      </c>
      <c r="Z1305" s="105">
        <f ca="1" t="shared" si="358"/>
        <v>-46313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5"/>
      <c r="AO1305" s="115"/>
      <c r="AP1305" s="115"/>
      <c r="AQ1305" s="93"/>
      <c r="AR1305" s="93"/>
      <c r="AS1305" s="94"/>
      <c r="AT1305" s="95"/>
      <c r="AU1305" s="79"/>
      <c r="AV1305" s="117"/>
      <c r="AW1305" s="115"/>
      <c r="AX1305" s="106"/>
      <c r="AY1305" s="104"/>
      <c r="AZ1305" s="105"/>
    </row>
    <row r="1306" customHeight="1" spans="1:52">
      <c r="A1306" s="70">
        <v>1308</v>
      </c>
      <c r="B1306" s="204" t="s">
        <v>644</v>
      </c>
      <c r="C1306" s="70" t="s">
        <v>264</v>
      </c>
      <c r="D1306" s="205" t="s">
        <v>265</v>
      </c>
      <c r="E1306" s="71" t="s">
        <v>266</v>
      </c>
      <c r="F1306" s="72"/>
      <c r="G1306" s="73"/>
      <c r="H1306" s="75"/>
      <c r="I1306" s="102">
        <v>46141</v>
      </c>
      <c r="J1306" s="70" t="s">
        <v>767</v>
      </c>
      <c r="K1306" s="106"/>
      <c r="L1306" s="104" t="e">
        <f t="shared" si="365"/>
        <v>#VALUE!</v>
      </c>
      <c r="M1306" s="105" t="e">
        <f ca="1" t="shared" si="36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357"/>
        <v>0</v>
      </c>
      <c r="Z1306" s="105">
        <f ca="1" t="shared" si="358"/>
        <v>-46313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5"/>
      <c r="AO1306" s="115"/>
      <c r="AP1306" s="115"/>
      <c r="AQ1306" s="93"/>
      <c r="AR1306" s="93"/>
      <c r="AS1306" s="94"/>
      <c r="AT1306" s="95"/>
      <c r="AU1306" s="79"/>
      <c r="AV1306" s="117"/>
      <c r="AW1306" s="115"/>
      <c r="AX1306" s="106"/>
      <c r="AY1306" s="104"/>
      <c r="AZ1306" s="105"/>
    </row>
    <row r="1307" customHeight="1" spans="1:52">
      <c r="A1307" s="70">
        <v>1309</v>
      </c>
      <c r="B1307" s="204" t="s">
        <v>644</v>
      </c>
      <c r="C1307" s="70" t="s">
        <v>264</v>
      </c>
      <c r="D1307" s="205" t="s">
        <v>2433</v>
      </c>
      <c r="E1307" s="71" t="s">
        <v>266</v>
      </c>
      <c r="F1307" s="72"/>
      <c r="G1307" s="73"/>
      <c r="H1307" s="225"/>
      <c r="I1307" s="102">
        <v>46141</v>
      </c>
      <c r="J1307" s="70" t="s">
        <v>767</v>
      </c>
      <c r="K1307" s="106"/>
      <c r="L1307" s="104" t="e">
        <f t="shared" si="365"/>
        <v>#VALUE!</v>
      </c>
      <c r="M1307" s="105" t="e">
        <f ca="1" t="shared" si="36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357"/>
        <v>0</v>
      </c>
      <c r="Z1307" s="105">
        <f ca="1" t="shared" si="358"/>
        <v>-46313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5"/>
      <c r="AO1307" s="115"/>
      <c r="AP1307" s="115"/>
      <c r="AQ1307" s="93"/>
      <c r="AR1307" s="93"/>
      <c r="AS1307" s="94"/>
      <c r="AT1307" s="95"/>
      <c r="AU1307" s="79"/>
      <c r="AV1307" s="117"/>
      <c r="AW1307" s="115"/>
      <c r="AX1307" s="106"/>
      <c r="AY1307" s="104"/>
      <c r="AZ1307" s="105"/>
    </row>
    <row r="1308" customHeight="1" spans="1:52">
      <c r="A1308" s="70">
        <v>1310</v>
      </c>
      <c r="B1308" s="204" t="s">
        <v>281</v>
      </c>
      <c r="C1308" s="70" t="s">
        <v>264</v>
      </c>
      <c r="D1308" s="205" t="s">
        <v>4056</v>
      </c>
      <c r="E1308" s="71" t="s">
        <v>4057</v>
      </c>
      <c r="F1308" s="72"/>
      <c r="G1308" s="73"/>
      <c r="H1308" s="225"/>
      <c r="I1308" s="102">
        <v>46142</v>
      </c>
      <c r="J1308" s="70">
        <v>3</v>
      </c>
      <c r="K1308" s="106" t="s">
        <v>4058</v>
      </c>
      <c r="L1308" s="104">
        <f t="shared" si="365"/>
        <v>46233</v>
      </c>
      <c r="M1308" s="105">
        <f ca="1" t="shared" si="366"/>
        <v>-80</v>
      </c>
      <c r="N1308" s="70"/>
      <c r="O1308" s="204" t="s">
        <v>281</v>
      </c>
      <c r="P1308" s="70" t="s">
        <v>264</v>
      </c>
      <c r="Q1308" s="205" t="s">
        <v>4056</v>
      </c>
      <c r="R1308" s="71" t="s">
        <v>4057</v>
      </c>
      <c r="S1308" s="72"/>
      <c r="T1308" s="73"/>
      <c r="U1308" s="225"/>
      <c r="V1308" s="102">
        <v>46245</v>
      </c>
      <c r="W1308" s="70">
        <v>3</v>
      </c>
      <c r="X1308" s="103" t="s">
        <v>4059</v>
      </c>
      <c r="Y1308" s="104">
        <f t="shared" si="357"/>
        <v>46337</v>
      </c>
      <c r="Z1308" s="105">
        <f ca="1" t="shared" si="358"/>
        <v>24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5"/>
      <c r="AO1308" s="115"/>
      <c r="AP1308" s="115"/>
      <c r="AQ1308" s="93"/>
      <c r="AR1308" s="93"/>
      <c r="AS1308" s="94"/>
      <c r="AT1308" s="95"/>
      <c r="AU1308" s="79"/>
      <c r="AV1308" s="117"/>
      <c r="AW1308" s="115"/>
      <c r="AX1308" s="106"/>
      <c r="AY1308" s="104"/>
      <c r="AZ1308" s="105"/>
    </row>
    <row r="1309" customHeight="1" spans="1:52">
      <c r="A1309" s="70">
        <v>1311</v>
      </c>
      <c r="B1309" s="204" t="s">
        <v>4025</v>
      </c>
      <c r="C1309" s="70" t="s">
        <v>264</v>
      </c>
      <c r="D1309" s="205" t="s">
        <v>4060</v>
      </c>
      <c r="E1309" s="71" t="s">
        <v>272</v>
      </c>
      <c r="F1309" s="72"/>
      <c r="G1309" s="73"/>
      <c r="H1309" s="225"/>
      <c r="I1309" s="102">
        <v>46142</v>
      </c>
      <c r="J1309" s="70">
        <v>3</v>
      </c>
      <c r="K1309" s="106" t="s">
        <v>4061</v>
      </c>
      <c r="L1309" s="104">
        <f t="shared" si="365"/>
        <v>46233</v>
      </c>
      <c r="M1309" s="105">
        <f ca="1" t="shared" si="366"/>
        <v>-80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357"/>
        <v>0</v>
      </c>
      <c r="Z1309" s="105">
        <f ca="1" t="shared" si="358"/>
        <v>-46313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5"/>
      <c r="AO1309" s="115"/>
      <c r="AP1309" s="115"/>
      <c r="AQ1309" s="93"/>
      <c r="AR1309" s="93"/>
      <c r="AS1309" s="94"/>
      <c r="AT1309" s="95"/>
      <c r="AU1309" s="79"/>
      <c r="AV1309" s="117"/>
      <c r="AW1309" s="115"/>
      <c r="AX1309" s="106"/>
      <c r="AY1309" s="104"/>
      <c r="AZ1309" s="105"/>
    </row>
    <row r="1310" customHeight="1" spans="1:52">
      <c r="A1310" s="70">
        <v>1312</v>
      </c>
      <c r="B1310" s="204" t="s">
        <v>2058</v>
      </c>
      <c r="C1310" s="70" t="s">
        <v>264</v>
      </c>
      <c r="D1310" s="205" t="s">
        <v>4062</v>
      </c>
      <c r="E1310" s="71" t="s">
        <v>264</v>
      </c>
      <c r="F1310" s="72"/>
      <c r="G1310" s="73"/>
      <c r="H1310" s="225"/>
      <c r="I1310" s="102">
        <v>46142</v>
      </c>
      <c r="J1310" s="70">
        <v>3</v>
      </c>
      <c r="K1310" s="106" t="s">
        <v>4063</v>
      </c>
      <c r="L1310" s="104">
        <f t="shared" si="365"/>
        <v>46233</v>
      </c>
      <c r="M1310" s="105">
        <f ca="1" t="shared" si="366"/>
        <v>-80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357"/>
        <v>0</v>
      </c>
      <c r="Z1310" s="105">
        <f ca="1" t="shared" si="358"/>
        <v>-46313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5"/>
      <c r="AO1310" s="115"/>
      <c r="AP1310" s="115"/>
      <c r="AQ1310" s="93"/>
      <c r="AR1310" s="93"/>
      <c r="AS1310" s="94"/>
      <c r="AT1310" s="95"/>
      <c r="AU1310" s="79"/>
      <c r="AV1310" s="117"/>
      <c r="AW1310" s="115"/>
      <c r="AX1310" s="106"/>
      <c r="AY1310" s="104"/>
      <c r="AZ1310" s="105"/>
    </row>
    <row r="1311" customHeight="1" spans="1:52">
      <c r="A1311" s="70">
        <v>1313</v>
      </c>
      <c r="B1311" s="204" t="s">
        <v>2187</v>
      </c>
      <c r="C1311" s="70" t="s">
        <v>38</v>
      </c>
      <c r="D1311" s="205" t="s">
        <v>4064</v>
      </c>
      <c r="E1311" s="71" t="s">
        <v>4065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4066</v>
      </c>
      <c r="L1311" s="104">
        <f t="shared" si="365"/>
        <v>46233</v>
      </c>
      <c r="M1311" s="105">
        <f ca="1" t="shared" si="366"/>
        <v>-80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357"/>
        <v>0</v>
      </c>
      <c r="Z1311" s="105">
        <f ca="1" t="shared" si="358"/>
        <v>-46313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5"/>
      <c r="AO1311" s="115"/>
      <c r="AP1311" s="115"/>
      <c r="AQ1311" s="93"/>
      <c r="AR1311" s="93"/>
      <c r="AS1311" s="94"/>
      <c r="AT1311" s="95"/>
      <c r="AU1311" s="79"/>
      <c r="AV1311" s="117"/>
      <c r="AW1311" s="115"/>
      <c r="AX1311" s="106"/>
      <c r="AY1311" s="104"/>
      <c r="AZ1311" s="105"/>
    </row>
    <row r="1312" customHeight="1" spans="1:52">
      <c r="A1312" s="70">
        <v>1314</v>
      </c>
      <c r="B1312" s="204" t="s">
        <v>281</v>
      </c>
      <c r="C1312" s="70" t="s">
        <v>264</v>
      </c>
      <c r="D1312" s="205" t="s">
        <v>3476</v>
      </c>
      <c r="E1312" s="71" t="s">
        <v>4067</v>
      </c>
      <c r="F1312" s="72"/>
      <c r="G1312" s="73"/>
      <c r="H1312" s="225"/>
      <c r="I1312" s="102">
        <v>46142</v>
      </c>
      <c r="J1312" s="70" t="s">
        <v>767</v>
      </c>
      <c r="K1312" s="106"/>
      <c r="L1312" s="104" t="e">
        <f t="shared" ref="L1312:L1322" si="367">EDATE(I1312,J1312)</f>
        <v>#VALUE!</v>
      </c>
      <c r="M1312" s="105" t="e">
        <f ca="1" t="shared" ref="M1312:M1322" si="36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357"/>
        <v>0</v>
      </c>
      <c r="Z1312" s="105">
        <f ca="1" t="shared" si="358"/>
        <v>-46313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5"/>
      <c r="AO1312" s="115"/>
      <c r="AP1312" s="115"/>
      <c r="AQ1312" s="93"/>
      <c r="AR1312" s="93"/>
      <c r="AS1312" s="94"/>
      <c r="AT1312" s="95"/>
      <c r="AU1312" s="79"/>
      <c r="AV1312" s="117"/>
      <c r="AW1312" s="115"/>
      <c r="AX1312" s="106"/>
      <c r="AY1312" s="104"/>
      <c r="AZ1312" s="105"/>
    </row>
    <row r="1313" customHeight="1" spans="1:52">
      <c r="A1313" s="70">
        <v>1315</v>
      </c>
      <c r="B1313" s="204" t="s">
        <v>281</v>
      </c>
      <c r="C1313" s="70" t="s">
        <v>264</v>
      </c>
      <c r="D1313" s="205" t="s">
        <v>287</v>
      </c>
      <c r="E1313" s="71" t="s">
        <v>4068</v>
      </c>
      <c r="F1313" s="72"/>
      <c r="G1313" s="73"/>
      <c r="H1313" s="225"/>
      <c r="I1313" s="102">
        <v>46142</v>
      </c>
      <c r="J1313" s="70" t="s">
        <v>767</v>
      </c>
      <c r="K1313" s="106"/>
      <c r="L1313" s="104" t="e">
        <f t="shared" si="367"/>
        <v>#VALUE!</v>
      </c>
      <c r="M1313" s="105" t="e">
        <f ca="1" t="shared" si="36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357"/>
        <v>0</v>
      </c>
      <c r="Z1313" s="105">
        <f ca="1" t="shared" si="358"/>
        <v>-46313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5"/>
      <c r="AO1313" s="115"/>
      <c r="AP1313" s="115"/>
      <c r="AQ1313" s="93"/>
      <c r="AR1313" s="93"/>
      <c r="AS1313" s="94"/>
      <c r="AT1313" s="95"/>
      <c r="AU1313" s="79"/>
      <c r="AV1313" s="117"/>
      <c r="AW1313" s="115"/>
      <c r="AX1313" s="106"/>
      <c r="AY1313" s="104"/>
      <c r="AZ1313" s="105"/>
    </row>
    <row r="1314" customHeight="1" spans="1:52">
      <c r="A1314" s="70">
        <v>1316</v>
      </c>
      <c r="B1314" s="204" t="s">
        <v>2058</v>
      </c>
      <c r="C1314" s="70" t="s">
        <v>264</v>
      </c>
      <c r="D1314" s="205" t="s">
        <v>3706</v>
      </c>
      <c r="E1314" s="71" t="s">
        <v>264</v>
      </c>
      <c r="F1314" s="72"/>
      <c r="G1314" s="73"/>
      <c r="H1314" s="225"/>
      <c r="I1314" s="102">
        <v>46142</v>
      </c>
      <c r="J1314" s="70" t="s">
        <v>767</v>
      </c>
      <c r="K1314" s="106"/>
      <c r="L1314" s="104" t="e">
        <f t="shared" si="367"/>
        <v>#VALUE!</v>
      </c>
      <c r="M1314" s="105" t="e">
        <f ca="1" t="shared" si="36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357"/>
        <v>0</v>
      </c>
      <c r="Z1314" s="105">
        <f ca="1" t="shared" si="358"/>
        <v>-46313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5"/>
      <c r="AO1314" s="115"/>
      <c r="AP1314" s="115"/>
      <c r="AQ1314" s="93"/>
      <c r="AR1314" s="93"/>
      <c r="AS1314" s="94"/>
      <c r="AT1314" s="95"/>
      <c r="AU1314" s="79"/>
      <c r="AV1314" s="117"/>
      <c r="AW1314" s="115"/>
      <c r="AX1314" s="106"/>
      <c r="AY1314" s="104"/>
      <c r="AZ1314" s="105"/>
    </row>
    <row r="1315" customHeight="1" spans="1:52">
      <c r="A1315" s="70">
        <v>1317</v>
      </c>
      <c r="B1315" s="204" t="s">
        <v>159</v>
      </c>
      <c r="C1315" s="70" t="s">
        <v>38</v>
      </c>
      <c r="D1315" s="205" t="s">
        <v>160</v>
      </c>
      <c r="E1315" s="71" t="s">
        <v>161</v>
      </c>
      <c r="F1315" s="72"/>
      <c r="G1315" s="73"/>
      <c r="H1315" s="225"/>
      <c r="I1315" s="102">
        <v>46142</v>
      </c>
      <c r="J1315" s="70" t="s">
        <v>767</v>
      </c>
      <c r="K1315" s="106"/>
      <c r="L1315" s="104" t="e">
        <f t="shared" si="367"/>
        <v>#VALUE!</v>
      </c>
      <c r="M1315" s="105" t="e">
        <f ca="1" t="shared" si="36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357"/>
        <v>0</v>
      </c>
      <c r="Z1315" s="105">
        <f ca="1" t="shared" si="358"/>
        <v>-46313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5"/>
      <c r="AO1315" s="115"/>
      <c r="AP1315" s="115"/>
      <c r="AQ1315" s="93"/>
      <c r="AR1315" s="93"/>
      <c r="AS1315" s="94"/>
      <c r="AT1315" s="95"/>
      <c r="AU1315" s="79"/>
      <c r="AV1315" s="117"/>
      <c r="AW1315" s="115"/>
      <c r="AX1315" s="106"/>
      <c r="AY1315" s="104"/>
      <c r="AZ1315" s="105"/>
    </row>
    <row r="1316" customHeight="1" spans="1:52">
      <c r="A1316" s="70">
        <v>1318</v>
      </c>
      <c r="B1316" s="204" t="s">
        <v>844</v>
      </c>
      <c r="C1316" s="70" t="s">
        <v>13</v>
      </c>
      <c r="D1316" s="205" t="s">
        <v>4069</v>
      </c>
      <c r="E1316" s="71" t="s">
        <v>126</v>
      </c>
      <c r="F1316" s="72"/>
      <c r="G1316" s="73"/>
      <c r="H1316" s="225"/>
      <c r="I1316" s="102">
        <v>46145</v>
      </c>
      <c r="J1316" s="70">
        <v>3</v>
      </c>
      <c r="K1316" s="106" t="s">
        <v>4070</v>
      </c>
      <c r="L1316" s="104">
        <f t="shared" si="367"/>
        <v>46237</v>
      </c>
      <c r="M1316" s="105">
        <f ca="1" t="shared" si="368"/>
        <v>-76</v>
      </c>
      <c r="N1316" s="70"/>
      <c r="O1316" s="204" t="s">
        <v>844</v>
      </c>
      <c r="P1316" s="70" t="s">
        <v>13</v>
      </c>
      <c r="Q1316" s="205" t="s">
        <v>4069</v>
      </c>
      <c r="R1316" s="71" t="s">
        <v>126</v>
      </c>
      <c r="S1316" s="72"/>
      <c r="T1316" s="73"/>
      <c r="U1316" s="225"/>
      <c r="V1316" s="102">
        <v>46257</v>
      </c>
      <c r="W1316" s="70">
        <v>3</v>
      </c>
      <c r="X1316" s="103" t="s">
        <v>4071</v>
      </c>
      <c r="Y1316" s="104">
        <f t="shared" ref="Y1316:Y1379" si="369">EDATE(V1316,W1316)</f>
        <v>46349</v>
      </c>
      <c r="Z1316" s="105">
        <f ca="1" t="shared" ref="Z1316:Z1379" si="370">Y1316-TODAY()</f>
        <v>36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5"/>
      <c r="AO1316" s="115"/>
      <c r="AP1316" s="115"/>
      <c r="AQ1316" s="93"/>
      <c r="AR1316" s="93"/>
      <c r="AS1316" s="94"/>
      <c r="AT1316" s="95"/>
      <c r="AU1316" s="79"/>
      <c r="AV1316" s="117"/>
      <c r="AW1316" s="115"/>
      <c r="AX1316" s="106"/>
      <c r="AY1316" s="104"/>
      <c r="AZ1316" s="105"/>
    </row>
    <row r="1317" customHeight="1" spans="1:52">
      <c r="A1317" s="70">
        <v>1319</v>
      </c>
      <c r="B1317" s="204" t="s">
        <v>844</v>
      </c>
      <c r="C1317" s="70" t="s">
        <v>38</v>
      </c>
      <c r="D1317" s="205" t="s">
        <v>4072</v>
      </c>
      <c r="E1317" s="71" t="s">
        <v>189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4073</v>
      </c>
      <c r="L1317" s="104">
        <f t="shared" si="367"/>
        <v>46237</v>
      </c>
      <c r="M1317" s="105">
        <f ca="1" t="shared" si="368"/>
        <v>-76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369"/>
        <v>0</v>
      </c>
      <c r="Z1317" s="105">
        <f ca="1" t="shared" si="370"/>
        <v>-46313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5"/>
      <c r="AO1317" s="115"/>
      <c r="AP1317" s="115"/>
      <c r="AQ1317" s="93"/>
      <c r="AR1317" s="93"/>
      <c r="AS1317" s="94"/>
      <c r="AT1317" s="95"/>
      <c r="AU1317" s="79"/>
      <c r="AV1317" s="117"/>
      <c r="AW1317" s="115"/>
      <c r="AX1317" s="106"/>
      <c r="AY1317" s="104"/>
      <c r="AZ1317" s="105"/>
    </row>
    <row r="1318" customHeight="1" spans="1:52">
      <c r="A1318" s="70">
        <v>1320</v>
      </c>
      <c r="B1318" s="204" t="s">
        <v>3985</v>
      </c>
      <c r="C1318" s="70" t="s">
        <v>13</v>
      </c>
      <c r="D1318" s="205" t="s">
        <v>4074</v>
      </c>
      <c r="E1318" s="71" t="s">
        <v>3987</v>
      </c>
      <c r="F1318" s="72"/>
      <c r="G1318" s="73"/>
      <c r="H1318" s="151"/>
      <c r="I1318" s="102">
        <v>46145</v>
      </c>
      <c r="J1318" s="70">
        <v>3</v>
      </c>
      <c r="K1318" s="106" t="s">
        <v>4075</v>
      </c>
      <c r="L1318" s="104">
        <f t="shared" si="367"/>
        <v>46237</v>
      </c>
      <c r="M1318" s="105">
        <f ca="1" t="shared" si="368"/>
        <v>-76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369"/>
        <v>0</v>
      </c>
      <c r="Z1318" s="105">
        <f ca="1" t="shared" si="370"/>
        <v>-46313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5"/>
      <c r="AO1318" s="115"/>
      <c r="AP1318" s="115"/>
      <c r="AQ1318" s="93"/>
      <c r="AR1318" s="93"/>
      <c r="AS1318" s="94"/>
      <c r="AT1318" s="95"/>
      <c r="AU1318" s="79"/>
      <c r="AV1318" s="117"/>
      <c r="AW1318" s="115"/>
      <c r="AX1318" s="106"/>
      <c r="AY1318" s="104"/>
      <c r="AZ1318" s="105"/>
    </row>
    <row r="1319" customHeight="1" spans="1:52">
      <c r="A1319" s="70">
        <v>1321</v>
      </c>
      <c r="B1319" s="204" t="s">
        <v>3985</v>
      </c>
      <c r="C1319" s="70" t="s">
        <v>13</v>
      </c>
      <c r="D1319" s="205" t="s">
        <v>4076</v>
      </c>
      <c r="E1319" s="71" t="s">
        <v>4077</v>
      </c>
      <c r="F1319" s="72"/>
      <c r="G1319" s="73"/>
      <c r="H1319" s="151"/>
      <c r="I1319" s="102">
        <v>46145</v>
      </c>
      <c r="J1319" s="70">
        <v>3</v>
      </c>
      <c r="K1319" s="106" t="s">
        <v>4078</v>
      </c>
      <c r="L1319" s="104">
        <f t="shared" si="367"/>
        <v>46237</v>
      </c>
      <c r="M1319" s="105">
        <f ca="1" t="shared" si="368"/>
        <v>-76</v>
      </c>
      <c r="N1319" s="70"/>
      <c r="O1319" s="204" t="s">
        <v>3985</v>
      </c>
      <c r="P1319" s="70" t="s">
        <v>13</v>
      </c>
      <c r="Q1319" s="205" t="s">
        <v>4076</v>
      </c>
      <c r="R1319" s="71" t="s">
        <v>4077</v>
      </c>
      <c r="S1319" s="72"/>
      <c r="T1319" s="73"/>
      <c r="U1319" s="151"/>
      <c r="V1319" s="102">
        <v>46288</v>
      </c>
      <c r="W1319" s="70">
        <v>3</v>
      </c>
      <c r="X1319" s="103" t="s">
        <v>4079</v>
      </c>
      <c r="Y1319" s="104">
        <f t="shared" si="369"/>
        <v>46379</v>
      </c>
      <c r="Z1319" s="105">
        <f ca="1" t="shared" si="370"/>
        <v>66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5"/>
      <c r="AO1319" s="115"/>
      <c r="AP1319" s="115"/>
      <c r="AQ1319" s="93"/>
      <c r="AR1319" s="93"/>
      <c r="AS1319" s="94"/>
      <c r="AT1319" s="95"/>
      <c r="AU1319" s="79"/>
      <c r="AV1319" s="117"/>
      <c r="AW1319" s="115"/>
      <c r="AX1319" s="106"/>
      <c r="AY1319" s="104"/>
      <c r="AZ1319" s="105"/>
    </row>
    <row r="1320" customHeight="1" spans="1:52">
      <c r="A1320" s="70">
        <v>1322</v>
      </c>
      <c r="B1320" s="70" t="s">
        <v>169</v>
      </c>
      <c r="C1320" s="70" t="s">
        <v>38</v>
      </c>
      <c r="D1320" s="205" t="s">
        <v>170</v>
      </c>
      <c r="E1320" s="71" t="s">
        <v>3230</v>
      </c>
      <c r="F1320" s="72"/>
      <c r="G1320" s="73"/>
      <c r="H1320" s="151"/>
      <c r="I1320" s="102">
        <v>46145</v>
      </c>
      <c r="J1320" s="70" t="s">
        <v>767</v>
      </c>
      <c r="K1320" s="106"/>
      <c r="L1320" s="104" t="e">
        <f t="shared" si="367"/>
        <v>#VALUE!</v>
      </c>
      <c r="M1320" s="105" t="e">
        <f ca="1" t="shared" si="36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369"/>
        <v>0</v>
      </c>
      <c r="Z1320" s="105">
        <f ca="1" t="shared" si="370"/>
        <v>-46313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5"/>
      <c r="AO1320" s="115"/>
      <c r="AP1320" s="115"/>
      <c r="AQ1320" s="93"/>
      <c r="AR1320" s="93"/>
      <c r="AS1320" s="94"/>
      <c r="AT1320" s="95"/>
      <c r="AU1320" s="79"/>
      <c r="AV1320" s="117"/>
      <c r="AW1320" s="115"/>
      <c r="AX1320" s="106"/>
      <c r="AY1320" s="104"/>
      <c r="AZ1320" s="105"/>
    </row>
    <row r="1321" customHeight="1" spans="1:52">
      <c r="A1321" s="70">
        <v>1323</v>
      </c>
      <c r="B1321" s="70" t="s">
        <v>134</v>
      </c>
      <c r="C1321" s="70" t="s">
        <v>13</v>
      </c>
      <c r="D1321" s="71" t="s">
        <v>4080</v>
      </c>
      <c r="E1321" s="71" t="s">
        <v>34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4081</v>
      </c>
      <c r="L1321" s="104">
        <f t="shared" si="367"/>
        <v>46238</v>
      </c>
      <c r="M1321" s="105">
        <f ca="1" t="shared" si="368"/>
        <v>-75</v>
      </c>
      <c r="N1321" s="70"/>
      <c r="O1321" s="70" t="s">
        <v>134</v>
      </c>
      <c r="P1321" s="70" t="s">
        <v>13</v>
      </c>
      <c r="Q1321" s="71" t="s">
        <v>4080</v>
      </c>
      <c r="R1321" s="71" t="s">
        <v>34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4082</v>
      </c>
      <c r="Y1321" s="104">
        <f t="shared" si="369"/>
        <v>46326</v>
      </c>
      <c r="Z1321" s="105">
        <f ca="1" t="shared" si="370"/>
        <v>13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5"/>
      <c r="AO1321" s="115"/>
      <c r="AP1321" s="115"/>
      <c r="AQ1321" s="93"/>
      <c r="AR1321" s="93"/>
      <c r="AS1321" s="94"/>
      <c r="AT1321" s="95"/>
      <c r="AU1321" s="79"/>
      <c r="AV1321" s="117"/>
      <c r="AW1321" s="115"/>
      <c r="AX1321" s="106"/>
      <c r="AY1321" s="104"/>
      <c r="AZ1321" s="105"/>
    </row>
    <row r="1322" customHeight="1" spans="1:52">
      <c r="A1322" s="70">
        <v>1324</v>
      </c>
      <c r="B1322" s="70" t="s">
        <v>1275</v>
      </c>
      <c r="C1322" s="70" t="s">
        <v>13</v>
      </c>
      <c r="D1322" s="71" t="s">
        <v>4083</v>
      </c>
      <c r="E1322" s="71" t="s">
        <v>126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4084</v>
      </c>
      <c r="L1322" s="104">
        <f t="shared" si="367"/>
        <v>46239</v>
      </c>
      <c r="M1322" s="105">
        <f ca="1" t="shared" si="368"/>
        <v>-74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369"/>
        <v>0</v>
      </c>
      <c r="Z1322" s="105">
        <f ca="1" t="shared" si="370"/>
        <v>-46313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5"/>
      <c r="AO1322" s="115"/>
      <c r="AP1322" s="115"/>
      <c r="AQ1322" s="93"/>
      <c r="AR1322" s="93"/>
      <c r="AS1322" s="94"/>
      <c r="AT1322" s="95"/>
      <c r="AU1322" s="79"/>
      <c r="AV1322" s="117"/>
      <c r="AW1322" s="115"/>
      <c r="AX1322" s="106"/>
      <c r="AY1322" s="104"/>
      <c r="AZ1322" s="105"/>
    </row>
    <row r="1323" customHeight="1" spans="1:52">
      <c r="A1323" s="70">
        <v>1325</v>
      </c>
      <c r="B1323" s="70" t="s">
        <v>751</v>
      </c>
      <c r="C1323" s="70" t="s">
        <v>13</v>
      </c>
      <c r="D1323" s="71" t="s">
        <v>4085</v>
      </c>
      <c r="E1323" s="71" t="s">
        <v>126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4086</v>
      </c>
      <c r="L1323" s="104">
        <f t="shared" ref="L1323:L1332" si="371">EDATE(I1323,J1323)</f>
        <v>46239</v>
      </c>
      <c r="M1323" s="105">
        <f ca="1" t="shared" ref="M1323:M1332" si="372">L1323-TODAY()</f>
        <v>-74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369"/>
        <v>0</v>
      </c>
      <c r="Z1323" s="105">
        <f ca="1" t="shared" si="370"/>
        <v>-46313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5"/>
      <c r="AO1323" s="115"/>
      <c r="AP1323" s="115"/>
      <c r="AQ1323" s="93"/>
      <c r="AR1323" s="93"/>
      <c r="AS1323" s="94"/>
      <c r="AT1323" s="95"/>
      <c r="AU1323" s="79"/>
      <c r="AV1323" s="117"/>
      <c r="AW1323" s="115"/>
      <c r="AX1323" s="106"/>
      <c r="AY1323" s="104"/>
      <c r="AZ1323" s="105"/>
    </row>
    <row r="1324" customHeight="1" spans="1:52">
      <c r="A1324" s="70">
        <v>1326</v>
      </c>
      <c r="B1324" s="70" t="s">
        <v>751</v>
      </c>
      <c r="C1324" s="70" t="s">
        <v>13</v>
      </c>
      <c r="D1324" s="71" t="s">
        <v>4087</v>
      </c>
      <c r="E1324" s="71" t="s">
        <v>126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4088</v>
      </c>
      <c r="L1324" s="104">
        <f t="shared" si="371"/>
        <v>46239</v>
      </c>
      <c r="M1324" s="105">
        <f ca="1" t="shared" si="372"/>
        <v>-74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369"/>
        <v>0</v>
      </c>
      <c r="Z1324" s="105">
        <f ca="1" t="shared" si="370"/>
        <v>-46313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5"/>
      <c r="AO1324" s="115"/>
      <c r="AP1324" s="115"/>
      <c r="AQ1324" s="93"/>
      <c r="AR1324" s="93"/>
      <c r="AS1324" s="94"/>
      <c r="AT1324" s="95"/>
      <c r="AU1324" s="79"/>
      <c r="AV1324" s="117"/>
      <c r="AW1324" s="115"/>
      <c r="AX1324" s="106"/>
      <c r="AY1324" s="104"/>
      <c r="AZ1324" s="105"/>
    </row>
    <row r="1325" customHeight="1" spans="1:52">
      <c r="A1325" s="70">
        <v>1327</v>
      </c>
      <c r="B1325" s="70" t="s">
        <v>751</v>
      </c>
      <c r="C1325" s="70" t="s">
        <v>13</v>
      </c>
      <c r="D1325" s="71" t="s">
        <v>4089</v>
      </c>
      <c r="E1325" s="71" t="s">
        <v>687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4090</v>
      </c>
      <c r="L1325" s="104">
        <f t="shared" si="371"/>
        <v>46239</v>
      </c>
      <c r="M1325" s="105">
        <f ca="1" t="shared" si="372"/>
        <v>-74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369"/>
        <v>0</v>
      </c>
      <c r="Z1325" s="105">
        <f ca="1" t="shared" si="370"/>
        <v>-46313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5"/>
      <c r="AO1325" s="115"/>
      <c r="AP1325" s="115"/>
      <c r="AQ1325" s="93"/>
      <c r="AR1325" s="93"/>
      <c r="AS1325" s="94"/>
      <c r="AT1325" s="95"/>
      <c r="AU1325" s="79"/>
      <c r="AV1325" s="117"/>
      <c r="AW1325" s="115"/>
      <c r="AX1325" s="106"/>
      <c r="AY1325" s="104"/>
      <c r="AZ1325" s="105"/>
    </row>
    <row r="1326" customHeight="1" spans="1:52">
      <c r="A1326" s="70">
        <v>1328</v>
      </c>
      <c r="B1326" s="70" t="s">
        <v>751</v>
      </c>
      <c r="C1326" s="70" t="s">
        <v>13</v>
      </c>
      <c r="D1326" s="71" t="s">
        <v>4091</v>
      </c>
      <c r="E1326" s="71" t="s">
        <v>4092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4093</v>
      </c>
      <c r="L1326" s="104">
        <f t="shared" si="371"/>
        <v>46239</v>
      </c>
      <c r="M1326" s="105">
        <f ca="1" t="shared" si="372"/>
        <v>-74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369"/>
        <v>0</v>
      </c>
      <c r="Z1326" s="105">
        <f ca="1" t="shared" si="370"/>
        <v>-46313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5"/>
      <c r="AO1326" s="115"/>
      <c r="AP1326" s="115"/>
      <c r="AQ1326" s="93"/>
      <c r="AR1326" s="93"/>
      <c r="AS1326" s="94"/>
      <c r="AT1326" s="95"/>
      <c r="AU1326" s="79"/>
      <c r="AV1326" s="117"/>
      <c r="AW1326" s="115"/>
      <c r="AX1326" s="106"/>
      <c r="AY1326" s="104"/>
      <c r="AZ1326" s="105"/>
    </row>
    <row r="1327" customHeight="1" spans="1:52">
      <c r="A1327" s="70">
        <v>1329</v>
      </c>
      <c r="B1327" s="70" t="s">
        <v>751</v>
      </c>
      <c r="C1327" s="70" t="s">
        <v>13</v>
      </c>
      <c r="D1327" s="71" t="s">
        <v>4094</v>
      </c>
      <c r="E1327" s="71" t="s">
        <v>126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4095</v>
      </c>
      <c r="L1327" s="104">
        <f t="shared" si="371"/>
        <v>46239</v>
      </c>
      <c r="M1327" s="105">
        <f ca="1" t="shared" si="372"/>
        <v>-74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369"/>
        <v>0</v>
      </c>
      <c r="Z1327" s="105">
        <f ca="1" t="shared" si="370"/>
        <v>-46313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5"/>
      <c r="AO1327" s="115"/>
      <c r="AP1327" s="115"/>
      <c r="AQ1327" s="93"/>
      <c r="AR1327" s="93"/>
      <c r="AS1327" s="94"/>
      <c r="AT1327" s="95"/>
      <c r="AU1327" s="79"/>
      <c r="AV1327" s="117"/>
      <c r="AW1327" s="115"/>
      <c r="AX1327" s="106"/>
      <c r="AY1327" s="104"/>
      <c r="AZ1327" s="105"/>
    </row>
    <row r="1328" customHeight="1" spans="1:52">
      <c r="A1328" s="70">
        <v>1330</v>
      </c>
      <c r="B1328" s="70" t="s">
        <v>751</v>
      </c>
      <c r="C1328" s="70" t="s">
        <v>13</v>
      </c>
      <c r="D1328" s="71" t="s">
        <v>4096</v>
      </c>
      <c r="E1328" s="71" t="s">
        <v>34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4097</v>
      </c>
      <c r="L1328" s="104">
        <f t="shared" si="371"/>
        <v>46239</v>
      </c>
      <c r="M1328" s="105">
        <f ca="1" t="shared" si="372"/>
        <v>-74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369"/>
        <v>0</v>
      </c>
      <c r="Z1328" s="105">
        <f ca="1" t="shared" si="370"/>
        <v>-46313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5"/>
      <c r="AO1328" s="115"/>
      <c r="AP1328" s="115"/>
      <c r="AQ1328" s="93"/>
      <c r="AR1328" s="93"/>
      <c r="AS1328" s="94"/>
      <c r="AT1328" s="95"/>
      <c r="AU1328" s="79"/>
      <c r="AV1328" s="117"/>
      <c r="AW1328" s="115"/>
      <c r="AX1328" s="106"/>
      <c r="AY1328" s="104"/>
      <c r="AZ1328" s="105"/>
    </row>
    <row r="1329" customHeight="1" spans="1:52">
      <c r="A1329" s="70">
        <v>1331</v>
      </c>
      <c r="B1329" s="70" t="s">
        <v>751</v>
      </c>
      <c r="C1329" s="70" t="s">
        <v>13</v>
      </c>
      <c r="D1329" s="71" t="s">
        <v>4098</v>
      </c>
      <c r="E1329" s="71" t="s">
        <v>687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4099</v>
      </c>
      <c r="L1329" s="104">
        <f t="shared" si="371"/>
        <v>46239</v>
      </c>
      <c r="M1329" s="105">
        <f ca="1" t="shared" si="372"/>
        <v>-74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369"/>
        <v>0</v>
      </c>
      <c r="Z1329" s="105">
        <f ca="1" t="shared" si="370"/>
        <v>-46313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5"/>
      <c r="AO1329" s="115"/>
      <c r="AP1329" s="115"/>
      <c r="AQ1329" s="93"/>
      <c r="AR1329" s="93"/>
      <c r="AS1329" s="94"/>
      <c r="AT1329" s="95"/>
      <c r="AU1329" s="79"/>
      <c r="AV1329" s="117"/>
      <c r="AW1329" s="115"/>
      <c r="AX1329" s="106"/>
      <c r="AY1329" s="104"/>
      <c r="AZ1329" s="105"/>
    </row>
    <row r="1330" customHeight="1" spans="1:52">
      <c r="A1330" s="70">
        <v>1332</v>
      </c>
      <c r="B1330" s="70" t="s">
        <v>751</v>
      </c>
      <c r="C1330" s="70" t="s">
        <v>13</v>
      </c>
      <c r="D1330" s="71" t="s">
        <v>4100</v>
      </c>
      <c r="E1330" s="71" t="s">
        <v>687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4101</v>
      </c>
      <c r="L1330" s="104">
        <f t="shared" si="371"/>
        <v>46239</v>
      </c>
      <c r="M1330" s="105">
        <f ca="1" t="shared" si="372"/>
        <v>-74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369"/>
        <v>0</v>
      </c>
      <c r="Z1330" s="105">
        <f ca="1" t="shared" si="370"/>
        <v>-46313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5"/>
      <c r="AO1330" s="115"/>
      <c r="AP1330" s="115"/>
      <c r="AQ1330" s="93"/>
      <c r="AR1330" s="93"/>
      <c r="AS1330" s="94"/>
      <c r="AT1330" s="95"/>
      <c r="AU1330" s="79"/>
      <c r="AV1330" s="117"/>
      <c r="AW1330" s="115"/>
      <c r="AX1330" s="106"/>
      <c r="AY1330" s="104"/>
      <c r="AZ1330" s="105"/>
    </row>
    <row r="1331" customHeight="1" spans="1:52">
      <c r="A1331" s="70">
        <v>1333</v>
      </c>
      <c r="B1331" s="204" t="s">
        <v>366</v>
      </c>
      <c r="C1331" s="70" t="s">
        <v>264</v>
      </c>
      <c r="D1331" s="71" t="s">
        <v>367</v>
      </c>
      <c r="E1331" s="71" t="s">
        <v>368</v>
      </c>
      <c r="F1331" s="72"/>
      <c r="G1331" s="73"/>
      <c r="H1331" s="75"/>
      <c r="I1331" s="102">
        <v>46147</v>
      </c>
      <c r="J1331" s="70" t="s">
        <v>767</v>
      </c>
      <c r="K1331" s="106"/>
      <c r="L1331" s="104" t="e">
        <f t="shared" si="371"/>
        <v>#VALUE!</v>
      </c>
      <c r="M1331" s="105" t="e">
        <f ca="1" t="shared" si="372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369"/>
        <v>0</v>
      </c>
      <c r="Z1331" s="105">
        <f ca="1" t="shared" si="370"/>
        <v>-46313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5"/>
      <c r="AO1331" s="115"/>
      <c r="AP1331" s="115"/>
      <c r="AQ1331" s="93"/>
      <c r="AR1331" s="93"/>
      <c r="AS1331" s="94"/>
      <c r="AT1331" s="95"/>
      <c r="AU1331" s="79"/>
      <c r="AV1331" s="117"/>
      <c r="AW1331" s="115"/>
      <c r="AX1331" s="106"/>
      <c r="AY1331" s="104"/>
      <c r="AZ1331" s="105"/>
    </row>
    <row r="1332" customHeight="1" spans="1:52">
      <c r="A1332" s="70">
        <v>1334</v>
      </c>
      <c r="B1332" s="108" t="s">
        <v>721</v>
      </c>
      <c r="C1332" s="70" t="s">
        <v>13</v>
      </c>
      <c r="D1332" s="205" t="s">
        <v>4102</v>
      </c>
      <c r="E1332" s="71" t="s">
        <v>989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4103</v>
      </c>
      <c r="L1332" s="104">
        <f t="shared" si="371"/>
        <v>46240</v>
      </c>
      <c r="M1332" s="105">
        <f ca="1" t="shared" si="372"/>
        <v>-73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369"/>
        <v>0</v>
      </c>
      <c r="Z1332" s="105">
        <f ca="1" t="shared" si="370"/>
        <v>-46313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5"/>
      <c r="AO1332" s="115"/>
      <c r="AP1332" s="115"/>
      <c r="AQ1332" s="93"/>
      <c r="AR1332" s="93"/>
      <c r="AS1332" s="94"/>
      <c r="AT1332" s="95"/>
      <c r="AU1332" s="79"/>
      <c r="AV1332" s="117"/>
      <c r="AW1332" s="115"/>
      <c r="AX1332" s="106"/>
      <c r="AY1332" s="104"/>
      <c r="AZ1332" s="105"/>
    </row>
    <row r="1333" customHeight="1" spans="1:52">
      <c r="A1333" s="70">
        <v>1335</v>
      </c>
      <c r="B1333" s="108" t="s">
        <v>721</v>
      </c>
      <c r="C1333" s="70" t="s">
        <v>13</v>
      </c>
      <c r="D1333" s="205" t="s">
        <v>4104</v>
      </c>
      <c r="E1333" s="71" t="s">
        <v>820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4105</v>
      </c>
      <c r="L1333" s="104">
        <f t="shared" ref="L1333:L1358" si="373">EDATE(I1333,J1333)</f>
        <v>46240</v>
      </c>
      <c r="M1333" s="105">
        <f ca="1" t="shared" ref="M1333:M1358" si="374">L1333-TODAY()</f>
        <v>-73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369"/>
        <v>0</v>
      </c>
      <c r="Z1333" s="105">
        <f ca="1" t="shared" si="370"/>
        <v>-46313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5"/>
      <c r="AO1333" s="115"/>
      <c r="AP1333" s="115"/>
      <c r="AQ1333" s="93"/>
      <c r="AR1333" s="93"/>
      <c r="AS1333" s="94"/>
      <c r="AT1333" s="95"/>
      <c r="AU1333" s="79"/>
      <c r="AV1333" s="117"/>
      <c r="AW1333" s="115"/>
      <c r="AX1333" s="106"/>
      <c r="AY1333" s="104"/>
      <c r="AZ1333" s="105"/>
    </row>
    <row r="1334" customHeight="1" spans="1:52">
      <c r="A1334" s="70">
        <v>1336</v>
      </c>
      <c r="B1334" s="108" t="s">
        <v>721</v>
      </c>
      <c r="C1334" s="70" t="s">
        <v>13</v>
      </c>
      <c r="D1334" s="205" t="s">
        <v>4106</v>
      </c>
      <c r="E1334" s="71" t="s">
        <v>4107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4108</v>
      </c>
      <c r="L1334" s="104">
        <f t="shared" si="373"/>
        <v>46240</v>
      </c>
      <c r="M1334" s="105">
        <f ca="1" t="shared" si="374"/>
        <v>-73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369"/>
        <v>0</v>
      </c>
      <c r="Z1334" s="105">
        <f ca="1" t="shared" si="370"/>
        <v>-46313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5"/>
      <c r="AO1334" s="115"/>
      <c r="AP1334" s="115"/>
      <c r="AQ1334" s="93"/>
      <c r="AR1334" s="93"/>
      <c r="AS1334" s="94"/>
      <c r="AT1334" s="95"/>
      <c r="AU1334" s="79"/>
      <c r="AV1334" s="117"/>
      <c r="AW1334" s="115"/>
      <c r="AX1334" s="106"/>
      <c r="AY1334" s="104"/>
      <c r="AZ1334" s="105"/>
    </row>
    <row r="1335" customHeight="1" spans="1:52">
      <c r="A1335" s="70">
        <v>1337</v>
      </c>
      <c r="B1335" s="108" t="s">
        <v>721</v>
      </c>
      <c r="C1335" s="70" t="s">
        <v>13</v>
      </c>
      <c r="D1335" s="205" t="s">
        <v>4109</v>
      </c>
      <c r="E1335" s="71" t="s">
        <v>4110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4111</v>
      </c>
      <c r="L1335" s="104">
        <f t="shared" si="373"/>
        <v>46240</v>
      </c>
      <c r="M1335" s="105">
        <f ca="1" t="shared" si="374"/>
        <v>-73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369"/>
        <v>0</v>
      </c>
      <c r="Z1335" s="105">
        <f ca="1" t="shared" si="370"/>
        <v>-46313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5"/>
      <c r="AO1335" s="115"/>
      <c r="AP1335" s="115"/>
      <c r="AQ1335" s="93"/>
      <c r="AR1335" s="93"/>
      <c r="AS1335" s="94"/>
      <c r="AT1335" s="95"/>
      <c r="AU1335" s="79"/>
      <c r="AV1335" s="117"/>
      <c r="AW1335" s="115"/>
      <c r="AX1335" s="106"/>
      <c r="AY1335" s="104"/>
      <c r="AZ1335" s="105"/>
    </row>
    <row r="1336" customHeight="1" spans="1:52">
      <c r="A1336" s="70">
        <v>1338</v>
      </c>
      <c r="B1336" s="108" t="s">
        <v>721</v>
      </c>
      <c r="C1336" s="70" t="s">
        <v>13</v>
      </c>
      <c r="D1336" s="205" t="s">
        <v>4112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4113</v>
      </c>
      <c r="L1336" s="104">
        <f t="shared" si="373"/>
        <v>46240</v>
      </c>
      <c r="M1336" s="105">
        <f ca="1" t="shared" si="374"/>
        <v>-73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369"/>
        <v>0</v>
      </c>
      <c r="Z1336" s="105">
        <f ca="1" t="shared" si="370"/>
        <v>-46313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5"/>
      <c r="AO1336" s="115"/>
      <c r="AP1336" s="115"/>
      <c r="AQ1336" s="93"/>
      <c r="AR1336" s="93"/>
      <c r="AS1336" s="94"/>
      <c r="AT1336" s="95"/>
      <c r="AU1336" s="79"/>
      <c r="AV1336" s="117"/>
      <c r="AW1336" s="115"/>
      <c r="AX1336" s="106"/>
      <c r="AY1336" s="104"/>
      <c r="AZ1336" s="105"/>
    </row>
    <row r="1337" customHeight="1" spans="1:52">
      <c r="A1337" s="70">
        <v>1339</v>
      </c>
      <c r="B1337" s="108" t="s">
        <v>721</v>
      </c>
      <c r="C1337" s="70" t="s">
        <v>38</v>
      </c>
      <c r="D1337" s="205" t="s">
        <v>4114</v>
      </c>
      <c r="E1337" s="71" t="s">
        <v>526</v>
      </c>
      <c r="F1337" s="72"/>
      <c r="G1337" s="73"/>
      <c r="H1337" s="75"/>
      <c r="I1337" s="102">
        <v>46148</v>
      </c>
      <c r="J1337" s="70">
        <v>3</v>
      </c>
      <c r="K1337" s="106" t="s">
        <v>4115</v>
      </c>
      <c r="L1337" s="104">
        <f t="shared" si="373"/>
        <v>46240</v>
      </c>
      <c r="M1337" s="105">
        <f ca="1" t="shared" si="374"/>
        <v>-73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369"/>
        <v>0</v>
      </c>
      <c r="Z1337" s="105">
        <f ca="1" t="shared" si="370"/>
        <v>-46313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5"/>
      <c r="AO1337" s="115"/>
      <c r="AP1337" s="115"/>
      <c r="AQ1337" s="93"/>
      <c r="AR1337" s="93"/>
      <c r="AS1337" s="94"/>
      <c r="AT1337" s="95"/>
      <c r="AU1337" s="79"/>
      <c r="AV1337" s="117"/>
      <c r="AW1337" s="115"/>
      <c r="AX1337" s="106"/>
      <c r="AY1337" s="104"/>
      <c r="AZ1337" s="105"/>
    </row>
    <row r="1338" customHeight="1" spans="1:52">
      <c r="A1338" s="70">
        <v>1340</v>
      </c>
      <c r="B1338" s="108" t="s">
        <v>721</v>
      </c>
      <c r="C1338" s="70" t="s">
        <v>13</v>
      </c>
      <c r="D1338" s="205" t="s">
        <v>4116</v>
      </c>
      <c r="E1338" s="71" t="s">
        <v>687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4117</v>
      </c>
      <c r="L1338" s="104">
        <f t="shared" si="373"/>
        <v>46240</v>
      </c>
      <c r="M1338" s="105">
        <f ca="1" t="shared" si="374"/>
        <v>-73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369"/>
        <v>0</v>
      </c>
      <c r="Z1338" s="105">
        <f ca="1" t="shared" si="370"/>
        <v>-46313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5"/>
      <c r="AO1338" s="115"/>
      <c r="AP1338" s="115"/>
      <c r="AQ1338" s="93"/>
      <c r="AR1338" s="93"/>
      <c r="AS1338" s="94"/>
      <c r="AT1338" s="95"/>
      <c r="AU1338" s="79"/>
      <c r="AV1338" s="117"/>
      <c r="AW1338" s="115"/>
      <c r="AX1338" s="106"/>
      <c r="AY1338" s="104"/>
      <c r="AZ1338" s="105"/>
    </row>
    <row r="1339" customHeight="1" spans="1:52">
      <c r="A1339" s="70">
        <v>1341</v>
      </c>
      <c r="B1339" s="108" t="s">
        <v>2575</v>
      </c>
      <c r="C1339" s="70" t="s">
        <v>13</v>
      </c>
      <c r="D1339" s="205" t="s">
        <v>4118</v>
      </c>
      <c r="E1339" s="71" t="s">
        <v>4119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4120</v>
      </c>
      <c r="L1339" s="104">
        <f t="shared" si="373"/>
        <v>46240</v>
      </c>
      <c r="M1339" s="105">
        <f ca="1" t="shared" si="374"/>
        <v>-73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369"/>
        <v>0</v>
      </c>
      <c r="Z1339" s="105">
        <f ca="1" t="shared" si="370"/>
        <v>-46313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5"/>
      <c r="AO1339" s="115"/>
      <c r="AP1339" s="115"/>
      <c r="AQ1339" s="93"/>
      <c r="AR1339" s="93"/>
      <c r="AS1339" s="94"/>
      <c r="AT1339" s="95"/>
      <c r="AU1339" s="79"/>
      <c r="AV1339" s="117"/>
      <c r="AW1339" s="115"/>
      <c r="AX1339" s="106"/>
      <c r="AY1339" s="104"/>
      <c r="AZ1339" s="105"/>
    </row>
    <row r="1340" customHeight="1" spans="1:52">
      <c r="A1340" s="70">
        <v>1342</v>
      </c>
      <c r="B1340" s="108" t="s">
        <v>2575</v>
      </c>
      <c r="C1340" s="70" t="s">
        <v>13</v>
      </c>
      <c r="D1340" s="205" t="s">
        <v>4121</v>
      </c>
      <c r="E1340" s="71" t="s">
        <v>4122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4123</v>
      </c>
      <c r="L1340" s="104">
        <f t="shared" si="373"/>
        <v>46240</v>
      </c>
      <c r="M1340" s="105">
        <f ca="1" t="shared" si="374"/>
        <v>-73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369"/>
        <v>0</v>
      </c>
      <c r="Z1340" s="105">
        <f ca="1" t="shared" si="370"/>
        <v>-46313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5"/>
      <c r="AO1340" s="115"/>
      <c r="AP1340" s="115"/>
      <c r="AQ1340" s="93"/>
      <c r="AR1340" s="93"/>
      <c r="AS1340" s="94"/>
      <c r="AT1340" s="95"/>
      <c r="AU1340" s="79"/>
      <c r="AV1340" s="117"/>
      <c r="AW1340" s="115"/>
      <c r="AX1340" s="106"/>
      <c r="AY1340" s="104"/>
      <c r="AZ1340" s="105"/>
    </row>
    <row r="1341" customHeight="1" spans="1:52">
      <c r="A1341" s="70">
        <v>1343</v>
      </c>
      <c r="B1341" s="204" t="s">
        <v>4124</v>
      </c>
      <c r="C1341" s="70" t="s">
        <v>13</v>
      </c>
      <c r="D1341" s="71" t="s">
        <v>4125</v>
      </c>
      <c r="E1341" s="71" t="s">
        <v>1003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4126</v>
      </c>
      <c r="L1341" s="104">
        <f t="shared" si="373"/>
        <v>46240</v>
      </c>
      <c r="M1341" s="105">
        <f ca="1" t="shared" si="374"/>
        <v>-73</v>
      </c>
      <c r="N1341" s="70"/>
      <c r="O1341" s="204" t="s">
        <v>4124</v>
      </c>
      <c r="P1341" s="70" t="s">
        <v>13</v>
      </c>
      <c r="Q1341" s="71" t="s">
        <v>4125</v>
      </c>
      <c r="R1341" s="71" t="s">
        <v>1003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4127</v>
      </c>
      <c r="Y1341" s="104">
        <f t="shared" si="369"/>
        <v>46320</v>
      </c>
      <c r="Z1341" s="105">
        <f ca="1" t="shared" si="370"/>
        <v>7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5"/>
      <c r="AO1341" s="115"/>
      <c r="AP1341" s="115"/>
      <c r="AQ1341" s="93"/>
      <c r="AR1341" s="93"/>
      <c r="AS1341" s="94"/>
      <c r="AT1341" s="95"/>
      <c r="AU1341" s="79"/>
      <c r="AV1341" s="117"/>
      <c r="AW1341" s="115"/>
      <c r="AX1341" s="106"/>
      <c r="AY1341" s="104"/>
      <c r="AZ1341" s="105"/>
    </row>
    <row r="1342" customHeight="1" spans="1:52">
      <c r="A1342" s="70">
        <v>1344</v>
      </c>
      <c r="B1342" s="204" t="s">
        <v>4128</v>
      </c>
      <c r="C1342" s="70" t="s">
        <v>13</v>
      </c>
      <c r="D1342" s="205" t="s">
        <v>4129</v>
      </c>
      <c r="E1342" s="71" t="s">
        <v>76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4130</v>
      </c>
      <c r="L1342" s="104">
        <f t="shared" si="373"/>
        <v>46240</v>
      </c>
      <c r="M1342" s="105">
        <f ca="1" t="shared" si="374"/>
        <v>-73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369"/>
        <v>0</v>
      </c>
      <c r="Z1342" s="105">
        <f ca="1" t="shared" si="370"/>
        <v>-46313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5"/>
      <c r="AO1342" s="115"/>
      <c r="AP1342" s="115"/>
      <c r="AQ1342" s="93"/>
      <c r="AR1342" s="93"/>
      <c r="AS1342" s="94"/>
      <c r="AT1342" s="95"/>
      <c r="AU1342" s="79"/>
      <c r="AV1342" s="117"/>
      <c r="AW1342" s="115"/>
      <c r="AX1342" s="106"/>
      <c r="AY1342" s="104"/>
      <c r="AZ1342" s="105"/>
    </row>
    <row r="1343" customHeight="1" spans="1:52">
      <c r="A1343" s="70">
        <v>1345</v>
      </c>
      <c r="B1343" s="108" t="s">
        <v>782</v>
      </c>
      <c r="C1343" s="70" t="s">
        <v>13</v>
      </c>
      <c r="D1343" s="205" t="s">
        <v>4131</v>
      </c>
      <c r="E1343" s="71" t="s">
        <v>3273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4132</v>
      </c>
      <c r="L1343" s="104">
        <f t="shared" si="373"/>
        <v>46240</v>
      </c>
      <c r="M1343" s="105">
        <f ca="1" t="shared" si="374"/>
        <v>-73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369"/>
        <v>0</v>
      </c>
      <c r="Z1343" s="105">
        <f ca="1" t="shared" si="370"/>
        <v>-46313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5"/>
      <c r="AO1343" s="115"/>
      <c r="AP1343" s="115"/>
      <c r="AQ1343" s="93"/>
      <c r="AR1343" s="93"/>
      <c r="AS1343" s="94"/>
      <c r="AT1343" s="95"/>
      <c r="AU1343" s="79"/>
      <c r="AV1343" s="117"/>
      <c r="AW1343" s="115"/>
      <c r="AX1343" s="106"/>
      <c r="AY1343" s="104"/>
      <c r="AZ1343" s="105"/>
    </row>
    <row r="1344" customHeight="1" spans="1:52">
      <c r="A1344" s="70">
        <v>1346</v>
      </c>
      <c r="B1344" s="204" t="s">
        <v>798</v>
      </c>
      <c r="C1344" s="70" t="s">
        <v>13</v>
      </c>
      <c r="D1344" s="205" t="s">
        <v>4133</v>
      </c>
      <c r="E1344" s="71" t="s">
        <v>4134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4135</v>
      </c>
      <c r="L1344" s="104">
        <f t="shared" si="373"/>
        <v>46240</v>
      </c>
      <c r="M1344" s="105">
        <f ca="1" t="shared" si="374"/>
        <v>-73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369"/>
        <v>0</v>
      </c>
      <c r="Z1344" s="105">
        <f ca="1" t="shared" si="370"/>
        <v>-46313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5"/>
      <c r="AO1344" s="115"/>
      <c r="AP1344" s="115"/>
      <c r="AQ1344" s="93"/>
      <c r="AR1344" s="93"/>
      <c r="AS1344" s="94"/>
      <c r="AT1344" s="95"/>
      <c r="AU1344" s="79"/>
      <c r="AV1344" s="117"/>
      <c r="AW1344" s="115"/>
      <c r="AX1344" s="106"/>
      <c r="AY1344" s="104"/>
      <c r="AZ1344" s="105"/>
    </row>
    <row r="1345" customHeight="1" spans="1:52">
      <c r="A1345" s="70">
        <v>1347</v>
      </c>
      <c r="B1345" s="204" t="s">
        <v>1234</v>
      </c>
      <c r="C1345" s="70" t="s">
        <v>264</v>
      </c>
      <c r="D1345" s="205" t="s">
        <v>4136</v>
      </c>
      <c r="E1345" s="71" t="s">
        <v>753</v>
      </c>
      <c r="F1345" s="72"/>
      <c r="G1345" s="73"/>
      <c r="H1345" s="75"/>
      <c r="I1345" s="102">
        <v>46148</v>
      </c>
      <c r="J1345" s="70">
        <v>3</v>
      </c>
      <c r="K1345" s="106" t="s">
        <v>4137</v>
      </c>
      <c r="L1345" s="104">
        <f t="shared" si="373"/>
        <v>46240</v>
      </c>
      <c r="M1345" s="105">
        <f ca="1" t="shared" si="374"/>
        <v>-73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369"/>
        <v>0</v>
      </c>
      <c r="Z1345" s="105">
        <f ca="1" t="shared" si="370"/>
        <v>-46313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5"/>
      <c r="AO1345" s="115"/>
      <c r="AP1345" s="115"/>
      <c r="AQ1345" s="93"/>
      <c r="AR1345" s="93"/>
      <c r="AS1345" s="94"/>
      <c r="AT1345" s="95"/>
      <c r="AU1345" s="79"/>
      <c r="AV1345" s="117"/>
      <c r="AW1345" s="115"/>
      <c r="AX1345" s="106"/>
      <c r="AY1345" s="104"/>
      <c r="AZ1345" s="105"/>
    </row>
    <row r="1346" customHeight="1" spans="1:52">
      <c r="A1346" s="70">
        <v>1348</v>
      </c>
      <c r="B1346" s="204" t="s">
        <v>281</v>
      </c>
      <c r="C1346" s="70" t="s">
        <v>264</v>
      </c>
      <c r="D1346" s="205" t="s">
        <v>2618</v>
      </c>
      <c r="E1346" s="71" t="s">
        <v>364</v>
      </c>
      <c r="F1346" s="72"/>
      <c r="G1346" s="73"/>
      <c r="H1346" s="75"/>
      <c r="I1346" s="102">
        <v>46148</v>
      </c>
      <c r="J1346" s="70" t="s">
        <v>767</v>
      </c>
      <c r="K1346" s="106"/>
      <c r="L1346" s="104" t="e">
        <f t="shared" si="373"/>
        <v>#VALUE!</v>
      </c>
      <c r="M1346" s="105" t="e">
        <f ca="1" t="shared" si="374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369"/>
        <v>0</v>
      </c>
      <c r="Z1346" s="105">
        <f ca="1" t="shared" si="370"/>
        <v>-46313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5"/>
      <c r="AO1346" s="115"/>
      <c r="AP1346" s="115"/>
      <c r="AQ1346" s="93"/>
      <c r="AR1346" s="93"/>
      <c r="AS1346" s="94"/>
      <c r="AT1346" s="95"/>
      <c r="AU1346" s="79"/>
      <c r="AV1346" s="117"/>
      <c r="AW1346" s="115"/>
      <c r="AX1346" s="106"/>
      <c r="AY1346" s="104"/>
      <c r="AZ1346" s="105"/>
    </row>
    <row r="1347" customHeight="1" spans="1:52">
      <c r="A1347" s="70">
        <v>1349</v>
      </c>
      <c r="B1347" s="204" t="s">
        <v>263</v>
      </c>
      <c r="C1347" s="70" t="s">
        <v>264</v>
      </c>
      <c r="D1347" s="205" t="s">
        <v>265</v>
      </c>
      <c r="E1347" s="71" t="s">
        <v>266</v>
      </c>
      <c r="F1347" s="72"/>
      <c r="G1347" s="73"/>
      <c r="H1347" s="75"/>
      <c r="I1347" s="102">
        <v>46148</v>
      </c>
      <c r="J1347" s="70" t="s">
        <v>767</v>
      </c>
      <c r="K1347" s="106"/>
      <c r="L1347" s="104" t="e">
        <f t="shared" si="373"/>
        <v>#VALUE!</v>
      </c>
      <c r="M1347" s="105" t="e">
        <f ca="1" t="shared" si="374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369"/>
        <v>0</v>
      </c>
      <c r="Z1347" s="105">
        <f ca="1" t="shared" si="370"/>
        <v>-46313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5"/>
      <c r="AO1347" s="115"/>
      <c r="AP1347" s="115"/>
      <c r="AQ1347" s="93"/>
      <c r="AR1347" s="93"/>
      <c r="AS1347" s="94"/>
      <c r="AT1347" s="95"/>
      <c r="AU1347" s="79"/>
      <c r="AV1347" s="117"/>
      <c r="AW1347" s="115"/>
      <c r="AX1347" s="106"/>
      <c r="AY1347" s="104"/>
      <c r="AZ1347" s="105"/>
    </row>
    <row r="1348" customHeight="1" spans="1:52">
      <c r="A1348" s="70">
        <v>1350</v>
      </c>
      <c r="B1348" s="204" t="s">
        <v>3780</v>
      </c>
      <c r="C1348" s="70" t="s">
        <v>264</v>
      </c>
      <c r="D1348" s="205" t="s">
        <v>367</v>
      </c>
      <c r="E1348" s="71" t="s">
        <v>368</v>
      </c>
      <c r="F1348" s="72"/>
      <c r="G1348" s="73"/>
      <c r="H1348" s="75"/>
      <c r="I1348" s="102">
        <v>46148</v>
      </c>
      <c r="J1348" s="70" t="s">
        <v>767</v>
      </c>
      <c r="K1348" s="106"/>
      <c r="L1348" s="104" t="e">
        <f t="shared" si="373"/>
        <v>#VALUE!</v>
      </c>
      <c r="M1348" s="105" t="e">
        <f ca="1" t="shared" si="374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369"/>
        <v>0</v>
      </c>
      <c r="Z1348" s="105">
        <f ca="1" t="shared" si="370"/>
        <v>-46313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5"/>
      <c r="AO1348" s="115"/>
      <c r="AP1348" s="115"/>
      <c r="AQ1348" s="93"/>
      <c r="AR1348" s="93"/>
      <c r="AS1348" s="94"/>
      <c r="AT1348" s="95"/>
      <c r="AU1348" s="79"/>
      <c r="AV1348" s="117"/>
      <c r="AW1348" s="115"/>
      <c r="AX1348" s="106"/>
      <c r="AY1348" s="104"/>
      <c r="AZ1348" s="105"/>
    </row>
    <row r="1349" customHeight="1" spans="1:52">
      <c r="A1349" s="70">
        <v>1351</v>
      </c>
      <c r="B1349" s="204" t="s">
        <v>2575</v>
      </c>
      <c r="C1349" s="70" t="s">
        <v>13</v>
      </c>
      <c r="D1349" s="205" t="s">
        <v>4138</v>
      </c>
      <c r="E1349" s="71" t="s">
        <v>76</v>
      </c>
      <c r="F1349" s="72"/>
      <c r="G1349" s="73"/>
      <c r="H1349" s="75"/>
      <c r="I1349" s="102">
        <v>46149</v>
      </c>
      <c r="J1349" s="70">
        <v>3</v>
      </c>
      <c r="K1349" s="106" t="s">
        <v>4139</v>
      </c>
      <c r="L1349" s="104">
        <f t="shared" si="373"/>
        <v>46241</v>
      </c>
      <c r="M1349" s="105">
        <f ca="1" t="shared" si="374"/>
        <v>-72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369"/>
        <v>0</v>
      </c>
      <c r="Z1349" s="105">
        <f ca="1" t="shared" si="370"/>
        <v>-46313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5"/>
      <c r="AO1349" s="115"/>
      <c r="AP1349" s="115"/>
      <c r="AQ1349" s="93"/>
      <c r="AR1349" s="93"/>
      <c r="AS1349" s="94"/>
      <c r="AT1349" s="95"/>
      <c r="AU1349" s="79"/>
      <c r="AV1349" s="117"/>
      <c r="AW1349" s="115"/>
      <c r="AX1349" s="106"/>
      <c r="AY1349" s="104"/>
      <c r="AZ1349" s="105"/>
    </row>
    <row r="1350" customHeight="1" spans="1:52">
      <c r="A1350" s="70">
        <v>1352</v>
      </c>
      <c r="B1350" s="204" t="s">
        <v>2575</v>
      </c>
      <c r="C1350" s="70" t="s">
        <v>13</v>
      </c>
      <c r="D1350" s="205" t="s">
        <v>4140</v>
      </c>
      <c r="E1350" s="71" t="s">
        <v>687</v>
      </c>
      <c r="F1350" s="72"/>
      <c r="G1350" s="73"/>
      <c r="H1350" s="75"/>
      <c r="I1350" s="102">
        <v>46149</v>
      </c>
      <c r="J1350" s="70">
        <v>3</v>
      </c>
      <c r="K1350" s="106" t="s">
        <v>4141</v>
      </c>
      <c r="L1350" s="104">
        <f t="shared" si="373"/>
        <v>46241</v>
      </c>
      <c r="M1350" s="105">
        <f ca="1" t="shared" si="374"/>
        <v>-72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369"/>
        <v>0</v>
      </c>
      <c r="Z1350" s="105">
        <f ca="1" t="shared" si="370"/>
        <v>-46313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5"/>
      <c r="AO1350" s="115"/>
      <c r="AP1350" s="115"/>
      <c r="AQ1350" s="93"/>
      <c r="AR1350" s="93"/>
      <c r="AS1350" s="94"/>
      <c r="AT1350" s="95"/>
      <c r="AU1350" s="79"/>
      <c r="AV1350" s="117"/>
      <c r="AW1350" s="115"/>
      <c r="AX1350" s="106"/>
      <c r="AY1350" s="104"/>
      <c r="AZ1350" s="105"/>
    </row>
    <row r="1351" customHeight="1" spans="1:52">
      <c r="A1351" s="70">
        <v>1353</v>
      </c>
      <c r="B1351" s="204" t="s">
        <v>281</v>
      </c>
      <c r="C1351" s="70" t="s">
        <v>264</v>
      </c>
      <c r="D1351" s="205" t="s">
        <v>4142</v>
      </c>
      <c r="E1351" s="71" t="s">
        <v>277</v>
      </c>
      <c r="F1351" s="72"/>
      <c r="G1351" s="73"/>
      <c r="H1351" s="75"/>
      <c r="I1351" s="102">
        <v>46149</v>
      </c>
      <c r="J1351" s="70">
        <v>3</v>
      </c>
      <c r="K1351" s="106" t="s">
        <v>4143</v>
      </c>
      <c r="L1351" s="104">
        <f t="shared" si="373"/>
        <v>46241</v>
      </c>
      <c r="M1351" s="105">
        <f ca="1" t="shared" si="374"/>
        <v>-72</v>
      </c>
      <c r="N1351" s="70"/>
      <c r="O1351" s="204" t="s">
        <v>281</v>
      </c>
      <c r="P1351" s="70" t="s">
        <v>264</v>
      </c>
      <c r="Q1351" s="205" t="s">
        <v>4142</v>
      </c>
      <c r="R1351" s="71" t="s">
        <v>277</v>
      </c>
      <c r="S1351" s="72"/>
      <c r="T1351" s="73"/>
      <c r="U1351" s="75"/>
      <c r="V1351" s="102">
        <v>46245</v>
      </c>
      <c r="W1351" s="70">
        <v>3</v>
      </c>
      <c r="X1351" s="103" t="s">
        <v>4144</v>
      </c>
      <c r="Y1351" s="104">
        <f t="shared" si="369"/>
        <v>46337</v>
      </c>
      <c r="Z1351" s="105">
        <f ca="1" t="shared" si="370"/>
        <v>24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5"/>
      <c r="AO1351" s="115"/>
      <c r="AP1351" s="115"/>
      <c r="AQ1351" s="93"/>
      <c r="AR1351" s="93"/>
      <c r="AS1351" s="94"/>
      <c r="AT1351" s="95"/>
      <c r="AU1351" s="79"/>
      <c r="AV1351" s="117"/>
      <c r="AW1351" s="115"/>
      <c r="AX1351" s="106"/>
      <c r="AY1351" s="104"/>
      <c r="AZ1351" s="105"/>
    </row>
    <row r="1352" customHeight="1" spans="1:52">
      <c r="A1352" s="70">
        <v>1354</v>
      </c>
      <c r="B1352" s="70" t="s">
        <v>134</v>
      </c>
      <c r="C1352" s="70" t="s">
        <v>38</v>
      </c>
      <c r="D1352" s="71" t="s">
        <v>4145</v>
      </c>
      <c r="E1352" s="71" t="s">
        <v>3837</v>
      </c>
      <c r="F1352" s="72"/>
      <c r="G1352" s="73"/>
      <c r="H1352" s="75"/>
      <c r="I1352" s="102">
        <v>46149</v>
      </c>
      <c r="J1352" s="70" t="s">
        <v>767</v>
      </c>
      <c r="K1352" s="106"/>
      <c r="L1352" s="104" t="e">
        <f t="shared" si="373"/>
        <v>#VALUE!</v>
      </c>
      <c r="M1352" s="105" t="e">
        <f ca="1" t="shared" si="374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369"/>
        <v>0</v>
      </c>
      <c r="Z1352" s="105">
        <f ca="1" t="shared" si="370"/>
        <v>-46313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5"/>
      <c r="AO1352" s="115"/>
      <c r="AP1352" s="115"/>
      <c r="AQ1352" s="93"/>
      <c r="AR1352" s="93"/>
      <c r="AS1352" s="94"/>
      <c r="AT1352" s="95"/>
      <c r="AU1352" s="79"/>
      <c r="AV1352" s="117"/>
      <c r="AW1352" s="115"/>
      <c r="AX1352" s="106"/>
      <c r="AY1352" s="104"/>
      <c r="AZ1352" s="105"/>
    </row>
    <row r="1353" customHeight="1" spans="1:52">
      <c r="A1353" s="70">
        <v>1355</v>
      </c>
      <c r="B1353" s="105" t="s">
        <v>229</v>
      </c>
      <c r="C1353" s="70" t="s">
        <v>13</v>
      </c>
      <c r="D1353" s="71" t="s">
        <v>4146</v>
      </c>
      <c r="E1353" s="71" t="s">
        <v>76</v>
      </c>
      <c r="F1353" s="72"/>
      <c r="G1353" s="73"/>
      <c r="H1353" s="75"/>
      <c r="I1353" s="102">
        <v>46150</v>
      </c>
      <c r="J1353" s="70">
        <v>3</v>
      </c>
      <c r="K1353" s="106" t="s">
        <v>4147</v>
      </c>
      <c r="L1353" s="104">
        <f t="shared" si="373"/>
        <v>46242</v>
      </c>
      <c r="M1353" s="105">
        <f ca="1" t="shared" si="374"/>
        <v>-71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369"/>
        <v>0</v>
      </c>
      <c r="Z1353" s="105">
        <f ca="1" t="shared" si="370"/>
        <v>-46313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5"/>
      <c r="AO1353" s="115"/>
      <c r="AP1353" s="115"/>
      <c r="AQ1353" s="93"/>
      <c r="AR1353" s="93"/>
      <c r="AS1353" s="94"/>
      <c r="AT1353" s="95"/>
      <c r="AU1353" s="79"/>
      <c r="AV1353" s="117"/>
      <c r="AW1353" s="115"/>
      <c r="AX1353" s="106"/>
      <c r="AY1353" s="104"/>
      <c r="AZ1353" s="105"/>
    </row>
    <row r="1354" customHeight="1" spans="1:52">
      <c r="A1354" s="70">
        <v>1356</v>
      </c>
      <c r="B1354" s="105" t="s">
        <v>782</v>
      </c>
      <c r="C1354" s="70" t="s">
        <v>374</v>
      </c>
      <c r="D1354" s="71" t="s">
        <v>4148</v>
      </c>
      <c r="E1354" s="71" t="s">
        <v>3027</v>
      </c>
      <c r="F1354" s="72"/>
      <c r="G1354" s="73"/>
      <c r="H1354" s="75"/>
      <c r="I1354" s="102">
        <v>46150</v>
      </c>
      <c r="J1354" s="70">
        <v>3</v>
      </c>
      <c r="K1354" s="106" t="s">
        <v>4149</v>
      </c>
      <c r="L1354" s="104">
        <f t="shared" si="373"/>
        <v>46242</v>
      </c>
      <c r="M1354" s="105">
        <f ca="1" t="shared" si="374"/>
        <v>-71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369"/>
        <v>0</v>
      </c>
      <c r="Z1354" s="105">
        <f ca="1" t="shared" si="370"/>
        <v>-46313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5"/>
      <c r="AO1354" s="115"/>
      <c r="AP1354" s="115"/>
      <c r="AQ1354" s="93"/>
      <c r="AR1354" s="93"/>
      <c r="AS1354" s="94"/>
      <c r="AT1354" s="95"/>
      <c r="AU1354" s="79"/>
      <c r="AV1354" s="117"/>
      <c r="AW1354" s="115"/>
      <c r="AX1354" s="106"/>
      <c r="AY1354" s="104"/>
      <c r="AZ1354" s="105"/>
    </row>
    <row r="1355" customHeight="1" spans="1:52">
      <c r="A1355" s="70">
        <v>1357</v>
      </c>
      <c r="B1355" s="204" t="s">
        <v>2120</v>
      </c>
      <c r="C1355" s="70" t="s">
        <v>38</v>
      </c>
      <c r="D1355" s="71" t="s">
        <v>4150</v>
      </c>
      <c r="E1355" s="71" t="s">
        <v>2122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4151</v>
      </c>
      <c r="L1355" s="104">
        <f t="shared" ref="L1355:L1363" si="375">EDATE(I1355,J1355)</f>
        <v>46242</v>
      </c>
      <c r="M1355" s="105">
        <f ca="1" t="shared" ref="M1355:M1363" si="376">L1355-TODAY()</f>
        <v>-71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369"/>
        <v>0</v>
      </c>
      <c r="Z1355" s="105">
        <f ca="1" t="shared" si="370"/>
        <v>-46313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5"/>
      <c r="AO1355" s="115"/>
      <c r="AP1355" s="115"/>
      <c r="AQ1355" s="93"/>
      <c r="AR1355" s="93"/>
      <c r="AS1355" s="94"/>
      <c r="AT1355" s="95"/>
      <c r="AU1355" s="79"/>
      <c r="AV1355" s="117"/>
      <c r="AW1355" s="115"/>
      <c r="AX1355" s="106"/>
      <c r="AY1355" s="104"/>
      <c r="AZ1355" s="105"/>
    </row>
    <row r="1356" customHeight="1" spans="1:52">
      <c r="A1356" s="70">
        <v>1358</v>
      </c>
      <c r="B1356" s="204" t="s">
        <v>373</v>
      </c>
      <c r="C1356" s="70" t="s">
        <v>374</v>
      </c>
      <c r="D1356" s="71" t="s">
        <v>1969</v>
      </c>
      <c r="E1356" s="71" t="s">
        <v>376</v>
      </c>
      <c r="F1356" s="72"/>
      <c r="G1356" s="73"/>
      <c r="H1356" s="75"/>
      <c r="I1356" s="102">
        <v>46150</v>
      </c>
      <c r="J1356" s="70" t="s">
        <v>434</v>
      </c>
      <c r="K1356" s="106"/>
      <c r="L1356" s="104" t="e">
        <f t="shared" si="375"/>
        <v>#VALUE!</v>
      </c>
      <c r="M1356" s="105" t="e">
        <f ca="1" t="shared" si="376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369"/>
        <v>0</v>
      </c>
      <c r="Z1356" s="105">
        <f ca="1" t="shared" si="370"/>
        <v>-46313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5"/>
      <c r="AO1356" s="115"/>
      <c r="AP1356" s="115"/>
      <c r="AQ1356" s="93"/>
      <c r="AR1356" s="93"/>
      <c r="AS1356" s="94"/>
      <c r="AT1356" s="95"/>
      <c r="AU1356" s="79"/>
      <c r="AV1356" s="117"/>
      <c r="AW1356" s="115"/>
      <c r="AX1356" s="106"/>
      <c r="AY1356" s="104"/>
      <c r="AZ1356" s="105"/>
    </row>
    <row r="1357" customHeight="1" spans="1:52">
      <c r="A1357" s="70">
        <v>1359</v>
      </c>
      <c r="B1357" s="70" t="s">
        <v>751</v>
      </c>
      <c r="C1357" s="70" t="s">
        <v>38</v>
      </c>
      <c r="D1357" s="71" t="s">
        <v>4152</v>
      </c>
      <c r="E1357" s="71" t="s">
        <v>4019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4153</v>
      </c>
      <c r="L1357" s="104">
        <f t="shared" si="375"/>
        <v>46243</v>
      </c>
      <c r="M1357" s="105">
        <f ca="1" t="shared" si="376"/>
        <v>-70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369"/>
        <v>0</v>
      </c>
      <c r="Z1357" s="105">
        <f ca="1" t="shared" si="370"/>
        <v>-46313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5"/>
      <c r="AO1357" s="115"/>
      <c r="AP1357" s="115"/>
      <c r="AQ1357" s="93"/>
      <c r="AR1357" s="93"/>
      <c r="AS1357" s="94"/>
      <c r="AT1357" s="95"/>
      <c r="AU1357" s="79"/>
      <c r="AV1357" s="117"/>
      <c r="AW1357" s="115"/>
      <c r="AX1357" s="106"/>
      <c r="AY1357" s="104"/>
      <c r="AZ1357" s="105"/>
    </row>
    <row r="1358" customHeight="1" spans="1:52">
      <c r="A1358" s="70">
        <v>1360</v>
      </c>
      <c r="B1358" s="70" t="s">
        <v>134</v>
      </c>
      <c r="C1358" s="70" t="s">
        <v>13</v>
      </c>
      <c r="D1358" s="205" t="s">
        <v>4154</v>
      </c>
      <c r="E1358" s="71" t="s">
        <v>4155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4156</v>
      </c>
      <c r="L1358" s="104">
        <f t="shared" si="375"/>
        <v>46243</v>
      </c>
      <c r="M1358" s="105">
        <f ca="1" t="shared" si="376"/>
        <v>-70</v>
      </c>
      <c r="N1358" s="70"/>
      <c r="O1358" s="70" t="s">
        <v>134</v>
      </c>
      <c r="P1358" s="70" t="s">
        <v>13</v>
      </c>
      <c r="Q1358" s="205" t="s">
        <v>4154</v>
      </c>
      <c r="R1358" s="71" t="s">
        <v>4155</v>
      </c>
      <c r="S1358" s="72"/>
      <c r="T1358" s="73"/>
      <c r="U1358" s="74" t="s">
        <v>16</v>
      </c>
      <c r="V1358" s="102">
        <v>46254</v>
      </c>
      <c r="W1358" s="70">
        <v>3</v>
      </c>
      <c r="X1358" s="103" t="s">
        <v>4157</v>
      </c>
      <c r="Y1358" s="104">
        <f t="shared" si="369"/>
        <v>46346</v>
      </c>
      <c r="Z1358" s="105">
        <f ca="1" t="shared" si="370"/>
        <v>33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5"/>
      <c r="AO1358" s="115"/>
      <c r="AP1358" s="115"/>
      <c r="AQ1358" s="93"/>
      <c r="AR1358" s="93"/>
      <c r="AS1358" s="94"/>
      <c r="AT1358" s="95"/>
      <c r="AU1358" s="79"/>
      <c r="AV1358" s="117"/>
      <c r="AW1358" s="115"/>
      <c r="AX1358" s="106"/>
      <c r="AY1358" s="104"/>
      <c r="AZ1358" s="105"/>
    </row>
    <row r="1359" customHeight="1" spans="1:52">
      <c r="A1359" s="70">
        <v>1361</v>
      </c>
      <c r="B1359" s="204" t="s">
        <v>4158</v>
      </c>
      <c r="C1359" s="70" t="s">
        <v>38</v>
      </c>
      <c r="D1359" s="205" t="s">
        <v>4159</v>
      </c>
      <c r="E1359" s="71" t="s">
        <v>4160</v>
      </c>
      <c r="F1359" s="72"/>
      <c r="G1359" s="73"/>
      <c r="H1359" s="75"/>
      <c r="I1359" s="102">
        <v>46151</v>
      </c>
      <c r="J1359" s="70">
        <v>3</v>
      </c>
      <c r="K1359" s="106" t="s">
        <v>4161</v>
      </c>
      <c r="L1359" s="104">
        <f t="shared" si="375"/>
        <v>46243</v>
      </c>
      <c r="M1359" s="105">
        <f ca="1" t="shared" si="376"/>
        <v>-70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369"/>
        <v>0</v>
      </c>
      <c r="Z1359" s="105">
        <f ca="1" t="shared" si="370"/>
        <v>-46313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5"/>
      <c r="AO1359" s="115"/>
      <c r="AP1359" s="115"/>
      <c r="AQ1359" s="93"/>
      <c r="AR1359" s="93"/>
      <c r="AS1359" s="94"/>
      <c r="AT1359" s="95"/>
      <c r="AU1359" s="79"/>
      <c r="AV1359" s="117"/>
      <c r="AW1359" s="115"/>
      <c r="AX1359" s="106"/>
      <c r="AY1359" s="104"/>
      <c r="AZ1359" s="105"/>
    </row>
    <row r="1360" customHeight="1" spans="1:52">
      <c r="A1360" s="70">
        <v>1362</v>
      </c>
      <c r="B1360" s="108" t="s">
        <v>4162</v>
      </c>
      <c r="C1360" s="70" t="s">
        <v>374</v>
      </c>
      <c r="D1360" s="205" t="s">
        <v>383</v>
      </c>
      <c r="E1360" s="71" t="s">
        <v>381</v>
      </c>
      <c r="F1360" s="72"/>
      <c r="G1360" s="73"/>
      <c r="H1360" s="146" t="s">
        <v>16</v>
      </c>
      <c r="I1360" s="102">
        <v>46151</v>
      </c>
      <c r="J1360" s="70">
        <v>3</v>
      </c>
      <c r="K1360" s="106" t="s">
        <v>4163</v>
      </c>
      <c r="L1360" s="104">
        <f t="shared" si="375"/>
        <v>46243</v>
      </c>
      <c r="M1360" s="105">
        <f ca="1" t="shared" si="376"/>
        <v>-70</v>
      </c>
      <c r="N1360" s="70"/>
      <c r="O1360" s="108" t="s">
        <v>4162</v>
      </c>
      <c r="P1360" s="70" t="s">
        <v>374</v>
      </c>
      <c r="Q1360" s="205" t="s">
        <v>383</v>
      </c>
      <c r="R1360" s="71" t="s">
        <v>381</v>
      </c>
      <c r="S1360" s="72"/>
      <c r="T1360" s="73"/>
      <c r="U1360" s="146" t="s">
        <v>16</v>
      </c>
      <c r="V1360" s="102">
        <v>46234</v>
      </c>
      <c r="W1360" s="70">
        <v>3</v>
      </c>
      <c r="X1360" s="103" t="s">
        <v>4164</v>
      </c>
      <c r="Y1360" s="104">
        <f t="shared" si="369"/>
        <v>46326</v>
      </c>
      <c r="Z1360" s="105">
        <f ca="1" t="shared" si="370"/>
        <v>13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5"/>
      <c r="AO1360" s="115"/>
      <c r="AP1360" s="115"/>
      <c r="AQ1360" s="93"/>
      <c r="AR1360" s="93"/>
      <c r="AS1360" s="94"/>
      <c r="AT1360" s="95"/>
      <c r="AU1360" s="79"/>
      <c r="AV1360" s="117"/>
      <c r="AW1360" s="115"/>
      <c r="AX1360" s="106"/>
      <c r="AY1360" s="104"/>
      <c r="AZ1360" s="105"/>
    </row>
    <row r="1361" customHeight="1" spans="1:52">
      <c r="A1361" s="70">
        <v>1363</v>
      </c>
      <c r="B1361" s="204" t="s">
        <v>1918</v>
      </c>
      <c r="C1361" s="70" t="s">
        <v>264</v>
      </c>
      <c r="D1361" s="205" t="s">
        <v>955</v>
      </c>
      <c r="E1361" s="71" t="s">
        <v>764</v>
      </c>
      <c r="F1361" s="72"/>
      <c r="G1361" s="73"/>
      <c r="H1361" s="75"/>
      <c r="I1361" s="102">
        <v>46152</v>
      </c>
      <c r="J1361" s="70" t="s">
        <v>767</v>
      </c>
      <c r="K1361" s="106"/>
      <c r="L1361" s="104" t="e">
        <f t="shared" si="375"/>
        <v>#VALUE!</v>
      </c>
      <c r="M1361" s="105" t="e">
        <f ca="1" t="shared" si="376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369"/>
        <v>0</v>
      </c>
      <c r="Z1361" s="105">
        <f ca="1" t="shared" si="370"/>
        <v>-46313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5"/>
      <c r="AO1361" s="115"/>
      <c r="AP1361" s="115"/>
      <c r="AQ1361" s="93"/>
      <c r="AR1361" s="93"/>
      <c r="AS1361" s="94"/>
      <c r="AT1361" s="95"/>
      <c r="AU1361" s="79"/>
      <c r="AV1361" s="117"/>
      <c r="AW1361" s="115"/>
      <c r="AX1361" s="106"/>
      <c r="AY1361" s="104"/>
      <c r="AZ1361" s="105"/>
    </row>
    <row r="1362" customHeight="1" spans="1:52">
      <c r="A1362" s="70">
        <v>1364</v>
      </c>
      <c r="B1362" s="204" t="s">
        <v>644</v>
      </c>
      <c r="C1362" s="70" t="s">
        <v>264</v>
      </c>
      <c r="D1362" s="205" t="s">
        <v>2433</v>
      </c>
      <c r="E1362" s="71" t="s">
        <v>753</v>
      </c>
      <c r="F1362" s="72"/>
      <c r="G1362" s="73"/>
      <c r="H1362" s="75"/>
      <c r="I1362" s="102">
        <v>46152</v>
      </c>
      <c r="J1362" s="70" t="s">
        <v>767</v>
      </c>
      <c r="K1362" s="106"/>
      <c r="L1362" s="104" t="e">
        <f t="shared" si="375"/>
        <v>#VALUE!</v>
      </c>
      <c r="M1362" s="105" t="e">
        <f ca="1" t="shared" si="376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369"/>
        <v>0</v>
      </c>
      <c r="Z1362" s="105">
        <f ca="1" t="shared" si="370"/>
        <v>-46313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5"/>
      <c r="AO1362" s="115"/>
      <c r="AP1362" s="115"/>
      <c r="AQ1362" s="93"/>
      <c r="AR1362" s="93"/>
      <c r="AS1362" s="94"/>
      <c r="AT1362" s="95"/>
      <c r="AU1362" s="79"/>
      <c r="AV1362" s="117"/>
      <c r="AW1362" s="115"/>
      <c r="AX1362" s="106"/>
      <c r="AY1362" s="104"/>
      <c r="AZ1362" s="105"/>
    </row>
    <row r="1363" customHeight="1" spans="1:52">
      <c r="A1363" s="70">
        <v>1365</v>
      </c>
      <c r="B1363" s="204" t="s">
        <v>3559</v>
      </c>
      <c r="C1363" s="70" t="s">
        <v>264</v>
      </c>
      <c r="D1363" s="205" t="s">
        <v>869</v>
      </c>
      <c r="E1363" s="71" t="s">
        <v>4165</v>
      </c>
      <c r="F1363" s="72"/>
      <c r="G1363" s="73"/>
      <c r="H1363" s="75"/>
      <c r="I1363" s="102">
        <v>46152</v>
      </c>
      <c r="J1363" s="70" t="s">
        <v>767</v>
      </c>
      <c r="K1363" s="106"/>
      <c r="L1363" s="104" t="e">
        <f t="shared" si="375"/>
        <v>#VALUE!</v>
      </c>
      <c r="M1363" s="105" t="e">
        <f ca="1" t="shared" si="376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369"/>
        <v>0</v>
      </c>
      <c r="Z1363" s="105">
        <f ca="1" t="shared" si="370"/>
        <v>-46313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5"/>
      <c r="AO1363" s="115"/>
      <c r="AP1363" s="115"/>
      <c r="AQ1363" s="93"/>
      <c r="AR1363" s="93"/>
      <c r="AS1363" s="94"/>
      <c r="AT1363" s="95"/>
      <c r="AU1363" s="79"/>
      <c r="AV1363" s="117"/>
      <c r="AW1363" s="115"/>
      <c r="AX1363" s="106"/>
      <c r="AY1363" s="104"/>
      <c r="AZ1363" s="105"/>
    </row>
    <row r="1364" customHeight="1" spans="1:52">
      <c r="A1364" s="70">
        <v>1366</v>
      </c>
      <c r="B1364" s="204" t="s">
        <v>295</v>
      </c>
      <c r="C1364" s="70" t="s">
        <v>264</v>
      </c>
      <c r="D1364" s="205" t="s">
        <v>2694</v>
      </c>
      <c r="E1364" s="71" t="s">
        <v>2734</v>
      </c>
      <c r="F1364" s="72"/>
      <c r="G1364" s="73"/>
      <c r="H1364" s="75"/>
      <c r="I1364" s="102">
        <v>46152</v>
      </c>
      <c r="J1364" s="70" t="s">
        <v>767</v>
      </c>
      <c r="K1364" s="106"/>
      <c r="L1364" s="104" t="e">
        <f t="shared" ref="L1360:L1368" si="377">EDATE(I1364,J1364)</f>
        <v>#VALUE!</v>
      </c>
      <c r="M1364" s="105" t="e">
        <f ca="1" t="shared" ref="M1360:M1368" si="378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369"/>
        <v>0</v>
      </c>
      <c r="Z1364" s="105">
        <f ca="1" t="shared" si="370"/>
        <v>-46313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5"/>
      <c r="AO1364" s="115"/>
      <c r="AP1364" s="115"/>
      <c r="AQ1364" s="93"/>
      <c r="AR1364" s="93"/>
      <c r="AS1364" s="94"/>
      <c r="AT1364" s="95"/>
      <c r="AU1364" s="79"/>
      <c r="AV1364" s="117"/>
      <c r="AW1364" s="115"/>
      <c r="AX1364" s="106"/>
      <c r="AY1364" s="104"/>
      <c r="AZ1364" s="105"/>
    </row>
    <row r="1365" customHeight="1" spans="1:52">
      <c r="A1365" s="70">
        <v>1367</v>
      </c>
      <c r="B1365" s="204" t="s">
        <v>295</v>
      </c>
      <c r="C1365" s="70" t="s">
        <v>264</v>
      </c>
      <c r="D1365" s="205" t="s">
        <v>3020</v>
      </c>
      <c r="E1365" s="71" t="s">
        <v>3655</v>
      </c>
      <c r="F1365" s="72"/>
      <c r="G1365" s="73"/>
      <c r="H1365" s="75"/>
      <c r="I1365" s="102">
        <v>46152</v>
      </c>
      <c r="J1365" s="70" t="s">
        <v>767</v>
      </c>
      <c r="K1365" s="106"/>
      <c r="L1365" s="104" t="e">
        <f t="shared" si="377"/>
        <v>#VALUE!</v>
      </c>
      <c r="M1365" s="105" t="e">
        <f ca="1" t="shared" si="378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369"/>
        <v>0</v>
      </c>
      <c r="Z1365" s="105">
        <f ca="1" t="shared" si="370"/>
        <v>-46313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5"/>
      <c r="AO1365" s="115"/>
      <c r="AP1365" s="115"/>
      <c r="AQ1365" s="93"/>
      <c r="AR1365" s="93"/>
      <c r="AS1365" s="94"/>
      <c r="AT1365" s="95"/>
      <c r="AU1365" s="79"/>
      <c r="AV1365" s="117"/>
      <c r="AW1365" s="115"/>
      <c r="AX1365" s="106"/>
      <c r="AY1365" s="104"/>
      <c r="AZ1365" s="105"/>
    </row>
    <row r="1366" customHeight="1" spans="1:52">
      <c r="A1366" s="70">
        <v>1368</v>
      </c>
      <c r="B1366" s="204" t="s">
        <v>169</v>
      </c>
      <c r="C1366" s="70" t="s">
        <v>38</v>
      </c>
      <c r="D1366" s="205" t="s">
        <v>170</v>
      </c>
      <c r="E1366" s="71" t="s">
        <v>3230</v>
      </c>
      <c r="F1366" s="72"/>
      <c r="G1366" s="73"/>
      <c r="H1366" s="75"/>
      <c r="I1366" s="102">
        <v>46152</v>
      </c>
      <c r="J1366" s="70" t="s">
        <v>767</v>
      </c>
      <c r="K1366" s="106"/>
      <c r="L1366" s="104" t="e">
        <f t="shared" si="377"/>
        <v>#VALUE!</v>
      </c>
      <c r="M1366" s="105" t="e">
        <f ca="1" t="shared" si="378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369"/>
        <v>0</v>
      </c>
      <c r="Z1366" s="105">
        <f ca="1" t="shared" si="370"/>
        <v>-46313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5"/>
      <c r="AO1366" s="115"/>
      <c r="AP1366" s="115"/>
      <c r="AQ1366" s="93"/>
      <c r="AR1366" s="93"/>
      <c r="AS1366" s="94"/>
      <c r="AT1366" s="95"/>
      <c r="AU1366" s="79"/>
      <c r="AV1366" s="117"/>
      <c r="AW1366" s="115"/>
      <c r="AX1366" s="106"/>
      <c r="AY1366" s="104"/>
      <c r="AZ1366" s="105"/>
    </row>
    <row r="1367" customHeight="1" spans="1:52">
      <c r="A1367" s="70">
        <v>1369</v>
      </c>
      <c r="B1367" s="204" t="s">
        <v>134</v>
      </c>
      <c r="C1367" s="70" t="s">
        <v>13</v>
      </c>
      <c r="D1367" s="205" t="s">
        <v>4166</v>
      </c>
      <c r="E1367" s="71" t="s">
        <v>989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4167</v>
      </c>
      <c r="L1367" s="104">
        <f t="shared" si="377"/>
        <v>46245</v>
      </c>
      <c r="M1367" s="105">
        <f ca="1" t="shared" si="378"/>
        <v>-68</v>
      </c>
      <c r="N1367" s="70"/>
      <c r="O1367" s="204" t="s">
        <v>134</v>
      </c>
      <c r="P1367" s="70" t="s">
        <v>13</v>
      </c>
      <c r="Q1367" s="205" t="s">
        <v>4166</v>
      </c>
      <c r="R1367" s="71" t="s">
        <v>989</v>
      </c>
      <c r="S1367" s="72"/>
      <c r="T1367" s="73"/>
      <c r="U1367" s="74" t="s">
        <v>16</v>
      </c>
      <c r="V1367" s="102">
        <v>46247</v>
      </c>
      <c r="W1367" s="70">
        <v>3</v>
      </c>
      <c r="X1367" s="103" t="s">
        <v>4168</v>
      </c>
      <c r="Y1367" s="104">
        <f t="shared" si="369"/>
        <v>46339</v>
      </c>
      <c r="Z1367" s="105">
        <f ca="1" t="shared" si="370"/>
        <v>26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5"/>
      <c r="AO1367" s="115"/>
      <c r="AP1367" s="115"/>
      <c r="AQ1367" s="93"/>
      <c r="AR1367" s="93"/>
      <c r="AS1367" s="94"/>
      <c r="AT1367" s="95"/>
      <c r="AU1367" s="79"/>
      <c r="AV1367" s="117"/>
      <c r="AW1367" s="115"/>
      <c r="AX1367" s="106"/>
      <c r="AY1367" s="104"/>
      <c r="AZ1367" s="105"/>
    </row>
    <row r="1368" customHeight="1" spans="1:52">
      <c r="A1368" s="70">
        <v>1370</v>
      </c>
      <c r="B1368" s="70" t="s">
        <v>844</v>
      </c>
      <c r="C1368" s="70" t="s">
        <v>13</v>
      </c>
      <c r="D1368" s="71" t="s">
        <v>4169</v>
      </c>
      <c r="E1368" s="71" t="s">
        <v>76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4170</v>
      </c>
      <c r="L1368" s="104">
        <f t="shared" si="377"/>
        <v>46245</v>
      </c>
      <c r="M1368" s="105">
        <f ca="1" t="shared" si="378"/>
        <v>-68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369"/>
        <v>0</v>
      </c>
      <c r="Z1368" s="105">
        <f ca="1" t="shared" si="370"/>
        <v>-46313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5"/>
      <c r="AO1368" s="115"/>
      <c r="AP1368" s="115"/>
      <c r="AQ1368" s="93"/>
      <c r="AR1368" s="93"/>
      <c r="AS1368" s="94"/>
      <c r="AT1368" s="95"/>
      <c r="AU1368" s="79"/>
      <c r="AV1368" s="117"/>
      <c r="AW1368" s="115"/>
      <c r="AX1368" s="106"/>
      <c r="AY1368" s="104"/>
      <c r="AZ1368" s="105"/>
    </row>
    <row r="1369" customHeight="1" spans="1:52">
      <c r="A1369" s="70">
        <v>1371</v>
      </c>
      <c r="B1369" s="70" t="s">
        <v>2361</v>
      </c>
      <c r="C1369" s="70" t="s">
        <v>38</v>
      </c>
      <c r="D1369" s="71" t="s">
        <v>4171</v>
      </c>
      <c r="E1369" s="71" t="s">
        <v>4172</v>
      </c>
      <c r="F1369" s="72"/>
      <c r="G1369" s="73"/>
      <c r="H1369" s="75"/>
      <c r="I1369" s="102">
        <v>46153</v>
      </c>
      <c r="J1369" s="70">
        <v>3</v>
      </c>
      <c r="K1369" s="106" t="s">
        <v>4173</v>
      </c>
      <c r="L1369" s="104">
        <f t="shared" ref="L1369:L1374" si="379">EDATE(I1369,J1369)</f>
        <v>46245</v>
      </c>
      <c r="M1369" s="105">
        <f ca="1" t="shared" ref="M1369:M1374" si="380">L1369-TODAY()</f>
        <v>-68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369"/>
        <v>0</v>
      </c>
      <c r="Z1369" s="105">
        <f ca="1" t="shared" si="370"/>
        <v>-46313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5"/>
      <c r="AO1369" s="115"/>
      <c r="AP1369" s="115"/>
      <c r="AQ1369" s="93"/>
      <c r="AR1369" s="93"/>
      <c r="AS1369" s="94"/>
      <c r="AT1369" s="95"/>
      <c r="AU1369" s="79"/>
      <c r="AV1369" s="117"/>
      <c r="AW1369" s="115"/>
      <c r="AX1369" s="106"/>
      <c r="AY1369" s="104"/>
      <c r="AZ1369" s="105"/>
    </row>
    <row r="1370" customHeight="1" spans="1:52">
      <c r="A1370" s="70">
        <v>1372</v>
      </c>
      <c r="B1370" s="70" t="s">
        <v>4174</v>
      </c>
      <c r="C1370" s="70" t="s">
        <v>13</v>
      </c>
      <c r="D1370" s="71" t="s">
        <v>4175</v>
      </c>
      <c r="E1370" s="71" t="s">
        <v>4176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4177</v>
      </c>
      <c r="L1370" s="104">
        <f t="shared" si="379"/>
        <v>46245</v>
      </c>
      <c r="M1370" s="105">
        <f ca="1" t="shared" si="380"/>
        <v>-68</v>
      </c>
      <c r="N1370" s="70"/>
      <c r="O1370" s="70" t="s">
        <v>4174</v>
      </c>
      <c r="P1370" s="70" t="s">
        <v>13</v>
      </c>
      <c r="Q1370" s="71" t="s">
        <v>4175</v>
      </c>
      <c r="R1370" s="71" t="s">
        <v>4176</v>
      </c>
      <c r="S1370" s="72"/>
      <c r="T1370" s="73"/>
      <c r="U1370" s="79" t="s">
        <v>16</v>
      </c>
      <c r="V1370" s="102">
        <v>46264</v>
      </c>
      <c r="W1370" s="70">
        <v>3</v>
      </c>
      <c r="X1370" s="103" t="s">
        <v>4178</v>
      </c>
      <c r="Y1370" s="104">
        <f t="shared" si="369"/>
        <v>46356</v>
      </c>
      <c r="Z1370" s="105">
        <f ca="1" t="shared" si="370"/>
        <v>43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5"/>
      <c r="AO1370" s="115"/>
      <c r="AP1370" s="115"/>
      <c r="AQ1370" s="93"/>
      <c r="AR1370" s="93"/>
      <c r="AS1370" s="94"/>
      <c r="AT1370" s="95"/>
      <c r="AU1370" s="79"/>
      <c r="AV1370" s="117"/>
      <c r="AW1370" s="115"/>
      <c r="AX1370" s="106"/>
      <c r="AY1370" s="104"/>
      <c r="AZ1370" s="105"/>
    </row>
    <row r="1371" customHeight="1" spans="1:52">
      <c r="A1371" s="70">
        <v>1373</v>
      </c>
      <c r="B1371" s="70" t="s">
        <v>782</v>
      </c>
      <c r="C1371" s="70" t="s">
        <v>374</v>
      </c>
      <c r="D1371" s="71" t="s">
        <v>4179</v>
      </c>
      <c r="E1371" s="71" t="s">
        <v>3027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4180</v>
      </c>
      <c r="L1371" s="104">
        <f t="shared" si="379"/>
        <v>46245</v>
      </c>
      <c r="M1371" s="105">
        <f ca="1" t="shared" si="380"/>
        <v>-68</v>
      </c>
      <c r="N1371" s="70"/>
      <c r="O1371" s="70" t="s">
        <v>782</v>
      </c>
      <c r="P1371" s="70" t="s">
        <v>374</v>
      </c>
      <c r="Q1371" s="71" t="s">
        <v>4179</v>
      </c>
      <c r="R1371" s="71" t="s">
        <v>3027</v>
      </c>
      <c r="S1371" s="72"/>
      <c r="T1371" s="73"/>
      <c r="U1371" s="79" t="s">
        <v>16</v>
      </c>
      <c r="V1371" s="102">
        <v>46256</v>
      </c>
      <c r="W1371" s="70">
        <v>3</v>
      </c>
      <c r="X1371" s="103" t="s">
        <v>4181</v>
      </c>
      <c r="Y1371" s="104">
        <f t="shared" si="369"/>
        <v>46348</v>
      </c>
      <c r="Z1371" s="105">
        <f ca="1" t="shared" si="370"/>
        <v>35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5"/>
      <c r="AO1371" s="115"/>
      <c r="AP1371" s="115"/>
      <c r="AQ1371" s="93"/>
      <c r="AR1371" s="93"/>
      <c r="AS1371" s="94"/>
      <c r="AT1371" s="95"/>
      <c r="AU1371" s="79"/>
      <c r="AV1371" s="117"/>
      <c r="AW1371" s="115"/>
      <c r="AX1371" s="106"/>
      <c r="AY1371" s="104"/>
      <c r="AZ1371" s="105"/>
    </row>
    <row r="1372" customHeight="1" spans="1:52">
      <c r="A1372" s="70">
        <v>1374</v>
      </c>
      <c r="B1372" s="70" t="s">
        <v>644</v>
      </c>
      <c r="C1372" s="70" t="s">
        <v>264</v>
      </c>
      <c r="D1372" s="71" t="s">
        <v>2433</v>
      </c>
      <c r="E1372" s="71" t="s">
        <v>266</v>
      </c>
      <c r="F1372" s="72"/>
      <c r="G1372" s="73"/>
      <c r="H1372" s="75"/>
      <c r="I1372" s="102">
        <v>46153</v>
      </c>
      <c r="J1372" s="70" t="s">
        <v>767</v>
      </c>
      <c r="K1372" s="106"/>
      <c r="L1372" s="104" t="e">
        <f t="shared" ref="L1372:L1380" si="381">EDATE(I1372,J1372)</f>
        <v>#VALUE!</v>
      </c>
      <c r="M1372" s="105" t="e">
        <f ca="1" t="shared" ref="M1372:M1380" si="382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369"/>
        <v>0</v>
      </c>
      <c r="Z1372" s="105">
        <f ca="1" t="shared" si="370"/>
        <v>-46313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5"/>
      <c r="AO1372" s="115"/>
      <c r="AP1372" s="115"/>
      <c r="AQ1372" s="93"/>
      <c r="AR1372" s="93"/>
      <c r="AS1372" s="94"/>
      <c r="AT1372" s="95"/>
      <c r="AU1372" s="79"/>
      <c r="AV1372" s="117"/>
      <c r="AW1372" s="115"/>
      <c r="AX1372" s="106"/>
      <c r="AY1372" s="104"/>
      <c r="AZ1372" s="105"/>
    </row>
    <row r="1373" customHeight="1" spans="1:52">
      <c r="A1373" s="70">
        <v>1375</v>
      </c>
      <c r="B1373" s="70" t="s">
        <v>644</v>
      </c>
      <c r="C1373" s="70" t="s">
        <v>264</v>
      </c>
      <c r="D1373" s="71" t="s">
        <v>1922</v>
      </c>
      <c r="E1373" s="71" t="s">
        <v>266</v>
      </c>
      <c r="F1373" s="72"/>
      <c r="G1373" s="73"/>
      <c r="H1373" s="75"/>
      <c r="I1373" s="102">
        <v>46153</v>
      </c>
      <c r="J1373" s="70" t="s">
        <v>767</v>
      </c>
      <c r="K1373" s="106"/>
      <c r="L1373" s="104" t="e">
        <f t="shared" si="381"/>
        <v>#VALUE!</v>
      </c>
      <c r="M1373" s="105" t="e">
        <f ca="1" t="shared" si="382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369"/>
        <v>0</v>
      </c>
      <c r="Z1373" s="105">
        <f ca="1" t="shared" si="370"/>
        <v>-46313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5"/>
      <c r="AO1373" s="115"/>
      <c r="AP1373" s="115"/>
      <c r="AQ1373" s="93"/>
      <c r="AR1373" s="93"/>
      <c r="AS1373" s="94"/>
      <c r="AT1373" s="95"/>
      <c r="AU1373" s="79"/>
      <c r="AV1373" s="117"/>
      <c r="AW1373" s="115"/>
      <c r="AX1373" s="106"/>
      <c r="AY1373" s="104"/>
      <c r="AZ1373" s="105"/>
    </row>
    <row r="1374" customHeight="1" spans="1:52">
      <c r="A1374" s="70">
        <v>1376</v>
      </c>
      <c r="B1374" s="204" t="s">
        <v>134</v>
      </c>
      <c r="C1374" s="70" t="s">
        <v>38</v>
      </c>
      <c r="D1374" s="71" t="s">
        <v>4145</v>
      </c>
      <c r="E1374" s="71" t="s">
        <v>3837</v>
      </c>
      <c r="F1374" s="72"/>
      <c r="G1374" s="73"/>
      <c r="H1374" s="75"/>
      <c r="I1374" s="102">
        <v>46153</v>
      </c>
      <c r="J1374" s="70" t="s">
        <v>767</v>
      </c>
      <c r="K1374" s="106"/>
      <c r="L1374" s="104" t="e">
        <f t="shared" si="381"/>
        <v>#VALUE!</v>
      </c>
      <c r="M1374" s="105" t="e">
        <f ca="1" t="shared" si="382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369"/>
        <v>0</v>
      </c>
      <c r="Z1374" s="105">
        <f ca="1" t="shared" si="370"/>
        <v>-46313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5"/>
      <c r="AO1374" s="115"/>
      <c r="AP1374" s="115"/>
      <c r="AQ1374" s="93"/>
      <c r="AR1374" s="93"/>
      <c r="AS1374" s="94"/>
      <c r="AT1374" s="95"/>
      <c r="AU1374" s="79"/>
      <c r="AV1374" s="117"/>
      <c r="AW1374" s="115"/>
      <c r="AX1374" s="106"/>
      <c r="AY1374" s="104"/>
      <c r="AZ1374" s="105"/>
    </row>
    <row r="1375" customHeight="1" spans="1:52">
      <c r="A1375" s="70">
        <v>1377</v>
      </c>
      <c r="B1375" s="70" t="s">
        <v>229</v>
      </c>
      <c r="C1375" s="70" t="s">
        <v>38</v>
      </c>
      <c r="D1375" s="71" t="s">
        <v>4182</v>
      </c>
      <c r="E1375" s="71" t="s">
        <v>51</v>
      </c>
      <c r="F1375" s="72"/>
      <c r="G1375" s="73"/>
      <c r="H1375" s="75"/>
      <c r="I1375" s="102">
        <v>46154</v>
      </c>
      <c r="J1375" s="70">
        <v>3</v>
      </c>
      <c r="K1375" s="106" t="s">
        <v>4183</v>
      </c>
      <c r="L1375" s="104">
        <f t="shared" si="381"/>
        <v>46246</v>
      </c>
      <c r="M1375" s="105">
        <f ca="1" t="shared" si="382"/>
        <v>-67</v>
      </c>
      <c r="N1375" s="70"/>
      <c r="O1375" s="70" t="s">
        <v>229</v>
      </c>
      <c r="P1375" s="70" t="s">
        <v>38</v>
      </c>
      <c r="Q1375" s="71" t="s">
        <v>4182</v>
      </c>
      <c r="R1375" s="71" t="s">
        <v>51</v>
      </c>
      <c r="S1375" s="72"/>
      <c r="T1375" s="73"/>
      <c r="U1375" s="75"/>
      <c r="V1375" s="102">
        <v>46249</v>
      </c>
      <c r="W1375" s="70">
        <v>3</v>
      </c>
      <c r="X1375" s="103" t="s">
        <v>4184</v>
      </c>
      <c r="Y1375" s="104">
        <f t="shared" si="369"/>
        <v>46341</v>
      </c>
      <c r="Z1375" s="105">
        <f ca="1" t="shared" si="370"/>
        <v>28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5"/>
      <c r="AO1375" s="115"/>
      <c r="AP1375" s="115"/>
      <c r="AQ1375" s="93"/>
      <c r="AR1375" s="93"/>
      <c r="AS1375" s="94"/>
      <c r="AT1375" s="95"/>
      <c r="AU1375" s="79"/>
      <c r="AV1375" s="117"/>
      <c r="AW1375" s="115"/>
      <c r="AX1375" s="106"/>
      <c r="AY1375" s="104"/>
      <c r="AZ1375" s="105"/>
    </row>
    <row r="1376" customHeight="1" spans="1:52">
      <c r="A1376" s="70">
        <v>1378</v>
      </c>
      <c r="B1376" s="204" t="s">
        <v>3462</v>
      </c>
      <c r="C1376" s="70" t="s">
        <v>38</v>
      </c>
      <c r="D1376" s="205" t="s">
        <v>4185</v>
      </c>
      <c r="E1376" s="71" t="s">
        <v>45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4186</v>
      </c>
      <c r="L1376" s="104">
        <f t="shared" si="381"/>
        <v>46246</v>
      </c>
      <c r="M1376" s="105">
        <f ca="1" t="shared" si="382"/>
        <v>-67</v>
      </c>
      <c r="N1376" s="70"/>
      <c r="O1376" s="204" t="s">
        <v>4187</v>
      </c>
      <c r="P1376" s="70" t="s">
        <v>38</v>
      </c>
      <c r="Q1376" s="205" t="s">
        <v>4185</v>
      </c>
      <c r="R1376" s="71" t="s">
        <v>45</v>
      </c>
      <c r="S1376" s="72"/>
      <c r="T1376" s="73"/>
      <c r="U1376" s="74" t="s">
        <v>16</v>
      </c>
      <c r="V1376" s="102">
        <v>46288</v>
      </c>
      <c r="W1376" s="70">
        <v>3</v>
      </c>
      <c r="X1376" s="103" t="s">
        <v>4188</v>
      </c>
      <c r="Y1376" s="104">
        <f t="shared" si="369"/>
        <v>46379</v>
      </c>
      <c r="Z1376" s="105">
        <f ca="1" t="shared" si="370"/>
        <v>66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5"/>
      <c r="AO1376" s="115"/>
      <c r="AP1376" s="115"/>
      <c r="AQ1376" s="93"/>
      <c r="AR1376" s="93"/>
      <c r="AS1376" s="94"/>
      <c r="AT1376" s="95"/>
      <c r="AU1376" s="79"/>
      <c r="AV1376" s="117"/>
      <c r="AW1376" s="115"/>
      <c r="AX1376" s="106"/>
      <c r="AY1376" s="104"/>
      <c r="AZ1376" s="105"/>
    </row>
    <row r="1377" customHeight="1" spans="1:52">
      <c r="A1377" s="70">
        <v>1379</v>
      </c>
      <c r="B1377" s="204" t="s">
        <v>12</v>
      </c>
      <c r="C1377" s="70" t="s">
        <v>38</v>
      </c>
      <c r="D1377" s="205" t="s">
        <v>4189</v>
      </c>
      <c r="E1377" s="71" t="s">
        <v>40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4190</v>
      </c>
      <c r="L1377" s="104">
        <f t="shared" si="381"/>
        <v>46246</v>
      </c>
      <c r="M1377" s="105">
        <f ca="1" t="shared" si="382"/>
        <v>-67</v>
      </c>
      <c r="N1377" s="70"/>
      <c r="O1377" s="204" t="s">
        <v>12</v>
      </c>
      <c r="P1377" s="70" t="s">
        <v>38</v>
      </c>
      <c r="Q1377" s="205" t="s">
        <v>4189</v>
      </c>
      <c r="R1377" s="71" t="s">
        <v>40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4191</v>
      </c>
      <c r="Y1377" s="104">
        <f t="shared" si="369"/>
        <v>46330</v>
      </c>
      <c r="Z1377" s="105">
        <f ca="1" t="shared" si="370"/>
        <v>17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5"/>
      <c r="AO1377" s="115"/>
      <c r="AP1377" s="115"/>
      <c r="AQ1377" s="93"/>
      <c r="AR1377" s="93"/>
      <c r="AS1377" s="94"/>
      <c r="AT1377" s="95"/>
      <c r="AU1377" s="79"/>
      <c r="AV1377" s="117"/>
      <c r="AW1377" s="115"/>
      <c r="AX1377" s="106"/>
      <c r="AY1377" s="104"/>
      <c r="AZ1377" s="105"/>
    </row>
    <row r="1378" customHeight="1" spans="1:52">
      <c r="A1378" s="70">
        <v>1380</v>
      </c>
      <c r="B1378" s="204" t="s">
        <v>270</v>
      </c>
      <c r="C1378" s="70" t="s">
        <v>264</v>
      </c>
      <c r="D1378" s="205" t="s">
        <v>276</v>
      </c>
      <c r="E1378" s="71" t="s">
        <v>277</v>
      </c>
      <c r="F1378" s="72"/>
      <c r="G1378" s="73"/>
      <c r="H1378" s="75"/>
      <c r="I1378" s="102">
        <v>46154</v>
      </c>
      <c r="J1378" s="70" t="s">
        <v>767</v>
      </c>
      <c r="K1378" s="106"/>
      <c r="L1378" s="104" t="e">
        <f t="shared" ref="L1378:L1398" si="383">EDATE(I1378,J1378)</f>
        <v>#VALUE!</v>
      </c>
      <c r="M1378" s="105" t="e">
        <f ca="1" t="shared" ref="M1378:M1398" si="384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369"/>
        <v>0</v>
      </c>
      <c r="Z1378" s="105">
        <f ca="1" t="shared" si="370"/>
        <v>-46313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5"/>
      <c r="AO1378" s="115"/>
      <c r="AP1378" s="115"/>
      <c r="AQ1378" s="93"/>
      <c r="AR1378" s="93"/>
      <c r="AS1378" s="94"/>
      <c r="AT1378" s="95"/>
      <c r="AU1378" s="79"/>
      <c r="AV1378" s="117"/>
      <c r="AW1378" s="115"/>
      <c r="AX1378" s="106"/>
      <c r="AY1378" s="104"/>
      <c r="AZ1378" s="105"/>
    </row>
    <row r="1379" customHeight="1" spans="1:52">
      <c r="A1379" s="70">
        <v>1381</v>
      </c>
      <c r="B1379" s="204" t="s">
        <v>270</v>
      </c>
      <c r="C1379" s="70" t="s">
        <v>264</v>
      </c>
      <c r="D1379" s="205" t="s">
        <v>367</v>
      </c>
      <c r="E1379" s="71" t="s">
        <v>368</v>
      </c>
      <c r="F1379" s="72"/>
      <c r="G1379" s="73"/>
      <c r="H1379" s="75"/>
      <c r="I1379" s="102">
        <v>46154</v>
      </c>
      <c r="J1379" s="70" t="s">
        <v>767</v>
      </c>
      <c r="K1379" s="106"/>
      <c r="L1379" s="104" t="e">
        <f t="shared" si="383"/>
        <v>#VALUE!</v>
      </c>
      <c r="M1379" s="105" t="e">
        <f ca="1" t="shared" si="384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369"/>
        <v>0</v>
      </c>
      <c r="Z1379" s="105">
        <f ca="1" t="shared" si="370"/>
        <v>-46313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5"/>
      <c r="AO1379" s="115"/>
      <c r="AP1379" s="115"/>
      <c r="AQ1379" s="93"/>
      <c r="AR1379" s="93"/>
      <c r="AS1379" s="94"/>
      <c r="AT1379" s="95"/>
      <c r="AU1379" s="79"/>
      <c r="AV1379" s="117"/>
      <c r="AW1379" s="115"/>
      <c r="AX1379" s="106"/>
      <c r="AY1379" s="104"/>
      <c r="AZ1379" s="105"/>
    </row>
    <row r="1380" customHeight="1" spans="1:52">
      <c r="A1380" s="70">
        <v>1382</v>
      </c>
      <c r="B1380" s="204" t="s">
        <v>270</v>
      </c>
      <c r="C1380" s="70" t="s">
        <v>264</v>
      </c>
      <c r="D1380" s="205" t="s">
        <v>958</v>
      </c>
      <c r="E1380" s="71" t="s">
        <v>1232</v>
      </c>
      <c r="F1380" s="72"/>
      <c r="G1380" s="73"/>
      <c r="H1380" s="75"/>
      <c r="I1380" s="102">
        <v>46154</v>
      </c>
      <c r="J1380" s="70" t="s">
        <v>767</v>
      </c>
      <c r="K1380" s="106"/>
      <c r="L1380" s="104" t="e">
        <f t="shared" si="383"/>
        <v>#VALUE!</v>
      </c>
      <c r="M1380" s="105" t="e">
        <f ca="1" t="shared" si="384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385">EDATE(V1380,W1380)</f>
        <v>0</v>
      </c>
      <c r="Z1380" s="105">
        <f ca="1" t="shared" ref="Z1380:Z1443" si="386">Y1380-TODAY()</f>
        <v>-46313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5"/>
      <c r="AO1380" s="115"/>
      <c r="AP1380" s="115"/>
      <c r="AQ1380" s="93"/>
      <c r="AR1380" s="93"/>
      <c r="AS1380" s="94"/>
      <c r="AT1380" s="95"/>
      <c r="AU1380" s="79"/>
      <c r="AV1380" s="117"/>
      <c r="AW1380" s="115"/>
      <c r="AX1380" s="106"/>
      <c r="AY1380" s="104"/>
      <c r="AZ1380" s="105"/>
    </row>
    <row r="1381" customHeight="1" spans="1:52">
      <c r="A1381" s="70">
        <v>1383</v>
      </c>
      <c r="B1381" s="108" t="s">
        <v>229</v>
      </c>
      <c r="C1381" s="70" t="s">
        <v>13</v>
      </c>
      <c r="D1381" s="205" t="s">
        <v>4192</v>
      </c>
      <c r="E1381" s="71" t="s">
        <v>34</v>
      </c>
      <c r="F1381" s="72"/>
      <c r="G1381" s="73"/>
      <c r="H1381" s="75"/>
      <c r="I1381" s="102">
        <v>46155</v>
      </c>
      <c r="J1381" s="70">
        <v>3</v>
      </c>
      <c r="K1381" s="106" t="s">
        <v>4193</v>
      </c>
      <c r="L1381" s="104">
        <f t="shared" si="383"/>
        <v>46247</v>
      </c>
      <c r="M1381" s="105">
        <f ca="1" t="shared" si="384"/>
        <v>-66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385"/>
        <v>0</v>
      </c>
      <c r="Z1381" s="105">
        <f ca="1" t="shared" si="386"/>
        <v>-46313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5"/>
      <c r="AO1381" s="115"/>
      <c r="AP1381" s="115"/>
      <c r="AQ1381" s="93"/>
      <c r="AR1381" s="93"/>
      <c r="AS1381" s="94"/>
      <c r="AT1381" s="95"/>
      <c r="AU1381" s="79"/>
      <c r="AV1381" s="117"/>
      <c r="AW1381" s="115"/>
      <c r="AX1381" s="106"/>
      <c r="AY1381" s="104"/>
      <c r="AZ1381" s="105"/>
    </row>
    <row r="1382" customHeight="1" spans="1:52">
      <c r="A1382" s="70">
        <v>1384</v>
      </c>
      <c r="B1382" s="204" t="s">
        <v>1205</v>
      </c>
      <c r="C1382" s="70" t="s">
        <v>13</v>
      </c>
      <c r="D1382" s="205" t="s">
        <v>4194</v>
      </c>
      <c r="E1382" s="71" t="s">
        <v>126</v>
      </c>
      <c r="F1382" s="72"/>
      <c r="G1382" s="73"/>
      <c r="H1382" s="75"/>
      <c r="I1382" s="102">
        <v>46155</v>
      </c>
      <c r="J1382" s="70">
        <v>3</v>
      </c>
      <c r="K1382" s="106" t="s">
        <v>4195</v>
      </c>
      <c r="L1382" s="104">
        <f t="shared" si="383"/>
        <v>46247</v>
      </c>
      <c r="M1382" s="105">
        <f ca="1" t="shared" si="384"/>
        <v>-66</v>
      </c>
      <c r="N1382" s="70"/>
      <c r="O1382" s="204" t="s">
        <v>1205</v>
      </c>
      <c r="P1382" s="70" t="s">
        <v>13</v>
      </c>
      <c r="Q1382" s="205" t="s">
        <v>4194</v>
      </c>
      <c r="R1382" s="71" t="s">
        <v>126</v>
      </c>
      <c r="S1382" s="72"/>
      <c r="T1382" s="73"/>
      <c r="U1382" s="75"/>
      <c r="V1382" s="102">
        <v>46274</v>
      </c>
      <c r="W1382" s="70">
        <v>3</v>
      </c>
      <c r="X1382" s="103" t="s">
        <v>4196</v>
      </c>
      <c r="Y1382" s="104">
        <f t="shared" si="385"/>
        <v>46365</v>
      </c>
      <c r="Z1382" s="105">
        <f ca="1" t="shared" si="386"/>
        <v>52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5"/>
      <c r="AO1382" s="115"/>
      <c r="AP1382" s="115"/>
      <c r="AQ1382" s="93"/>
      <c r="AR1382" s="93"/>
      <c r="AS1382" s="94"/>
      <c r="AT1382" s="95"/>
      <c r="AU1382" s="79"/>
      <c r="AV1382" s="117"/>
      <c r="AW1382" s="115"/>
      <c r="AX1382" s="106"/>
      <c r="AY1382" s="104"/>
      <c r="AZ1382" s="105"/>
    </row>
    <row r="1383" customHeight="1" spans="1:52">
      <c r="A1383" s="70">
        <v>1385</v>
      </c>
      <c r="B1383" s="204" t="s">
        <v>4025</v>
      </c>
      <c r="C1383" s="70" t="s">
        <v>264</v>
      </c>
      <c r="D1383" s="205" t="s">
        <v>4197</v>
      </c>
      <c r="E1383" s="71" t="s">
        <v>4198</v>
      </c>
      <c r="F1383" s="72"/>
      <c r="G1383" s="73"/>
      <c r="H1383" s="75"/>
      <c r="I1383" s="102">
        <v>46155</v>
      </c>
      <c r="J1383" s="70">
        <v>3</v>
      </c>
      <c r="K1383" s="106" t="s">
        <v>4199</v>
      </c>
      <c r="L1383" s="104">
        <f t="shared" si="383"/>
        <v>46247</v>
      </c>
      <c r="M1383" s="105">
        <f ca="1" t="shared" si="384"/>
        <v>-66</v>
      </c>
      <c r="N1383" s="70"/>
      <c r="O1383" s="204" t="s">
        <v>4025</v>
      </c>
      <c r="P1383" s="70" t="s">
        <v>264</v>
      </c>
      <c r="Q1383" s="205" t="s">
        <v>4197</v>
      </c>
      <c r="R1383" s="71" t="s">
        <v>4198</v>
      </c>
      <c r="S1383" s="72"/>
      <c r="T1383" s="73"/>
      <c r="U1383" s="75"/>
      <c r="V1383" s="102">
        <v>46286</v>
      </c>
      <c r="W1383" s="70">
        <v>3</v>
      </c>
      <c r="X1383" s="103" t="s">
        <v>4200</v>
      </c>
      <c r="Y1383" s="104">
        <f t="shared" si="385"/>
        <v>46377</v>
      </c>
      <c r="Z1383" s="105">
        <f ca="1" t="shared" si="386"/>
        <v>64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5"/>
      <c r="AO1383" s="115"/>
      <c r="AP1383" s="115"/>
      <c r="AQ1383" s="93"/>
      <c r="AR1383" s="93"/>
      <c r="AS1383" s="94"/>
      <c r="AT1383" s="95"/>
      <c r="AU1383" s="79"/>
      <c r="AV1383" s="117"/>
      <c r="AW1383" s="115"/>
      <c r="AX1383" s="106"/>
      <c r="AY1383" s="104"/>
      <c r="AZ1383" s="105"/>
    </row>
    <row r="1384" customHeight="1" spans="1:52">
      <c r="A1384" s="70">
        <v>1386</v>
      </c>
      <c r="B1384" s="204" t="s">
        <v>270</v>
      </c>
      <c r="C1384" s="70" t="s">
        <v>264</v>
      </c>
      <c r="D1384" s="205" t="s">
        <v>271</v>
      </c>
      <c r="E1384" s="71" t="s">
        <v>272</v>
      </c>
      <c r="F1384" s="72"/>
      <c r="G1384" s="73"/>
      <c r="H1384" s="75"/>
      <c r="I1384" s="102">
        <v>46155</v>
      </c>
      <c r="J1384" s="70" t="s">
        <v>767</v>
      </c>
      <c r="K1384" s="106"/>
      <c r="L1384" s="104" t="e">
        <f t="shared" si="383"/>
        <v>#VALUE!</v>
      </c>
      <c r="M1384" s="105" t="e">
        <f ca="1" t="shared" si="384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385"/>
        <v>0</v>
      </c>
      <c r="Z1384" s="105">
        <f ca="1" t="shared" si="386"/>
        <v>-46313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5"/>
      <c r="AO1384" s="115"/>
      <c r="AP1384" s="115"/>
      <c r="AQ1384" s="93"/>
      <c r="AR1384" s="93"/>
      <c r="AS1384" s="94"/>
      <c r="AT1384" s="95"/>
      <c r="AU1384" s="79"/>
      <c r="AV1384" s="117"/>
      <c r="AW1384" s="115"/>
      <c r="AX1384" s="106"/>
      <c r="AY1384" s="104"/>
      <c r="AZ1384" s="105"/>
    </row>
    <row r="1385" customHeight="1" spans="1:52">
      <c r="A1385" s="70">
        <v>1387</v>
      </c>
      <c r="B1385" s="204" t="s">
        <v>263</v>
      </c>
      <c r="C1385" s="70" t="s">
        <v>264</v>
      </c>
      <c r="D1385" s="205" t="s">
        <v>265</v>
      </c>
      <c r="E1385" s="71" t="s">
        <v>266</v>
      </c>
      <c r="F1385" s="72"/>
      <c r="G1385" s="73"/>
      <c r="H1385" s="75"/>
      <c r="I1385" s="102">
        <v>46155</v>
      </c>
      <c r="J1385" s="70" t="s">
        <v>767</v>
      </c>
      <c r="K1385" s="106"/>
      <c r="L1385" s="104" t="e">
        <f t="shared" si="383"/>
        <v>#VALUE!</v>
      </c>
      <c r="M1385" s="105" t="e">
        <f ca="1" t="shared" si="384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385"/>
        <v>0</v>
      </c>
      <c r="Z1385" s="105">
        <f ca="1" t="shared" si="386"/>
        <v>-46313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5"/>
      <c r="AO1385" s="115"/>
      <c r="AP1385" s="115"/>
      <c r="AQ1385" s="93"/>
      <c r="AR1385" s="93"/>
      <c r="AS1385" s="94"/>
      <c r="AT1385" s="95"/>
      <c r="AU1385" s="79"/>
      <c r="AV1385" s="117"/>
      <c r="AW1385" s="115"/>
      <c r="AX1385" s="106"/>
      <c r="AY1385" s="104"/>
      <c r="AZ1385" s="105"/>
    </row>
    <row r="1386" customHeight="1" spans="1:52">
      <c r="A1386" s="70">
        <v>1388</v>
      </c>
      <c r="B1386" s="204" t="s">
        <v>644</v>
      </c>
      <c r="C1386" s="70" t="s">
        <v>264</v>
      </c>
      <c r="D1386" s="205" t="s">
        <v>265</v>
      </c>
      <c r="E1386" s="71" t="s">
        <v>266</v>
      </c>
      <c r="F1386" s="72"/>
      <c r="G1386" s="73"/>
      <c r="H1386" s="75"/>
      <c r="I1386" s="102">
        <v>46155</v>
      </c>
      <c r="J1386" s="70" t="s">
        <v>767</v>
      </c>
      <c r="K1386" s="106"/>
      <c r="L1386" s="104" t="e">
        <f t="shared" si="383"/>
        <v>#VALUE!</v>
      </c>
      <c r="M1386" s="105" t="e">
        <f ca="1" t="shared" si="384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385"/>
        <v>0</v>
      </c>
      <c r="Z1386" s="105">
        <f ca="1" t="shared" si="386"/>
        <v>-46313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5"/>
      <c r="AO1386" s="115"/>
      <c r="AP1386" s="115"/>
      <c r="AQ1386" s="93"/>
      <c r="AR1386" s="93"/>
      <c r="AS1386" s="94"/>
      <c r="AT1386" s="95"/>
      <c r="AU1386" s="79"/>
      <c r="AV1386" s="117"/>
      <c r="AW1386" s="115"/>
      <c r="AX1386" s="106"/>
      <c r="AY1386" s="104"/>
      <c r="AZ1386" s="105"/>
    </row>
    <row r="1387" customHeight="1" spans="1:52">
      <c r="A1387" s="70">
        <v>1389</v>
      </c>
      <c r="B1387" s="204" t="s">
        <v>74</v>
      </c>
      <c r="C1387" s="70" t="s">
        <v>13</v>
      </c>
      <c r="D1387" s="205" t="s">
        <v>4201</v>
      </c>
      <c r="E1387" s="71" t="s">
        <v>1688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4202</v>
      </c>
      <c r="L1387" s="104">
        <f t="shared" si="383"/>
        <v>46248</v>
      </c>
      <c r="M1387" s="105">
        <f ca="1" t="shared" si="384"/>
        <v>-65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385"/>
        <v>0</v>
      </c>
      <c r="Z1387" s="105">
        <f ca="1" t="shared" si="386"/>
        <v>-46313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5"/>
      <c r="AO1387" s="115"/>
      <c r="AP1387" s="115"/>
      <c r="AQ1387" s="93"/>
      <c r="AR1387" s="93"/>
      <c r="AS1387" s="94"/>
      <c r="AT1387" s="95"/>
      <c r="AU1387" s="79"/>
      <c r="AV1387" s="117"/>
      <c r="AW1387" s="115"/>
      <c r="AX1387" s="106"/>
      <c r="AY1387" s="104"/>
      <c r="AZ1387" s="105"/>
    </row>
    <row r="1388" customHeight="1" spans="1:52">
      <c r="A1388" s="70">
        <v>1390</v>
      </c>
      <c r="B1388" s="70" t="s">
        <v>2191</v>
      </c>
      <c r="C1388" s="70" t="s">
        <v>38</v>
      </c>
      <c r="D1388" s="71" t="s">
        <v>4203</v>
      </c>
      <c r="E1388" s="71" t="s">
        <v>4204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4205</v>
      </c>
      <c r="L1388" s="104">
        <f t="shared" si="383"/>
        <v>46248</v>
      </c>
      <c r="M1388" s="105">
        <f ca="1" t="shared" si="384"/>
        <v>-65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385"/>
        <v>0</v>
      </c>
      <c r="Z1388" s="105">
        <f ca="1" t="shared" si="386"/>
        <v>-46313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5"/>
      <c r="AO1388" s="115"/>
      <c r="AP1388" s="115"/>
      <c r="AQ1388" s="93"/>
      <c r="AR1388" s="93"/>
      <c r="AS1388" s="94"/>
      <c r="AT1388" s="95"/>
      <c r="AU1388" s="79"/>
      <c r="AV1388" s="117"/>
      <c r="AW1388" s="115"/>
      <c r="AX1388" s="106"/>
      <c r="AY1388" s="104"/>
      <c r="AZ1388" s="105"/>
    </row>
    <row r="1389" customHeight="1" spans="1:52">
      <c r="A1389" s="70">
        <v>1391</v>
      </c>
      <c r="B1389" s="70" t="s">
        <v>164</v>
      </c>
      <c r="C1389" s="70" t="s">
        <v>38</v>
      </c>
      <c r="D1389" s="71" t="s">
        <v>4206</v>
      </c>
      <c r="E1389" s="71" t="s">
        <v>4207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4208</v>
      </c>
      <c r="L1389" s="104">
        <f t="shared" si="383"/>
        <v>46248</v>
      </c>
      <c r="M1389" s="105">
        <f ca="1" t="shared" si="384"/>
        <v>-65</v>
      </c>
      <c r="N1389" s="70"/>
      <c r="O1389" s="70" t="s">
        <v>164</v>
      </c>
      <c r="P1389" s="70" t="s">
        <v>38</v>
      </c>
      <c r="Q1389" s="71" t="s">
        <v>4206</v>
      </c>
      <c r="R1389" s="71" t="s">
        <v>4207</v>
      </c>
      <c r="S1389" s="72"/>
      <c r="T1389" s="73"/>
      <c r="U1389" s="74" t="s">
        <v>16</v>
      </c>
      <c r="V1389" s="102">
        <v>46293</v>
      </c>
      <c r="W1389" s="70">
        <v>3</v>
      </c>
      <c r="X1389" s="103" t="s">
        <v>4209</v>
      </c>
      <c r="Y1389" s="104">
        <f t="shared" si="385"/>
        <v>46384</v>
      </c>
      <c r="Z1389" s="105">
        <f ca="1" t="shared" si="386"/>
        <v>71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5"/>
      <c r="AO1389" s="115"/>
      <c r="AP1389" s="115"/>
      <c r="AQ1389" s="93"/>
      <c r="AR1389" s="93"/>
      <c r="AS1389" s="94"/>
      <c r="AT1389" s="95"/>
      <c r="AU1389" s="79"/>
      <c r="AV1389" s="117"/>
      <c r="AW1389" s="115"/>
      <c r="AX1389" s="106"/>
      <c r="AY1389" s="104"/>
      <c r="AZ1389" s="105"/>
    </row>
    <row r="1390" customHeight="1" spans="1:52">
      <c r="A1390" s="70">
        <v>1392</v>
      </c>
      <c r="B1390" s="70" t="s">
        <v>4210</v>
      </c>
      <c r="C1390" s="70" t="s">
        <v>38</v>
      </c>
      <c r="D1390" s="71" t="s">
        <v>4211</v>
      </c>
      <c r="E1390" s="71" t="s">
        <v>189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4212</v>
      </c>
      <c r="L1390" s="104">
        <f t="shared" si="383"/>
        <v>46248</v>
      </c>
      <c r="M1390" s="105">
        <f ca="1" t="shared" si="384"/>
        <v>-65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385"/>
        <v>0</v>
      </c>
      <c r="Z1390" s="105">
        <f ca="1" t="shared" si="386"/>
        <v>-46313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5"/>
      <c r="AO1390" s="115"/>
      <c r="AP1390" s="115"/>
      <c r="AQ1390" s="93"/>
      <c r="AR1390" s="93"/>
      <c r="AS1390" s="94"/>
      <c r="AT1390" s="95"/>
      <c r="AU1390" s="79"/>
      <c r="AV1390" s="117"/>
      <c r="AW1390" s="115"/>
      <c r="AX1390" s="106"/>
      <c r="AY1390" s="104"/>
      <c r="AZ1390" s="105"/>
    </row>
    <row r="1391" customHeight="1" spans="1:52">
      <c r="A1391" s="70">
        <v>1393</v>
      </c>
      <c r="B1391" s="204" t="s">
        <v>229</v>
      </c>
      <c r="C1391" s="70" t="s">
        <v>13</v>
      </c>
      <c r="D1391" s="71" t="s">
        <v>4213</v>
      </c>
      <c r="E1391" s="71" t="s">
        <v>113</v>
      </c>
      <c r="F1391" s="72"/>
      <c r="G1391" s="73"/>
      <c r="H1391" s="75"/>
      <c r="I1391" s="102">
        <v>46157</v>
      </c>
      <c r="J1391" s="70">
        <v>3</v>
      </c>
      <c r="K1391" s="106" t="s">
        <v>4214</v>
      </c>
      <c r="L1391" s="104">
        <f t="shared" si="383"/>
        <v>46249</v>
      </c>
      <c r="M1391" s="105">
        <f ca="1" t="shared" si="384"/>
        <v>-64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385"/>
        <v>0</v>
      </c>
      <c r="Z1391" s="105">
        <f ca="1" t="shared" si="386"/>
        <v>-46313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5"/>
      <c r="AO1391" s="115"/>
      <c r="AP1391" s="115"/>
      <c r="AQ1391" s="93"/>
      <c r="AR1391" s="93"/>
      <c r="AS1391" s="94"/>
      <c r="AT1391" s="95"/>
      <c r="AU1391" s="79"/>
      <c r="AV1391" s="117"/>
      <c r="AW1391" s="115"/>
      <c r="AX1391" s="106"/>
      <c r="AY1391" s="104"/>
      <c r="AZ1391" s="105"/>
    </row>
    <row r="1392" customHeight="1" spans="1:52">
      <c r="A1392" s="70">
        <v>1394</v>
      </c>
      <c r="B1392" s="70" t="s">
        <v>2589</v>
      </c>
      <c r="C1392" s="70" t="s">
        <v>38</v>
      </c>
      <c r="D1392" s="71" t="s">
        <v>4215</v>
      </c>
      <c r="E1392" s="71" t="s">
        <v>2591</v>
      </c>
      <c r="F1392" s="72"/>
      <c r="G1392" s="73"/>
      <c r="H1392" s="75"/>
      <c r="I1392" s="102">
        <v>46157</v>
      </c>
      <c r="J1392" s="70">
        <v>3</v>
      </c>
      <c r="K1392" s="106" t="s">
        <v>4216</v>
      </c>
      <c r="L1392" s="104">
        <f t="shared" si="383"/>
        <v>46249</v>
      </c>
      <c r="M1392" s="105">
        <f ca="1" t="shared" si="384"/>
        <v>-64</v>
      </c>
      <c r="N1392" s="70"/>
      <c r="O1392" s="70" t="s">
        <v>2589</v>
      </c>
      <c r="P1392" s="70" t="s">
        <v>38</v>
      </c>
      <c r="Q1392" s="71" t="s">
        <v>4215</v>
      </c>
      <c r="R1392" s="71" t="s">
        <v>2591</v>
      </c>
      <c r="S1392" s="72"/>
      <c r="T1392" s="73"/>
      <c r="U1392" s="75"/>
      <c r="V1392" s="102">
        <v>46247</v>
      </c>
      <c r="W1392" s="70">
        <v>3</v>
      </c>
      <c r="X1392" s="103" t="s">
        <v>4217</v>
      </c>
      <c r="Y1392" s="104">
        <f t="shared" si="385"/>
        <v>46339</v>
      </c>
      <c r="Z1392" s="105">
        <f ca="1" t="shared" si="386"/>
        <v>26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5"/>
      <c r="AO1392" s="115"/>
      <c r="AP1392" s="115"/>
      <c r="AQ1392" s="93"/>
      <c r="AR1392" s="93"/>
      <c r="AS1392" s="94"/>
      <c r="AT1392" s="95"/>
      <c r="AU1392" s="79"/>
      <c r="AV1392" s="117"/>
      <c r="AW1392" s="115"/>
      <c r="AX1392" s="106"/>
      <c r="AY1392" s="104"/>
      <c r="AZ1392" s="105"/>
    </row>
    <row r="1393" customHeight="1" spans="1:52">
      <c r="A1393" s="70">
        <v>1396</v>
      </c>
      <c r="B1393" s="204" t="s">
        <v>644</v>
      </c>
      <c r="C1393" s="70" t="s">
        <v>264</v>
      </c>
      <c r="D1393" s="205" t="s">
        <v>2433</v>
      </c>
      <c r="E1393" s="71" t="s">
        <v>266</v>
      </c>
      <c r="F1393" s="72"/>
      <c r="G1393" s="73"/>
      <c r="H1393" s="75"/>
      <c r="I1393" s="102">
        <v>46157</v>
      </c>
      <c r="J1393" s="70" t="s">
        <v>767</v>
      </c>
      <c r="K1393" s="106"/>
      <c r="L1393" s="104" t="e">
        <f t="shared" si="383"/>
        <v>#VALUE!</v>
      </c>
      <c r="M1393" s="105" t="e">
        <f ca="1" t="shared" si="384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385"/>
        <v>0</v>
      </c>
      <c r="Z1393" s="105">
        <f ca="1" t="shared" si="386"/>
        <v>-46313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5"/>
      <c r="AO1393" s="115"/>
      <c r="AP1393" s="115"/>
      <c r="AQ1393" s="93"/>
      <c r="AR1393" s="93"/>
      <c r="AS1393" s="94"/>
      <c r="AT1393" s="95"/>
      <c r="AU1393" s="79"/>
      <c r="AV1393" s="117"/>
      <c r="AW1393" s="115"/>
      <c r="AX1393" s="106"/>
      <c r="AY1393" s="104"/>
      <c r="AZ1393" s="105"/>
    </row>
    <row r="1394" customHeight="1" spans="1:52">
      <c r="A1394" s="70">
        <v>1397</v>
      </c>
      <c r="B1394" s="204" t="s">
        <v>644</v>
      </c>
      <c r="C1394" s="70" t="s">
        <v>264</v>
      </c>
      <c r="D1394" s="205" t="s">
        <v>1922</v>
      </c>
      <c r="E1394" s="71" t="s">
        <v>266</v>
      </c>
      <c r="F1394" s="72"/>
      <c r="G1394" s="73"/>
      <c r="H1394" s="75"/>
      <c r="I1394" s="102">
        <v>46157</v>
      </c>
      <c r="J1394" s="70" t="s">
        <v>767</v>
      </c>
      <c r="K1394" s="106"/>
      <c r="L1394" s="104" t="e">
        <f t="shared" si="383"/>
        <v>#VALUE!</v>
      </c>
      <c r="M1394" s="105" t="e">
        <f ca="1" t="shared" si="384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385"/>
        <v>0</v>
      </c>
      <c r="Z1394" s="105">
        <f ca="1" t="shared" si="386"/>
        <v>-46313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5"/>
      <c r="AO1394" s="115"/>
      <c r="AP1394" s="115"/>
      <c r="AQ1394" s="93"/>
      <c r="AR1394" s="93"/>
      <c r="AS1394" s="94"/>
      <c r="AT1394" s="95"/>
      <c r="AU1394" s="79"/>
      <c r="AV1394" s="117"/>
      <c r="AW1394" s="115"/>
      <c r="AX1394" s="106"/>
      <c r="AY1394" s="104"/>
      <c r="AZ1394" s="105"/>
    </row>
    <row r="1395" customHeight="1" spans="1:52">
      <c r="A1395" s="70">
        <v>1398</v>
      </c>
      <c r="B1395" s="70" t="s">
        <v>229</v>
      </c>
      <c r="C1395" s="70" t="s">
        <v>38</v>
      </c>
      <c r="D1395" s="71" t="s">
        <v>4218</v>
      </c>
      <c r="E1395" s="71" t="s">
        <v>51</v>
      </c>
      <c r="F1395" s="72"/>
      <c r="G1395" s="73"/>
      <c r="H1395" s="75"/>
      <c r="I1395" s="102">
        <v>46158</v>
      </c>
      <c r="J1395" s="70">
        <v>3</v>
      </c>
      <c r="K1395" s="106" t="s">
        <v>4219</v>
      </c>
      <c r="L1395" s="104">
        <f t="shared" si="383"/>
        <v>46250</v>
      </c>
      <c r="M1395" s="105">
        <f ca="1" t="shared" si="384"/>
        <v>-63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385"/>
        <v>0</v>
      </c>
      <c r="Z1395" s="105">
        <f ca="1" t="shared" si="386"/>
        <v>-46313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5"/>
      <c r="AO1395" s="115"/>
      <c r="AP1395" s="115"/>
      <c r="AQ1395" s="93"/>
      <c r="AR1395" s="93"/>
      <c r="AS1395" s="94"/>
      <c r="AT1395" s="95"/>
      <c r="AU1395" s="79"/>
      <c r="AV1395" s="117"/>
      <c r="AW1395" s="115"/>
      <c r="AX1395" s="106"/>
      <c r="AY1395" s="104"/>
      <c r="AZ1395" s="105"/>
    </row>
    <row r="1396" customHeight="1" spans="1:52">
      <c r="A1396" s="70">
        <v>1399</v>
      </c>
      <c r="B1396" s="204" t="s">
        <v>535</v>
      </c>
      <c r="C1396" s="70" t="s">
        <v>13</v>
      </c>
      <c r="D1396" s="71" t="s">
        <v>4220</v>
      </c>
      <c r="E1396" s="71" t="s">
        <v>2757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4221</v>
      </c>
      <c r="L1396" s="104">
        <f t="shared" si="383"/>
        <v>46250</v>
      </c>
      <c r="M1396" s="105">
        <f ca="1" t="shared" si="384"/>
        <v>-63</v>
      </c>
      <c r="N1396" s="70"/>
      <c r="O1396" s="204" t="s">
        <v>535</v>
      </c>
      <c r="P1396" s="70" t="s">
        <v>13</v>
      </c>
      <c r="Q1396" s="71" t="s">
        <v>4220</v>
      </c>
      <c r="R1396" s="71" t="s">
        <v>2757</v>
      </c>
      <c r="S1396" s="72"/>
      <c r="T1396" s="73"/>
      <c r="U1396" s="79" t="s">
        <v>16</v>
      </c>
      <c r="V1396" s="102">
        <v>46295</v>
      </c>
      <c r="W1396" s="70">
        <v>3</v>
      </c>
      <c r="X1396" s="103" t="s">
        <v>4222</v>
      </c>
      <c r="Y1396" s="104">
        <f t="shared" si="385"/>
        <v>46386</v>
      </c>
      <c r="Z1396" s="105">
        <f ca="1" t="shared" si="386"/>
        <v>73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5"/>
      <c r="AO1396" s="115"/>
      <c r="AP1396" s="115"/>
      <c r="AQ1396" s="93"/>
      <c r="AR1396" s="93"/>
      <c r="AS1396" s="94"/>
      <c r="AT1396" s="95"/>
      <c r="AU1396" s="79"/>
      <c r="AV1396" s="117"/>
      <c r="AW1396" s="115"/>
      <c r="AX1396" s="106"/>
      <c r="AY1396" s="104"/>
      <c r="AZ1396" s="105"/>
    </row>
    <row r="1397" customHeight="1" spans="1:52">
      <c r="A1397" s="70">
        <v>1400</v>
      </c>
      <c r="B1397" s="204" t="s">
        <v>1359</v>
      </c>
      <c r="C1397" s="70" t="s">
        <v>13</v>
      </c>
      <c r="D1397" s="205" t="s">
        <v>2858</v>
      </c>
      <c r="E1397" s="71" t="s">
        <v>2859</v>
      </c>
      <c r="F1397" s="72"/>
      <c r="G1397" s="73"/>
      <c r="H1397" s="75"/>
      <c r="I1397" s="102">
        <v>46158</v>
      </c>
      <c r="J1397" s="70" t="s">
        <v>767</v>
      </c>
      <c r="K1397" s="106"/>
      <c r="L1397" s="104" t="e">
        <f t="shared" si="383"/>
        <v>#VALUE!</v>
      </c>
      <c r="M1397" s="105" t="e">
        <f ca="1" t="shared" si="384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385"/>
        <v>0</v>
      </c>
      <c r="Z1397" s="105">
        <f ca="1" t="shared" si="386"/>
        <v>-46313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5"/>
      <c r="AO1397" s="115"/>
      <c r="AP1397" s="115"/>
      <c r="AQ1397" s="93"/>
      <c r="AR1397" s="93"/>
      <c r="AS1397" s="94"/>
      <c r="AT1397" s="95"/>
      <c r="AU1397" s="79"/>
      <c r="AV1397" s="117"/>
      <c r="AW1397" s="115"/>
      <c r="AX1397" s="106"/>
      <c r="AY1397" s="104"/>
      <c r="AZ1397" s="105"/>
    </row>
    <row r="1398" customHeight="1" spans="1:52">
      <c r="A1398" s="70">
        <v>1401</v>
      </c>
      <c r="B1398" s="70" t="s">
        <v>134</v>
      </c>
      <c r="C1398" s="70" t="s">
        <v>38</v>
      </c>
      <c r="D1398" s="71" t="s">
        <v>4145</v>
      </c>
      <c r="E1398" s="71" t="s">
        <v>3837</v>
      </c>
      <c r="F1398" s="72"/>
      <c r="G1398" s="73"/>
      <c r="H1398" s="75"/>
      <c r="I1398" s="102">
        <v>46159</v>
      </c>
      <c r="J1398" s="70" t="s">
        <v>767</v>
      </c>
      <c r="K1398" s="106"/>
      <c r="L1398" s="104" t="e">
        <f t="shared" si="383"/>
        <v>#VALUE!</v>
      </c>
      <c r="M1398" s="105" t="e">
        <f ca="1" t="shared" si="384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385"/>
        <v>0</v>
      </c>
      <c r="Z1398" s="105">
        <f ca="1" t="shared" si="386"/>
        <v>-46313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5"/>
      <c r="AO1398" s="115"/>
      <c r="AP1398" s="115"/>
      <c r="AQ1398" s="93"/>
      <c r="AR1398" s="93"/>
      <c r="AS1398" s="94"/>
      <c r="AT1398" s="95"/>
      <c r="AU1398" s="79"/>
      <c r="AV1398" s="117"/>
      <c r="AW1398" s="115"/>
      <c r="AX1398" s="106"/>
      <c r="AY1398" s="104"/>
      <c r="AZ1398" s="105"/>
    </row>
    <row r="1399" customHeight="1" spans="1:52">
      <c r="A1399" s="70">
        <v>1402</v>
      </c>
      <c r="B1399" s="70" t="s">
        <v>3722</v>
      </c>
      <c r="C1399" s="70" t="s">
        <v>38</v>
      </c>
      <c r="D1399" s="71" t="s">
        <v>4223</v>
      </c>
      <c r="E1399" s="71" t="s">
        <v>3387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4224</v>
      </c>
      <c r="L1399" s="104">
        <f t="shared" ref="L1399:L1406" si="387">EDATE(I1399,J1399)</f>
        <v>46252</v>
      </c>
      <c r="M1399" s="105">
        <f ca="1" t="shared" ref="M1399:M1406" si="388">L1399-TODAY()</f>
        <v>-61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385"/>
        <v>0</v>
      </c>
      <c r="Z1399" s="105">
        <f ca="1" t="shared" si="386"/>
        <v>-46313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5"/>
      <c r="AO1399" s="115"/>
      <c r="AP1399" s="115"/>
      <c r="AQ1399" s="93"/>
      <c r="AR1399" s="93"/>
      <c r="AS1399" s="94"/>
      <c r="AT1399" s="95"/>
      <c r="AU1399" s="79"/>
      <c r="AV1399" s="117"/>
      <c r="AW1399" s="115"/>
      <c r="AX1399" s="106"/>
      <c r="AY1399" s="104"/>
      <c r="AZ1399" s="105"/>
    </row>
    <row r="1400" customHeight="1" spans="1:52">
      <c r="A1400" s="70">
        <v>1403</v>
      </c>
      <c r="B1400" s="70" t="s">
        <v>4128</v>
      </c>
      <c r="C1400" s="70" t="s">
        <v>13</v>
      </c>
      <c r="D1400" s="71" t="s">
        <v>4225</v>
      </c>
      <c r="E1400" s="71" t="s">
        <v>126</v>
      </c>
      <c r="F1400" s="72"/>
      <c r="G1400" s="73"/>
      <c r="H1400" s="75"/>
      <c r="I1400" s="102">
        <v>46160</v>
      </c>
      <c r="J1400" s="70">
        <v>3</v>
      </c>
      <c r="K1400" s="106" t="s">
        <v>4226</v>
      </c>
      <c r="L1400" s="104">
        <f t="shared" si="387"/>
        <v>46252</v>
      </c>
      <c r="M1400" s="105">
        <f ca="1" t="shared" si="388"/>
        <v>-61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385"/>
        <v>0</v>
      </c>
      <c r="Z1400" s="105">
        <f ca="1" t="shared" si="386"/>
        <v>-46313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5"/>
      <c r="AO1400" s="115"/>
      <c r="AP1400" s="115"/>
      <c r="AQ1400" s="93"/>
      <c r="AR1400" s="93"/>
      <c r="AS1400" s="94"/>
      <c r="AT1400" s="95"/>
      <c r="AU1400" s="79"/>
      <c r="AV1400" s="117"/>
      <c r="AW1400" s="115"/>
      <c r="AX1400" s="106"/>
      <c r="AY1400" s="104"/>
      <c r="AZ1400" s="105"/>
    </row>
    <row r="1401" customHeight="1" spans="1:52">
      <c r="A1401" s="70">
        <v>1404</v>
      </c>
      <c r="B1401" s="70" t="s">
        <v>872</v>
      </c>
      <c r="C1401" s="70" t="s">
        <v>13</v>
      </c>
      <c r="D1401" s="71" t="s">
        <v>4227</v>
      </c>
      <c r="E1401" s="71" t="s">
        <v>4228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4229</v>
      </c>
      <c r="L1401" s="104">
        <f t="shared" si="387"/>
        <v>46252</v>
      </c>
      <c r="M1401" s="105">
        <f ca="1" t="shared" si="388"/>
        <v>-61</v>
      </c>
      <c r="N1401" s="70"/>
      <c r="O1401" s="70" t="s">
        <v>872</v>
      </c>
      <c r="P1401" s="70" t="s">
        <v>13</v>
      </c>
      <c r="Q1401" s="71" t="s">
        <v>4227</v>
      </c>
      <c r="R1401" s="71" t="s">
        <v>4228</v>
      </c>
      <c r="S1401" s="72"/>
      <c r="T1401" s="73"/>
      <c r="U1401" s="79" t="s">
        <v>16</v>
      </c>
      <c r="V1401" s="102">
        <v>46262</v>
      </c>
      <c r="W1401" s="70">
        <v>3</v>
      </c>
      <c r="X1401" s="103" t="s">
        <v>4230</v>
      </c>
      <c r="Y1401" s="104">
        <f t="shared" si="385"/>
        <v>46354</v>
      </c>
      <c r="Z1401" s="105">
        <f ca="1" t="shared" si="386"/>
        <v>41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5"/>
      <c r="AO1401" s="115"/>
      <c r="AP1401" s="115"/>
      <c r="AQ1401" s="93"/>
      <c r="AR1401" s="93"/>
      <c r="AS1401" s="94"/>
      <c r="AT1401" s="95"/>
      <c r="AU1401" s="79"/>
      <c r="AV1401" s="117"/>
      <c r="AW1401" s="115"/>
      <c r="AX1401" s="106"/>
      <c r="AY1401" s="104"/>
      <c r="AZ1401" s="105"/>
    </row>
    <row r="1402" customHeight="1" spans="1:52">
      <c r="A1402" s="70">
        <v>1405</v>
      </c>
      <c r="B1402" s="70" t="s">
        <v>798</v>
      </c>
      <c r="C1402" s="70" t="s">
        <v>264</v>
      </c>
      <c r="D1402" s="71" t="s">
        <v>4231</v>
      </c>
      <c r="E1402" s="71" t="s">
        <v>264</v>
      </c>
      <c r="F1402" s="72"/>
      <c r="G1402" s="73"/>
      <c r="H1402" s="75"/>
      <c r="I1402" s="102">
        <v>46160</v>
      </c>
      <c r="J1402" s="70">
        <v>3</v>
      </c>
      <c r="K1402" s="106" t="s">
        <v>4232</v>
      </c>
      <c r="L1402" s="104">
        <f t="shared" si="387"/>
        <v>46252</v>
      </c>
      <c r="M1402" s="105">
        <f ca="1" t="shared" si="388"/>
        <v>-61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385"/>
        <v>0</v>
      </c>
      <c r="Z1402" s="105">
        <f ca="1" t="shared" si="386"/>
        <v>-46313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5"/>
      <c r="AO1402" s="115"/>
      <c r="AP1402" s="115"/>
      <c r="AQ1402" s="93"/>
      <c r="AR1402" s="93"/>
      <c r="AS1402" s="94"/>
      <c r="AT1402" s="95"/>
      <c r="AU1402" s="79"/>
      <c r="AV1402" s="117"/>
      <c r="AW1402" s="115"/>
      <c r="AX1402" s="106"/>
      <c r="AY1402" s="104"/>
      <c r="AZ1402" s="105"/>
    </row>
    <row r="1403" customHeight="1" spans="1:52">
      <c r="A1403" s="70">
        <v>1406</v>
      </c>
      <c r="B1403" s="70" t="s">
        <v>4233</v>
      </c>
      <c r="C1403" s="70" t="s">
        <v>264</v>
      </c>
      <c r="D1403" s="71" t="s">
        <v>752</v>
      </c>
      <c r="E1403" s="71" t="s">
        <v>753</v>
      </c>
      <c r="F1403" s="72"/>
      <c r="G1403" s="73"/>
      <c r="H1403" s="75"/>
      <c r="I1403" s="102">
        <v>46160</v>
      </c>
      <c r="J1403" s="70" t="s">
        <v>767</v>
      </c>
      <c r="K1403" s="106"/>
      <c r="L1403" s="104" t="e">
        <f t="shared" si="387"/>
        <v>#VALUE!</v>
      </c>
      <c r="M1403" s="105" t="e">
        <f ca="1" t="shared" si="388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385"/>
        <v>0</v>
      </c>
      <c r="Z1403" s="105">
        <f ca="1" t="shared" si="386"/>
        <v>-46313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5"/>
      <c r="AO1403" s="115"/>
      <c r="AP1403" s="115"/>
      <c r="AQ1403" s="93"/>
      <c r="AR1403" s="93"/>
      <c r="AS1403" s="94"/>
      <c r="AT1403" s="95"/>
      <c r="AU1403" s="79"/>
      <c r="AV1403" s="117"/>
      <c r="AW1403" s="115"/>
      <c r="AX1403" s="106"/>
      <c r="AY1403" s="104"/>
      <c r="AZ1403" s="105"/>
    </row>
    <row r="1404" customHeight="1" spans="1:52">
      <c r="A1404" s="70">
        <v>1407</v>
      </c>
      <c r="B1404" s="70" t="s">
        <v>366</v>
      </c>
      <c r="C1404" s="70" t="s">
        <v>264</v>
      </c>
      <c r="D1404" s="71" t="s">
        <v>367</v>
      </c>
      <c r="E1404" s="71" t="s">
        <v>368</v>
      </c>
      <c r="F1404" s="72"/>
      <c r="G1404" s="73"/>
      <c r="H1404" s="75"/>
      <c r="I1404" s="102">
        <v>46160</v>
      </c>
      <c r="J1404" s="70" t="s">
        <v>767</v>
      </c>
      <c r="K1404" s="106"/>
      <c r="L1404" s="104" t="e">
        <f t="shared" si="387"/>
        <v>#VALUE!</v>
      </c>
      <c r="M1404" s="105" t="e">
        <f ca="1" t="shared" si="388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385"/>
        <v>0</v>
      </c>
      <c r="Z1404" s="105">
        <f ca="1" t="shared" si="386"/>
        <v>-46313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5"/>
      <c r="AO1404" s="115"/>
      <c r="AP1404" s="115"/>
      <c r="AQ1404" s="93"/>
      <c r="AR1404" s="93"/>
      <c r="AS1404" s="94"/>
      <c r="AT1404" s="95"/>
      <c r="AU1404" s="79"/>
      <c r="AV1404" s="117"/>
      <c r="AW1404" s="115"/>
      <c r="AX1404" s="106"/>
      <c r="AY1404" s="104"/>
      <c r="AZ1404" s="105"/>
    </row>
    <row r="1405" customHeight="1" spans="1:52">
      <c r="A1405" s="70">
        <v>1408</v>
      </c>
      <c r="B1405" s="70" t="s">
        <v>3780</v>
      </c>
      <c r="C1405" s="70" t="s">
        <v>264</v>
      </c>
      <c r="D1405" s="71" t="s">
        <v>367</v>
      </c>
      <c r="E1405" s="71" t="s">
        <v>368</v>
      </c>
      <c r="F1405" s="72"/>
      <c r="G1405" s="73"/>
      <c r="H1405" s="75"/>
      <c r="I1405" s="102">
        <v>46160</v>
      </c>
      <c r="J1405" s="70" t="s">
        <v>767</v>
      </c>
      <c r="K1405" s="106"/>
      <c r="L1405" s="104" t="e">
        <f t="shared" si="387"/>
        <v>#VALUE!</v>
      </c>
      <c r="M1405" s="105" t="e">
        <f ca="1" t="shared" si="388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385"/>
        <v>0</v>
      </c>
      <c r="Z1405" s="105">
        <f ca="1" t="shared" si="386"/>
        <v>-46313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5"/>
      <c r="AO1405" s="115"/>
      <c r="AP1405" s="115"/>
      <c r="AQ1405" s="93"/>
      <c r="AR1405" s="93"/>
      <c r="AS1405" s="94"/>
      <c r="AT1405" s="95"/>
      <c r="AU1405" s="79"/>
      <c r="AV1405" s="117"/>
      <c r="AW1405" s="115"/>
      <c r="AX1405" s="106"/>
      <c r="AY1405" s="104"/>
      <c r="AZ1405" s="105"/>
    </row>
    <row r="1406" customHeight="1" spans="1:52">
      <c r="A1406" s="70">
        <v>1409</v>
      </c>
      <c r="B1406" s="70" t="s">
        <v>134</v>
      </c>
      <c r="C1406" s="70" t="s">
        <v>38</v>
      </c>
      <c r="D1406" s="71" t="s">
        <v>3866</v>
      </c>
      <c r="E1406" s="71" t="s">
        <v>4234</v>
      </c>
      <c r="F1406" s="72"/>
      <c r="G1406" s="73"/>
      <c r="H1406" s="75"/>
      <c r="I1406" s="102">
        <v>46160</v>
      </c>
      <c r="J1406" s="70" t="s">
        <v>767</v>
      </c>
      <c r="K1406" s="106"/>
      <c r="L1406" s="104" t="e">
        <f t="shared" si="387"/>
        <v>#VALUE!</v>
      </c>
      <c r="M1406" s="105" t="e">
        <f ca="1" t="shared" si="388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385"/>
        <v>0</v>
      </c>
      <c r="Z1406" s="105">
        <f ca="1" t="shared" si="386"/>
        <v>-46313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5"/>
      <c r="AO1406" s="115"/>
      <c r="AP1406" s="115"/>
      <c r="AQ1406" s="93"/>
      <c r="AR1406" s="93"/>
      <c r="AS1406" s="94"/>
      <c r="AT1406" s="95"/>
      <c r="AU1406" s="79"/>
      <c r="AV1406" s="117"/>
      <c r="AW1406" s="115"/>
      <c r="AX1406" s="106"/>
      <c r="AY1406" s="104"/>
      <c r="AZ1406" s="105"/>
    </row>
    <row r="1407" customHeight="1" spans="1:52">
      <c r="A1407" s="70">
        <v>1410</v>
      </c>
      <c r="B1407" s="70" t="s">
        <v>751</v>
      </c>
      <c r="C1407" s="70" t="s">
        <v>13</v>
      </c>
      <c r="D1407" s="71" t="s">
        <v>4235</v>
      </c>
      <c r="E1407" s="71" t="s">
        <v>45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4236</v>
      </c>
      <c r="L1407" s="104">
        <f t="shared" ref="L1407:L1414" si="389">EDATE(I1407,J1407)</f>
        <v>46253</v>
      </c>
      <c r="M1407" s="105">
        <f ca="1" t="shared" ref="M1407:M1414" si="390">L1407-TODAY()</f>
        <v>-60</v>
      </c>
      <c r="N1407" s="70"/>
      <c r="O1407" s="70" t="s">
        <v>751</v>
      </c>
      <c r="P1407" s="70" t="s">
        <v>13</v>
      </c>
      <c r="Q1407" s="71" t="s">
        <v>4235</v>
      </c>
      <c r="R1407" s="71" t="s">
        <v>45</v>
      </c>
      <c r="S1407" s="72"/>
      <c r="T1407" s="73"/>
      <c r="U1407" s="79" t="s">
        <v>16</v>
      </c>
      <c r="V1407" s="102">
        <v>46258</v>
      </c>
      <c r="W1407" s="70">
        <v>3</v>
      </c>
      <c r="X1407" s="103" t="s">
        <v>4237</v>
      </c>
      <c r="Y1407" s="104">
        <f t="shared" si="385"/>
        <v>46350</v>
      </c>
      <c r="Z1407" s="105">
        <f ca="1" t="shared" si="386"/>
        <v>37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5"/>
      <c r="AO1407" s="115"/>
      <c r="AP1407" s="115"/>
      <c r="AQ1407" s="93"/>
      <c r="AR1407" s="93"/>
      <c r="AS1407" s="94"/>
      <c r="AT1407" s="95"/>
      <c r="AU1407" s="79"/>
      <c r="AV1407" s="117"/>
      <c r="AW1407" s="115"/>
      <c r="AX1407" s="106"/>
      <c r="AY1407" s="104"/>
      <c r="AZ1407" s="105"/>
    </row>
    <row r="1408" customHeight="1" spans="1:52">
      <c r="A1408" s="70">
        <v>1411</v>
      </c>
      <c r="B1408" s="70" t="s">
        <v>3385</v>
      </c>
      <c r="C1408" s="70" t="s">
        <v>38</v>
      </c>
      <c r="D1408" s="71" t="s">
        <v>4238</v>
      </c>
      <c r="E1408" s="71" t="s">
        <v>4239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4240</v>
      </c>
      <c r="L1408" s="104">
        <f t="shared" si="389"/>
        <v>46253</v>
      </c>
      <c r="M1408" s="105">
        <f ca="1" t="shared" si="390"/>
        <v>-60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385"/>
        <v>0</v>
      </c>
      <c r="Z1408" s="105">
        <f ca="1" t="shared" si="386"/>
        <v>-46313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5"/>
      <c r="AO1408" s="115"/>
      <c r="AP1408" s="115"/>
      <c r="AQ1408" s="93"/>
      <c r="AR1408" s="93"/>
      <c r="AS1408" s="94"/>
      <c r="AT1408" s="95"/>
      <c r="AU1408" s="79"/>
      <c r="AV1408" s="117"/>
      <c r="AW1408" s="115"/>
      <c r="AX1408" s="106"/>
      <c r="AY1408" s="104"/>
      <c r="AZ1408" s="105"/>
    </row>
    <row r="1409" customHeight="1" spans="1:52">
      <c r="A1409" s="70">
        <v>1412</v>
      </c>
      <c r="B1409" s="70" t="s">
        <v>2862</v>
      </c>
      <c r="C1409" s="70" t="s">
        <v>374</v>
      </c>
      <c r="D1409" s="71" t="s">
        <v>4241</v>
      </c>
      <c r="E1409" s="71" t="s">
        <v>3936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4242</v>
      </c>
      <c r="L1409" s="104">
        <f t="shared" si="389"/>
        <v>46253</v>
      </c>
      <c r="M1409" s="105">
        <f ca="1" t="shared" si="390"/>
        <v>-60</v>
      </c>
      <c r="N1409" s="70"/>
      <c r="O1409" s="70" t="s">
        <v>2862</v>
      </c>
      <c r="P1409" s="70" t="s">
        <v>374</v>
      </c>
      <c r="Q1409" s="71" t="s">
        <v>4241</v>
      </c>
      <c r="R1409" s="71" t="s">
        <v>3936</v>
      </c>
      <c r="S1409" s="72"/>
      <c r="T1409" s="73"/>
      <c r="U1409" s="75"/>
      <c r="V1409" s="102">
        <v>46249</v>
      </c>
      <c r="W1409" s="70">
        <v>3</v>
      </c>
      <c r="X1409" s="103" t="s">
        <v>4243</v>
      </c>
      <c r="Y1409" s="104">
        <f t="shared" si="385"/>
        <v>46341</v>
      </c>
      <c r="Z1409" s="105">
        <f ca="1" t="shared" si="386"/>
        <v>28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5"/>
      <c r="AO1409" s="115"/>
      <c r="AP1409" s="115"/>
      <c r="AQ1409" s="93"/>
      <c r="AR1409" s="93"/>
      <c r="AS1409" s="94"/>
      <c r="AT1409" s="95"/>
      <c r="AU1409" s="79"/>
      <c r="AV1409" s="117"/>
      <c r="AW1409" s="115"/>
      <c r="AX1409" s="106"/>
      <c r="AY1409" s="104"/>
      <c r="AZ1409" s="105"/>
    </row>
    <row r="1410" customHeight="1" spans="1:52">
      <c r="A1410" s="70">
        <v>1413</v>
      </c>
      <c r="B1410" s="70" t="s">
        <v>1036</v>
      </c>
      <c r="C1410" s="70" t="s">
        <v>374</v>
      </c>
      <c r="D1410" s="71" t="s">
        <v>4244</v>
      </c>
      <c r="E1410" s="71" t="s">
        <v>1312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4245</v>
      </c>
      <c r="L1410" s="104">
        <f t="shared" si="389"/>
        <v>46253</v>
      </c>
      <c r="M1410" s="105">
        <f ca="1" t="shared" si="390"/>
        <v>-60</v>
      </c>
      <c r="N1410" s="70"/>
      <c r="O1410" s="70" t="s">
        <v>1036</v>
      </c>
      <c r="P1410" s="70" t="s">
        <v>374</v>
      </c>
      <c r="Q1410" s="71" t="s">
        <v>4244</v>
      </c>
      <c r="R1410" s="71" t="s">
        <v>1312</v>
      </c>
      <c r="S1410" s="72"/>
      <c r="T1410" s="73"/>
      <c r="U1410" s="79" t="s">
        <v>16</v>
      </c>
      <c r="V1410" s="102">
        <v>46276</v>
      </c>
      <c r="W1410" s="70">
        <v>3</v>
      </c>
      <c r="X1410" s="103" t="s">
        <v>4246</v>
      </c>
      <c r="Y1410" s="104">
        <f t="shared" si="385"/>
        <v>46367</v>
      </c>
      <c r="Z1410" s="105">
        <f ca="1" t="shared" si="386"/>
        <v>54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5"/>
      <c r="AO1410" s="115"/>
      <c r="AP1410" s="115"/>
      <c r="AQ1410" s="93"/>
      <c r="AR1410" s="93"/>
      <c r="AS1410" s="94"/>
      <c r="AT1410" s="95"/>
      <c r="AU1410" s="79"/>
      <c r="AV1410" s="117"/>
      <c r="AW1410" s="115"/>
      <c r="AX1410" s="106"/>
      <c r="AY1410" s="104"/>
      <c r="AZ1410" s="105"/>
    </row>
    <row r="1411" customHeight="1" spans="1:52">
      <c r="A1411" s="70">
        <v>1414</v>
      </c>
      <c r="B1411" s="70" t="s">
        <v>373</v>
      </c>
      <c r="C1411" s="70" t="s">
        <v>374</v>
      </c>
      <c r="D1411" s="71" t="s">
        <v>3564</v>
      </c>
      <c r="E1411" s="71" t="s">
        <v>376</v>
      </c>
      <c r="F1411" s="72"/>
      <c r="G1411" s="73"/>
      <c r="H1411" s="75"/>
      <c r="I1411" s="102">
        <v>46161</v>
      </c>
      <c r="J1411" s="70" t="s">
        <v>767</v>
      </c>
      <c r="K1411" s="106" t="s">
        <v>4247</v>
      </c>
      <c r="L1411" s="104" t="e">
        <f t="shared" si="389"/>
        <v>#VALUE!</v>
      </c>
      <c r="M1411" s="105" t="e">
        <f ca="1" t="shared" si="390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385"/>
        <v>0</v>
      </c>
      <c r="Z1411" s="105">
        <f ca="1" t="shared" si="386"/>
        <v>-46313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5"/>
      <c r="AO1411" s="115"/>
      <c r="AP1411" s="115"/>
      <c r="AQ1411" s="93"/>
      <c r="AR1411" s="93"/>
      <c r="AS1411" s="94"/>
      <c r="AT1411" s="95"/>
      <c r="AU1411" s="79"/>
      <c r="AV1411" s="117"/>
      <c r="AW1411" s="115"/>
      <c r="AX1411" s="106"/>
      <c r="AY1411" s="104"/>
      <c r="AZ1411" s="105"/>
    </row>
    <row r="1412" customHeight="1" spans="1:52">
      <c r="A1412" s="70">
        <v>1415</v>
      </c>
      <c r="B1412" s="70" t="s">
        <v>134</v>
      </c>
      <c r="C1412" s="70" t="s">
        <v>38</v>
      </c>
      <c r="D1412" s="71" t="s">
        <v>4145</v>
      </c>
      <c r="E1412" s="71" t="s">
        <v>3837</v>
      </c>
      <c r="F1412" s="72"/>
      <c r="G1412" s="73"/>
      <c r="H1412" s="75"/>
      <c r="I1412" s="102">
        <v>46161</v>
      </c>
      <c r="J1412" s="70" t="s">
        <v>767</v>
      </c>
      <c r="K1412" s="106"/>
      <c r="L1412" s="104" t="e">
        <f t="shared" ref="L1412:L1422" si="391">EDATE(I1412,J1412)</f>
        <v>#VALUE!</v>
      </c>
      <c r="M1412" s="105" t="e">
        <f ca="1" t="shared" ref="M1412:M1422" si="392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385"/>
        <v>0</v>
      </c>
      <c r="Z1412" s="105">
        <f ca="1" t="shared" si="386"/>
        <v>-46313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5"/>
      <c r="AO1412" s="115"/>
      <c r="AP1412" s="115"/>
      <c r="AQ1412" s="93"/>
      <c r="AR1412" s="93"/>
      <c r="AS1412" s="94"/>
      <c r="AT1412" s="95"/>
      <c r="AU1412" s="79"/>
      <c r="AV1412" s="117"/>
      <c r="AW1412" s="115"/>
      <c r="AX1412" s="106"/>
      <c r="AY1412" s="104"/>
      <c r="AZ1412" s="105"/>
    </row>
    <row r="1413" customHeight="1" spans="1:52">
      <c r="A1413" s="70">
        <v>1416</v>
      </c>
      <c r="B1413" s="204" t="s">
        <v>644</v>
      </c>
      <c r="C1413" s="70" t="s">
        <v>264</v>
      </c>
      <c r="D1413" s="205" t="s">
        <v>1922</v>
      </c>
      <c r="E1413" s="71" t="s">
        <v>266</v>
      </c>
      <c r="F1413" s="72"/>
      <c r="G1413" s="73"/>
      <c r="H1413" s="75"/>
      <c r="I1413" s="102">
        <v>46161</v>
      </c>
      <c r="J1413" s="70" t="s">
        <v>767</v>
      </c>
      <c r="K1413" s="106"/>
      <c r="L1413" s="104" t="e">
        <f t="shared" si="391"/>
        <v>#VALUE!</v>
      </c>
      <c r="M1413" s="105" t="e">
        <f ca="1" t="shared" si="392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385"/>
        <v>0</v>
      </c>
      <c r="Z1413" s="105">
        <f ca="1" t="shared" si="386"/>
        <v>-46313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5"/>
      <c r="AO1413" s="115"/>
      <c r="AP1413" s="115"/>
      <c r="AQ1413" s="93"/>
      <c r="AR1413" s="93"/>
      <c r="AS1413" s="94"/>
      <c r="AT1413" s="95"/>
      <c r="AU1413" s="79"/>
      <c r="AV1413" s="117"/>
      <c r="AW1413" s="115"/>
      <c r="AX1413" s="106"/>
      <c r="AY1413" s="104"/>
      <c r="AZ1413" s="105"/>
    </row>
    <row r="1414" customHeight="1" spans="1:52">
      <c r="A1414" s="70">
        <v>1417</v>
      </c>
      <c r="B1414" s="204" t="s">
        <v>644</v>
      </c>
      <c r="C1414" s="70" t="s">
        <v>264</v>
      </c>
      <c r="D1414" s="205" t="s">
        <v>2433</v>
      </c>
      <c r="E1414" s="71" t="s">
        <v>753</v>
      </c>
      <c r="F1414" s="72"/>
      <c r="G1414" s="73"/>
      <c r="H1414" s="75"/>
      <c r="I1414" s="102">
        <v>46161</v>
      </c>
      <c r="J1414" s="70" t="s">
        <v>767</v>
      </c>
      <c r="K1414" s="106"/>
      <c r="L1414" s="104" t="e">
        <f t="shared" si="391"/>
        <v>#VALUE!</v>
      </c>
      <c r="M1414" s="105" t="e">
        <f ca="1" t="shared" si="392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385"/>
        <v>0</v>
      </c>
      <c r="Z1414" s="105">
        <f ca="1" t="shared" si="386"/>
        <v>-46313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5"/>
      <c r="AO1414" s="115"/>
      <c r="AP1414" s="115"/>
      <c r="AQ1414" s="93"/>
      <c r="AR1414" s="93"/>
      <c r="AS1414" s="94"/>
      <c r="AT1414" s="95"/>
      <c r="AU1414" s="79"/>
      <c r="AV1414" s="117"/>
      <c r="AW1414" s="115"/>
      <c r="AX1414" s="106"/>
      <c r="AY1414" s="104"/>
      <c r="AZ1414" s="105"/>
    </row>
    <row r="1415" customHeight="1" spans="1:52">
      <c r="A1415" s="70">
        <v>1418</v>
      </c>
      <c r="B1415" s="70" t="s">
        <v>3549</v>
      </c>
      <c r="C1415" s="70" t="s">
        <v>13</v>
      </c>
      <c r="D1415" s="205" t="s">
        <v>4248</v>
      </c>
      <c r="E1415" s="71" t="s">
        <v>45</v>
      </c>
      <c r="F1415" s="72"/>
      <c r="G1415" s="73"/>
      <c r="H1415" s="75"/>
      <c r="I1415" s="102">
        <v>46162</v>
      </c>
      <c r="J1415" s="70">
        <v>3</v>
      </c>
      <c r="K1415" s="106" t="s">
        <v>4249</v>
      </c>
      <c r="L1415" s="104">
        <f t="shared" si="391"/>
        <v>46254</v>
      </c>
      <c r="M1415" s="105">
        <f ca="1" t="shared" si="392"/>
        <v>-59</v>
      </c>
      <c r="N1415" s="70"/>
      <c r="O1415" s="70" t="s">
        <v>4250</v>
      </c>
      <c r="P1415" s="70" t="s">
        <v>13</v>
      </c>
      <c r="Q1415" s="205" t="s">
        <v>4248</v>
      </c>
      <c r="R1415" s="71" t="s">
        <v>45</v>
      </c>
      <c r="S1415" s="72"/>
      <c r="T1415" s="73"/>
      <c r="U1415" s="75"/>
      <c r="V1415" s="102">
        <v>46268</v>
      </c>
      <c r="W1415" s="70">
        <v>3</v>
      </c>
      <c r="X1415" s="103" t="s">
        <v>4251</v>
      </c>
      <c r="Y1415" s="104">
        <f t="shared" si="385"/>
        <v>46359</v>
      </c>
      <c r="Z1415" s="105">
        <f ca="1" t="shared" si="386"/>
        <v>46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5"/>
      <c r="AO1415" s="115"/>
      <c r="AP1415" s="115"/>
      <c r="AQ1415" s="93"/>
      <c r="AR1415" s="93"/>
      <c r="AS1415" s="94"/>
      <c r="AT1415" s="95"/>
      <c r="AU1415" s="79"/>
      <c r="AV1415" s="117"/>
      <c r="AW1415" s="115"/>
      <c r="AX1415" s="106"/>
      <c r="AY1415" s="104"/>
      <c r="AZ1415" s="105"/>
    </row>
    <row r="1416" customHeight="1" spans="1:52">
      <c r="A1416" s="70">
        <v>1419</v>
      </c>
      <c r="B1416" s="70" t="s">
        <v>4252</v>
      </c>
      <c r="C1416" s="70" t="s">
        <v>38</v>
      </c>
      <c r="D1416" s="205" t="s">
        <v>4253</v>
      </c>
      <c r="E1416" s="71" t="s">
        <v>189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4254</v>
      </c>
      <c r="L1416" s="104">
        <f t="shared" si="391"/>
        <v>46254</v>
      </c>
      <c r="M1416" s="105">
        <f ca="1" t="shared" si="392"/>
        <v>-59</v>
      </c>
      <c r="N1416" s="70"/>
      <c r="O1416" s="70" t="s">
        <v>4250</v>
      </c>
      <c r="P1416" s="70" t="s">
        <v>38</v>
      </c>
      <c r="Q1416" s="205" t="s">
        <v>4253</v>
      </c>
      <c r="R1416" s="71" t="s">
        <v>189</v>
      </c>
      <c r="S1416" s="72"/>
      <c r="T1416" s="73"/>
      <c r="U1416" s="74" t="s">
        <v>16</v>
      </c>
      <c r="V1416" s="102">
        <v>46268</v>
      </c>
      <c r="W1416" s="70">
        <v>3</v>
      </c>
      <c r="X1416" s="103" t="s">
        <v>4255</v>
      </c>
      <c r="Y1416" s="104">
        <f t="shared" si="385"/>
        <v>46359</v>
      </c>
      <c r="Z1416" s="105">
        <f ca="1" t="shared" si="386"/>
        <v>46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5"/>
      <c r="AO1416" s="115"/>
      <c r="AP1416" s="115"/>
      <c r="AQ1416" s="93"/>
      <c r="AR1416" s="93"/>
      <c r="AS1416" s="94"/>
      <c r="AT1416" s="95"/>
      <c r="AU1416" s="79"/>
      <c r="AV1416" s="117"/>
      <c r="AW1416" s="115"/>
      <c r="AX1416" s="106"/>
      <c r="AY1416" s="104"/>
      <c r="AZ1416" s="105"/>
    </row>
    <row r="1417" customHeight="1" spans="1:52">
      <c r="A1417" s="70">
        <v>1420</v>
      </c>
      <c r="B1417" s="70" t="s">
        <v>4162</v>
      </c>
      <c r="C1417" s="70" t="s">
        <v>374</v>
      </c>
      <c r="D1417" s="71" t="s">
        <v>375</v>
      </c>
      <c r="E1417" s="71" t="s">
        <v>376</v>
      </c>
      <c r="F1417" s="72"/>
      <c r="G1417" s="73"/>
      <c r="H1417" s="75"/>
      <c r="I1417" s="102">
        <v>46162</v>
      </c>
      <c r="J1417" s="70">
        <v>3</v>
      </c>
      <c r="K1417" s="106" t="s">
        <v>4256</v>
      </c>
      <c r="L1417" s="104">
        <f t="shared" si="391"/>
        <v>46254</v>
      </c>
      <c r="M1417" s="105">
        <f ca="1" t="shared" si="392"/>
        <v>-59</v>
      </c>
      <c r="N1417" s="70"/>
      <c r="O1417" s="70" t="s">
        <v>4162</v>
      </c>
      <c r="P1417" s="70" t="s">
        <v>374</v>
      </c>
      <c r="Q1417" s="71" t="s">
        <v>375</v>
      </c>
      <c r="R1417" s="71" t="s">
        <v>376</v>
      </c>
      <c r="S1417" s="72"/>
      <c r="T1417" s="73"/>
      <c r="U1417" s="75"/>
      <c r="V1417" s="102">
        <v>46262</v>
      </c>
      <c r="W1417" s="70">
        <v>3</v>
      </c>
      <c r="X1417" s="103" t="s">
        <v>4257</v>
      </c>
      <c r="Y1417" s="104">
        <f t="shared" si="385"/>
        <v>46354</v>
      </c>
      <c r="Z1417" s="105">
        <f ca="1" t="shared" si="386"/>
        <v>41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5"/>
      <c r="AO1417" s="115"/>
      <c r="AP1417" s="115"/>
      <c r="AQ1417" s="93"/>
      <c r="AR1417" s="93"/>
      <c r="AS1417" s="94"/>
      <c r="AT1417" s="95"/>
      <c r="AU1417" s="79"/>
      <c r="AV1417" s="117"/>
      <c r="AW1417" s="115"/>
      <c r="AX1417" s="106"/>
      <c r="AY1417" s="104"/>
      <c r="AZ1417" s="105"/>
    </row>
    <row r="1418" customHeight="1" spans="1:52">
      <c r="A1418" s="70">
        <v>1421</v>
      </c>
      <c r="B1418" s="204" t="s">
        <v>281</v>
      </c>
      <c r="C1418" s="70" t="s">
        <v>264</v>
      </c>
      <c r="D1418" s="205" t="s">
        <v>4258</v>
      </c>
      <c r="E1418" s="71" t="s">
        <v>4259</v>
      </c>
      <c r="F1418" s="72"/>
      <c r="G1418" s="73"/>
      <c r="H1418" s="75"/>
      <c r="I1418" s="102">
        <v>46162</v>
      </c>
      <c r="J1418" s="70">
        <v>3</v>
      </c>
      <c r="K1418" s="106" t="s">
        <v>4260</v>
      </c>
      <c r="L1418" s="104">
        <f t="shared" si="391"/>
        <v>46254</v>
      </c>
      <c r="M1418" s="105">
        <f ca="1" t="shared" si="392"/>
        <v>-59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385"/>
        <v>0</v>
      </c>
      <c r="Z1418" s="105">
        <f ca="1" t="shared" si="386"/>
        <v>-46313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5"/>
      <c r="AO1418" s="115"/>
      <c r="AP1418" s="115"/>
      <c r="AQ1418" s="93"/>
      <c r="AR1418" s="93"/>
      <c r="AS1418" s="94"/>
      <c r="AT1418" s="95"/>
      <c r="AU1418" s="79"/>
      <c r="AV1418" s="117"/>
      <c r="AW1418" s="115"/>
      <c r="AX1418" s="106"/>
      <c r="AY1418" s="104"/>
      <c r="AZ1418" s="105"/>
    </row>
    <row r="1419" customHeight="1" spans="1:52">
      <c r="A1419" s="70">
        <v>1422</v>
      </c>
      <c r="B1419" s="204" t="s">
        <v>270</v>
      </c>
      <c r="C1419" s="70" t="s">
        <v>264</v>
      </c>
      <c r="D1419" s="205" t="s">
        <v>276</v>
      </c>
      <c r="E1419" s="71" t="s">
        <v>277</v>
      </c>
      <c r="F1419" s="72"/>
      <c r="G1419" s="73"/>
      <c r="H1419" s="75"/>
      <c r="I1419" s="102">
        <v>46162</v>
      </c>
      <c r="J1419" s="70" t="s">
        <v>767</v>
      </c>
      <c r="K1419" s="106"/>
      <c r="L1419" s="104" t="e">
        <f t="shared" si="391"/>
        <v>#VALUE!</v>
      </c>
      <c r="M1419" s="105" t="e">
        <f ca="1" t="shared" si="392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385"/>
        <v>0</v>
      </c>
      <c r="Z1419" s="105">
        <f ca="1" t="shared" si="386"/>
        <v>-46313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5"/>
      <c r="AO1419" s="115"/>
      <c r="AP1419" s="115"/>
      <c r="AQ1419" s="93"/>
      <c r="AR1419" s="93"/>
      <c r="AS1419" s="94"/>
      <c r="AT1419" s="95"/>
      <c r="AU1419" s="79"/>
      <c r="AV1419" s="117"/>
      <c r="AW1419" s="115"/>
      <c r="AX1419" s="106"/>
      <c r="AY1419" s="104"/>
      <c r="AZ1419" s="105"/>
    </row>
    <row r="1420" customHeight="1" spans="1:52">
      <c r="A1420" s="70">
        <v>1423</v>
      </c>
      <c r="B1420" s="204" t="s">
        <v>648</v>
      </c>
      <c r="C1420" s="70" t="s">
        <v>264</v>
      </c>
      <c r="D1420" s="205" t="s">
        <v>3601</v>
      </c>
      <c r="E1420" s="71" t="s">
        <v>364</v>
      </c>
      <c r="F1420" s="72"/>
      <c r="G1420" s="73"/>
      <c r="H1420" s="75"/>
      <c r="I1420" s="102">
        <v>46162</v>
      </c>
      <c r="J1420" s="70" t="s">
        <v>767</v>
      </c>
      <c r="K1420" s="106"/>
      <c r="L1420" s="104" t="e">
        <f t="shared" si="391"/>
        <v>#VALUE!</v>
      </c>
      <c r="M1420" s="105" t="e">
        <f ca="1" t="shared" si="392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385"/>
        <v>0</v>
      </c>
      <c r="Z1420" s="105">
        <f ca="1" t="shared" si="386"/>
        <v>-46313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5"/>
      <c r="AO1420" s="115"/>
      <c r="AP1420" s="115"/>
      <c r="AQ1420" s="93"/>
      <c r="AR1420" s="93"/>
      <c r="AS1420" s="94"/>
      <c r="AT1420" s="95"/>
      <c r="AU1420" s="79"/>
      <c r="AV1420" s="117"/>
      <c r="AW1420" s="115"/>
      <c r="AX1420" s="106"/>
      <c r="AY1420" s="104"/>
      <c r="AZ1420" s="105"/>
    </row>
    <row r="1421" customHeight="1" spans="1:52">
      <c r="A1421" s="70">
        <v>1424</v>
      </c>
      <c r="B1421" s="204" t="s">
        <v>644</v>
      </c>
      <c r="C1421" s="70" t="s">
        <v>264</v>
      </c>
      <c r="D1421" s="205" t="s">
        <v>1922</v>
      </c>
      <c r="E1421" s="71" t="s">
        <v>266</v>
      </c>
      <c r="F1421" s="72"/>
      <c r="G1421" s="73"/>
      <c r="H1421" s="75"/>
      <c r="I1421" s="102">
        <v>46162</v>
      </c>
      <c r="J1421" s="70" t="s">
        <v>767</v>
      </c>
      <c r="K1421" s="106"/>
      <c r="L1421" s="104" t="e">
        <f t="shared" si="391"/>
        <v>#VALUE!</v>
      </c>
      <c r="M1421" s="105" t="e">
        <f ca="1" t="shared" si="392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385"/>
        <v>0</v>
      </c>
      <c r="Z1421" s="105">
        <f ca="1" t="shared" si="386"/>
        <v>-46313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5"/>
      <c r="AO1421" s="115"/>
      <c r="AP1421" s="115"/>
      <c r="AQ1421" s="93"/>
      <c r="AR1421" s="93"/>
      <c r="AS1421" s="94"/>
      <c r="AT1421" s="95"/>
      <c r="AU1421" s="79"/>
      <c r="AV1421" s="117"/>
      <c r="AW1421" s="115"/>
      <c r="AX1421" s="106"/>
      <c r="AY1421" s="104"/>
      <c r="AZ1421" s="105"/>
    </row>
    <row r="1422" customHeight="1" spans="1:52">
      <c r="A1422" s="70">
        <v>1425</v>
      </c>
      <c r="B1422" s="204" t="s">
        <v>751</v>
      </c>
      <c r="C1422" s="70" t="s">
        <v>38</v>
      </c>
      <c r="D1422" s="205" t="s">
        <v>4261</v>
      </c>
      <c r="E1422" s="71" t="s">
        <v>189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4262</v>
      </c>
      <c r="L1422" s="104">
        <f t="shared" si="391"/>
        <v>46255</v>
      </c>
      <c r="M1422" s="105">
        <f ca="1" t="shared" si="392"/>
        <v>-58</v>
      </c>
      <c r="N1422" s="70"/>
      <c r="O1422" s="204" t="s">
        <v>751</v>
      </c>
      <c r="P1422" s="70" t="s">
        <v>38</v>
      </c>
      <c r="Q1422" s="205" t="s">
        <v>4261</v>
      </c>
      <c r="R1422" s="71" t="s">
        <v>189</v>
      </c>
      <c r="S1422" s="72"/>
      <c r="T1422" s="73"/>
      <c r="U1422" s="74" t="s">
        <v>16</v>
      </c>
      <c r="V1422" s="102">
        <v>46262</v>
      </c>
      <c r="W1422" s="70">
        <v>3</v>
      </c>
      <c r="X1422" s="103" t="s">
        <v>4263</v>
      </c>
      <c r="Y1422" s="104">
        <f t="shared" si="385"/>
        <v>46354</v>
      </c>
      <c r="Z1422" s="105">
        <f ca="1" t="shared" si="386"/>
        <v>41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5"/>
      <c r="AO1422" s="115"/>
      <c r="AP1422" s="115"/>
      <c r="AQ1422" s="93"/>
      <c r="AR1422" s="93"/>
      <c r="AS1422" s="94"/>
      <c r="AT1422" s="95"/>
      <c r="AU1422" s="79"/>
      <c r="AV1422" s="117"/>
      <c r="AW1422" s="115"/>
      <c r="AX1422" s="106"/>
      <c r="AY1422" s="104"/>
      <c r="AZ1422" s="105"/>
    </row>
    <row r="1423" customHeight="1" spans="1:52">
      <c r="A1423" s="70">
        <v>1426</v>
      </c>
      <c r="B1423" s="204" t="s">
        <v>751</v>
      </c>
      <c r="C1423" s="70" t="s">
        <v>38</v>
      </c>
      <c r="D1423" s="205" t="s">
        <v>4264</v>
      </c>
      <c r="E1423" s="71" t="s">
        <v>189</v>
      </c>
      <c r="F1423" s="72"/>
      <c r="G1423" s="73"/>
      <c r="H1423" s="75"/>
      <c r="I1423" s="102">
        <v>46163</v>
      </c>
      <c r="J1423" s="70">
        <v>3</v>
      </c>
      <c r="K1423" s="106" t="s">
        <v>4265</v>
      </c>
      <c r="L1423" s="104">
        <f t="shared" ref="L1423:L1435" si="393">EDATE(I1423,J1423)</f>
        <v>46255</v>
      </c>
      <c r="M1423" s="105">
        <f ca="1" t="shared" ref="M1423:M1435" si="394">L1423-TODAY()</f>
        <v>-58</v>
      </c>
      <c r="N1423" s="70"/>
      <c r="O1423" s="204" t="s">
        <v>751</v>
      </c>
      <c r="P1423" s="70" t="s">
        <v>38</v>
      </c>
      <c r="Q1423" s="205" t="s">
        <v>4264</v>
      </c>
      <c r="R1423" s="71" t="s">
        <v>189</v>
      </c>
      <c r="S1423" s="72"/>
      <c r="T1423" s="73"/>
      <c r="U1423" s="75"/>
      <c r="V1423" s="102">
        <v>46294</v>
      </c>
      <c r="W1423" s="70">
        <v>3</v>
      </c>
      <c r="X1423" s="103" t="s">
        <v>4266</v>
      </c>
      <c r="Y1423" s="104">
        <f t="shared" si="385"/>
        <v>46385</v>
      </c>
      <c r="Z1423" s="105">
        <f ca="1" t="shared" si="386"/>
        <v>72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5"/>
      <c r="AO1423" s="115"/>
      <c r="AP1423" s="115"/>
      <c r="AQ1423" s="93"/>
      <c r="AR1423" s="93"/>
      <c r="AS1423" s="94"/>
      <c r="AT1423" s="95"/>
      <c r="AU1423" s="79"/>
      <c r="AV1423" s="117"/>
      <c r="AW1423" s="115"/>
      <c r="AX1423" s="106"/>
      <c r="AY1423" s="104"/>
      <c r="AZ1423" s="105"/>
    </row>
    <row r="1424" customHeight="1" spans="1:52">
      <c r="A1424" s="70">
        <v>1427</v>
      </c>
      <c r="B1424" s="204" t="s">
        <v>751</v>
      </c>
      <c r="C1424" s="70" t="s">
        <v>13</v>
      </c>
      <c r="D1424" s="205" t="s">
        <v>4267</v>
      </c>
      <c r="E1424" s="71" t="s">
        <v>45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4268</v>
      </c>
      <c r="L1424" s="104">
        <f t="shared" si="393"/>
        <v>46255</v>
      </c>
      <c r="M1424" s="105">
        <f ca="1" t="shared" si="394"/>
        <v>-58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385"/>
        <v>0</v>
      </c>
      <c r="Z1424" s="105">
        <f ca="1" t="shared" si="386"/>
        <v>-46313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5"/>
      <c r="AO1424" s="115"/>
      <c r="AP1424" s="115"/>
      <c r="AQ1424" s="93"/>
      <c r="AR1424" s="93"/>
      <c r="AS1424" s="94"/>
      <c r="AT1424" s="95"/>
      <c r="AU1424" s="79"/>
      <c r="AV1424" s="117"/>
      <c r="AW1424" s="115"/>
      <c r="AX1424" s="106"/>
      <c r="AY1424" s="104"/>
      <c r="AZ1424" s="105"/>
    </row>
    <row r="1425" customHeight="1" spans="1:52">
      <c r="A1425" s="70">
        <v>1428</v>
      </c>
      <c r="B1425" s="204" t="s">
        <v>751</v>
      </c>
      <c r="C1425" s="70" t="s">
        <v>13</v>
      </c>
      <c r="D1425" s="205" t="s">
        <v>4269</v>
      </c>
      <c r="E1425" s="71" t="s">
        <v>4270</v>
      </c>
      <c r="F1425" s="72"/>
      <c r="G1425" s="73"/>
      <c r="H1425" s="75" t="s">
        <v>434</v>
      </c>
      <c r="I1425" s="102">
        <v>46163</v>
      </c>
      <c r="J1425" s="70">
        <v>3</v>
      </c>
      <c r="K1425" s="106" t="s">
        <v>4271</v>
      </c>
      <c r="L1425" s="104">
        <f t="shared" si="393"/>
        <v>46255</v>
      </c>
      <c r="M1425" s="105">
        <f ca="1" t="shared" si="394"/>
        <v>-58</v>
      </c>
      <c r="N1425" s="70"/>
      <c r="O1425" s="204" t="s">
        <v>751</v>
      </c>
      <c r="P1425" s="70" t="s">
        <v>13</v>
      </c>
      <c r="Q1425" s="205" t="s">
        <v>4269</v>
      </c>
      <c r="R1425" s="71" t="s">
        <v>4270</v>
      </c>
      <c r="S1425" s="72"/>
      <c r="T1425" s="73"/>
      <c r="U1425" s="75" t="s">
        <v>434</v>
      </c>
      <c r="V1425" s="102">
        <v>46281</v>
      </c>
      <c r="W1425" s="70">
        <v>3</v>
      </c>
      <c r="X1425" s="103" t="s">
        <v>4272</v>
      </c>
      <c r="Y1425" s="104">
        <f t="shared" si="385"/>
        <v>46372</v>
      </c>
      <c r="Z1425" s="105">
        <f ca="1" t="shared" si="386"/>
        <v>59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5"/>
      <c r="AO1425" s="115"/>
      <c r="AP1425" s="115"/>
      <c r="AQ1425" s="93"/>
      <c r="AR1425" s="93"/>
      <c r="AS1425" s="94"/>
      <c r="AT1425" s="95"/>
      <c r="AU1425" s="79"/>
      <c r="AV1425" s="117"/>
      <c r="AW1425" s="115"/>
      <c r="AX1425" s="106"/>
      <c r="AY1425" s="104"/>
      <c r="AZ1425" s="105"/>
    </row>
    <row r="1426" customHeight="1" spans="1:52">
      <c r="A1426" s="70">
        <v>1429</v>
      </c>
      <c r="B1426" s="204" t="s">
        <v>751</v>
      </c>
      <c r="C1426" s="70" t="s">
        <v>13</v>
      </c>
      <c r="D1426" s="205" t="s">
        <v>4273</v>
      </c>
      <c r="E1426" s="71" t="s">
        <v>1291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4274</v>
      </c>
      <c r="L1426" s="104">
        <f t="shared" si="393"/>
        <v>46255</v>
      </c>
      <c r="M1426" s="105">
        <f ca="1" t="shared" si="394"/>
        <v>-58</v>
      </c>
      <c r="N1426" s="70"/>
      <c r="O1426" s="204" t="s">
        <v>751</v>
      </c>
      <c r="P1426" s="70" t="s">
        <v>13</v>
      </c>
      <c r="Q1426" s="205" t="s">
        <v>4273</v>
      </c>
      <c r="R1426" s="71" t="s">
        <v>1291</v>
      </c>
      <c r="S1426" s="72"/>
      <c r="T1426" s="73"/>
      <c r="U1426" s="74" t="s">
        <v>16</v>
      </c>
      <c r="V1426" s="102">
        <v>46281</v>
      </c>
      <c r="W1426" s="70">
        <v>3</v>
      </c>
      <c r="X1426" s="103" t="s">
        <v>4275</v>
      </c>
      <c r="Y1426" s="104">
        <f t="shared" si="385"/>
        <v>46372</v>
      </c>
      <c r="Z1426" s="105">
        <f ca="1" t="shared" si="386"/>
        <v>59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5"/>
      <c r="AO1426" s="115"/>
      <c r="AP1426" s="115"/>
      <c r="AQ1426" s="93"/>
      <c r="AR1426" s="93"/>
      <c r="AS1426" s="94"/>
      <c r="AT1426" s="95"/>
      <c r="AU1426" s="79"/>
      <c r="AV1426" s="117"/>
      <c r="AW1426" s="115"/>
      <c r="AX1426" s="106"/>
      <c r="AY1426" s="104"/>
      <c r="AZ1426" s="105"/>
    </row>
    <row r="1427" customHeight="1" spans="1:52">
      <c r="A1427" s="70">
        <v>1430</v>
      </c>
      <c r="B1427" s="204" t="s">
        <v>751</v>
      </c>
      <c r="C1427" s="70" t="s">
        <v>38</v>
      </c>
      <c r="D1427" s="71" t="s">
        <v>4276</v>
      </c>
      <c r="E1427" s="71" t="s">
        <v>332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4277</v>
      </c>
      <c r="L1427" s="104">
        <f t="shared" si="393"/>
        <v>46255</v>
      </c>
      <c r="M1427" s="105">
        <f ca="1" t="shared" si="394"/>
        <v>-58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385"/>
        <v>0</v>
      </c>
      <c r="Z1427" s="105">
        <f ca="1" t="shared" si="386"/>
        <v>-46313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5"/>
      <c r="AO1427" s="115"/>
      <c r="AP1427" s="115"/>
      <c r="AQ1427" s="93"/>
      <c r="AR1427" s="93"/>
      <c r="AS1427" s="94"/>
      <c r="AT1427" s="95"/>
      <c r="AU1427" s="79"/>
      <c r="AV1427" s="117"/>
      <c r="AW1427" s="115"/>
      <c r="AX1427" s="106"/>
      <c r="AY1427" s="104"/>
      <c r="AZ1427" s="105"/>
    </row>
    <row r="1428" customHeight="1" spans="1:52">
      <c r="A1428" s="70">
        <v>1431</v>
      </c>
      <c r="B1428" s="204" t="s">
        <v>1234</v>
      </c>
      <c r="C1428" s="70" t="s">
        <v>264</v>
      </c>
      <c r="D1428" s="205" t="s">
        <v>1235</v>
      </c>
      <c r="E1428" s="71" t="s">
        <v>264</v>
      </c>
      <c r="F1428" s="72"/>
      <c r="G1428" s="73"/>
      <c r="H1428" s="75"/>
      <c r="I1428" s="102">
        <v>46163</v>
      </c>
      <c r="J1428" s="70" t="s">
        <v>767</v>
      </c>
      <c r="K1428" s="106"/>
      <c r="L1428" s="104" t="e">
        <f t="shared" si="393"/>
        <v>#VALUE!</v>
      </c>
      <c r="M1428" s="105" t="e">
        <f ca="1" t="shared" si="394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385"/>
        <v>0</v>
      </c>
      <c r="Z1428" s="105">
        <f ca="1" t="shared" si="386"/>
        <v>-46313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5"/>
      <c r="AO1428" s="115"/>
      <c r="AP1428" s="115"/>
      <c r="AQ1428" s="93"/>
      <c r="AR1428" s="93"/>
      <c r="AS1428" s="94"/>
      <c r="AT1428" s="95"/>
      <c r="AU1428" s="79"/>
      <c r="AV1428" s="117"/>
      <c r="AW1428" s="115"/>
      <c r="AX1428" s="106"/>
      <c r="AY1428" s="104"/>
      <c r="AZ1428" s="105"/>
    </row>
    <row r="1429" customHeight="1" spans="1:52">
      <c r="A1429" s="70">
        <v>1432</v>
      </c>
      <c r="B1429" s="204" t="s">
        <v>644</v>
      </c>
      <c r="C1429" s="70" t="s">
        <v>264</v>
      </c>
      <c r="D1429" s="205" t="s">
        <v>265</v>
      </c>
      <c r="E1429" s="71" t="s">
        <v>266</v>
      </c>
      <c r="F1429" s="72"/>
      <c r="G1429" s="73"/>
      <c r="H1429" s="75"/>
      <c r="I1429" s="102">
        <v>46163</v>
      </c>
      <c r="J1429" s="70" t="s">
        <v>767</v>
      </c>
      <c r="K1429" s="106"/>
      <c r="L1429" s="104" t="e">
        <f t="shared" si="393"/>
        <v>#VALUE!</v>
      </c>
      <c r="M1429" s="105" t="e">
        <f ca="1" t="shared" si="394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385"/>
        <v>0</v>
      </c>
      <c r="Z1429" s="105">
        <f ca="1" t="shared" si="386"/>
        <v>-46313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5"/>
      <c r="AO1429" s="115"/>
      <c r="AP1429" s="115"/>
      <c r="AQ1429" s="93"/>
      <c r="AR1429" s="93"/>
      <c r="AS1429" s="94"/>
      <c r="AT1429" s="95"/>
      <c r="AU1429" s="79"/>
      <c r="AV1429" s="117"/>
      <c r="AW1429" s="115"/>
      <c r="AX1429" s="106"/>
      <c r="AY1429" s="104"/>
      <c r="AZ1429" s="105"/>
    </row>
    <row r="1430" customHeight="1" spans="1:52">
      <c r="A1430" s="70">
        <v>1433</v>
      </c>
      <c r="B1430" s="204" t="s">
        <v>263</v>
      </c>
      <c r="C1430" s="70" t="s">
        <v>264</v>
      </c>
      <c r="D1430" s="205" t="s">
        <v>265</v>
      </c>
      <c r="E1430" s="71" t="s">
        <v>266</v>
      </c>
      <c r="F1430" s="72"/>
      <c r="G1430" s="73"/>
      <c r="H1430" s="75"/>
      <c r="I1430" s="102">
        <v>46163</v>
      </c>
      <c r="J1430" s="70" t="s">
        <v>767</v>
      </c>
      <c r="K1430" s="106"/>
      <c r="L1430" s="104" t="e">
        <f t="shared" si="393"/>
        <v>#VALUE!</v>
      </c>
      <c r="M1430" s="105" t="e">
        <f ca="1" t="shared" si="394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385"/>
        <v>0</v>
      </c>
      <c r="Z1430" s="105">
        <f ca="1" t="shared" si="386"/>
        <v>-46313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5"/>
      <c r="AO1430" s="115"/>
      <c r="AP1430" s="115"/>
      <c r="AQ1430" s="93"/>
      <c r="AR1430" s="93"/>
      <c r="AS1430" s="94"/>
      <c r="AT1430" s="95"/>
      <c r="AU1430" s="79"/>
      <c r="AV1430" s="117"/>
      <c r="AW1430" s="115"/>
      <c r="AX1430" s="106"/>
      <c r="AY1430" s="104"/>
      <c r="AZ1430" s="105"/>
    </row>
    <row r="1431" customHeight="1" spans="1:52">
      <c r="A1431" s="70">
        <v>1434</v>
      </c>
      <c r="B1431" s="204" t="s">
        <v>1918</v>
      </c>
      <c r="C1431" s="70" t="s">
        <v>264</v>
      </c>
      <c r="D1431" s="205" t="s">
        <v>955</v>
      </c>
      <c r="E1431" s="71" t="s">
        <v>753</v>
      </c>
      <c r="F1431" s="72"/>
      <c r="G1431" s="73"/>
      <c r="H1431" s="75"/>
      <c r="I1431" s="102">
        <v>46163</v>
      </c>
      <c r="J1431" s="70" t="s">
        <v>767</v>
      </c>
      <c r="K1431" s="106"/>
      <c r="L1431" s="104" t="e">
        <f t="shared" si="393"/>
        <v>#VALUE!</v>
      </c>
      <c r="M1431" s="105" t="e">
        <f ca="1" t="shared" si="394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385"/>
        <v>0</v>
      </c>
      <c r="Z1431" s="105">
        <f ca="1" t="shared" si="386"/>
        <v>-46313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5"/>
      <c r="AO1431" s="115"/>
      <c r="AP1431" s="115"/>
      <c r="AQ1431" s="93"/>
      <c r="AR1431" s="93"/>
      <c r="AS1431" s="94"/>
      <c r="AT1431" s="95"/>
      <c r="AU1431" s="79"/>
      <c r="AV1431" s="117"/>
      <c r="AW1431" s="115"/>
      <c r="AX1431" s="106"/>
      <c r="AY1431" s="104"/>
      <c r="AZ1431" s="105"/>
    </row>
    <row r="1432" customHeight="1" spans="1:52">
      <c r="A1432" s="70">
        <v>1435</v>
      </c>
      <c r="B1432" s="70" t="s">
        <v>4278</v>
      </c>
      <c r="C1432" s="70" t="s">
        <v>38</v>
      </c>
      <c r="D1432" s="71" t="s">
        <v>4279</v>
      </c>
      <c r="E1432" s="71" t="s">
        <v>40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4280</v>
      </c>
      <c r="L1432" s="104">
        <f t="shared" si="393"/>
        <v>46256</v>
      </c>
      <c r="M1432" s="105">
        <f ca="1" t="shared" si="394"/>
        <v>-57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385"/>
        <v>0</v>
      </c>
      <c r="Z1432" s="105">
        <f ca="1" t="shared" si="386"/>
        <v>-46313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5"/>
      <c r="AO1432" s="115"/>
      <c r="AP1432" s="115"/>
      <c r="AQ1432" s="93"/>
      <c r="AR1432" s="93"/>
      <c r="AS1432" s="94"/>
      <c r="AT1432" s="95"/>
      <c r="AU1432" s="79"/>
      <c r="AV1432" s="117"/>
      <c r="AW1432" s="115"/>
      <c r="AX1432" s="106"/>
      <c r="AY1432" s="104"/>
      <c r="AZ1432" s="105"/>
    </row>
    <row r="1433" customHeight="1" spans="1:52">
      <c r="A1433" s="70">
        <v>1436</v>
      </c>
      <c r="B1433" s="70" t="s">
        <v>721</v>
      </c>
      <c r="C1433" s="70" t="s">
        <v>13</v>
      </c>
      <c r="D1433" s="71" t="s">
        <v>4281</v>
      </c>
      <c r="E1433" s="71" t="s">
        <v>34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4282</v>
      </c>
      <c r="L1433" s="104">
        <f t="shared" si="393"/>
        <v>46256</v>
      </c>
      <c r="M1433" s="105">
        <f ca="1" t="shared" si="394"/>
        <v>-57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385"/>
        <v>0</v>
      </c>
      <c r="Z1433" s="105">
        <f ca="1" t="shared" si="386"/>
        <v>-46313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5"/>
      <c r="AO1433" s="115"/>
      <c r="AP1433" s="115"/>
      <c r="AQ1433" s="93"/>
      <c r="AR1433" s="93"/>
      <c r="AS1433" s="94"/>
      <c r="AT1433" s="95"/>
      <c r="AU1433" s="79"/>
      <c r="AV1433" s="117"/>
      <c r="AW1433" s="115"/>
      <c r="AX1433" s="106"/>
      <c r="AY1433" s="104"/>
      <c r="AZ1433" s="105"/>
    </row>
    <row r="1434" customHeight="1" spans="1:52">
      <c r="A1434" s="70">
        <v>1437</v>
      </c>
      <c r="B1434" s="70" t="s">
        <v>134</v>
      </c>
      <c r="C1434" s="70" t="s">
        <v>38</v>
      </c>
      <c r="D1434" s="71" t="s">
        <v>3866</v>
      </c>
      <c r="E1434" s="71" t="s">
        <v>3837</v>
      </c>
      <c r="F1434" s="72"/>
      <c r="G1434" s="73"/>
      <c r="H1434" s="151"/>
      <c r="I1434" s="102">
        <v>46164</v>
      </c>
      <c r="J1434" s="70" t="s">
        <v>767</v>
      </c>
      <c r="K1434" s="106"/>
      <c r="L1434" s="104" t="e">
        <f t="shared" si="393"/>
        <v>#VALUE!</v>
      </c>
      <c r="M1434" s="105" t="e">
        <f ca="1" t="shared" si="394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385"/>
        <v>0</v>
      </c>
      <c r="Z1434" s="105">
        <f ca="1" t="shared" si="386"/>
        <v>-46313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5"/>
      <c r="AO1434" s="115"/>
      <c r="AP1434" s="115"/>
      <c r="AQ1434" s="93"/>
      <c r="AR1434" s="93"/>
      <c r="AS1434" s="94"/>
      <c r="AT1434" s="95"/>
      <c r="AU1434" s="79"/>
      <c r="AV1434" s="117"/>
      <c r="AW1434" s="115"/>
      <c r="AX1434" s="106"/>
      <c r="AY1434" s="104"/>
      <c r="AZ1434" s="105"/>
    </row>
    <row r="1435" customHeight="1" spans="1:52">
      <c r="A1435" s="70">
        <v>1438</v>
      </c>
      <c r="B1435" s="70" t="s">
        <v>4128</v>
      </c>
      <c r="C1435" s="70" t="s">
        <v>13</v>
      </c>
      <c r="D1435" s="71" t="s">
        <v>4283</v>
      </c>
      <c r="E1435" s="71" t="s">
        <v>126</v>
      </c>
      <c r="F1435" s="72"/>
      <c r="G1435" s="73"/>
      <c r="H1435" s="151"/>
      <c r="I1435" s="102">
        <v>46165</v>
      </c>
      <c r="J1435" s="70">
        <v>3</v>
      </c>
      <c r="K1435" s="106" t="s">
        <v>4284</v>
      </c>
      <c r="L1435" s="104">
        <f t="shared" si="393"/>
        <v>46257</v>
      </c>
      <c r="M1435" s="105">
        <f ca="1" t="shared" si="394"/>
        <v>-56</v>
      </c>
      <c r="N1435" s="70"/>
      <c r="O1435" s="70" t="s">
        <v>4128</v>
      </c>
      <c r="P1435" s="70" t="s">
        <v>13</v>
      </c>
      <c r="Q1435" s="71" t="s">
        <v>4283</v>
      </c>
      <c r="R1435" s="71" t="s">
        <v>126</v>
      </c>
      <c r="S1435" s="72"/>
      <c r="T1435" s="73"/>
      <c r="U1435" s="151"/>
      <c r="V1435" s="102">
        <v>46262</v>
      </c>
      <c r="W1435" s="70">
        <v>3</v>
      </c>
      <c r="X1435" s="103" t="s">
        <v>4285</v>
      </c>
      <c r="Y1435" s="104">
        <f t="shared" si="385"/>
        <v>46354</v>
      </c>
      <c r="Z1435" s="105">
        <f ca="1" t="shared" si="386"/>
        <v>41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5"/>
      <c r="AO1435" s="115"/>
      <c r="AP1435" s="115"/>
      <c r="AQ1435" s="93"/>
      <c r="AR1435" s="93"/>
      <c r="AS1435" s="94"/>
      <c r="AT1435" s="95"/>
      <c r="AU1435" s="79"/>
      <c r="AV1435" s="117"/>
      <c r="AW1435" s="115"/>
      <c r="AX1435" s="106"/>
      <c r="AY1435" s="104"/>
      <c r="AZ1435" s="105"/>
    </row>
    <row r="1436" customHeight="1" spans="1:52">
      <c r="A1436" s="70">
        <v>1439</v>
      </c>
      <c r="B1436" s="70" t="s">
        <v>1944</v>
      </c>
      <c r="C1436" s="70" t="s">
        <v>374</v>
      </c>
      <c r="D1436" s="71" t="s">
        <v>4286</v>
      </c>
      <c r="E1436" s="71" t="s">
        <v>3936</v>
      </c>
      <c r="F1436" s="72"/>
      <c r="G1436" s="73"/>
      <c r="H1436" s="151"/>
      <c r="I1436" s="102">
        <v>46165</v>
      </c>
      <c r="J1436" s="70">
        <v>3</v>
      </c>
      <c r="K1436" s="106" t="s">
        <v>4287</v>
      </c>
      <c r="L1436" s="104">
        <f t="shared" ref="L1436:L1452" si="395">EDATE(I1436,J1436)</f>
        <v>46257</v>
      </c>
      <c r="M1436" s="105">
        <f ca="1" t="shared" ref="M1436:M1452" si="396">L1436-TODAY()</f>
        <v>-56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385"/>
        <v>0</v>
      </c>
      <c r="Z1436" s="105">
        <f ca="1" t="shared" si="386"/>
        <v>-46313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5"/>
      <c r="AO1436" s="115"/>
      <c r="AP1436" s="115"/>
      <c r="AQ1436" s="93"/>
      <c r="AR1436" s="93"/>
      <c r="AS1436" s="94"/>
      <c r="AT1436" s="95"/>
      <c r="AU1436" s="79"/>
      <c r="AV1436" s="117"/>
      <c r="AW1436" s="115"/>
      <c r="AX1436" s="106"/>
      <c r="AY1436" s="104"/>
      <c r="AZ1436" s="105"/>
    </row>
    <row r="1437" customHeight="1" spans="1:52">
      <c r="A1437" s="70">
        <v>1440</v>
      </c>
      <c r="B1437" s="204" t="s">
        <v>4288</v>
      </c>
      <c r="C1437" s="70" t="s">
        <v>264</v>
      </c>
      <c r="D1437" s="205" t="s">
        <v>4289</v>
      </c>
      <c r="E1437" s="71" t="s">
        <v>2941</v>
      </c>
      <c r="F1437" s="72"/>
      <c r="G1437" s="73"/>
      <c r="H1437" s="151"/>
      <c r="I1437" s="102">
        <v>46165</v>
      </c>
      <c r="J1437" s="70">
        <v>3</v>
      </c>
      <c r="K1437" s="106" t="s">
        <v>4290</v>
      </c>
      <c r="L1437" s="104">
        <f t="shared" si="395"/>
        <v>46257</v>
      </c>
      <c r="M1437" s="105">
        <f ca="1" t="shared" si="396"/>
        <v>-56</v>
      </c>
      <c r="N1437" s="70"/>
      <c r="O1437" s="204" t="s">
        <v>4288</v>
      </c>
      <c r="P1437" s="70" t="s">
        <v>264</v>
      </c>
      <c r="Q1437" s="205" t="s">
        <v>4289</v>
      </c>
      <c r="R1437" s="71" t="s">
        <v>2941</v>
      </c>
      <c r="S1437" s="72"/>
      <c r="T1437" s="73"/>
      <c r="U1437" s="151"/>
      <c r="V1437" s="102">
        <v>46277</v>
      </c>
      <c r="W1437" s="70">
        <v>3</v>
      </c>
      <c r="X1437" s="103" t="s">
        <v>4291</v>
      </c>
      <c r="Y1437" s="104">
        <f t="shared" si="385"/>
        <v>46368</v>
      </c>
      <c r="Z1437" s="105">
        <f ca="1" t="shared" si="386"/>
        <v>55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5"/>
      <c r="AO1437" s="115"/>
      <c r="AP1437" s="115"/>
      <c r="AQ1437" s="93"/>
      <c r="AR1437" s="93"/>
      <c r="AS1437" s="94"/>
      <c r="AT1437" s="95"/>
      <c r="AU1437" s="79"/>
      <c r="AV1437" s="117"/>
      <c r="AW1437" s="115"/>
      <c r="AX1437" s="106"/>
      <c r="AY1437" s="104"/>
      <c r="AZ1437" s="105"/>
    </row>
    <row r="1438" customHeight="1" spans="1:52">
      <c r="A1438" s="70">
        <v>1441</v>
      </c>
      <c r="B1438" s="204" t="s">
        <v>281</v>
      </c>
      <c r="C1438" s="70" t="s">
        <v>264</v>
      </c>
      <c r="D1438" s="205" t="s">
        <v>4292</v>
      </c>
      <c r="E1438" s="71" t="s">
        <v>4293</v>
      </c>
      <c r="F1438" s="72"/>
      <c r="G1438" s="73"/>
      <c r="H1438" s="151"/>
      <c r="I1438" s="102">
        <v>46165</v>
      </c>
      <c r="J1438" s="70">
        <v>3</v>
      </c>
      <c r="K1438" s="106" t="s">
        <v>4294</v>
      </c>
      <c r="L1438" s="104">
        <f t="shared" si="395"/>
        <v>46257</v>
      </c>
      <c r="M1438" s="105">
        <f ca="1" t="shared" si="396"/>
        <v>-56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385"/>
        <v>0</v>
      </c>
      <c r="Z1438" s="105">
        <f ca="1" t="shared" si="386"/>
        <v>-46313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5"/>
      <c r="AO1438" s="115"/>
      <c r="AP1438" s="115"/>
      <c r="AQ1438" s="93"/>
      <c r="AR1438" s="93"/>
      <c r="AS1438" s="94"/>
      <c r="AT1438" s="95"/>
      <c r="AU1438" s="79"/>
      <c r="AV1438" s="117"/>
      <c r="AW1438" s="115"/>
      <c r="AX1438" s="106"/>
      <c r="AY1438" s="104"/>
      <c r="AZ1438" s="105"/>
    </row>
    <row r="1439" customHeight="1" spans="1:52">
      <c r="A1439" s="70">
        <v>1442</v>
      </c>
      <c r="B1439" s="204" t="s">
        <v>281</v>
      </c>
      <c r="C1439" s="70" t="s">
        <v>264</v>
      </c>
      <c r="D1439" s="71" t="s">
        <v>4295</v>
      </c>
      <c r="E1439" s="71" t="s">
        <v>364</v>
      </c>
      <c r="F1439" s="72"/>
      <c r="G1439" s="73"/>
      <c r="H1439" s="151"/>
      <c r="I1439" s="102">
        <v>46165</v>
      </c>
      <c r="J1439" s="70">
        <v>3</v>
      </c>
      <c r="K1439" s="106" t="s">
        <v>4296</v>
      </c>
      <c r="L1439" s="104">
        <f t="shared" si="395"/>
        <v>46257</v>
      </c>
      <c r="M1439" s="105">
        <f ca="1" t="shared" si="396"/>
        <v>-56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385"/>
        <v>0</v>
      </c>
      <c r="Z1439" s="105">
        <f ca="1" t="shared" si="386"/>
        <v>-46313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5"/>
      <c r="AO1439" s="115"/>
      <c r="AP1439" s="115"/>
      <c r="AQ1439" s="93"/>
      <c r="AR1439" s="93"/>
      <c r="AS1439" s="94"/>
      <c r="AT1439" s="95"/>
      <c r="AU1439" s="79"/>
      <c r="AV1439" s="117"/>
      <c r="AW1439" s="115"/>
      <c r="AX1439" s="106"/>
      <c r="AY1439" s="104"/>
      <c r="AZ1439" s="105"/>
    </row>
    <row r="1440" customHeight="1" spans="1:52">
      <c r="A1440" s="70">
        <v>1443</v>
      </c>
      <c r="B1440" s="204" t="s">
        <v>4045</v>
      </c>
      <c r="C1440" s="70" t="s">
        <v>264</v>
      </c>
      <c r="D1440" s="71" t="s">
        <v>4297</v>
      </c>
      <c r="E1440" s="93" t="s">
        <v>364</v>
      </c>
      <c r="F1440" s="94"/>
      <c r="G1440" s="95"/>
      <c r="H1440" s="151"/>
      <c r="I1440" s="102">
        <v>46165</v>
      </c>
      <c r="J1440" s="70">
        <v>3</v>
      </c>
      <c r="K1440" s="106" t="s">
        <v>4298</v>
      </c>
      <c r="L1440" s="104">
        <f t="shared" si="395"/>
        <v>46257</v>
      </c>
      <c r="M1440" s="105">
        <f ca="1" t="shared" si="396"/>
        <v>-56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385"/>
        <v>0</v>
      </c>
      <c r="Z1440" s="105">
        <f ca="1" t="shared" si="386"/>
        <v>-46313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5"/>
      <c r="AO1440" s="115"/>
      <c r="AP1440" s="115"/>
      <c r="AQ1440" s="93"/>
      <c r="AR1440" s="93"/>
      <c r="AS1440" s="94"/>
      <c r="AT1440" s="95"/>
      <c r="AU1440" s="79"/>
      <c r="AV1440" s="117"/>
      <c r="AW1440" s="115"/>
      <c r="AX1440" s="106"/>
      <c r="AY1440" s="104"/>
      <c r="AZ1440" s="105"/>
    </row>
    <row r="1441" customHeight="1" spans="1:52">
      <c r="A1441" s="70">
        <v>1444</v>
      </c>
      <c r="B1441" s="204" t="s">
        <v>644</v>
      </c>
      <c r="C1441" s="70" t="s">
        <v>264</v>
      </c>
      <c r="D1441" s="205" t="s">
        <v>2433</v>
      </c>
      <c r="E1441" s="71" t="s">
        <v>266</v>
      </c>
      <c r="F1441" s="72"/>
      <c r="G1441" s="73"/>
      <c r="H1441" s="151"/>
      <c r="I1441" s="102">
        <v>46165</v>
      </c>
      <c r="J1441" s="70" t="s">
        <v>767</v>
      </c>
      <c r="K1441" s="106"/>
      <c r="L1441" s="104" t="e">
        <f t="shared" si="395"/>
        <v>#VALUE!</v>
      </c>
      <c r="M1441" s="105" t="e">
        <f ca="1" t="shared" si="396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385"/>
        <v>0</v>
      </c>
      <c r="Z1441" s="105">
        <f ca="1" t="shared" si="386"/>
        <v>-46313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5"/>
      <c r="AO1441" s="115"/>
      <c r="AP1441" s="115"/>
      <c r="AQ1441" s="93"/>
      <c r="AR1441" s="93"/>
      <c r="AS1441" s="94"/>
      <c r="AT1441" s="95"/>
      <c r="AU1441" s="79"/>
      <c r="AV1441" s="117"/>
      <c r="AW1441" s="115"/>
      <c r="AX1441" s="106"/>
      <c r="AY1441" s="104"/>
      <c r="AZ1441" s="105"/>
    </row>
    <row r="1442" customHeight="1" spans="1:52">
      <c r="A1442" s="70">
        <v>1445</v>
      </c>
      <c r="B1442" s="204" t="s">
        <v>644</v>
      </c>
      <c r="C1442" s="70" t="s">
        <v>264</v>
      </c>
      <c r="D1442" s="205" t="s">
        <v>1922</v>
      </c>
      <c r="E1442" s="71" t="s">
        <v>266</v>
      </c>
      <c r="F1442" s="72"/>
      <c r="G1442" s="73"/>
      <c r="H1442" s="151"/>
      <c r="I1442" s="102">
        <v>46165</v>
      </c>
      <c r="J1442" s="70" t="s">
        <v>767</v>
      </c>
      <c r="K1442" s="106"/>
      <c r="L1442" s="104" t="e">
        <f t="shared" si="395"/>
        <v>#VALUE!</v>
      </c>
      <c r="M1442" s="105" t="e">
        <f ca="1" t="shared" si="396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385"/>
        <v>0</v>
      </c>
      <c r="Z1442" s="105">
        <f ca="1" t="shared" si="386"/>
        <v>-46313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5"/>
      <c r="AO1442" s="115"/>
      <c r="AP1442" s="115"/>
      <c r="AQ1442" s="93"/>
      <c r="AR1442" s="93"/>
      <c r="AS1442" s="94"/>
      <c r="AT1442" s="95"/>
      <c r="AU1442" s="79"/>
      <c r="AV1442" s="117"/>
      <c r="AW1442" s="115"/>
      <c r="AX1442" s="106"/>
      <c r="AY1442" s="104"/>
      <c r="AZ1442" s="105"/>
    </row>
    <row r="1443" customHeight="1" spans="1:52">
      <c r="A1443" s="70">
        <v>1446</v>
      </c>
      <c r="B1443" s="204" t="s">
        <v>644</v>
      </c>
      <c r="C1443" s="70" t="s">
        <v>264</v>
      </c>
      <c r="D1443" s="205" t="s">
        <v>265</v>
      </c>
      <c r="E1443" s="71" t="s">
        <v>266</v>
      </c>
      <c r="F1443" s="72"/>
      <c r="G1443" s="73"/>
      <c r="H1443" s="151"/>
      <c r="I1443" s="102">
        <v>46165</v>
      </c>
      <c r="J1443" s="70" t="s">
        <v>767</v>
      </c>
      <c r="K1443" s="106"/>
      <c r="L1443" s="104" t="e">
        <f t="shared" si="395"/>
        <v>#VALUE!</v>
      </c>
      <c r="M1443" s="105" t="e">
        <f ca="1" t="shared" si="396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385"/>
        <v>0</v>
      </c>
      <c r="Z1443" s="105">
        <f ca="1" t="shared" si="386"/>
        <v>-46313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5"/>
      <c r="AO1443" s="115"/>
      <c r="AP1443" s="115"/>
      <c r="AQ1443" s="93"/>
      <c r="AR1443" s="93"/>
      <c r="AS1443" s="94"/>
      <c r="AT1443" s="95"/>
      <c r="AU1443" s="79"/>
      <c r="AV1443" s="117"/>
      <c r="AW1443" s="115"/>
      <c r="AX1443" s="106"/>
      <c r="AY1443" s="104"/>
      <c r="AZ1443" s="105"/>
    </row>
    <row r="1444" customHeight="1" spans="1:52">
      <c r="A1444" s="70">
        <v>1447</v>
      </c>
      <c r="B1444" s="204" t="s">
        <v>281</v>
      </c>
      <c r="C1444" s="70" t="s">
        <v>264</v>
      </c>
      <c r="D1444" s="205" t="s">
        <v>3493</v>
      </c>
      <c r="E1444" s="71" t="s">
        <v>4299</v>
      </c>
      <c r="F1444" s="72"/>
      <c r="G1444" s="73"/>
      <c r="H1444" s="151"/>
      <c r="I1444" s="102">
        <v>46165</v>
      </c>
      <c r="J1444" s="70" t="s">
        <v>767</v>
      </c>
      <c r="K1444" s="106"/>
      <c r="L1444" s="104" t="e">
        <f t="shared" si="395"/>
        <v>#VALUE!</v>
      </c>
      <c r="M1444" s="105" t="e">
        <f ca="1" t="shared" si="396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97">EDATE(V1444,W1444)</f>
        <v>0</v>
      </c>
      <c r="Z1444" s="105">
        <f ca="1" t="shared" ref="Z1444:Z1507" si="398">Y1444-TODAY()</f>
        <v>-46313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5"/>
      <c r="AO1444" s="115"/>
      <c r="AP1444" s="115"/>
      <c r="AQ1444" s="93"/>
      <c r="AR1444" s="93"/>
      <c r="AS1444" s="94"/>
      <c r="AT1444" s="95"/>
      <c r="AU1444" s="79"/>
      <c r="AV1444" s="117"/>
      <c r="AW1444" s="115"/>
      <c r="AX1444" s="106"/>
      <c r="AY1444" s="104"/>
      <c r="AZ1444" s="105"/>
    </row>
    <row r="1445" customHeight="1" spans="1:52">
      <c r="A1445" s="70">
        <v>1449</v>
      </c>
      <c r="B1445" s="204" t="s">
        <v>281</v>
      </c>
      <c r="C1445" s="70" t="s">
        <v>264</v>
      </c>
      <c r="D1445" s="71" t="s">
        <v>2618</v>
      </c>
      <c r="E1445" s="71" t="s">
        <v>364</v>
      </c>
      <c r="F1445" s="72"/>
      <c r="G1445" s="73"/>
      <c r="H1445" s="151"/>
      <c r="I1445" s="102">
        <v>46165</v>
      </c>
      <c r="J1445" s="70" t="s">
        <v>767</v>
      </c>
      <c r="K1445" s="106"/>
      <c r="L1445" s="104" t="e">
        <f t="shared" si="395"/>
        <v>#VALUE!</v>
      </c>
      <c r="M1445" s="105" t="e">
        <f ca="1" t="shared" si="396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97"/>
        <v>0</v>
      </c>
      <c r="Z1445" s="105">
        <f ca="1" t="shared" si="398"/>
        <v>-46313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5"/>
      <c r="AO1445" s="115"/>
      <c r="AP1445" s="115"/>
      <c r="AQ1445" s="93"/>
      <c r="AR1445" s="93"/>
      <c r="AS1445" s="94"/>
      <c r="AT1445" s="95"/>
      <c r="AU1445" s="79"/>
      <c r="AV1445" s="117"/>
      <c r="AW1445" s="115"/>
      <c r="AX1445" s="106"/>
      <c r="AY1445" s="104"/>
      <c r="AZ1445" s="105"/>
    </row>
    <row r="1446" customHeight="1" spans="1:52">
      <c r="A1446" s="70">
        <v>1450</v>
      </c>
      <c r="B1446" s="204" t="s">
        <v>2575</v>
      </c>
      <c r="C1446" s="70" t="s">
        <v>38</v>
      </c>
      <c r="D1446" s="205" t="s">
        <v>4300</v>
      </c>
      <c r="E1446" s="71" t="s">
        <v>332</v>
      </c>
      <c r="F1446" s="72"/>
      <c r="G1446" s="73"/>
      <c r="H1446" s="151" t="s">
        <v>434</v>
      </c>
      <c r="I1446" s="102">
        <v>46167</v>
      </c>
      <c r="J1446" s="70">
        <v>3</v>
      </c>
      <c r="K1446" s="106" t="s">
        <v>4301</v>
      </c>
      <c r="L1446" s="104">
        <f t="shared" si="395"/>
        <v>46259</v>
      </c>
      <c r="M1446" s="105">
        <f ca="1" t="shared" si="396"/>
        <v>-54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97"/>
        <v>0</v>
      </c>
      <c r="Z1446" s="105">
        <f ca="1" t="shared" si="398"/>
        <v>-46313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5"/>
      <c r="AO1446" s="115"/>
      <c r="AP1446" s="115"/>
      <c r="AQ1446" s="93"/>
      <c r="AR1446" s="93"/>
      <c r="AS1446" s="94"/>
      <c r="AT1446" s="95"/>
      <c r="AU1446" s="79"/>
      <c r="AV1446" s="117"/>
      <c r="AW1446" s="115"/>
      <c r="AX1446" s="106"/>
      <c r="AY1446" s="104"/>
      <c r="AZ1446" s="105"/>
    </row>
    <row r="1447" customHeight="1" spans="1:52">
      <c r="A1447" s="70">
        <v>1451</v>
      </c>
      <c r="B1447" s="204" t="s">
        <v>4302</v>
      </c>
      <c r="C1447" s="70" t="s">
        <v>374</v>
      </c>
      <c r="D1447" s="205" t="s">
        <v>4303</v>
      </c>
      <c r="E1447" s="71" t="s">
        <v>4304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4305</v>
      </c>
      <c r="L1447" s="104">
        <f t="shared" si="395"/>
        <v>46259</v>
      </c>
      <c r="M1447" s="105">
        <f ca="1" t="shared" si="396"/>
        <v>-54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97"/>
        <v>0</v>
      </c>
      <c r="Z1447" s="105">
        <f ca="1" t="shared" si="398"/>
        <v>-46313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5"/>
      <c r="AO1447" s="115"/>
      <c r="AP1447" s="115"/>
      <c r="AQ1447" s="93"/>
      <c r="AR1447" s="93"/>
      <c r="AS1447" s="94"/>
      <c r="AT1447" s="95"/>
      <c r="AU1447" s="79"/>
      <c r="AV1447" s="117"/>
      <c r="AW1447" s="115"/>
      <c r="AX1447" s="106"/>
      <c r="AY1447" s="104"/>
      <c r="AZ1447" s="105"/>
    </row>
    <row r="1448" customHeight="1" spans="1:52">
      <c r="A1448" s="70">
        <v>1452</v>
      </c>
      <c r="B1448" s="204" t="s">
        <v>4306</v>
      </c>
      <c r="C1448" s="70" t="s">
        <v>374</v>
      </c>
      <c r="D1448" s="71" t="s">
        <v>4307</v>
      </c>
      <c r="E1448" s="71" t="s">
        <v>4308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4309</v>
      </c>
      <c r="L1448" s="104">
        <f t="shared" si="395"/>
        <v>46259</v>
      </c>
      <c r="M1448" s="105">
        <f ca="1" t="shared" si="396"/>
        <v>-54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97"/>
        <v>0</v>
      </c>
      <c r="Z1448" s="105">
        <f ca="1" t="shared" si="398"/>
        <v>-46313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5"/>
      <c r="AO1448" s="115"/>
      <c r="AP1448" s="115"/>
      <c r="AQ1448" s="93"/>
      <c r="AR1448" s="93"/>
      <c r="AS1448" s="94"/>
      <c r="AT1448" s="95"/>
      <c r="AU1448" s="79"/>
      <c r="AV1448" s="117"/>
      <c r="AW1448" s="115"/>
      <c r="AX1448" s="106"/>
      <c r="AY1448" s="104"/>
      <c r="AZ1448" s="105"/>
    </row>
    <row r="1449" customHeight="1" spans="1:52">
      <c r="A1449" s="70">
        <v>1453</v>
      </c>
      <c r="B1449" s="204" t="s">
        <v>751</v>
      </c>
      <c r="C1449" s="70" t="s">
        <v>13</v>
      </c>
      <c r="D1449" s="71" t="s">
        <v>4310</v>
      </c>
      <c r="E1449" s="93" t="s">
        <v>126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4311</v>
      </c>
      <c r="L1449" s="104">
        <f t="shared" si="395"/>
        <v>46260</v>
      </c>
      <c r="M1449" s="105">
        <f ca="1" t="shared" si="396"/>
        <v>-53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97"/>
        <v>0</v>
      </c>
      <c r="Z1449" s="105">
        <f ca="1" t="shared" si="398"/>
        <v>-46313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5"/>
      <c r="AO1449" s="115"/>
      <c r="AP1449" s="115"/>
      <c r="AQ1449" s="93"/>
      <c r="AR1449" s="93"/>
      <c r="AS1449" s="94"/>
      <c r="AT1449" s="95"/>
      <c r="AU1449" s="79"/>
      <c r="AV1449" s="117"/>
      <c r="AW1449" s="115"/>
      <c r="AX1449" s="106"/>
      <c r="AY1449" s="104"/>
      <c r="AZ1449" s="105"/>
    </row>
    <row r="1450" customHeight="1" spans="1:52">
      <c r="A1450" s="70">
        <v>1454</v>
      </c>
      <c r="B1450" s="204" t="s">
        <v>751</v>
      </c>
      <c r="C1450" s="70" t="s">
        <v>13</v>
      </c>
      <c r="D1450" s="71" t="s">
        <v>4312</v>
      </c>
      <c r="E1450" s="93" t="s">
        <v>126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4313</v>
      </c>
      <c r="L1450" s="104">
        <f t="shared" si="395"/>
        <v>46260</v>
      </c>
      <c r="M1450" s="105">
        <f ca="1" t="shared" si="396"/>
        <v>-53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97"/>
        <v>0</v>
      </c>
      <c r="Z1450" s="105">
        <f ca="1" t="shared" si="398"/>
        <v>-46313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5"/>
      <c r="AO1450" s="115"/>
      <c r="AP1450" s="115"/>
      <c r="AQ1450" s="93"/>
      <c r="AR1450" s="93"/>
      <c r="AS1450" s="94"/>
      <c r="AT1450" s="95"/>
      <c r="AU1450" s="79"/>
      <c r="AV1450" s="117"/>
      <c r="AW1450" s="115"/>
      <c r="AX1450" s="106"/>
      <c r="AY1450" s="104"/>
      <c r="AZ1450" s="105"/>
    </row>
    <row r="1451" customHeight="1" spans="1:52">
      <c r="A1451" s="70">
        <v>1455</v>
      </c>
      <c r="B1451" s="204" t="s">
        <v>751</v>
      </c>
      <c r="C1451" s="70" t="s">
        <v>13</v>
      </c>
      <c r="D1451" s="71" t="s">
        <v>4314</v>
      </c>
      <c r="E1451" s="93" t="s">
        <v>126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4315</v>
      </c>
      <c r="L1451" s="104">
        <f t="shared" si="395"/>
        <v>46260</v>
      </c>
      <c r="M1451" s="105">
        <f ca="1" t="shared" si="396"/>
        <v>-53</v>
      </c>
      <c r="N1451" s="70"/>
      <c r="O1451" s="204" t="s">
        <v>751</v>
      </c>
      <c r="P1451" s="70" t="s">
        <v>13</v>
      </c>
      <c r="Q1451" s="71" t="s">
        <v>4314</v>
      </c>
      <c r="R1451" s="93" t="s">
        <v>126</v>
      </c>
      <c r="S1451" s="94"/>
      <c r="T1451" s="95"/>
      <c r="U1451" s="114" t="s">
        <v>16</v>
      </c>
      <c r="V1451" s="102">
        <v>46262</v>
      </c>
      <c r="W1451" s="70">
        <v>3</v>
      </c>
      <c r="X1451" s="103" t="s">
        <v>4316</v>
      </c>
      <c r="Y1451" s="104">
        <f t="shared" si="397"/>
        <v>46354</v>
      </c>
      <c r="Z1451" s="105">
        <f ca="1" t="shared" si="398"/>
        <v>41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5"/>
      <c r="AO1451" s="115"/>
      <c r="AP1451" s="115"/>
      <c r="AQ1451" s="93"/>
      <c r="AR1451" s="93"/>
      <c r="AS1451" s="94"/>
      <c r="AT1451" s="95"/>
      <c r="AU1451" s="79"/>
      <c r="AV1451" s="117"/>
      <c r="AW1451" s="115"/>
      <c r="AX1451" s="106"/>
      <c r="AY1451" s="104"/>
      <c r="AZ1451" s="105"/>
    </row>
    <row r="1452" customHeight="1" spans="1:52">
      <c r="A1452" s="70">
        <v>1457</v>
      </c>
      <c r="B1452" s="70" t="s">
        <v>519</v>
      </c>
      <c r="C1452" s="70" t="s">
        <v>13</v>
      </c>
      <c r="D1452" s="71" t="s">
        <v>4317</v>
      </c>
      <c r="E1452" s="71" t="s">
        <v>126</v>
      </c>
      <c r="F1452" s="72"/>
      <c r="G1452" s="73"/>
      <c r="H1452" s="151"/>
      <c r="I1452" s="102">
        <v>46168</v>
      </c>
      <c r="J1452" s="70">
        <v>3</v>
      </c>
      <c r="K1452" s="106" t="s">
        <v>4318</v>
      </c>
      <c r="L1452" s="104">
        <f t="shared" ref="L1452:L1457" si="399">EDATE(I1452,J1452)</f>
        <v>46260</v>
      </c>
      <c r="M1452" s="105">
        <f ca="1" t="shared" ref="M1452:M1457" si="400">L1452-TODAY()</f>
        <v>-53</v>
      </c>
      <c r="N1452" s="70"/>
      <c r="O1452" s="70"/>
      <c r="P1452" s="70"/>
      <c r="Q1452" s="71"/>
      <c r="R1452" s="71"/>
      <c r="S1452" s="72"/>
      <c r="T1452" s="73"/>
      <c r="U1452" s="151"/>
      <c r="V1452" s="102"/>
      <c r="W1452" s="70"/>
      <c r="X1452" s="103"/>
      <c r="Y1452" s="104">
        <f t="shared" si="397"/>
        <v>0</v>
      </c>
      <c r="Z1452" s="105">
        <f ca="1" t="shared" si="398"/>
        <v>-46313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5"/>
      <c r="AO1452" s="115"/>
      <c r="AP1452" s="115"/>
      <c r="AQ1452" s="93"/>
      <c r="AR1452" s="93"/>
      <c r="AS1452" s="94"/>
      <c r="AT1452" s="95"/>
      <c r="AU1452" s="79"/>
      <c r="AV1452" s="117"/>
      <c r="AW1452" s="115"/>
      <c r="AX1452" s="106"/>
      <c r="AY1452" s="104"/>
      <c r="AZ1452" s="105"/>
    </row>
    <row r="1453" customHeight="1" spans="1:52">
      <c r="A1453" s="70">
        <v>1458</v>
      </c>
      <c r="B1453" s="70" t="s">
        <v>519</v>
      </c>
      <c r="C1453" s="70" t="s">
        <v>13</v>
      </c>
      <c r="D1453" s="71" t="s">
        <v>4319</v>
      </c>
      <c r="E1453" s="71" t="s">
        <v>2111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4320</v>
      </c>
      <c r="L1453" s="104">
        <f t="shared" si="399"/>
        <v>46260</v>
      </c>
      <c r="M1453" s="105">
        <f ca="1" t="shared" si="400"/>
        <v>-53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97"/>
        <v>0</v>
      </c>
      <c r="Z1453" s="105">
        <f ca="1" t="shared" si="398"/>
        <v>-46313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5"/>
      <c r="AO1453" s="115"/>
      <c r="AP1453" s="115"/>
      <c r="AQ1453" s="93"/>
      <c r="AR1453" s="93"/>
      <c r="AS1453" s="94"/>
      <c r="AT1453" s="95"/>
      <c r="AU1453" s="79"/>
      <c r="AV1453" s="117"/>
      <c r="AW1453" s="115"/>
      <c r="AX1453" s="106"/>
      <c r="AY1453" s="104"/>
      <c r="AZ1453" s="105"/>
    </row>
    <row r="1454" customHeight="1" spans="1:52">
      <c r="A1454" s="70">
        <v>1459</v>
      </c>
      <c r="B1454" s="70" t="s">
        <v>519</v>
      </c>
      <c r="C1454" s="70" t="s">
        <v>13</v>
      </c>
      <c r="D1454" s="71" t="s">
        <v>4321</v>
      </c>
      <c r="E1454" s="71" t="s">
        <v>393</v>
      </c>
      <c r="F1454" s="72"/>
      <c r="G1454" s="73"/>
      <c r="H1454" s="151" t="s">
        <v>434</v>
      </c>
      <c r="I1454" s="102">
        <v>46168</v>
      </c>
      <c r="J1454" s="70">
        <v>3</v>
      </c>
      <c r="K1454" s="106" t="s">
        <v>4322</v>
      </c>
      <c r="L1454" s="104">
        <f t="shared" si="399"/>
        <v>46260</v>
      </c>
      <c r="M1454" s="105">
        <f ca="1" t="shared" si="400"/>
        <v>-53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97"/>
        <v>0</v>
      </c>
      <c r="Z1454" s="105">
        <f ca="1" t="shared" si="398"/>
        <v>-46313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5"/>
      <c r="AO1454" s="115"/>
      <c r="AP1454" s="115"/>
      <c r="AQ1454" s="93"/>
      <c r="AR1454" s="93"/>
      <c r="AS1454" s="94"/>
      <c r="AT1454" s="95"/>
      <c r="AU1454" s="79"/>
      <c r="AV1454" s="117"/>
      <c r="AW1454" s="115"/>
      <c r="AX1454" s="106"/>
      <c r="AY1454" s="104"/>
      <c r="AZ1454" s="105"/>
    </row>
    <row r="1455" customHeight="1" spans="1:52">
      <c r="A1455" s="70">
        <v>1460</v>
      </c>
      <c r="B1455" s="70" t="s">
        <v>519</v>
      </c>
      <c r="C1455" s="70" t="s">
        <v>13</v>
      </c>
      <c r="D1455" s="71" t="s">
        <v>4323</v>
      </c>
      <c r="E1455" s="71" t="s">
        <v>820</v>
      </c>
      <c r="F1455" s="72"/>
      <c r="G1455" s="73"/>
      <c r="H1455" s="151"/>
      <c r="I1455" s="102">
        <v>46168</v>
      </c>
      <c r="J1455" s="70">
        <v>3</v>
      </c>
      <c r="K1455" s="106" t="s">
        <v>4324</v>
      </c>
      <c r="L1455" s="104">
        <f t="shared" si="399"/>
        <v>46260</v>
      </c>
      <c r="M1455" s="105">
        <f ca="1" t="shared" si="400"/>
        <v>-53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97"/>
        <v>0</v>
      </c>
      <c r="Z1455" s="105">
        <f ca="1" t="shared" si="398"/>
        <v>-46313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5"/>
      <c r="AO1455" s="115"/>
      <c r="AP1455" s="115"/>
      <c r="AQ1455" s="93"/>
      <c r="AR1455" s="93"/>
      <c r="AS1455" s="94"/>
      <c r="AT1455" s="95"/>
      <c r="AU1455" s="79"/>
      <c r="AV1455" s="117"/>
      <c r="AW1455" s="115"/>
      <c r="AX1455" s="106"/>
      <c r="AY1455" s="104"/>
      <c r="AZ1455" s="105"/>
    </row>
    <row r="1456" customHeight="1" spans="1:52">
      <c r="A1456" s="70">
        <v>1461</v>
      </c>
      <c r="B1456" s="70" t="s">
        <v>2918</v>
      </c>
      <c r="C1456" s="70" t="s">
        <v>38</v>
      </c>
      <c r="D1456" s="71" t="s">
        <v>4325</v>
      </c>
      <c r="E1456" s="71" t="s">
        <v>4065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4326</v>
      </c>
      <c r="L1456" s="104">
        <f t="shared" si="399"/>
        <v>46260</v>
      </c>
      <c r="M1456" s="105">
        <f ca="1" t="shared" si="400"/>
        <v>-53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97"/>
        <v>0</v>
      </c>
      <c r="Z1456" s="105">
        <f ca="1" t="shared" si="398"/>
        <v>-46313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5"/>
      <c r="AO1456" s="115"/>
      <c r="AP1456" s="115"/>
      <c r="AQ1456" s="93"/>
      <c r="AR1456" s="93"/>
      <c r="AS1456" s="94"/>
      <c r="AT1456" s="95"/>
      <c r="AU1456" s="79"/>
      <c r="AV1456" s="117"/>
      <c r="AW1456" s="115"/>
      <c r="AX1456" s="106"/>
      <c r="AY1456" s="104"/>
      <c r="AZ1456" s="105"/>
    </row>
    <row r="1457" customHeight="1" spans="1:52">
      <c r="A1457" s="70">
        <v>1462</v>
      </c>
      <c r="B1457" s="70" t="s">
        <v>782</v>
      </c>
      <c r="C1457" s="70" t="s">
        <v>374</v>
      </c>
      <c r="D1457" s="71" t="s">
        <v>4327</v>
      </c>
      <c r="E1457" s="71" t="s">
        <v>548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4328</v>
      </c>
      <c r="L1457" s="104">
        <f t="shared" ref="L1457:L1463" si="401">EDATE(I1457,J1457)</f>
        <v>46260</v>
      </c>
      <c r="M1457" s="105">
        <f ca="1" t="shared" ref="M1457:M1463" si="402">L1457-TODAY()</f>
        <v>-53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97"/>
        <v>0</v>
      </c>
      <c r="Z1457" s="105">
        <f ca="1" t="shared" si="398"/>
        <v>-46313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5"/>
      <c r="AO1457" s="115"/>
      <c r="AP1457" s="115"/>
      <c r="AQ1457" s="93"/>
      <c r="AR1457" s="93"/>
      <c r="AS1457" s="94"/>
      <c r="AT1457" s="95"/>
      <c r="AU1457" s="79"/>
      <c r="AV1457" s="117"/>
      <c r="AW1457" s="115"/>
      <c r="AX1457" s="106"/>
      <c r="AY1457" s="104"/>
      <c r="AZ1457" s="105"/>
    </row>
    <row r="1458" customHeight="1" spans="1:52">
      <c r="A1458" s="70">
        <v>1463</v>
      </c>
      <c r="B1458" s="204" t="s">
        <v>648</v>
      </c>
      <c r="C1458" s="70" t="s">
        <v>264</v>
      </c>
      <c r="D1458" s="205" t="s">
        <v>4329</v>
      </c>
      <c r="E1458" s="71" t="s">
        <v>272</v>
      </c>
      <c r="F1458" s="72"/>
      <c r="G1458" s="73"/>
      <c r="H1458" s="75"/>
      <c r="I1458" s="102">
        <v>46168</v>
      </c>
      <c r="J1458" s="70">
        <v>3</v>
      </c>
      <c r="K1458" s="106" t="s">
        <v>4330</v>
      </c>
      <c r="L1458" s="104">
        <f t="shared" si="401"/>
        <v>46260</v>
      </c>
      <c r="M1458" s="105">
        <f ca="1" t="shared" si="402"/>
        <v>-53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97"/>
        <v>0</v>
      </c>
      <c r="Z1458" s="105">
        <f ca="1" t="shared" si="398"/>
        <v>-46313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5"/>
      <c r="AO1458" s="115"/>
      <c r="AP1458" s="115"/>
      <c r="AQ1458" s="93"/>
      <c r="AR1458" s="93"/>
      <c r="AS1458" s="94"/>
      <c r="AT1458" s="95"/>
      <c r="AU1458" s="79"/>
      <c r="AV1458" s="117"/>
      <c r="AW1458" s="115"/>
      <c r="AX1458" s="106"/>
      <c r="AY1458" s="104"/>
      <c r="AZ1458" s="105"/>
    </row>
    <row r="1459" customHeight="1" spans="1:52">
      <c r="A1459" s="70">
        <v>1464</v>
      </c>
      <c r="B1459" s="204" t="s">
        <v>270</v>
      </c>
      <c r="C1459" s="70" t="s">
        <v>264</v>
      </c>
      <c r="D1459" s="205" t="s">
        <v>4331</v>
      </c>
      <c r="E1459" s="71" t="s">
        <v>1707</v>
      </c>
      <c r="F1459" s="72"/>
      <c r="G1459" s="73"/>
      <c r="H1459" s="75"/>
      <c r="I1459" s="102">
        <v>46168</v>
      </c>
      <c r="J1459" s="70">
        <v>3</v>
      </c>
      <c r="K1459" s="106" t="s">
        <v>4332</v>
      </c>
      <c r="L1459" s="104">
        <f t="shared" si="401"/>
        <v>46260</v>
      </c>
      <c r="M1459" s="105">
        <f ca="1" t="shared" si="402"/>
        <v>-53</v>
      </c>
      <c r="N1459" s="70"/>
      <c r="O1459" s="204" t="s">
        <v>270</v>
      </c>
      <c r="P1459" s="70" t="s">
        <v>264</v>
      </c>
      <c r="Q1459" s="205" t="s">
        <v>4331</v>
      </c>
      <c r="R1459" s="71" t="s">
        <v>1707</v>
      </c>
      <c r="S1459" s="72"/>
      <c r="T1459" s="73"/>
      <c r="U1459" s="75"/>
      <c r="V1459" s="102">
        <v>46304</v>
      </c>
      <c r="W1459" s="70">
        <v>3</v>
      </c>
      <c r="X1459" s="103" t="s">
        <v>4333</v>
      </c>
      <c r="Y1459" s="104">
        <f t="shared" si="397"/>
        <v>46396</v>
      </c>
      <c r="Z1459" s="105">
        <f ca="1" t="shared" si="398"/>
        <v>83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5"/>
      <c r="AO1459" s="115"/>
      <c r="AP1459" s="115"/>
      <c r="AQ1459" s="93"/>
      <c r="AR1459" s="93"/>
      <c r="AS1459" s="94"/>
      <c r="AT1459" s="95"/>
      <c r="AU1459" s="79"/>
      <c r="AV1459" s="117"/>
      <c r="AW1459" s="115"/>
      <c r="AX1459" s="106"/>
      <c r="AY1459" s="104"/>
      <c r="AZ1459" s="105"/>
    </row>
    <row r="1460" customHeight="1" spans="1:52">
      <c r="A1460" s="70">
        <v>1465</v>
      </c>
      <c r="B1460" s="204" t="s">
        <v>270</v>
      </c>
      <c r="C1460" s="70" t="s">
        <v>264</v>
      </c>
      <c r="D1460" s="205" t="s">
        <v>367</v>
      </c>
      <c r="E1460" s="71" t="s">
        <v>4334</v>
      </c>
      <c r="F1460" s="72"/>
      <c r="G1460" s="73"/>
      <c r="H1460" s="75"/>
      <c r="I1460" s="102">
        <v>46168</v>
      </c>
      <c r="J1460" s="70" t="s">
        <v>767</v>
      </c>
      <c r="K1460" s="106"/>
      <c r="L1460" s="104" t="e">
        <f t="shared" si="401"/>
        <v>#VALUE!</v>
      </c>
      <c r="M1460" s="105" t="e">
        <f ca="1" t="shared" si="402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97"/>
        <v>0</v>
      </c>
      <c r="Z1460" s="105">
        <f ca="1" t="shared" si="398"/>
        <v>-46313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5"/>
      <c r="AO1460" s="115"/>
      <c r="AP1460" s="115"/>
      <c r="AQ1460" s="93"/>
      <c r="AR1460" s="93"/>
      <c r="AS1460" s="94"/>
      <c r="AT1460" s="95"/>
      <c r="AU1460" s="79"/>
      <c r="AV1460" s="117"/>
      <c r="AW1460" s="115"/>
      <c r="AX1460" s="106"/>
      <c r="AY1460" s="104"/>
      <c r="AZ1460" s="105"/>
    </row>
    <row r="1461" customHeight="1" spans="1:52">
      <c r="A1461" s="70">
        <v>1466</v>
      </c>
      <c r="B1461" s="204" t="s">
        <v>270</v>
      </c>
      <c r="C1461" s="70" t="s">
        <v>264</v>
      </c>
      <c r="D1461" s="205" t="s">
        <v>958</v>
      </c>
      <c r="E1461" s="71" t="s">
        <v>1232</v>
      </c>
      <c r="F1461" s="72"/>
      <c r="G1461" s="73"/>
      <c r="H1461" s="75"/>
      <c r="I1461" s="102">
        <v>46168</v>
      </c>
      <c r="J1461" s="70" t="s">
        <v>767</v>
      </c>
      <c r="K1461" s="106"/>
      <c r="L1461" s="104" t="e">
        <f t="shared" si="401"/>
        <v>#VALUE!</v>
      </c>
      <c r="M1461" s="105" t="e">
        <f ca="1" t="shared" si="402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97"/>
        <v>0</v>
      </c>
      <c r="Z1461" s="105">
        <f ca="1" t="shared" si="398"/>
        <v>-46313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5"/>
      <c r="AO1461" s="115"/>
      <c r="AP1461" s="115"/>
      <c r="AQ1461" s="93"/>
      <c r="AR1461" s="93"/>
      <c r="AS1461" s="94"/>
      <c r="AT1461" s="95"/>
      <c r="AU1461" s="79"/>
      <c r="AV1461" s="117"/>
      <c r="AW1461" s="115"/>
      <c r="AX1461" s="106"/>
      <c r="AY1461" s="104"/>
      <c r="AZ1461" s="105"/>
    </row>
    <row r="1462" customHeight="1" spans="1:52">
      <c r="A1462" s="70">
        <v>1467</v>
      </c>
      <c r="B1462" s="204" t="s">
        <v>263</v>
      </c>
      <c r="C1462" s="70" t="s">
        <v>264</v>
      </c>
      <c r="D1462" s="205" t="s">
        <v>265</v>
      </c>
      <c r="E1462" s="71" t="s">
        <v>266</v>
      </c>
      <c r="F1462" s="72"/>
      <c r="G1462" s="73"/>
      <c r="H1462" s="75"/>
      <c r="I1462" s="102">
        <v>46168</v>
      </c>
      <c r="J1462" s="70" t="s">
        <v>767</v>
      </c>
      <c r="K1462" s="106"/>
      <c r="L1462" s="104" t="e">
        <f t="shared" si="401"/>
        <v>#VALUE!</v>
      </c>
      <c r="M1462" s="105" t="e">
        <f ca="1" t="shared" si="402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97"/>
        <v>0</v>
      </c>
      <c r="Z1462" s="105">
        <f ca="1" t="shared" si="398"/>
        <v>-46313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5"/>
      <c r="AO1462" s="115"/>
      <c r="AP1462" s="115"/>
      <c r="AQ1462" s="93"/>
      <c r="AR1462" s="93"/>
      <c r="AS1462" s="94"/>
      <c r="AT1462" s="95"/>
      <c r="AU1462" s="79"/>
      <c r="AV1462" s="117"/>
      <c r="AW1462" s="115"/>
      <c r="AX1462" s="106"/>
      <c r="AY1462" s="104"/>
      <c r="AZ1462" s="105"/>
    </row>
    <row r="1463" customHeight="1" spans="1:52">
      <c r="A1463" s="70">
        <v>1468</v>
      </c>
      <c r="B1463" s="70" t="s">
        <v>4335</v>
      </c>
      <c r="C1463" s="70" t="s">
        <v>38</v>
      </c>
      <c r="D1463" s="71" t="s">
        <v>4336</v>
      </c>
      <c r="E1463" s="71" t="s">
        <v>4337</v>
      </c>
      <c r="F1463" s="72"/>
      <c r="G1463" s="73"/>
      <c r="H1463" s="75"/>
      <c r="I1463" s="102">
        <v>46169</v>
      </c>
      <c r="J1463" s="70">
        <v>3</v>
      </c>
      <c r="K1463" s="106" t="s">
        <v>4338</v>
      </c>
      <c r="L1463" s="104">
        <f t="shared" si="401"/>
        <v>46261</v>
      </c>
      <c r="M1463" s="105">
        <f ca="1" t="shared" si="402"/>
        <v>-52</v>
      </c>
      <c r="N1463" s="70"/>
      <c r="O1463" s="70" t="s">
        <v>4335</v>
      </c>
      <c r="P1463" s="70" t="s">
        <v>38</v>
      </c>
      <c r="Q1463" s="71" t="s">
        <v>4336</v>
      </c>
      <c r="R1463" s="71" t="s">
        <v>4337</v>
      </c>
      <c r="S1463" s="72"/>
      <c r="T1463" s="73"/>
      <c r="U1463" s="75"/>
      <c r="V1463" s="102">
        <v>46260</v>
      </c>
      <c r="W1463" s="70">
        <v>3</v>
      </c>
      <c r="X1463" s="103" t="s">
        <v>4339</v>
      </c>
      <c r="Y1463" s="104">
        <f t="shared" si="397"/>
        <v>46352</v>
      </c>
      <c r="Z1463" s="105">
        <f ca="1" t="shared" si="398"/>
        <v>39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5"/>
      <c r="AO1463" s="115"/>
      <c r="AP1463" s="115"/>
      <c r="AQ1463" s="93"/>
      <c r="AR1463" s="93"/>
      <c r="AS1463" s="94"/>
      <c r="AT1463" s="95"/>
      <c r="AU1463" s="79"/>
      <c r="AV1463" s="117"/>
      <c r="AW1463" s="115"/>
      <c r="AX1463" s="106"/>
      <c r="AY1463" s="104"/>
      <c r="AZ1463" s="105"/>
    </row>
    <row r="1464" customHeight="1" spans="1:52">
      <c r="A1464" s="70">
        <v>1469</v>
      </c>
      <c r="B1464" s="70" t="s">
        <v>519</v>
      </c>
      <c r="C1464" s="70" t="s">
        <v>13</v>
      </c>
      <c r="D1464" s="71" t="s">
        <v>4340</v>
      </c>
      <c r="E1464" s="71" t="s">
        <v>76</v>
      </c>
      <c r="F1464" s="72"/>
      <c r="G1464" s="73"/>
      <c r="H1464" s="75"/>
      <c r="I1464" s="102">
        <v>46169</v>
      </c>
      <c r="J1464" s="70">
        <v>3</v>
      </c>
      <c r="K1464" s="106" t="s">
        <v>4341</v>
      </c>
      <c r="L1464" s="104">
        <f t="shared" ref="L1464:L1475" si="403">EDATE(I1464,J1464)</f>
        <v>46261</v>
      </c>
      <c r="M1464" s="105">
        <f ca="1" t="shared" ref="M1464:M1475" si="404">L1464-TODAY()</f>
        <v>-52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97"/>
        <v>0</v>
      </c>
      <c r="Z1464" s="105">
        <f ca="1" t="shared" si="398"/>
        <v>-46313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5"/>
      <c r="AO1464" s="115"/>
      <c r="AP1464" s="115"/>
      <c r="AQ1464" s="93"/>
      <c r="AR1464" s="93"/>
      <c r="AS1464" s="94"/>
      <c r="AT1464" s="95"/>
      <c r="AU1464" s="79"/>
      <c r="AV1464" s="117"/>
      <c r="AW1464" s="115"/>
      <c r="AX1464" s="106"/>
      <c r="AY1464" s="104"/>
      <c r="AZ1464" s="105"/>
    </row>
    <row r="1465" customHeight="1" spans="1:52">
      <c r="A1465" s="70">
        <v>1470</v>
      </c>
      <c r="B1465" s="70" t="s">
        <v>519</v>
      </c>
      <c r="C1465" s="70" t="s">
        <v>13</v>
      </c>
      <c r="D1465" s="205" t="s">
        <v>4342</v>
      </c>
      <c r="E1465" s="71" t="s">
        <v>393</v>
      </c>
      <c r="F1465" s="72"/>
      <c r="G1465" s="73"/>
      <c r="H1465" s="75"/>
      <c r="I1465" s="102">
        <v>46169</v>
      </c>
      <c r="J1465" s="70">
        <v>3</v>
      </c>
      <c r="K1465" s="106" t="s">
        <v>4343</v>
      </c>
      <c r="L1465" s="104">
        <f t="shared" si="403"/>
        <v>46261</v>
      </c>
      <c r="M1465" s="105">
        <f ca="1" t="shared" si="404"/>
        <v>-52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97"/>
        <v>0</v>
      </c>
      <c r="Z1465" s="105">
        <f ca="1" t="shared" si="398"/>
        <v>-46313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5"/>
      <c r="AO1465" s="115"/>
      <c r="AP1465" s="115"/>
      <c r="AQ1465" s="93"/>
      <c r="AR1465" s="93"/>
      <c r="AS1465" s="94"/>
      <c r="AT1465" s="95"/>
      <c r="AU1465" s="79"/>
      <c r="AV1465" s="117"/>
      <c r="AW1465" s="115"/>
      <c r="AX1465" s="106"/>
      <c r="AY1465" s="104"/>
      <c r="AZ1465" s="105"/>
    </row>
    <row r="1466" customHeight="1" spans="1:52">
      <c r="A1466" s="70">
        <v>1471</v>
      </c>
      <c r="B1466" s="70" t="s">
        <v>519</v>
      </c>
      <c r="C1466" s="70" t="s">
        <v>38</v>
      </c>
      <c r="D1466" s="205" t="s">
        <v>4344</v>
      </c>
      <c r="E1466" s="71" t="s">
        <v>4345</v>
      </c>
      <c r="F1466" s="72"/>
      <c r="G1466" s="73"/>
      <c r="H1466" s="75"/>
      <c r="I1466" s="102">
        <v>46169</v>
      </c>
      <c r="J1466" s="70">
        <v>3</v>
      </c>
      <c r="K1466" s="106" t="s">
        <v>4346</v>
      </c>
      <c r="L1466" s="104">
        <f t="shared" si="403"/>
        <v>46261</v>
      </c>
      <c r="M1466" s="105">
        <f ca="1" t="shared" si="404"/>
        <v>-52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97"/>
        <v>0</v>
      </c>
      <c r="Z1466" s="105">
        <f ca="1" t="shared" si="398"/>
        <v>-46313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5"/>
      <c r="AO1466" s="115"/>
      <c r="AP1466" s="115"/>
      <c r="AQ1466" s="93"/>
      <c r="AR1466" s="93"/>
      <c r="AS1466" s="94"/>
      <c r="AT1466" s="95"/>
      <c r="AU1466" s="79"/>
      <c r="AV1466" s="117"/>
      <c r="AW1466" s="115"/>
      <c r="AX1466" s="106"/>
      <c r="AY1466" s="104"/>
      <c r="AZ1466" s="105"/>
    </row>
    <row r="1467" customHeight="1" spans="1:52">
      <c r="A1467" s="70">
        <v>1472</v>
      </c>
      <c r="B1467" s="70" t="s">
        <v>519</v>
      </c>
      <c r="C1467" s="70" t="s">
        <v>13</v>
      </c>
      <c r="D1467" s="205" t="s">
        <v>4347</v>
      </c>
      <c r="E1467" s="71" t="s">
        <v>1126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4348</v>
      </c>
      <c r="L1467" s="104">
        <f t="shared" si="403"/>
        <v>46261</v>
      </c>
      <c r="M1467" s="105">
        <f ca="1" t="shared" si="404"/>
        <v>-52</v>
      </c>
      <c r="N1467" s="70"/>
      <c r="O1467" s="70" t="s">
        <v>519</v>
      </c>
      <c r="P1467" s="70" t="s">
        <v>13</v>
      </c>
      <c r="Q1467" s="205" t="s">
        <v>4347</v>
      </c>
      <c r="R1467" s="71" t="s">
        <v>1126</v>
      </c>
      <c r="S1467" s="72"/>
      <c r="T1467" s="73"/>
      <c r="U1467" s="74" t="s">
        <v>16</v>
      </c>
      <c r="V1467" s="102">
        <v>46311</v>
      </c>
      <c r="W1467" s="70">
        <v>3</v>
      </c>
      <c r="X1467" s="103"/>
      <c r="Y1467" s="104">
        <f t="shared" si="397"/>
        <v>46403</v>
      </c>
      <c r="Z1467" s="105">
        <f ca="1" t="shared" si="398"/>
        <v>90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5"/>
      <c r="AO1467" s="115"/>
      <c r="AP1467" s="115"/>
      <c r="AQ1467" s="93"/>
      <c r="AR1467" s="93"/>
      <c r="AS1467" s="94"/>
      <c r="AT1467" s="95"/>
      <c r="AU1467" s="79"/>
      <c r="AV1467" s="117"/>
      <c r="AW1467" s="115"/>
      <c r="AX1467" s="106"/>
      <c r="AY1467" s="104"/>
      <c r="AZ1467" s="105"/>
    </row>
    <row r="1468" customHeight="1" spans="1:52">
      <c r="A1468" s="70">
        <v>1473</v>
      </c>
      <c r="B1468" s="70" t="s">
        <v>519</v>
      </c>
      <c r="C1468" s="70" t="s">
        <v>38</v>
      </c>
      <c r="D1468" s="205" t="s">
        <v>4349</v>
      </c>
      <c r="E1468" s="71" t="s">
        <v>4350</v>
      </c>
      <c r="F1468" s="72"/>
      <c r="G1468" s="73"/>
      <c r="H1468" s="75"/>
      <c r="I1468" s="102">
        <v>46169</v>
      </c>
      <c r="J1468" s="70">
        <v>3</v>
      </c>
      <c r="K1468" s="106" t="s">
        <v>4351</v>
      </c>
      <c r="L1468" s="104">
        <f t="shared" si="403"/>
        <v>46261</v>
      </c>
      <c r="M1468" s="105">
        <f ca="1" t="shared" si="404"/>
        <v>-52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97"/>
        <v>0</v>
      </c>
      <c r="Z1468" s="105">
        <f ca="1" t="shared" si="398"/>
        <v>-46313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5"/>
      <c r="AO1468" s="115"/>
      <c r="AP1468" s="115"/>
      <c r="AQ1468" s="93"/>
      <c r="AR1468" s="93"/>
      <c r="AS1468" s="94"/>
      <c r="AT1468" s="95"/>
      <c r="AU1468" s="79"/>
      <c r="AV1468" s="117"/>
      <c r="AW1468" s="115"/>
      <c r="AX1468" s="106"/>
      <c r="AY1468" s="104"/>
      <c r="AZ1468" s="105"/>
    </row>
    <row r="1469" customHeight="1" spans="1:52">
      <c r="A1469" s="70">
        <v>1474</v>
      </c>
      <c r="B1469" s="70" t="s">
        <v>519</v>
      </c>
      <c r="C1469" s="70" t="s">
        <v>38</v>
      </c>
      <c r="D1469" s="71" t="s">
        <v>4352</v>
      </c>
      <c r="E1469" s="71" t="s">
        <v>189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4353</v>
      </c>
      <c r="L1469" s="104">
        <f t="shared" si="403"/>
        <v>46261</v>
      </c>
      <c r="M1469" s="105">
        <f ca="1" t="shared" si="404"/>
        <v>-52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97"/>
        <v>0</v>
      </c>
      <c r="Z1469" s="105">
        <f ca="1" t="shared" si="398"/>
        <v>-46313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5"/>
      <c r="AO1469" s="115"/>
      <c r="AP1469" s="115"/>
      <c r="AQ1469" s="93"/>
      <c r="AR1469" s="93"/>
      <c r="AS1469" s="94"/>
      <c r="AT1469" s="95"/>
      <c r="AU1469" s="79"/>
      <c r="AV1469" s="117"/>
      <c r="AW1469" s="115"/>
      <c r="AX1469" s="106"/>
      <c r="AY1469" s="104"/>
      <c r="AZ1469" s="105"/>
    </row>
    <row r="1470" customHeight="1" spans="1:52">
      <c r="A1470" s="70">
        <v>1475</v>
      </c>
      <c r="B1470" s="70" t="s">
        <v>4354</v>
      </c>
      <c r="C1470" s="70" t="s">
        <v>13</v>
      </c>
      <c r="D1470" s="71" t="s">
        <v>4355</v>
      </c>
      <c r="E1470" s="71" t="s">
        <v>126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4356</v>
      </c>
      <c r="L1470" s="104">
        <f t="shared" si="403"/>
        <v>46261</v>
      </c>
      <c r="M1470" s="105">
        <f ca="1" t="shared" si="404"/>
        <v>-52</v>
      </c>
      <c r="N1470" s="70"/>
      <c r="O1470" s="70" t="s">
        <v>12</v>
      </c>
      <c r="P1470" s="70" t="s">
        <v>13</v>
      </c>
      <c r="Q1470" s="71" t="s">
        <v>4355</v>
      </c>
      <c r="R1470" s="71" t="s">
        <v>126</v>
      </c>
      <c r="S1470" s="72"/>
      <c r="T1470" s="73"/>
      <c r="U1470" s="74" t="s">
        <v>16</v>
      </c>
      <c r="V1470" s="102">
        <v>46292</v>
      </c>
      <c r="W1470" s="70">
        <v>3</v>
      </c>
      <c r="X1470" s="103" t="s">
        <v>4357</v>
      </c>
      <c r="Y1470" s="104">
        <f t="shared" si="397"/>
        <v>46383</v>
      </c>
      <c r="Z1470" s="105">
        <f ca="1" t="shared" si="398"/>
        <v>70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5"/>
      <c r="AO1470" s="115"/>
      <c r="AP1470" s="115"/>
      <c r="AQ1470" s="93"/>
      <c r="AR1470" s="93"/>
      <c r="AS1470" s="94"/>
      <c r="AT1470" s="95"/>
      <c r="AU1470" s="79"/>
      <c r="AV1470" s="117"/>
      <c r="AW1470" s="115"/>
      <c r="AX1470" s="106"/>
      <c r="AY1470" s="104"/>
      <c r="AZ1470" s="105"/>
    </row>
    <row r="1471" customHeight="1" spans="1:52">
      <c r="A1471" s="70">
        <v>1476</v>
      </c>
      <c r="B1471" s="70" t="s">
        <v>4358</v>
      </c>
      <c r="C1471" s="70" t="s">
        <v>13</v>
      </c>
      <c r="D1471" s="71" t="s">
        <v>4359</v>
      </c>
      <c r="E1471" s="71" t="s">
        <v>4360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4361</v>
      </c>
      <c r="L1471" s="104">
        <f t="shared" si="403"/>
        <v>46261</v>
      </c>
      <c r="M1471" s="105">
        <f ca="1" t="shared" si="404"/>
        <v>-52</v>
      </c>
      <c r="N1471" s="70"/>
      <c r="O1471" s="70" t="s">
        <v>4358</v>
      </c>
      <c r="P1471" s="70" t="s">
        <v>13</v>
      </c>
      <c r="Q1471" s="71" t="s">
        <v>4359</v>
      </c>
      <c r="R1471" s="71" t="s">
        <v>4360</v>
      </c>
      <c r="S1471" s="72"/>
      <c r="T1471" s="73"/>
      <c r="U1471" s="74" t="s">
        <v>16</v>
      </c>
      <c r="V1471" s="102">
        <v>46262</v>
      </c>
      <c r="W1471" s="70">
        <v>3</v>
      </c>
      <c r="X1471" s="103" t="s">
        <v>4362</v>
      </c>
      <c r="Y1471" s="104">
        <f t="shared" si="397"/>
        <v>46354</v>
      </c>
      <c r="Z1471" s="105">
        <f ca="1" t="shared" si="398"/>
        <v>41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5"/>
      <c r="AO1471" s="115"/>
      <c r="AP1471" s="115"/>
      <c r="AQ1471" s="93"/>
      <c r="AR1471" s="93"/>
      <c r="AS1471" s="94"/>
      <c r="AT1471" s="95"/>
      <c r="AU1471" s="79"/>
      <c r="AV1471" s="117"/>
      <c r="AW1471" s="115"/>
      <c r="AX1471" s="106"/>
      <c r="AY1471" s="104"/>
      <c r="AZ1471" s="105"/>
    </row>
    <row r="1472" customHeight="1" spans="1:52">
      <c r="A1472" s="70">
        <v>1477</v>
      </c>
      <c r="B1472" s="70" t="s">
        <v>886</v>
      </c>
      <c r="C1472" s="70" t="s">
        <v>374</v>
      </c>
      <c r="D1472" s="71" t="s">
        <v>4363</v>
      </c>
      <c r="E1472" s="71" t="s">
        <v>888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4364</v>
      </c>
      <c r="L1472" s="104">
        <f t="shared" si="403"/>
        <v>46261</v>
      </c>
      <c r="M1472" s="105">
        <f ca="1" t="shared" si="404"/>
        <v>-52</v>
      </c>
      <c r="N1472" s="70"/>
      <c r="O1472" s="70" t="s">
        <v>886</v>
      </c>
      <c r="P1472" s="70" t="s">
        <v>374</v>
      </c>
      <c r="Q1472" s="71" t="s">
        <v>4363</v>
      </c>
      <c r="R1472" s="71" t="s">
        <v>888</v>
      </c>
      <c r="S1472" s="72"/>
      <c r="T1472" s="73"/>
      <c r="U1472" s="74" t="s">
        <v>16</v>
      </c>
      <c r="V1472" s="102">
        <v>46288</v>
      </c>
      <c r="W1472" s="70">
        <v>3</v>
      </c>
      <c r="X1472" s="103" t="s">
        <v>4365</v>
      </c>
      <c r="Y1472" s="104">
        <f t="shared" si="397"/>
        <v>46379</v>
      </c>
      <c r="Z1472" s="105">
        <f ca="1" t="shared" si="398"/>
        <v>66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5"/>
      <c r="AO1472" s="115"/>
      <c r="AP1472" s="115"/>
      <c r="AQ1472" s="93"/>
      <c r="AR1472" s="93"/>
      <c r="AS1472" s="94"/>
      <c r="AT1472" s="95"/>
      <c r="AU1472" s="79"/>
      <c r="AV1472" s="117"/>
      <c r="AW1472" s="115"/>
      <c r="AX1472" s="106"/>
      <c r="AY1472" s="104"/>
      <c r="AZ1472" s="105"/>
    </row>
    <row r="1473" customHeight="1" spans="1:52">
      <c r="A1473" s="70">
        <v>1478</v>
      </c>
      <c r="B1473" s="204" t="s">
        <v>644</v>
      </c>
      <c r="C1473" s="70" t="s">
        <v>264</v>
      </c>
      <c r="D1473" s="205" t="s">
        <v>1922</v>
      </c>
      <c r="E1473" s="71" t="s">
        <v>266</v>
      </c>
      <c r="F1473" s="72"/>
      <c r="G1473" s="73"/>
      <c r="H1473" s="75"/>
      <c r="I1473" s="102">
        <v>46169</v>
      </c>
      <c r="J1473" s="70" t="s">
        <v>767</v>
      </c>
      <c r="K1473" s="106"/>
      <c r="L1473" s="104" t="e">
        <f t="shared" si="403"/>
        <v>#VALUE!</v>
      </c>
      <c r="M1473" s="105" t="e">
        <f ca="1" t="shared" si="404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97"/>
        <v>0</v>
      </c>
      <c r="Z1473" s="105">
        <f ca="1" t="shared" si="398"/>
        <v>-46313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5"/>
      <c r="AO1473" s="115"/>
      <c r="AP1473" s="115"/>
      <c r="AQ1473" s="93"/>
      <c r="AR1473" s="93"/>
      <c r="AS1473" s="94"/>
      <c r="AT1473" s="95"/>
      <c r="AU1473" s="79"/>
      <c r="AV1473" s="117"/>
      <c r="AW1473" s="115"/>
      <c r="AX1473" s="106"/>
      <c r="AY1473" s="104"/>
      <c r="AZ1473" s="105"/>
    </row>
    <row r="1474" customHeight="1" spans="1:52">
      <c r="A1474" s="70">
        <v>1479</v>
      </c>
      <c r="B1474" s="204" t="s">
        <v>1238</v>
      </c>
      <c r="C1474" s="70" t="s">
        <v>264</v>
      </c>
      <c r="D1474" s="205" t="s">
        <v>2702</v>
      </c>
      <c r="E1474" s="71" t="s">
        <v>364</v>
      </c>
      <c r="F1474" s="72"/>
      <c r="G1474" s="73"/>
      <c r="H1474" s="75"/>
      <c r="I1474" s="102">
        <v>46169</v>
      </c>
      <c r="J1474" s="70" t="s">
        <v>767</v>
      </c>
      <c r="K1474" s="106"/>
      <c r="L1474" s="104" t="e">
        <f t="shared" si="403"/>
        <v>#VALUE!</v>
      </c>
      <c r="M1474" s="105" t="e">
        <f ca="1" t="shared" si="404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97"/>
        <v>0</v>
      </c>
      <c r="Z1474" s="105">
        <f ca="1" t="shared" si="398"/>
        <v>-46313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5"/>
      <c r="AO1474" s="115"/>
      <c r="AP1474" s="115"/>
      <c r="AQ1474" s="93"/>
      <c r="AR1474" s="93"/>
      <c r="AS1474" s="94"/>
      <c r="AT1474" s="95"/>
      <c r="AU1474" s="79"/>
      <c r="AV1474" s="117"/>
      <c r="AW1474" s="115"/>
      <c r="AX1474" s="106"/>
      <c r="AY1474" s="104"/>
      <c r="AZ1474" s="105"/>
    </row>
    <row r="1475" customHeight="1" spans="1:52">
      <c r="A1475" s="70">
        <v>1480</v>
      </c>
      <c r="B1475" s="213" t="s">
        <v>3780</v>
      </c>
      <c r="C1475" s="70" t="s">
        <v>264</v>
      </c>
      <c r="D1475" s="213" t="s">
        <v>367</v>
      </c>
      <c r="E1475" s="71" t="s">
        <v>368</v>
      </c>
      <c r="F1475" s="72"/>
      <c r="G1475" s="73"/>
      <c r="H1475" s="75"/>
      <c r="I1475" s="102">
        <v>46169</v>
      </c>
      <c r="J1475" s="70" t="s">
        <v>767</v>
      </c>
      <c r="K1475" s="106"/>
      <c r="L1475" s="104" t="e">
        <f t="shared" si="403"/>
        <v>#VALUE!</v>
      </c>
      <c r="M1475" s="105" t="e">
        <f ca="1" t="shared" si="404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97"/>
        <v>0</v>
      </c>
      <c r="Z1475" s="105">
        <f ca="1" t="shared" si="398"/>
        <v>-46313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5"/>
      <c r="AO1475" s="115"/>
      <c r="AP1475" s="115"/>
      <c r="AQ1475" s="93"/>
      <c r="AR1475" s="93"/>
      <c r="AS1475" s="94"/>
      <c r="AT1475" s="95"/>
      <c r="AU1475" s="79"/>
      <c r="AV1475" s="117"/>
      <c r="AW1475" s="115"/>
      <c r="AX1475" s="106"/>
      <c r="AY1475" s="104"/>
      <c r="AZ1475" s="105"/>
    </row>
    <row r="1476" customHeight="1" spans="1:52">
      <c r="A1476" s="70">
        <v>1481</v>
      </c>
      <c r="B1476" s="70" t="s">
        <v>782</v>
      </c>
      <c r="C1476" s="70" t="s">
        <v>374</v>
      </c>
      <c r="D1476" s="71" t="s">
        <v>4366</v>
      </c>
      <c r="E1476" s="71" t="s">
        <v>548</v>
      </c>
      <c r="F1476" s="72"/>
      <c r="G1476" s="73"/>
      <c r="H1476" s="75"/>
      <c r="I1476" s="102">
        <v>46170</v>
      </c>
      <c r="J1476" s="70">
        <v>3</v>
      </c>
      <c r="K1476" s="106" t="s">
        <v>4367</v>
      </c>
      <c r="L1476" s="104">
        <f t="shared" ref="L1476:L1503" si="405">EDATE(I1476,J1476)</f>
        <v>46262</v>
      </c>
      <c r="M1476" s="105">
        <f ca="1" t="shared" ref="M1476:M1503" si="406">L1476-TODAY()</f>
        <v>-51</v>
      </c>
      <c r="N1476" s="70"/>
      <c r="O1476" s="70" t="s">
        <v>782</v>
      </c>
      <c r="P1476" s="70" t="s">
        <v>374</v>
      </c>
      <c r="Q1476" s="71" t="s">
        <v>4366</v>
      </c>
      <c r="R1476" s="71" t="s">
        <v>548</v>
      </c>
      <c r="S1476" s="72"/>
      <c r="T1476" s="73"/>
      <c r="U1476" s="75"/>
      <c r="V1476" s="102">
        <v>46256</v>
      </c>
      <c r="W1476" s="70">
        <v>3</v>
      </c>
      <c r="X1476" s="103" t="s">
        <v>4368</v>
      </c>
      <c r="Y1476" s="104">
        <f t="shared" si="397"/>
        <v>46348</v>
      </c>
      <c r="Z1476" s="105">
        <f ca="1" t="shared" si="398"/>
        <v>35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5"/>
      <c r="AO1476" s="115"/>
      <c r="AP1476" s="115"/>
      <c r="AQ1476" s="93"/>
      <c r="AR1476" s="93"/>
      <c r="AS1476" s="94"/>
      <c r="AT1476" s="95"/>
      <c r="AU1476" s="79"/>
      <c r="AV1476" s="117"/>
      <c r="AW1476" s="115"/>
      <c r="AX1476" s="106"/>
      <c r="AY1476" s="104"/>
      <c r="AZ1476" s="105"/>
    </row>
    <row r="1477" customHeight="1" spans="1:52">
      <c r="A1477" s="70">
        <v>1482</v>
      </c>
      <c r="B1477" s="204" t="s">
        <v>281</v>
      </c>
      <c r="C1477" s="70" t="s">
        <v>264</v>
      </c>
      <c r="D1477" s="205" t="s">
        <v>4369</v>
      </c>
      <c r="E1477" s="71" t="s">
        <v>4370</v>
      </c>
      <c r="F1477" s="72"/>
      <c r="G1477" s="73"/>
      <c r="H1477" s="75"/>
      <c r="I1477" s="102">
        <v>46170</v>
      </c>
      <c r="J1477" s="70">
        <v>3</v>
      </c>
      <c r="K1477" s="106" t="s">
        <v>4371</v>
      </c>
      <c r="L1477" s="104">
        <f t="shared" si="405"/>
        <v>46262</v>
      </c>
      <c r="M1477" s="105">
        <f ca="1" t="shared" si="406"/>
        <v>-51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97"/>
        <v>0</v>
      </c>
      <c r="Z1477" s="105">
        <f ca="1" t="shared" si="398"/>
        <v>-46313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5"/>
      <c r="AO1477" s="115"/>
      <c r="AP1477" s="115"/>
      <c r="AQ1477" s="93"/>
      <c r="AR1477" s="93"/>
      <c r="AS1477" s="94"/>
      <c r="AT1477" s="95"/>
      <c r="AU1477" s="79"/>
      <c r="AV1477" s="117"/>
      <c r="AW1477" s="115"/>
      <c r="AX1477" s="106"/>
      <c r="AY1477" s="104"/>
      <c r="AZ1477" s="105"/>
    </row>
    <row r="1478" customHeight="1" spans="1:52">
      <c r="A1478" s="70">
        <v>1483</v>
      </c>
      <c r="B1478" s="204" t="s">
        <v>281</v>
      </c>
      <c r="C1478" s="70" t="s">
        <v>264</v>
      </c>
      <c r="D1478" s="205" t="s">
        <v>4372</v>
      </c>
      <c r="E1478" s="71" t="s">
        <v>4373</v>
      </c>
      <c r="F1478" s="72"/>
      <c r="G1478" s="73"/>
      <c r="H1478" s="75"/>
      <c r="I1478" s="102">
        <v>46170</v>
      </c>
      <c r="J1478" s="70">
        <v>3</v>
      </c>
      <c r="K1478" s="106" t="s">
        <v>4374</v>
      </c>
      <c r="L1478" s="104">
        <f t="shared" si="405"/>
        <v>46262</v>
      </c>
      <c r="M1478" s="105">
        <f ca="1" t="shared" si="406"/>
        <v>-51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97"/>
        <v>0</v>
      </c>
      <c r="Z1478" s="105">
        <f ca="1" t="shared" si="398"/>
        <v>-46313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5"/>
      <c r="AO1478" s="115"/>
      <c r="AP1478" s="115"/>
      <c r="AQ1478" s="93"/>
      <c r="AR1478" s="93"/>
      <c r="AS1478" s="94"/>
      <c r="AT1478" s="95"/>
      <c r="AU1478" s="79"/>
      <c r="AV1478" s="117"/>
      <c r="AW1478" s="115"/>
      <c r="AX1478" s="106"/>
      <c r="AY1478" s="104"/>
      <c r="AZ1478" s="105"/>
    </row>
    <row r="1479" customHeight="1" spans="1:52">
      <c r="A1479" s="70">
        <v>1484</v>
      </c>
      <c r="B1479" s="204" t="s">
        <v>644</v>
      </c>
      <c r="C1479" s="70" t="s">
        <v>264</v>
      </c>
      <c r="D1479" s="205" t="s">
        <v>1922</v>
      </c>
      <c r="E1479" s="71" t="s">
        <v>266</v>
      </c>
      <c r="F1479" s="72"/>
      <c r="G1479" s="73"/>
      <c r="H1479" s="75"/>
      <c r="I1479" s="102">
        <v>46170</v>
      </c>
      <c r="J1479" s="70" t="s">
        <v>767</v>
      </c>
      <c r="K1479" s="106"/>
      <c r="L1479" s="104" t="e">
        <f t="shared" si="405"/>
        <v>#VALUE!</v>
      </c>
      <c r="M1479" s="105" t="e">
        <f ca="1" t="shared" si="406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97"/>
        <v>0</v>
      </c>
      <c r="Z1479" s="105">
        <f ca="1" t="shared" si="398"/>
        <v>-46313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5"/>
      <c r="AO1479" s="115"/>
      <c r="AP1479" s="115"/>
      <c r="AQ1479" s="93"/>
      <c r="AR1479" s="93"/>
      <c r="AS1479" s="94"/>
      <c r="AT1479" s="95"/>
      <c r="AU1479" s="79"/>
      <c r="AV1479" s="117"/>
      <c r="AW1479" s="115"/>
      <c r="AX1479" s="106"/>
      <c r="AY1479" s="104"/>
      <c r="AZ1479" s="105"/>
    </row>
    <row r="1480" customHeight="1" spans="1:52">
      <c r="A1480" s="70">
        <v>1485</v>
      </c>
      <c r="B1480" s="204" t="s">
        <v>1918</v>
      </c>
      <c r="C1480" s="70" t="s">
        <v>264</v>
      </c>
      <c r="D1480" s="205" t="s">
        <v>955</v>
      </c>
      <c r="E1480" s="71" t="s">
        <v>753</v>
      </c>
      <c r="F1480" s="72"/>
      <c r="G1480" s="73"/>
      <c r="H1480" s="75"/>
      <c r="I1480" s="102">
        <v>46170</v>
      </c>
      <c r="J1480" s="70" t="s">
        <v>767</v>
      </c>
      <c r="K1480" s="106"/>
      <c r="L1480" s="104" t="e">
        <f t="shared" si="405"/>
        <v>#VALUE!</v>
      </c>
      <c r="M1480" s="105" t="e">
        <f ca="1" t="shared" si="406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97"/>
        <v>0</v>
      </c>
      <c r="Z1480" s="105">
        <f ca="1" t="shared" si="398"/>
        <v>-46313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5"/>
      <c r="AO1480" s="115"/>
      <c r="AP1480" s="115"/>
      <c r="AQ1480" s="93"/>
      <c r="AR1480" s="93"/>
      <c r="AS1480" s="94"/>
      <c r="AT1480" s="95"/>
      <c r="AU1480" s="79"/>
      <c r="AV1480" s="117"/>
      <c r="AW1480" s="115"/>
      <c r="AX1480" s="106"/>
      <c r="AY1480" s="104"/>
      <c r="AZ1480" s="105"/>
    </row>
    <row r="1481" customHeight="1" spans="1:52">
      <c r="A1481" s="70">
        <v>1486</v>
      </c>
      <c r="B1481" s="204" t="s">
        <v>281</v>
      </c>
      <c r="C1481" s="70" t="s">
        <v>264</v>
      </c>
      <c r="D1481" s="205" t="s">
        <v>3646</v>
      </c>
      <c r="E1481" s="71" t="s">
        <v>4375</v>
      </c>
      <c r="F1481" s="72"/>
      <c r="G1481" s="73"/>
      <c r="H1481" s="75"/>
      <c r="I1481" s="102">
        <v>46170</v>
      </c>
      <c r="J1481" s="70" t="s">
        <v>767</v>
      </c>
      <c r="K1481" s="106"/>
      <c r="L1481" s="104" t="e">
        <f t="shared" si="405"/>
        <v>#VALUE!</v>
      </c>
      <c r="M1481" s="105" t="e">
        <f ca="1" t="shared" si="406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97"/>
        <v>0</v>
      </c>
      <c r="Z1481" s="105">
        <f ca="1" t="shared" si="398"/>
        <v>-46313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5"/>
      <c r="AO1481" s="115"/>
      <c r="AP1481" s="115"/>
      <c r="AQ1481" s="93"/>
      <c r="AR1481" s="93"/>
      <c r="AS1481" s="94"/>
      <c r="AT1481" s="95"/>
      <c r="AU1481" s="79"/>
      <c r="AV1481" s="117"/>
      <c r="AW1481" s="115"/>
      <c r="AX1481" s="106"/>
      <c r="AY1481" s="104"/>
      <c r="AZ1481" s="105"/>
    </row>
    <row r="1482" customHeight="1" spans="1:52">
      <c r="A1482" s="70">
        <v>1487</v>
      </c>
      <c r="B1482" s="204" t="s">
        <v>281</v>
      </c>
      <c r="C1482" s="70" t="s">
        <v>264</v>
      </c>
      <c r="D1482" s="205" t="s">
        <v>3607</v>
      </c>
      <c r="E1482" s="71" t="s">
        <v>4376</v>
      </c>
      <c r="F1482" s="72"/>
      <c r="G1482" s="73"/>
      <c r="H1482" s="75"/>
      <c r="I1482" s="102">
        <v>46170</v>
      </c>
      <c r="J1482" s="70" t="s">
        <v>767</v>
      </c>
      <c r="K1482" s="106"/>
      <c r="L1482" s="104" t="e">
        <f t="shared" si="405"/>
        <v>#VALUE!</v>
      </c>
      <c r="M1482" s="105" t="e">
        <f ca="1" t="shared" si="406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97"/>
        <v>0</v>
      </c>
      <c r="Z1482" s="105">
        <f ca="1" t="shared" si="398"/>
        <v>-46313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5"/>
      <c r="AO1482" s="115"/>
      <c r="AP1482" s="115"/>
      <c r="AQ1482" s="93"/>
      <c r="AR1482" s="93"/>
      <c r="AS1482" s="94"/>
      <c r="AT1482" s="95"/>
      <c r="AU1482" s="79"/>
      <c r="AV1482" s="117"/>
      <c r="AW1482" s="115"/>
      <c r="AX1482" s="106"/>
      <c r="AY1482" s="104"/>
      <c r="AZ1482" s="105"/>
    </row>
    <row r="1483" customHeight="1" spans="1:52">
      <c r="A1483" s="70">
        <v>1488</v>
      </c>
      <c r="B1483" s="204" t="s">
        <v>169</v>
      </c>
      <c r="C1483" s="70" t="s">
        <v>38</v>
      </c>
      <c r="D1483" s="205" t="s">
        <v>170</v>
      </c>
      <c r="E1483" s="71" t="s">
        <v>171</v>
      </c>
      <c r="F1483" s="72"/>
      <c r="G1483" s="73"/>
      <c r="H1483" s="75"/>
      <c r="I1483" s="102">
        <v>46170</v>
      </c>
      <c r="J1483" s="70" t="s">
        <v>767</v>
      </c>
      <c r="K1483" s="106"/>
      <c r="L1483" s="104" t="e">
        <f t="shared" si="405"/>
        <v>#VALUE!</v>
      </c>
      <c r="M1483" s="105" t="e">
        <f ca="1" t="shared" si="406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97"/>
        <v>0</v>
      </c>
      <c r="Z1483" s="105">
        <f ca="1" t="shared" si="398"/>
        <v>-46313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5"/>
      <c r="AO1483" s="115"/>
      <c r="AP1483" s="115"/>
      <c r="AQ1483" s="93"/>
      <c r="AR1483" s="93"/>
      <c r="AS1483" s="94"/>
      <c r="AT1483" s="95"/>
      <c r="AU1483" s="79"/>
      <c r="AV1483" s="117"/>
      <c r="AW1483" s="115"/>
      <c r="AX1483" s="106"/>
      <c r="AY1483" s="104"/>
      <c r="AZ1483" s="105"/>
    </row>
    <row r="1484" customHeight="1" spans="1:52">
      <c r="A1484" s="70">
        <v>1489</v>
      </c>
      <c r="B1484" s="204" t="s">
        <v>721</v>
      </c>
      <c r="C1484" s="70" t="s">
        <v>38</v>
      </c>
      <c r="D1484" s="205" t="s">
        <v>4377</v>
      </c>
      <c r="E1484" s="71" t="s">
        <v>189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4378</v>
      </c>
      <c r="L1484" s="104">
        <f t="shared" si="405"/>
        <v>46263</v>
      </c>
      <c r="M1484" s="105">
        <f ca="1" t="shared" si="406"/>
        <v>-50</v>
      </c>
      <c r="N1484" s="70"/>
      <c r="O1484" s="204" t="s">
        <v>721</v>
      </c>
      <c r="P1484" s="70" t="s">
        <v>38</v>
      </c>
      <c r="Q1484" s="205" t="s">
        <v>4377</v>
      </c>
      <c r="R1484" s="71" t="s">
        <v>189</v>
      </c>
      <c r="S1484" s="72"/>
      <c r="T1484" s="73"/>
      <c r="U1484" s="79" t="s">
        <v>16</v>
      </c>
      <c r="V1484" s="102">
        <v>46254</v>
      </c>
      <c r="W1484" s="70">
        <v>3</v>
      </c>
      <c r="X1484" s="103" t="s">
        <v>4379</v>
      </c>
      <c r="Y1484" s="104">
        <f t="shared" si="397"/>
        <v>46346</v>
      </c>
      <c r="Z1484" s="105">
        <f ca="1" t="shared" si="398"/>
        <v>33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5"/>
      <c r="AO1484" s="115"/>
      <c r="AP1484" s="115"/>
      <c r="AQ1484" s="93"/>
      <c r="AR1484" s="93"/>
      <c r="AS1484" s="94"/>
      <c r="AT1484" s="95"/>
      <c r="AU1484" s="79"/>
      <c r="AV1484" s="117"/>
      <c r="AW1484" s="115"/>
      <c r="AX1484" s="106"/>
      <c r="AY1484" s="104"/>
      <c r="AZ1484" s="105"/>
    </row>
    <row r="1485" customHeight="1" spans="1:52">
      <c r="A1485" s="70">
        <v>1490</v>
      </c>
      <c r="B1485" s="70" t="s">
        <v>1275</v>
      </c>
      <c r="C1485" s="70" t="s">
        <v>38</v>
      </c>
      <c r="D1485" s="71" t="s">
        <v>4380</v>
      </c>
      <c r="E1485" s="71" t="s">
        <v>189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4381</v>
      </c>
      <c r="L1485" s="104">
        <f t="shared" si="405"/>
        <v>46263</v>
      </c>
      <c r="M1485" s="105">
        <f ca="1" t="shared" si="406"/>
        <v>-50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97"/>
        <v>0</v>
      </c>
      <c r="Z1485" s="105">
        <f ca="1" t="shared" si="398"/>
        <v>-46313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5"/>
      <c r="AO1485" s="115"/>
      <c r="AP1485" s="115"/>
      <c r="AQ1485" s="93"/>
      <c r="AR1485" s="93"/>
      <c r="AS1485" s="94"/>
      <c r="AT1485" s="95"/>
      <c r="AU1485" s="79"/>
      <c r="AV1485" s="117"/>
      <c r="AW1485" s="115"/>
      <c r="AX1485" s="106"/>
      <c r="AY1485" s="104"/>
      <c r="AZ1485" s="105"/>
    </row>
    <row r="1486" customHeight="1" spans="1:52">
      <c r="A1486" s="70">
        <v>1491</v>
      </c>
      <c r="B1486" s="70" t="s">
        <v>373</v>
      </c>
      <c r="C1486" s="70" t="s">
        <v>374</v>
      </c>
      <c r="D1486" s="71" t="s">
        <v>4382</v>
      </c>
      <c r="E1486" s="71" t="s">
        <v>381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4383</v>
      </c>
      <c r="L1486" s="104">
        <f t="shared" si="405"/>
        <v>46263</v>
      </c>
      <c r="M1486" s="105">
        <f ca="1" t="shared" si="406"/>
        <v>-50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97"/>
        <v>0</v>
      </c>
      <c r="Z1486" s="105">
        <f ca="1" t="shared" si="398"/>
        <v>-46313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5"/>
      <c r="AO1486" s="115"/>
      <c r="AP1486" s="115"/>
      <c r="AQ1486" s="93"/>
      <c r="AR1486" s="93"/>
      <c r="AS1486" s="94"/>
      <c r="AT1486" s="95"/>
      <c r="AU1486" s="79"/>
      <c r="AV1486" s="117"/>
      <c r="AW1486" s="115"/>
      <c r="AX1486" s="106"/>
      <c r="AY1486" s="104"/>
      <c r="AZ1486" s="105"/>
    </row>
    <row r="1487" customHeight="1" spans="1:52">
      <c r="A1487" s="70">
        <v>1492</v>
      </c>
      <c r="B1487" s="70" t="s">
        <v>373</v>
      </c>
      <c r="C1487" s="70" t="s">
        <v>374</v>
      </c>
      <c r="D1487" s="71" t="s">
        <v>375</v>
      </c>
      <c r="E1487" s="71" t="s">
        <v>376</v>
      </c>
      <c r="F1487" s="72"/>
      <c r="G1487" s="73"/>
      <c r="H1487" s="75"/>
      <c r="I1487" s="102">
        <v>46171</v>
      </c>
      <c r="J1487" s="70" t="s">
        <v>434</v>
      </c>
      <c r="K1487" s="106"/>
      <c r="L1487" s="104" t="e">
        <f t="shared" si="405"/>
        <v>#VALUE!</v>
      </c>
      <c r="M1487" s="105" t="e">
        <f ca="1" t="shared" si="406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97"/>
        <v>0</v>
      </c>
      <c r="Z1487" s="105">
        <f ca="1" t="shared" si="398"/>
        <v>-46313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5"/>
      <c r="AO1487" s="115"/>
      <c r="AP1487" s="115"/>
      <c r="AQ1487" s="93"/>
      <c r="AR1487" s="93"/>
      <c r="AS1487" s="94"/>
      <c r="AT1487" s="95"/>
      <c r="AU1487" s="79"/>
      <c r="AV1487" s="117"/>
      <c r="AW1487" s="115"/>
      <c r="AX1487" s="106"/>
      <c r="AY1487" s="104"/>
      <c r="AZ1487" s="105"/>
    </row>
    <row r="1488" customHeight="1" spans="1:52">
      <c r="A1488" s="70">
        <v>1493</v>
      </c>
      <c r="B1488" s="204" t="s">
        <v>757</v>
      </c>
      <c r="C1488" s="70" t="s">
        <v>264</v>
      </c>
      <c r="D1488" s="205" t="s">
        <v>4384</v>
      </c>
      <c r="E1488" s="71" t="s">
        <v>3954</v>
      </c>
      <c r="F1488" s="72"/>
      <c r="G1488" s="73"/>
      <c r="H1488" s="75"/>
      <c r="I1488" s="102">
        <v>46171</v>
      </c>
      <c r="J1488" s="70">
        <v>3</v>
      </c>
      <c r="K1488" s="106" t="s">
        <v>4385</v>
      </c>
      <c r="L1488" s="104">
        <f t="shared" si="405"/>
        <v>46263</v>
      </c>
      <c r="M1488" s="105">
        <f ca="1" t="shared" si="406"/>
        <v>-50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97"/>
        <v>0</v>
      </c>
      <c r="Z1488" s="105">
        <f ca="1" t="shared" si="398"/>
        <v>-46313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5"/>
      <c r="AO1488" s="115"/>
      <c r="AP1488" s="115"/>
      <c r="AQ1488" s="93"/>
      <c r="AR1488" s="93"/>
      <c r="AS1488" s="94"/>
      <c r="AT1488" s="95"/>
      <c r="AU1488" s="79"/>
      <c r="AV1488" s="117"/>
      <c r="AW1488" s="115"/>
      <c r="AX1488" s="106"/>
      <c r="AY1488" s="104"/>
      <c r="AZ1488" s="105"/>
    </row>
    <row r="1489" customHeight="1" spans="1:52">
      <c r="A1489" s="70">
        <v>1494</v>
      </c>
      <c r="B1489" s="204" t="s">
        <v>2058</v>
      </c>
      <c r="C1489" s="70" t="s">
        <v>264</v>
      </c>
      <c r="D1489" s="205" t="s">
        <v>4386</v>
      </c>
      <c r="E1489" s="71" t="s">
        <v>4387</v>
      </c>
      <c r="F1489" s="72"/>
      <c r="G1489" s="73"/>
      <c r="H1489" s="75"/>
      <c r="I1489" s="102">
        <v>46171</v>
      </c>
      <c r="J1489" s="70">
        <v>3</v>
      </c>
      <c r="K1489" s="106" t="s">
        <v>4388</v>
      </c>
      <c r="L1489" s="104">
        <f t="shared" si="405"/>
        <v>46263</v>
      </c>
      <c r="M1489" s="105">
        <f ca="1" t="shared" si="406"/>
        <v>-50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97"/>
        <v>0</v>
      </c>
      <c r="Z1489" s="105">
        <f ca="1" t="shared" si="398"/>
        <v>-46313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5"/>
      <c r="AO1489" s="115"/>
      <c r="AP1489" s="115"/>
      <c r="AQ1489" s="93"/>
      <c r="AR1489" s="93"/>
      <c r="AS1489" s="94"/>
      <c r="AT1489" s="95"/>
      <c r="AU1489" s="79"/>
      <c r="AV1489" s="117"/>
      <c r="AW1489" s="115"/>
      <c r="AX1489" s="106"/>
      <c r="AY1489" s="104"/>
      <c r="AZ1489" s="105"/>
    </row>
    <row r="1490" customHeight="1" spans="1:52">
      <c r="A1490" s="70">
        <v>1495</v>
      </c>
      <c r="B1490" s="215" t="s">
        <v>751</v>
      </c>
      <c r="C1490" s="70" t="s">
        <v>264</v>
      </c>
      <c r="D1490" s="205" t="s">
        <v>752</v>
      </c>
      <c r="E1490" s="71" t="s">
        <v>753</v>
      </c>
      <c r="F1490" s="72"/>
      <c r="G1490" s="73"/>
      <c r="H1490" s="75"/>
      <c r="I1490" s="102">
        <v>46171</v>
      </c>
      <c r="J1490" s="70" t="s">
        <v>767</v>
      </c>
      <c r="K1490" s="106"/>
      <c r="L1490" s="104" t="e">
        <f t="shared" si="405"/>
        <v>#VALUE!</v>
      </c>
      <c r="M1490" s="105" t="e">
        <f ca="1" t="shared" si="406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97"/>
        <v>0</v>
      </c>
      <c r="Z1490" s="105">
        <f ca="1" t="shared" si="398"/>
        <v>-46313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5"/>
      <c r="AO1490" s="115"/>
      <c r="AP1490" s="115"/>
      <c r="AQ1490" s="93"/>
      <c r="AR1490" s="93"/>
      <c r="AS1490" s="94"/>
      <c r="AT1490" s="95"/>
      <c r="AU1490" s="79"/>
      <c r="AV1490" s="117"/>
      <c r="AW1490" s="115"/>
      <c r="AX1490" s="106"/>
      <c r="AY1490" s="104"/>
      <c r="AZ1490" s="105"/>
    </row>
    <row r="1491" customHeight="1" spans="1:52">
      <c r="A1491" s="70">
        <v>1496</v>
      </c>
      <c r="B1491" s="204" t="s">
        <v>295</v>
      </c>
      <c r="C1491" s="70" t="s">
        <v>264</v>
      </c>
      <c r="D1491" s="205" t="s">
        <v>2694</v>
      </c>
      <c r="E1491" s="71" t="s">
        <v>1707</v>
      </c>
      <c r="F1491" s="72"/>
      <c r="G1491" s="73"/>
      <c r="H1491" s="75"/>
      <c r="I1491" s="102">
        <v>46171</v>
      </c>
      <c r="J1491" s="70" t="s">
        <v>767</v>
      </c>
      <c r="K1491" s="106"/>
      <c r="L1491" s="104" t="e">
        <f t="shared" si="405"/>
        <v>#VALUE!</v>
      </c>
      <c r="M1491" s="105" t="e">
        <f ca="1" t="shared" si="406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97"/>
        <v>0</v>
      </c>
      <c r="Z1491" s="105">
        <f ca="1" t="shared" si="398"/>
        <v>-46313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5"/>
      <c r="AO1491" s="115"/>
      <c r="AP1491" s="115"/>
      <c r="AQ1491" s="93"/>
      <c r="AR1491" s="93"/>
      <c r="AS1491" s="94"/>
      <c r="AT1491" s="95"/>
      <c r="AU1491" s="79"/>
      <c r="AV1491" s="117"/>
      <c r="AW1491" s="115"/>
      <c r="AX1491" s="106"/>
      <c r="AY1491" s="104"/>
      <c r="AZ1491" s="105"/>
    </row>
    <row r="1492" customHeight="1" spans="1:52">
      <c r="A1492" s="70">
        <v>1497</v>
      </c>
      <c r="B1492" s="70" t="s">
        <v>751</v>
      </c>
      <c r="C1492" s="70" t="s">
        <v>38</v>
      </c>
      <c r="D1492" s="71" t="s">
        <v>4389</v>
      </c>
      <c r="E1492" s="71" t="s">
        <v>28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4390</v>
      </c>
      <c r="L1492" s="104">
        <f t="shared" si="405"/>
        <v>46264</v>
      </c>
      <c r="M1492" s="105">
        <f ca="1" t="shared" si="406"/>
        <v>-49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97"/>
        <v>0</v>
      </c>
      <c r="Z1492" s="105">
        <f ca="1" t="shared" si="398"/>
        <v>-46313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5"/>
      <c r="AO1492" s="115"/>
      <c r="AP1492" s="115"/>
      <c r="AQ1492" s="93"/>
      <c r="AR1492" s="93"/>
      <c r="AS1492" s="94"/>
      <c r="AT1492" s="95"/>
      <c r="AU1492" s="79"/>
      <c r="AV1492" s="117"/>
      <c r="AW1492" s="115"/>
      <c r="AX1492" s="106"/>
      <c r="AY1492" s="104"/>
      <c r="AZ1492" s="105"/>
    </row>
    <row r="1493" customHeight="1" spans="1:52">
      <c r="A1493" s="70">
        <v>1498</v>
      </c>
      <c r="B1493" s="108" t="s">
        <v>3559</v>
      </c>
      <c r="C1493" s="70" t="s">
        <v>264</v>
      </c>
      <c r="D1493" s="205" t="s">
        <v>4391</v>
      </c>
      <c r="E1493" s="71" t="s">
        <v>4392</v>
      </c>
      <c r="F1493" s="72"/>
      <c r="G1493" s="73"/>
      <c r="H1493" s="75"/>
      <c r="I1493" s="102">
        <v>46172</v>
      </c>
      <c r="J1493" s="70">
        <v>3</v>
      </c>
      <c r="K1493" s="106" t="s">
        <v>4393</v>
      </c>
      <c r="L1493" s="104">
        <f t="shared" si="405"/>
        <v>46264</v>
      </c>
      <c r="M1493" s="105">
        <f ca="1" t="shared" si="406"/>
        <v>-49</v>
      </c>
      <c r="N1493" s="70"/>
      <c r="O1493" s="108" t="s">
        <v>3559</v>
      </c>
      <c r="P1493" s="70" t="s">
        <v>264</v>
      </c>
      <c r="Q1493" s="205" t="s">
        <v>4391</v>
      </c>
      <c r="R1493" s="71" t="s">
        <v>4392</v>
      </c>
      <c r="S1493" s="72"/>
      <c r="T1493" s="73"/>
      <c r="U1493" s="75"/>
      <c r="V1493" s="102">
        <v>46272</v>
      </c>
      <c r="W1493" s="70">
        <v>3</v>
      </c>
      <c r="X1493" s="103" t="s">
        <v>4394</v>
      </c>
      <c r="Y1493" s="104">
        <f t="shared" si="397"/>
        <v>46363</v>
      </c>
      <c r="Z1493" s="105">
        <f ca="1" t="shared" si="398"/>
        <v>50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5"/>
      <c r="AO1493" s="115"/>
      <c r="AP1493" s="115"/>
      <c r="AQ1493" s="93"/>
      <c r="AR1493" s="93"/>
      <c r="AS1493" s="94"/>
      <c r="AT1493" s="95"/>
      <c r="AU1493" s="79"/>
      <c r="AV1493" s="117"/>
      <c r="AW1493" s="115"/>
      <c r="AX1493" s="106"/>
      <c r="AY1493" s="104"/>
      <c r="AZ1493" s="105"/>
    </row>
    <row r="1494" customHeight="1" spans="1:52">
      <c r="A1494" s="70">
        <v>1499</v>
      </c>
      <c r="B1494" s="108" t="s">
        <v>3559</v>
      </c>
      <c r="C1494" s="70" t="s">
        <v>264</v>
      </c>
      <c r="D1494" s="205" t="s">
        <v>4395</v>
      </c>
      <c r="E1494" s="71" t="s">
        <v>3954</v>
      </c>
      <c r="F1494" s="72"/>
      <c r="G1494" s="73"/>
      <c r="H1494" s="75"/>
      <c r="I1494" s="102">
        <v>46172</v>
      </c>
      <c r="J1494" s="70">
        <v>3</v>
      </c>
      <c r="K1494" s="106" t="s">
        <v>4396</v>
      </c>
      <c r="L1494" s="104">
        <f t="shared" si="405"/>
        <v>46264</v>
      </c>
      <c r="M1494" s="105">
        <f ca="1" t="shared" si="406"/>
        <v>-49</v>
      </c>
      <c r="N1494" s="70"/>
      <c r="O1494" s="108" t="s">
        <v>3559</v>
      </c>
      <c r="P1494" s="70" t="s">
        <v>264</v>
      </c>
      <c r="Q1494" s="205" t="s">
        <v>4395</v>
      </c>
      <c r="R1494" s="71" t="s">
        <v>3954</v>
      </c>
      <c r="S1494" s="72"/>
      <c r="T1494" s="73"/>
      <c r="U1494" s="75"/>
      <c r="V1494" s="102">
        <v>46272</v>
      </c>
      <c r="W1494" s="70">
        <v>3</v>
      </c>
      <c r="X1494" s="103" t="s">
        <v>4397</v>
      </c>
      <c r="Y1494" s="104">
        <f t="shared" si="397"/>
        <v>46363</v>
      </c>
      <c r="Z1494" s="105">
        <f ca="1" t="shared" si="398"/>
        <v>50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5"/>
      <c r="AO1494" s="115"/>
      <c r="AP1494" s="115"/>
      <c r="AQ1494" s="93"/>
      <c r="AR1494" s="93"/>
      <c r="AS1494" s="94"/>
      <c r="AT1494" s="95"/>
      <c r="AU1494" s="79"/>
      <c r="AV1494" s="117"/>
      <c r="AW1494" s="115"/>
      <c r="AX1494" s="106"/>
      <c r="AY1494" s="104"/>
      <c r="AZ1494" s="105"/>
    </row>
    <row r="1495" customHeight="1" spans="1:52">
      <c r="A1495" s="70">
        <v>1500</v>
      </c>
      <c r="B1495" s="204" t="s">
        <v>644</v>
      </c>
      <c r="C1495" s="70" t="s">
        <v>264</v>
      </c>
      <c r="D1495" s="205" t="s">
        <v>265</v>
      </c>
      <c r="E1495" s="71" t="s">
        <v>266</v>
      </c>
      <c r="F1495" s="72"/>
      <c r="G1495" s="73"/>
      <c r="H1495" s="75"/>
      <c r="I1495" s="102">
        <v>46172</v>
      </c>
      <c r="J1495" s="70" t="s">
        <v>767</v>
      </c>
      <c r="K1495" s="106"/>
      <c r="L1495" s="104" t="e">
        <f t="shared" si="405"/>
        <v>#VALUE!</v>
      </c>
      <c r="M1495" s="105" t="e">
        <f ca="1" t="shared" si="406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97"/>
        <v>0</v>
      </c>
      <c r="Z1495" s="105">
        <f ca="1" t="shared" si="398"/>
        <v>-46313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5"/>
      <c r="AO1495" s="115"/>
      <c r="AP1495" s="115"/>
      <c r="AQ1495" s="93"/>
      <c r="AR1495" s="93"/>
      <c r="AS1495" s="94"/>
      <c r="AT1495" s="95"/>
      <c r="AU1495" s="79"/>
      <c r="AV1495" s="117"/>
      <c r="AW1495" s="115"/>
      <c r="AX1495" s="106"/>
      <c r="AY1495" s="104"/>
      <c r="AZ1495" s="105"/>
    </row>
    <row r="1496" customHeight="1" spans="1:52">
      <c r="A1496" s="70">
        <v>1501</v>
      </c>
      <c r="B1496" s="204" t="s">
        <v>644</v>
      </c>
      <c r="C1496" s="70" t="s">
        <v>264</v>
      </c>
      <c r="D1496" s="205" t="s">
        <v>1922</v>
      </c>
      <c r="E1496" s="71" t="s">
        <v>266</v>
      </c>
      <c r="F1496" s="72"/>
      <c r="G1496" s="73"/>
      <c r="H1496" s="75"/>
      <c r="I1496" s="102">
        <v>46172</v>
      </c>
      <c r="J1496" s="70" t="s">
        <v>767</v>
      </c>
      <c r="K1496" s="106"/>
      <c r="L1496" s="104" t="e">
        <f t="shared" si="405"/>
        <v>#VALUE!</v>
      </c>
      <c r="M1496" s="105" t="e">
        <f ca="1" t="shared" si="406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97"/>
        <v>0</v>
      </c>
      <c r="Z1496" s="105">
        <f ca="1" t="shared" si="398"/>
        <v>-46313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5"/>
      <c r="AO1496" s="115"/>
      <c r="AP1496" s="115"/>
      <c r="AQ1496" s="93"/>
      <c r="AR1496" s="93"/>
      <c r="AS1496" s="94"/>
      <c r="AT1496" s="95"/>
      <c r="AU1496" s="79"/>
      <c r="AV1496" s="117"/>
      <c r="AW1496" s="115"/>
      <c r="AX1496" s="106"/>
      <c r="AY1496" s="104"/>
      <c r="AZ1496" s="105"/>
    </row>
    <row r="1497" customHeight="1" spans="1:52">
      <c r="A1497" s="70">
        <v>1502</v>
      </c>
      <c r="B1497" s="108" t="s">
        <v>74</v>
      </c>
      <c r="C1497" s="70" t="s">
        <v>13</v>
      </c>
      <c r="D1497" s="205" t="s">
        <v>4398</v>
      </c>
      <c r="E1497" s="71" t="s">
        <v>4399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4400</v>
      </c>
      <c r="L1497" s="104">
        <f t="shared" si="405"/>
        <v>46265</v>
      </c>
      <c r="M1497" s="105">
        <f ca="1" t="shared" si="406"/>
        <v>-48</v>
      </c>
      <c r="N1497" s="70"/>
      <c r="O1497" s="108" t="s">
        <v>74</v>
      </c>
      <c r="P1497" s="70" t="s">
        <v>13</v>
      </c>
      <c r="Q1497" s="205" t="s">
        <v>4398</v>
      </c>
      <c r="R1497" s="71" t="s">
        <v>4399</v>
      </c>
      <c r="S1497" s="72"/>
      <c r="T1497" s="73"/>
      <c r="U1497" s="75"/>
      <c r="V1497" s="102">
        <v>46259</v>
      </c>
      <c r="W1497" s="70">
        <v>3</v>
      </c>
      <c r="X1497" s="103" t="s">
        <v>4401</v>
      </c>
      <c r="Y1497" s="104">
        <f t="shared" si="397"/>
        <v>46351</v>
      </c>
      <c r="Z1497" s="105">
        <f ca="1" t="shared" si="398"/>
        <v>38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5"/>
      <c r="AO1497" s="115"/>
      <c r="AP1497" s="115"/>
      <c r="AQ1497" s="93"/>
      <c r="AR1497" s="93"/>
      <c r="AS1497" s="94"/>
      <c r="AT1497" s="95"/>
      <c r="AU1497" s="79"/>
      <c r="AV1497" s="117"/>
      <c r="AW1497" s="115"/>
      <c r="AX1497" s="106"/>
      <c r="AY1497" s="104"/>
      <c r="AZ1497" s="105"/>
    </row>
    <row r="1498" customHeight="1" spans="1:52">
      <c r="A1498" s="70">
        <v>1503</v>
      </c>
      <c r="B1498" s="108" t="s">
        <v>3436</v>
      </c>
      <c r="C1498" s="70" t="s">
        <v>38</v>
      </c>
      <c r="D1498" s="205" t="s">
        <v>4402</v>
      </c>
      <c r="E1498" s="71" t="s">
        <v>4403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4404</v>
      </c>
      <c r="L1498" s="104">
        <f t="shared" si="405"/>
        <v>46265</v>
      </c>
      <c r="M1498" s="105">
        <f ca="1" t="shared" si="406"/>
        <v>-48</v>
      </c>
      <c r="N1498" s="70"/>
      <c r="O1498" s="108" t="s">
        <v>3436</v>
      </c>
      <c r="P1498" s="70" t="s">
        <v>38</v>
      </c>
      <c r="Q1498" s="205" t="s">
        <v>4402</v>
      </c>
      <c r="R1498" s="71" t="s">
        <v>4403</v>
      </c>
      <c r="S1498" s="72"/>
      <c r="T1498" s="73"/>
      <c r="U1498" s="74" t="s">
        <v>16</v>
      </c>
      <c r="V1498" s="102">
        <v>46267</v>
      </c>
      <c r="W1498" s="70">
        <v>3</v>
      </c>
      <c r="X1498" s="103" t="s">
        <v>4405</v>
      </c>
      <c r="Y1498" s="104">
        <f t="shared" si="397"/>
        <v>46358</v>
      </c>
      <c r="Z1498" s="105">
        <f ca="1" t="shared" si="398"/>
        <v>45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5"/>
      <c r="AO1498" s="115"/>
      <c r="AP1498" s="115"/>
      <c r="AQ1498" s="93"/>
      <c r="AR1498" s="93"/>
      <c r="AS1498" s="94"/>
      <c r="AT1498" s="95"/>
      <c r="AU1498" s="79"/>
      <c r="AV1498" s="117"/>
      <c r="AW1498" s="115"/>
      <c r="AX1498" s="106"/>
      <c r="AY1498" s="104"/>
      <c r="AZ1498" s="105"/>
    </row>
    <row r="1499" customHeight="1" spans="1:52">
      <c r="A1499" s="70">
        <v>1504</v>
      </c>
      <c r="B1499" s="70" t="s">
        <v>134</v>
      </c>
      <c r="C1499" s="70" t="s">
        <v>38</v>
      </c>
      <c r="D1499" s="71" t="s">
        <v>4145</v>
      </c>
      <c r="E1499" s="71" t="s">
        <v>3837</v>
      </c>
      <c r="F1499" s="72"/>
      <c r="G1499" s="73"/>
      <c r="H1499" s="75"/>
      <c r="I1499" s="102">
        <v>46173</v>
      </c>
      <c r="J1499" s="70" t="s">
        <v>434</v>
      </c>
      <c r="K1499" s="106"/>
      <c r="L1499" s="104" t="e">
        <f t="shared" si="405"/>
        <v>#VALUE!</v>
      </c>
      <c r="M1499" s="105" t="e">
        <f ca="1" t="shared" si="406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97"/>
        <v>0</v>
      </c>
      <c r="Z1499" s="105">
        <f ca="1" t="shared" si="398"/>
        <v>-46313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5"/>
      <c r="AO1499" s="115"/>
      <c r="AP1499" s="115"/>
      <c r="AQ1499" s="93"/>
      <c r="AR1499" s="93"/>
      <c r="AS1499" s="94"/>
      <c r="AT1499" s="95"/>
      <c r="AU1499" s="79"/>
      <c r="AV1499" s="117"/>
      <c r="AW1499" s="115"/>
      <c r="AX1499" s="106"/>
      <c r="AY1499" s="104"/>
      <c r="AZ1499" s="105"/>
    </row>
    <row r="1500" customHeight="1" spans="1:52">
      <c r="A1500" s="70">
        <v>1505</v>
      </c>
      <c r="B1500" s="70" t="s">
        <v>1507</v>
      </c>
      <c r="C1500" s="70" t="s">
        <v>374</v>
      </c>
      <c r="D1500" s="71" t="s">
        <v>4406</v>
      </c>
      <c r="E1500" s="71" t="s">
        <v>1509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4407</v>
      </c>
      <c r="L1500" s="104">
        <f t="shared" si="405"/>
        <v>46266</v>
      </c>
      <c r="M1500" s="105">
        <f ca="1" t="shared" si="406"/>
        <v>-47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97"/>
        <v>0</v>
      </c>
      <c r="Z1500" s="105">
        <f ca="1" t="shared" si="398"/>
        <v>-46313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5"/>
      <c r="AO1500" s="115"/>
      <c r="AP1500" s="115"/>
      <c r="AQ1500" s="93"/>
      <c r="AR1500" s="93"/>
      <c r="AS1500" s="94"/>
      <c r="AT1500" s="95"/>
      <c r="AU1500" s="79"/>
      <c r="AV1500" s="117"/>
      <c r="AW1500" s="115"/>
      <c r="AX1500" s="106"/>
      <c r="AY1500" s="104"/>
      <c r="AZ1500" s="105"/>
    </row>
    <row r="1501" customHeight="1" spans="1:52">
      <c r="A1501" s="70">
        <v>1506</v>
      </c>
      <c r="B1501" s="70" t="s">
        <v>881</v>
      </c>
      <c r="C1501" s="70" t="s">
        <v>374</v>
      </c>
      <c r="D1501" s="71" t="s">
        <v>4408</v>
      </c>
      <c r="E1501" s="71" t="s">
        <v>654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4409</v>
      </c>
      <c r="L1501" s="104">
        <f t="shared" si="405"/>
        <v>46266</v>
      </c>
      <c r="M1501" s="105">
        <f ca="1" t="shared" si="406"/>
        <v>-47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97"/>
        <v>0</v>
      </c>
      <c r="Z1501" s="105">
        <f ca="1" t="shared" si="398"/>
        <v>-46313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5"/>
      <c r="AO1501" s="115"/>
      <c r="AP1501" s="115"/>
      <c r="AQ1501" s="93"/>
      <c r="AR1501" s="93"/>
      <c r="AS1501" s="94"/>
      <c r="AT1501" s="95"/>
      <c r="AU1501" s="79"/>
      <c r="AV1501" s="117"/>
      <c r="AW1501" s="115"/>
      <c r="AX1501" s="106"/>
      <c r="AY1501" s="104"/>
      <c r="AZ1501" s="105"/>
    </row>
    <row r="1502" customHeight="1" spans="1:52">
      <c r="A1502" s="70">
        <v>1507</v>
      </c>
      <c r="B1502" s="204" t="s">
        <v>3559</v>
      </c>
      <c r="C1502" s="70" t="s">
        <v>264</v>
      </c>
      <c r="D1502" s="205" t="s">
        <v>4410</v>
      </c>
      <c r="E1502" s="71" t="s">
        <v>4392</v>
      </c>
      <c r="F1502" s="72"/>
      <c r="G1502" s="73"/>
      <c r="H1502" s="79"/>
      <c r="I1502" s="102">
        <v>46174</v>
      </c>
      <c r="J1502" s="70">
        <v>3</v>
      </c>
      <c r="K1502" s="106" t="s">
        <v>4411</v>
      </c>
      <c r="L1502" s="104">
        <f t="shared" si="405"/>
        <v>46266</v>
      </c>
      <c r="M1502" s="105">
        <f ca="1" t="shared" si="406"/>
        <v>-47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97"/>
        <v>0</v>
      </c>
      <c r="Z1502" s="105">
        <f ca="1" t="shared" si="398"/>
        <v>-46313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5"/>
      <c r="AO1502" s="115"/>
      <c r="AP1502" s="115"/>
      <c r="AQ1502" s="93"/>
      <c r="AR1502" s="93"/>
      <c r="AS1502" s="94"/>
      <c r="AT1502" s="95"/>
      <c r="AU1502" s="79"/>
      <c r="AV1502" s="117"/>
      <c r="AW1502" s="115"/>
      <c r="AX1502" s="106"/>
      <c r="AY1502" s="104"/>
      <c r="AZ1502" s="105"/>
    </row>
    <row r="1503" customHeight="1" spans="1:52">
      <c r="A1503" s="70">
        <v>1508</v>
      </c>
      <c r="B1503" s="204" t="s">
        <v>757</v>
      </c>
      <c r="C1503" s="70" t="s">
        <v>264</v>
      </c>
      <c r="D1503" s="205" t="s">
        <v>758</v>
      </c>
      <c r="E1503" s="71" t="s">
        <v>4412</v>
      </c>
      <c r="F1503" s="72"/>
      <c r="G1503" s="73"/>
      <c r="H1503" s="151"/>
      <c r="I1503" s="102">
        <v>46174</v>
      </c>
      <c r="J1503" s="70" t="s">
        <v>767</v>
      </c>
      <c r="K1503" s="106"/>
      <c r="L1503" s="104" t="e">
        <f t="shared" si="405"/>
        <v>#VALUE!</v>
      </c>
      <c r="M1503" s="105" t="e">
        <f ca="1" t="shared" si="406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97"/>
        <v>0</v>
      </c>
      <c r="Z1503" s="105">
        <f ca="1" t="shared" si="398"/>
        <v>-46313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5"/>
      <c r="AO1503" s="115"/>
      <c r="AP1503" s="115"/>
      <c r="AQ1503" s="93"/>
      <c r="AR1503" s="93"/>
      <c r="AS1503" s="94"/>
      <c r="AT1503" s="95"/>
      <c r="AU1503" s="79"/>
      <c r="AV1503" s="117"/>
      <c r="AW1503" s="115"/>
      <c r="AX1503" s="106"/>
      <c r="AY1503" s="104"/>
      <c r="AZ1503" s="105"/>
    </row>
    <row r="1504" customHeight="1" spans="1:52">
      <c r="A1504" s="70">
        <v>1509</v>
      </c>
      <c r="B1504" s="70" t="s">
        <v>1574</v>
      </c>
      <c r="C1504" s="70" t="s">
        <v>38</v>
      </c>
      <c r="D1504" s="71" t="s">
        <v>4413</v>
      </c>
      <c r="E1504" s="71" t="s">
        <v>4414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4415</v>
      </c>
      <c r="L1504" s="104">
        <f t="shared" ref="L1504:L1514" si="407">EDATE(I1504,J1504)</f>
        <v>46267</v>
      </c>
      <c r="M1504" s="105">
        <f ca="1" t="shared" ref="M1504:M1514" si="408">L1504-TODAY()</f>
        <v>-46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97"/>
        <v>0</v>
      </c>
      <c r="Z1504" s="105">
        <f ca="1" t="shared" si="398"/>
        <v>-46313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5"/>
      <c r="AO1504" s="115"/>
      <c r="AP1504" s="115"/>
      <c r="AQ1504" s="93"/>
      <c r="AR1504" s="93"/>
      <c r="AS1504" s="94"/>
      <c r="AT1504" s="95"/>
      <c r="AU1504" s="79"/>
      <c r="AV1504" s="117"/>
      <c r="AW1504" s="115"/>
      <c r="AX1504" s="106"/>
      <c r="AY1504" s="104"/>
      <c r="AZ1504" s="105"/>
    </row>
    <row r="1505" customHeight="1" spans="1:52">
      <c r="A1505" s="70">
        <v>1510</v>
      </c>
      <c r="B1505" s="70" t="s">
        <v>229</v>
      </c>
      <c r="C1505" s="70" t="s">
        <v>38</v>
      </c>
      <c r="D1505" s="71" t="s">
        <v>4416</v>
      </c>
      <c r="E1505" s="71" t="s">
        <v>332</v>
      </c>
      <c r="F1505" s="72"/>
      <c r="G1505" s="73"/>
      <c r="H1505" s="75"/>
      <c r="I1505" s="102">
        <v>46175</v>
      </c>
      <c r="J1505" s="70">
        <v>3</v>
      </c>
      <c r="K1505" s="106" t="s">
        <v>4417</v>
      </c>
      <c r="L1505" s="104">
        <f t="shared" si="407"/>
        <v>46267</v>
      </c>
      <c r="M1505" s="105">
        <f ca="1" t="shared" si="408"/>
        <v>-46</v>
      </c>
      <c r="N1505" s="70"/>
      <c r="O1505" s="70" t="s">
        <v>229</v>
      </c>
      <c r="P1505" s="70" t="s">
        <v>38</v>
      </c>
      <c r="Q1505" s="71" t="s">
        <v>4416</v>
      </c>
      <c r="R1505" s="71" t="s">
        <v>332</v>
      </c>
      <c r="S1505" s="72"/>
      <c r="T1505" s="73"/>
      <c r="U1505" s="75"/>
      <c r="V1505" s="102">
        <v>46272</v>
      </c>
      <c r="W1505" s="70">
        <v>3</v>
      </c>
      <c r="X1505" s="103" t="s">
        <v>4418</v>
      </c>
      <c r="Y1505" s="104">
        <f t="shared" si="397"/>
        <v>46363</v>
      </c>
      <c r="Z1505" s="105">
        <f ca="1" t="shared" si="398"/>
        <v>50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5"/>
      <c r="AO1505" s="115"/>
      <c r="AP1505" s="115"/>
      <c r="AQ1505" s="93"/>
      <c r="AR1505" s="93"/>
      <c r="AS1505" s="94"/>
      <c r="AT1505" s="95"/>
      <c r="AU1505" s="79"/>
      <c r="AV1505" s="117"/>
      <c r="AW1505" s="115"/>
      <c r="AX1505" s="106"/>
      <c r="AY1505" s="104"/>
      <c r="AZ1505" s="105"/>
    </row>
    <row r="1506" customHeight="1" spans="1:52">
      <c r="A1506" s="70">
        <v>1511</v>
      </c>
      <c r="B1506" s="70" t="s">
        <v>2049</v>
      </c>
      <c r="C1506" s="70" t="s">
        <v>38</v>
      </c>
      <c r="D1506" s="71" t="s">
        <v>4419</v>
      </c>
      <c r="E1506" s="71" t="s">
        <v>332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4420</v>
      </c>
      <c r="L1506" s="104">
        <f t="shared" si="407"/>
        <v>46267</v>
      </c>
      <c r="M1506" s="105">
        <f ca="1" t="shared" si="408"/>
        <v>-46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97"/>
        <v>0</v>
      </c>
      <c r="Z1506" s="105">
        <f ca="1" t="shared" si="398"/>
        <v>-46313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5"/>
      <c r="AO1506" s="115"/>
      <c r="AP1506" s="115"/>
      <c r="AQ1506" s="93"/>
      <c r="AR1506" s="93"/>
      <c r="AS1506" s="94"/>
      <c r="AT1506" s="95"/>
      <c r="AU1506" s="79"/>
      <c r="AV1506" s="117"/>
      <c r="AW1506" s="115"/>
      <c r="AX1506" s="106"/>
      <c r="AY1506" s="104"/>
      <c r="AZ1506" s="105"/>
    </row>
    <row r="1507" customHeight="1" spans="1:52">
      <c r="A1507" s="70">
        <v>1512</v>
      </c>
      <c r="B1507" s="70" t="s">
        <v>2650</v>
      </c>
      <c r="C1507" s="70" t="s">
        <v>374</v>
      </c>
      <c r="D1507" s="71" t="s">
        <v>4421</v>
      </c>
      <c r="E1507" s="71" t="s">
        <v>793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4422</v>
      </c>
      <c r="L1507" s="104">
        <f t="shared" si="407"/>
        <v>46267</v>
      </c>
      <c r="M1507" s="105">
        <f ca="1" t="shared" si="408"/>
        <v>-46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97"/>
        <v>0</v>
      </c>
      <c r="Z1507" s="105">
        <f ca="1" t="shared" si="398"/>
        <v>-46313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5"/>
      <c r="AO1507" s="115"/>
      <c r="AP1507" s="115"/>
      <c r="AQ1507" s="93"/>
      <c r="AR1507" s="93"/>
      <c r="AS1507" s="94"/>
      <c r="AT1507" s="95"/>
      <c r="AU1507" s="79"/>
      <c r="AV1507" s="117"/>
      <c r="AW1507" s="115"/>
      <c r="AX1507" s="106"/>
      <c r="AY1507" s="104"/>
      <c r="AZ1507" s="105"/>
    </row>
    <row r="1508" customHeight="1" spans="1:52">
      <c r="A1508" s="70">
        <v>1513</v>
      </c>
      <c r="B1508" s="70" t="s">
        <v>555</v>
      </c>
      <c r="C1508" s="70" t="s">
        <v>374</v>
      </c>
      <c r="D1508" s="71" t="s">
        <v>4423</v>
      </c>
      <c r="E1508" s="71" t="s">
        <v>4424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4425</v>
      </c>
      <c r="L1508" s="104">
        <f t="shared" si="407"/>
        <v>46267</v>
      </c>
      <c r="M1508" s="105">
        <f ca="1" t="shared" si="408"/>
        <v>-46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>
        <f t="shared" ref="Y1508:Y1516" si="409">EDATE(V1508,W1508)</f>
        <v>0</v>
      </c>
      <c r="Z1508" s="105">
        <f ca="1" t="shared" ref="Z1508:Z1516" si="410">Y1508-TODAY()</f>
        <v>-46313</v>
      </c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5"/>
      <c r="AO1508" s="115"/>
      <c r="AP1508" s="115"/>
      <c r="AQ1508" s="93"/>
      <c r="AR1508" s="93"/>
      <c r="AS1508" s="94"/>
      <c r="AT1508" s="95"/>
      <c r="AU1508" s="79"/>
      <c r="AV1508" s="117"/>
      <c r="AW1508" s="115"/>
      <c r="AX1508" s="106"/>
      <c r="AY1508" s="104"/>
      <c r="AZ1508" s="105"/>
    </row>
    <row r="1509" customHeight="1" spans="1:52">
      <c r="A1509" s="70">
        <v>1514</v>
      </c>
      <c r="B1509" s="70" t="s">
        <v>1944</v>
      </c>
      <c r="C1509" s="70" t="s">
        <v>374</v>
      </c>
      <c r="D1509" s="71" t="s">
        <v>4426</v>
      </c>
      <c r="E1509" s="71" t="s">
        <v>1684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4427</v>
      </c>
      <c r="L1509" s="104">
        <f t="shared" si="407"/>
        <v>46267</v>
      </c>
      <c r="M1509" s="105">
        <f ca="1" t="shared" si="408"/>
        <v>-46</v>
      </c>
      <c r="N1509" s="70"/>
      <c r="O1509" s="70" t="s">
        <v>1944</v>
      </c>
      <c r="P1509" s="70" t="s">
        <v>374</v>
      </c>
      <c r="Q1509" s="71" t="s">
        <v>4426</v>
      </c>
      <c r="R1509" s="71" t="s">
        <v>1684</v>
      </c>
      <c r="S1509" s="72"/>
      <c r="T1509" s="73"/>
      <c r="U1509" s="74" t="s">
        <v>16</v>
      </c>
      <c r="V1509" s="102">
        <v>46293</v>
      </c>
      <c r="W1509" s="70">
        <v>3</v>
      </c>
      <c r="X1509" s="103" t="s">
        <v>4428</v>
      </c>
      <c r="Y1509" s="104">
        <f t="shared" si="409"/>
        <v>46384</v>
      </c>
      <c r="Z1509" s="105">
        <f ca="1" t="shared" si="410"/>
        <v>71</v>
      </c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5"/>
      <c r="AO1509" s="115"/>
      <c r="AP1509" s="115"/>
      <c r="AQ1509" s="93"/>
      <c r="AR1509" s="93"/>
      <c r="AS1509" s="94"/>
      <c r="AT1509" s="95"/>
      <c r="AU1509" s="79"/>
      <c r="AV1509" s="117"/>
      <c r="AW1509" s="115"/>
      <c r="AX1509" s="106"/>
      <c r="AY1509" s="104"/>
      <c r="AZ1509" s="105"/>
    </row>
    <row r="1510" customHeight="1" spans="1:52">
      <c r="A1510" s="70">
        <v>1515</v>
      </c>
      <c r="B1510" s="70" t="s">
        <v>782</v>
      </c>
      <c r="C1510" s="70" t="s">
        <v>374</v>
      </c>
      <c r="D1510" s="71" t="s">
        <v>4429</v>
      </c>
      <c r="E1510" s="71" t="s">
        <v>778</v>
      </c>
      <c r="F1510" s="72"/>
      <c r="G1510" s="73"/>
      <c r="H1510" s="75"/>
      <c r="I1510" s="102">
        <v>46175</v>
      </c>
      <c r="J1510" s="70">
        <v>3</v>
      </c>
      <c r="K1510" s="106" t="s">
        <v>4430</v>
      </c>
      <c r="L1510" s="104">
        <f t="shared" si="407"/>
        <v>46267</v>
      </c>
      <c r="M1510" s="105">
        <f ca="1" t="shared" si="408"/>
        <v>-46</v>
      </c>
      <c r="N1510" s="70"/>
      <c r="O1510" s="70" t="s">
        <v>782</v>
      </c>
      <c r="P1510" s="70" t="s">
        <v>374</v>
      </c>
      <c r="Q1510" s="71" t="s">
        <v>4429</v>
      </c>
      <c r="R1510" s="71" t="s">
        <v>778</v>
      </c>
      <c r="S1510" s="72"/>
      <c r="T1510" s="73"/>
      <c r="U1510" s="75"/>
      <c r="V1510" s="102">
        <v>46269</v>
      </c>
      <c r="W1510" s="70">
        <v>3</v>
      </c>
      <c r="X1510" s="103" t="s">
        <v>4431</v>
      </c>
      <c r="Y1510" s="104">
        <f t="shared" si="409"/>
        <v>46360</v>
      </c>
      <c r="Z1510" s="105">
        <f ca="1" t="shared" si="410"/>
        <v>47</v>
      </c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5"/>
      <c r="AO1510" s="115"/>
      <c r="AP1510" s="115"/>
      <c r="AQ1510" s="93"/>
      <c r="AR1510" s="93"/>
      <c r="AS1510" s="94"/>
      <c r="AT1510" s="95"/>
      <c r="AU1510" s="79"/>
      <c r="AV1510" s="117"/>
      <c r="AW1510" s="115"/>
      <c r="AX1510" s="106"/>
      <c r="AY1510" s="104"/>
      <c r="AZ1510" s="105"/>
    </row>
    <row r="1511" customHeight="1" spans="1:52">
      <c r="A1511" s="70">
        <v>1516</v>
      </c>
      <c r="B1511" s="70" t="s">
        <v>3271</v>
      </c>
      <c r="C1511" s="70" t="s">
        <v>374</v>
      </c>
      <c r="D1511" s="71" t="s">
        <v>4432</v>
      </c>
      <c r="E1511" s="71" t="s">
        <v>548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4433</v>
      </c>
      <c r="L1511" s="104">
        <f t="shared" si="407"/>
        <v>46267</v>
      </c>
      <c r="M1511" s="105">
        <f ca="1" t="shared" si="408"/>
        <v>-46</v>
      </c>
      <c r="N1511" s="70"/>
      <c r="O1511" s="70" t="s">
        <v>3271</v>
      </c>
      <c r="P1511" s="70" t="s">
        <v>374</v>
      </c>
      <c r="Q1511" s="71" t="s">
        <v>4432</v>
      </c>
      <c r="R1511" s="71" t="s">
        <v>548</v>
      </c>
      <c r="S1511" s="72"/>
      <c r="T1511" s="73"/>
      <c r="U1511" s="114" t="s">
        <v>16</v>
      </c>
      <c r="V1511" s="102">
        <v>46276</v>
      </c>
      <c r="W1511" s="70">
        <v>3</v>
      </c>
      <c r="X1511" s="103" t="s">
        <v>4434</v>
      </c>
      <c r="Y1511" s="104">
        <f t="shared" si="409"/>
        <v>46367</v>
      </c>
      <c r="Z1511" s="105">
        <f ca="1" t="shared" si="410"/>
        <v>54</v>
      </c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5"/>
      <c r="AO1511" s="115"/>
      <c r="AP1511" s="115"/>
      <c r="AQ1511" s="93"/>
      <c r="AR1511" s="93"/>
      <c r="AS1511" s="94"/>
      <c r="AT1511" s="95"/>
      <c r="AU1511" s="79"/>
      <c r="AV1511" s="117"/>
      <c r="AW1511" s="115"/>
      <c r="AX1511" s="106"/>
      <c r="AY1511" s="104"/>
      <c r="AZ1511" s="105"/>
    </row>
    <row r="1512" customHeight="1" spans="1:52">
      <c r="A1512" s="70">
        <v>1517</v>
      </c>
      <c r="B1512" s="204" t="s">
        <v>12</v>
      </c>
      <c r="C1512" s="70" t="s">
        <v>13</v>
      </c>
      <c r="D1512" s="205" t="s">
        <v>4435</v>
      </c>
      <c r="E1512" s="71" t="s">
        <v>34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4436</v>
      </c>
      <c r="L1512" s="104">
        <f t="shared" si="407"/>
        <v>46268</v>
      </c>
      <c r="M1512" s="105">
        <f ca="1" t="shared" si="408"/>
        <v>-45</v>
      </c>
      <c r="N1512" s="70"/>
      <c r="O1512" s="204" t="s">
        <v>12</v>
      </c>
      <c r="P1512" s="70" t="s">
        <v>13</v>
      </c>
      <c r="Q1512" s="205" t="s">
        <v>4435</v>
      </c>
      <c r="R1512" s="71" t="s">
        <v>34</v>
      </c>
      <c r="S1512" s="72"/>
      <c r="T1512" s="73"/>
      <c r="U1512" s="114" t="s">
        <v>16</v>
      </c>
      <c r="V1512" s="102">
        <v>46254</v>
      </c>
      <c r="W1512" s="70">
        <v>3</v>
      </c>
      <c r="X1512" s="103" t="s">
        <v>4437</v>
      </c>
      <c r="Y1512" s="104">
        <f t="shared" si="409"/>
        <v>46346</v>
      </c>
      <c r="Z1512" s="105">
        <f ca="1" t="shared" si="410"/>
        <v>33</v>
      </c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5"/>
      <c r="AO1512" s="115"/>
      <c r="AP1512" s="115"/>
      <c r="AQ1512" s="93"/>
      <c r="AR1512" s="93"/>
      <c r="AS1512" s="94"/>
      <c r="AT1512" s="95"/>
      <c r="AU1512" s="79"/>
      <c r="AV1512" s="117"/>
      <c r="AW1512" s="115"/>
      <c r="AX1512" s="106"/>
      <c r="AY1512" s="104"/>
      <c r="AZ1512" s="105"/>
    </row>
    <row r="1513" customHeight="1" spans="1:52">
      <c r="A1513" s="70">
        <v>1518</v>
      </c>
      <c r="B1513" s="204" t="s">
        <v>12</v>
      </c>
      <c r="C1513" s="70" t="s">
        <v>13</v>
      </c>
      <c r="D1513" s="205" t="s">
        <v>4438</v>
      </c>
      <c r="E1513" s="71" t="s">
        <v>4134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4439</v>
      </c>
      <c r="L1513" s="104">
        <f t="shared" si="407"/>
        <v>46268</v>
      </c>
      <c r="M1513" s="105">
        <f ca="1" t="shared" si="408"/>
        <v>-45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>
        <f t="shared" si="409"/>
        <v>0</v>
      </c>
      <c r="Z1513" s="105">
        <f ca="1" t="shared" si="410"/>
        <v>-46313</v>
      </c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5"/>
      <c r="AO1513" s="115"/>
      <c r="AP1513" s="115"/>
      <c r="AQ1513" s="93"/>
      <c r="AR1513" s="93"/>
      <c r="AS1513" s="94"/>
      <c r="AT1513" s="95"/>
      <c r="AU1513" s="79"/>
      <c r="AV1513" s="117"/>
      <c r="AW1513" s="115"/>
      <c r="AX1513" s="106"/>
      <c r="AY1513" s="104"/>
      <c r="AZ1513" s="105"/>
    </row>
    <row r="1514" customHeight="1" spans="1:52">
      <c r="A1514" s="70">
        <v>1519</v>
      </c>
      <c r="B1514" s="204" t="s">
        <v>12</v>
      </c>
      <c r="C1514" s="70" t="s">
        <v>13</v>
      </c>
      <c r="D1514" s="205" t="s">
        <v>4440</v>
      </c>
      <c r="E1514" s="71" t="s">
        <v>126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4441</v>
      </c>
      <c r="L1514" s="104">
        <f t="shared" si="407"/>
        <v>46268</v>
      </c>
      <c r="M1514" s="105">
        <f ca="1" t="shared" si="408"/>
        <v>-45</v>
      </c>
      <c r="N1514" s="70"/>
      <c r="O1514" s="204" t="s">
        <v>12</v>
      </c>
      <c r="P1514" s="70" t="s">
        <v>13</v>
      </c>
      <c r="Q1514" s="205" t="s">
        <v>4440</v>
      </c>
      <c r="R1514" s="71" t="s">
        <v>126</v>
      </c>
      <c r="S1514" s="72"/>
      <c r="T1514" s="73"/>
      <c r="U1514" s="114" t="s">
        <v>16</v>
      </c>
      <c r="V1514" s="102">
        <v>46255</v>
      </c>
      <c r="W1514" s="70">
        <v>3</v>
      </c>
      <c r="X1514" s="103" t="s">
        <v>4442</v>
      </c>
      <c r="Y1514" s="104">
        <f t="shared" si="409"/>
        <v>46347</v>
      </c>
      <c r="Z1514" s="105">
        <f ca="1" t="shared" si="410"/>
        <v>34</v>
      </c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5"/>
      <c r="AO1514" s="115"/>
      <c r="AP1514" s="115"/>
      <c r="AQ1514" s="93"/>
      <c r="AR1514" s="93"/>
      <c r="AS1514" s="94"/>
      <c r="AT1514" s="95"/>
      <c r="AU1514" s="79"/>
      <c r="AV1514" s="117"/>
      <c r="AW1514" s="115"/>
      <c r="AX1514" s="106"/>
      <c r="AY1514" s="104"/>
      <c r="AZ1514" s="105"/>
    </row>
    <row r="1515" customHeight="1" spans="1:52">
      <c r="A1515" s="70">
        <v>1520</v>
      </c>
      <c r="B1515" s="70" t="s">
        <v>3879</v>
      </c>
      <c r="C1515" s="70" t="s">
        <v>38</v>
      </c>
      <c r="D1515" s="71" t="s">
        <v>4443</v>
      </c>
      <c r="E1515" s="71" t="s">
        <v>735</v>
      </c>
      <c r="F1515" s="72"/>
      <c r="G1515" s="73"/>
      <c r="H1515" s="75"/>
      <c r="I1515" s="102">
        <v>46176</v>
      </c>
      <c r="J1515" s="70">
        <v>3</v>
      </c>
      <c r="K1515" s="106" t="s">
        <v>4444</v>
      </c>
      <c r="L1515" s="104">
        <f t="shared" ref="L1515:L1520" si="411">EDATE(I1515,J1515)</f>
        <v>46268</v>
      </c>
      <c r="M1515" s="105">
        <f ca="1" t="shared" ref="M1515:M1520" si="412">L1515-TODAY()</f>
        <v>-45</v>
      </c>
      <c r="N1515" s="70"/>
      <c r="O1515" s="70" t="s">
        <v>3879</v>
      </c>
      <c r="P1515" s="70" t="s">
        <v>38</v>
      </c>
      <c r="Q1515" s="71" t="s">
        <v>4443</v>
      </c>
      <c r="R1515" s="71" t="s">
        <v>735</v>
      </c>
      <c r="S1515" s="72"/>
      <c r="T1515" s="73"/>
      <c r="U1515" s="75"/>
      <c r="V1515" s="102">
        <v>46276</v>
      </c>
      <c r="W1515" s="70">
        <v>3</v>
      </c>
      <c r="X1515" s="103" t="s">
        <v>4445</v>
      </c>
      <c r="Y1515" s="104">
        <f t="shared" si="409"/>
        <v>46367</v>
      </c>
      <c r="Z1515" s="105">
        <f ca="1" t="shared" si="410"/>
        <v>54</v>
      </c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5"/>
      <c r="AO1515" s="115"/>
      <c r="AP1515" s="115"/>
      <c r="AQ1515" s="93"/>
      <c r="AR1515" s="93"/>
      <c r="AS1515" s="94"/>
      <c r="AT1515" s="95"/>
      <c r="AU1515" s="79"/>
      <c r="AV1515" s="117"/>
      <c r="AW1515" s="115"/>
      <c r="AX1515" s="106"/>
      <c r="AY1515" s="104"/>
      <c r="AZ1515" s="105"/>
    </row>
    <row r="1516" customHeight="1" spans="1:52">
      <c r="A1516" s="70">
        <v>1521</v>
      </c>
      <c r="B1516" s="70" t="s">
        <v>55</v>
      </c>
      <c r="C1516" s="70" t="s">
        <v>13</v>
      </c>
      <c r="D1516" s="71" t="s">
        <v>4446</v>
      </c>
      <c r="E1516" s="71" t="s">
        <v>76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4447</v>
      </c>
      <c r="L1516" s="104">
        <f t="shared" si="411"/>
        <v>46268</v>
      </c>
      <c r="M1516" s="105">
        <f ca="1" t="shared" si="412"/>
        <v>-45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>
        <f t="shared" si="409"/>
        <v>0</v>
      </c>
      <c r="Z1516" s="105">
        <f ca="1" t="shared" si="410"/>
        <v>-46313</v>
      </c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5"/>
      <c r="AO1516" s="115"/>
      <c r="AP1516" s="115"/>
      <c r="AQ1516" s="93"/>
      <c r="AR1516" s="93"/>
      <c r="AS1516" s="94"/>
      <c r="AT1516" s="95"/>
      <c r="AU1516" s="79"/>
      <c r="AV1516" s="117"/>
      <c r="AW1516" s="115"/>
      <c r="AX1516" s="106"/>
      <c r="AY1516" s="104"/>
      <c r="AZ1516" s="105"/>
    </row>
    <row r="1517" customHeight="1" spans="1:52">
      <c r="A1517" s="70">
        <v>1522</v>
      </c>
      <c r="B1517" s="70" t="s">
        <v>270</v>
      </c>
      <c r="C1517" s="70" t="s">
        <v>264</v>
      </c>
      <c r="D1517" s="71" t="s">
        <v>4448</v>
      </c>
      <c r="E1517" s="71" t="s">
        <v>277</v>
      </c>
      <c r="F1517" s="72"/>
      <c r="G1517" s="73"/>
      <c r="H1517" s="75"/>
      <c r="I1517" s="102">
        <v>46176</v>
      </c>
      <c r="J1517" s="70">
        <v>3</v>
      </c>
      <c r="K1517" s="106" t="s">
        <v>4449</v>
      </c>
      <c r="L1517" s="104">
        <f t="shared" si="411"/>
        <v>46268</v>
      </c>
      <c r="M1517" s="105">
        <f ca="1" t="shared" si="412"/>
        <v>-45</v>
      </c>
      <c r="N1517" s="70"/>
      <c r="O1517" s="70" t="s">
        <v>270</v>
      </c>
      <c r="P1517" s="70" t="s">
        <v>264</v>
      </c>
      <c r="Q1517" s="71" t="s">
        <v>4448</v>
      </c>
      <c r="R1517" s="71" t="s">
        <v>277</v>
      </c>
      <c r="S1517" s="72"/>
      <c r="T1517" s="73"/>
      <c r="U1517" s="75"/>
      <c r="V1517" s="102">
        <v>46308</v>
      </c>
      <c r="W1517" s="70">
        <v>3</v>
      </c>
      <c r="X1517" s="103"/>
      <c r="Y1517" s="104">
        <f t="shared" ref="Y1517:Y1526" si="413">EDATE(V1517,W1517)</f>
        <v>46400</v>
      </c>
      <c r="Z1517" s="105">
        <f ca="1" t="shared" ref="Z1517:Z1526" si="414">Y1517-TODAY()</f>
        <v>87</v>
      </c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5"/>
      <c r="AO1517" s="115"/>
      <c r="AP1517" s="115"/>
      <c r="AQ1517" s="93"/>
      <c r="AR1517" s="93"/>
      <c r="AS1517" s="94"/>
      <c r="AT1517" s="95"/>
      <c r="AU1517" s="79"/>
      <c r="AV1517" s="117"/>
      <c r="AW1517" s="115"/>
      <c r="AX1517" s="106"/>
      <c r="AY1517" s="104"/>
      <c r="AZ1517" s="105"/>
    </row>
    <row r="1518" customHeight="1" spans="1:52">
      <c r="A1518" s="70">
        <v>1523</v>
      </c>
      <c r="B1518" s="70" t="s">
        <v>4288</v>
      </c>
      <c r="C1518" s="70" t="s">
        <v>264</v>
      </c>
      <c r="D1518" s="71" t="s">
        <v>4289</v>
      </c>
      <c r="E1518" s="71" t="s">
        <v>2941</v>
      </c>
      <c r="F1518" s="72"/>
      <c r="G1518" s="73"/>
      <c r="H1518" s="75"/>
      <c r="I1518" s="102">
        <v>46176</v>
      </c>
      <c r="J1518" s="70" t="s">
        <v>767</v>
      </c>
      <c r="K1518" s="106"/>
      <c r="L1518" s="104" t="e">
        <f t="shared" ref="L1518:L1534" si="415">EDATE(I1518,J1518)</f>
        <v>#VALUE!</v>
      </c>
      <c r="M1518" s="105" t="e">
        <f ca="1" t="shared" ref="M1518:M1534" si="416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>
        <f t="shared" si="413"/>
        <v>0</v>
      </c>
      <c r="Z1518" s="105">
        <f ca="1" t="shared" si="414"/>
        <v>-46313</v>
      </c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5"/>
      <c r="AO1518" s="115"/>
      <c r="AP1518" s="115"/>
      <c r="AQ1518" s="93"/>
      <c r="AR1518" s="93"/>
      <c r="AS1518" s="94"/>
      <c r="AT1518" s="95"/>
      <c r="AU1518" s="79"/>
      <c r="AV1518" s="117"/>
      <c r="AW1518" s="115"/>
      <c r="AX1518" s="106"/>
      <c r="AY1518" s="104"/>
      <c r="AZ1518" s="105"/>
    </row>
    <row r="1519" customHeight="1" spans="1:52">
      <c r="A1519" s="70">
        <v>1524</v>
      </c>
      <c r="B1519" s="70" t="s">
        <v>3780</v>
      </c>
      <c r="C1519" s="70" t="s">
        <v>264</v>
      </c>
      <c r="D1519" s="71" t="s">
        <v>367</v>
      </c>
      <c r="E1519" s="71" t="s">
        <v>4334</v>
      </c>
      <c r="F1519" s="72"/>
      <c r="G1519" s="73"/>
      <c r="H1519" s="75"/>
      <c r="I1519" s="102">
        <v>46176</v>
      </c>
      <c r="J1519" s="70" t="s">
        <v>767</v>
      </c>
      <c r="K1519" s="106"/>
      <c r="L1519" s="104" t="e">
        <f t="shared" si="415"/>
        <v>#VALUE!</v>
      </c>
      <c r="M1519" s="105" t="e">
        <f ca="1" t="shared" si="416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>
        <f t="shared" si="413"/>
        <v>0</v>
      </c>
      <c r="Z1519" s="105">
        <f ca="1" t="shared" si="414"/>
        <v>-46313</v>
      </c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5"/>
      <c r="AO1519" s="115"/>
      <c r="AP1519" s="115"/>
      <c r="AQ1519" s="93"/>
      <c r="AR1519" s="93"/>
      <c r="AS1519" s="94"/>
      <c r="AT1519" s="95"/>
      <c r="AU1519" s="79"/>
      <c r="AV1519" s="117"/>
      <c r="AW1519" s="115"/>
      <c r="AX1519" s="106"/>
      <c r="AY1519" s="104"/>
      <c r="AZ1519" s="105"/>
    </row>
    <row r="1520" customHeight="1" spans="1:52">
      <c r="A1520" s="70">
        <v>1525</v>
      </c>
      <c r="B1520" s="70" t="s">
        <v>270</v>
      </c>
      <c r="C1520" s="70" t="s">
        <v>264</v>
      </c>
      <c r="D1520" s="71" t="s">
        <v>276</v>
      </c>
      <c r="E1520" s="71" t="s">
        <v>277</v>
      </c>
      <c r="F1520" s="72"/>
      <c r="G1520" s="73"/>
      <c r="H1520" s="75"/>
      <c r="I1520" s="102">
        <v>46176</v>
      </c>
      <c r="J1520" s="70" t="s">
        <v>767</v>
      </c>
      <c r="K1520" s="106"/>
      <c r="L1520" s="104" t="e">
        <f t="shared" si="415"/>
        <v>#VALUE!</v>
      </c>
      <c r="M1520" s="105" t="e">
        <f ca="1" t="shared" si="416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>
        <f t="shared" si="413"/>
        <v>0</v>
      </c>
      <c r="Z1520" s="105">
        <f ca="1" t="shared" si="414"/>
        <v>-46313</v>
      </c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5"/>
      <c r="AO1520" s="115"/>
      <c r="AP1520" s="115"/>
      <c r="AQ1520" s="93"/>
      <c r="AR1520" s="93"/>
      <c r="AS1520" s="94"/>
      <c r="AT1520" s="95"/>
      <c r="AU1520" s="79"/>
      <c r="AV1520" s="117"/>
      <c r="AW1520" s="115"/>
      <c r="AX1520" s="106"/>
      <c r="AY1520" s="104"/>
      <c r="AZ1520" s="105"/>
    </row>
    <row r="1521" customHeight="1" spans="1:52">
      <c r="A1521" s="70">
        <v>1526</v>
      </c>
      <c r="B1521" s="105" t="s">
        <v>844</v>
      </c>
      <c r="C1521" s="70" t="s">
        <v>38</v>
      </c>
      <c r="D1521" s="217" t="s">
        <v>4450</v>
      </c>
      <c r="E1521" s="71" t="s">
        <v>189</v>
      </c>
      <c r="F1521" s="72"/>
      <c r="G1521" s="73"/>
      <c r="H1521" s="146" t="s">
        <v>16</v>
      </c>
      <c r="I1521" s="102">
        <v>46177</v>
      </c>
      <c r="J1521" s="70">
        <v>3</v>
      </c>
      <c r="K1521" s="106" t="s">
        <v>4451</v>
      </c>
      <c r="L1521" s="104">
        <f t="shared" si="415"/>
        <v>46269</v>
      </c>
      <c r="M1521" s="105">
        <f ca="1" t="shared" si="416"/>
        <v>-44</v>
      </c>
      <c r="N1521" s="70"/>
      <c r="O1521" s="105" t="s">
        <v>4250</v>
      </c>
      <c r="P1521" s="70" t="s">
        <v>38</v>
      </c>
      <c r="Q1521" s="217" t="s">
        <v>4450</v>
      </c>
      <c r="R1521" s="71" t="s">
        <v>189</v>
      </c>
      <c r="S1521" s="72"/>
      <c r="T1521" s="73"/>
      <c r="U1521" s="146" t="s">
        <v>16</v>
      </c>
      <c r="V1521" s="102">
        <v>46268</v>
      </c>
      <c r="W1521" s="70">
        <v>3</v>
      </c>
      <c r="X1521" s="103" t="s">
        <v>4452</v>
      </c>
      <c r="Y1521" s="104">
        <f t="shared" si="413"/>
        <v>46359</v>
      </c>
      <c r="Z1521" s="105">
        <f ca="1" t="shared" si="414"/>
        <v>46</v>
      </c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5"/>
      <c r="AO1521" s="115"/>
      <c r="AP1521" s="115"/>
      <c r="AQ1521" s="93"/>
      <c r="AR1521" s="93"/>
      <c r="AS1521" s="94"/>
      <c r="AT1521" s="95"/>
      <c r="AU1521" s="79"/>
      <c r="AV1521" s="117"/>
      <c r="AW1521" s="115"/>
      <c r="AX1521" s="106"/>
      <c r="AY1521" s="104"/>
      <c r="AZ1521" s="105"/>
    </row>
    <row r="1522" customHeight="1" spans="1:52">
      <c r="A1522" s="70">
        <v>1527</v>
      </c>
      <c r="B1522" s="105" t="s">
        <v>1260</v>
      </c>
      <c r="C1522" s="70" t="s">
        <v>38</v>
      </c>
      <c r="D1522" s="217" t="s">
        <v>4453</v>
      </c>
      <c r="E1522" s="71" t="s">
        <v>40</v>
      </c>
      <c r="F1522" s="72"/>
      <c r="G1522" s="73"/>
      <c r="H1522" s="146" t="s">
        <v>16</v>
      </c>
      <c r="I1522" s="102">
        <v>46177</v>
      </c>
      <c r="J1522" s="70">
        <v>3</v>
      </c>
      <c r="K1522" s="106" t="s">
        <v>4454</v>
      </c>
      <c r="L1522" s="104">
        <f t="shared" si="415"/>
        <v>46269</v>
      </c>
      <c r="M1522" s="105">
        <f ca="1" t="shared" si="416"/>
        <v>-44</v>
      </c>
      <c r="N1522" s="70"/>
      <c r="O1522" s="105" t="s">
        <v>1260</v>
      </c>
      <c r="P1522" s="70" t="s">
        <v>38</v>
      </c>
      <c r="Q1522" s="217" t="s">
        <v>4453</v>
      </c>
      <c r="R1522" s="71" t="s">
        <v>40</v>
      </c>
      <c r="S1522" s="72"/>
      <c r="T1522" s="73"/>
      <c r="U1522" s="146" t="s">
        <v>16</v>
      </c>
      <c r="V1522" s="102">
        <v>46304</v>
      </c>
      <c r="W1522" s="70">
        <v>3</v>
      </c>
      <c r="X1522" s="103" t="s">
        <v>4455</v>
      </c>
      <c r="Y1522" s="104">
        <f t="shared" si="413"/>
        <v>46396</v>
      </c>
      <c r="Z1522" s="105">
        <f ca="1" t="shared" si="414"/>
        <v>83</v>
      </c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5"/>
      <c r="AO1522" s="115"/>
      <c r="AP1522" s="115"/>
      <c r="AQ1522" s="93"/>
      <c r="AR1522" s="93"/>
      <c r="AS1522" s="94"/>
      <c r="AT1522" s="95"/>
      <c r="AU1522" s="79"/>
      <c r="AV1522" s="117"/>
      <c r="AW1522" s="115"/>
      <c r="AX1522" s="106"/>
      <c r="AY1522" s="104"/>
      <c r="AZ1522" s="105"/>
    </row>
    <row r="1523" customHeight="1" spans="1:52">
      <c r="A1523" s="70">
        <v>1528</v>
      </c>
      <c r="B1523" s="105" t="s">
        <v>4456</v>
      </c>
      <c r="C1523" s="70" t="s">
        <v>374</v>
      </c>
      <c r="D1523" s="217" t="s">
        <v>4457</v>
      </c>
      <c r="E1523" s="71" t="s">
        <v>4458</v>
      </c>
      <c r="F1523" s="72"/>
      <c r="G1523" s="73"/>
      <c r="H1523" s="146" t="s">
        <v>16</v>
      </c>
      <c r="I1523" s="102">
        <v>46177</v>
      </c>
      <c r="J1523" s="70">
        <v>3</v>
      </c>
      <c r="K1523" s="106" t="s">
        <v>4459</v>
      </c>
      <c r="L1523" s="104">
        <f t="shared" si="415"/>
        <v>46269</v>
      </c>
      <c r="M1523" s="105">
        <f ca="1" t="shared" si="416"/>
        <v>-44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>
        <f t="shared" si="413"/>
        <v>0</v>
      </c>
      <c r="Z1523" s="105">
        <f ca="1" t="shared" si="414"/>
        <v>-46313</v>
      </c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5"/>
      <c r="AO1523" s="115"/>
      <c r="AP1523" s="115"/>
      <c r="AQ1523" s="93"/>
      <c r="AR1523" s="93"/>
      <c r="AS1523" s="94"/>
      <c r="AT1523" s="95"/>
      <c r="AU1523" s="79"/>
      <c r="AV1523" s="117"/>
      <c r="AW1523" s="115"/>
      <c r="AX1523" s="106"/>
      <c r="AY1523" s="104"/>
      <c r="AZ1523" s="105"/>
    </row>
    <row r="1524" customHeight="1" spans="1:52">
      <c r="A1524" s="70">
        <v>1530</v>
      </c>
      <c r="B1524" s="204" t="s">
        <v>3559</v>
      </c>
      <c r="C1524" s="70" t="s">
        <v>264</v>
      </c>
      <c r="D1524" s="205" t="s">
        <v>2709</v>
      </c>
      <c r="E1524" s="71" t="s">
        <v>4392</v>
      </c>
      <c r="F1524" s="72"/>
      <c r="G1524" s="73"/>
      <c r="H1524" s="75"/>
      <c r="I1524" s="102">
        <v>46177</v>
      </c>
      <c r="J1524" s="70">
        <v>3</v>
      </c>
      <c r="K1524" s="106" t="s">
        <v>4460</v>
      </c>
      <c r="L1524" s="104">
        <f t="shared" si="415"/>
        <v>46269</v>
      </c>
      <c r="M1524" s="105">
        <f ca="1" t="shared" si="416"/>
        <v>-44</v>
      </c>
      <c r="N1524" s="70"/>
      <c r="O1524" s="204" t="s">
        <v>3559</v>
      </c>
      <c r="P1524" s="70" t="s">
        <v>264</v>
      </c>
      <c r="Q1524" s="205" t="s">
        <v>2709</v>
      </c>
      <c r="R1524" s="71" t="s">
        <v>4392</v>
      </c>
      <c r="S1524" s="72"/>
      <c r="T1524" s="73"/>
      <c r="U1524" s="75"/>
      <c r="V1524" s="102">
        <v>46275</v>
      </c>
      <c r="W1524" s="70">
        <v>3</v>
      </c>
      <c r="X1524" s="103" t="s">
        <v>4461</v>
      </c>
      <c r="Y1524" s="104">
        <f t="shared" si="413"/>
        <v>46366</v>
      </c>
      <c r="Z1524" s="105">
        <f ca="1" t="shared" si="414"/>
        <v>53</v>
      </c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5"/>
      <c r="AO1524" s="115"/>
      <c r="AP1524" s="115"/>
      <c r="AQ1524" s="93"/>
      <c r="AR1524" s="93"/>
      <c r="AS1524" s="94"/>
      <c r="AT1524" s="95"/>
      <c r="AU1524" s="79"/>
      <c r="AV1524" s="117"/>
      <c r="AW1524" s="115"/>
      <c r="AX1524" s="106"/>
      <c r="AY1524" s="104"/>
      <c r="AZ1524" s="105"/>
    </row>
    <row r="1525" customHeight="1" spans="1:52">
      <c r="A1525" s="70">
        <v>1531</v>
      </c>
      <c r="B1525" s="204" t="s">
        <v>3559</v>
      </c>
      <c r="C1525" s="70" t="s">
        <v>264</v>
      </c>
      <c r="D1525" s="205" t="s">
        <v>2706</v>
      </c>
      <c r="E1525" s="71" t="s">
        <v>4392</v>
      </c>
      <c r="F1525" s="72"/>
      <c r="G1525" s="73"/>
      <c r="H1525" s="75"/>
      <c r="I1525" s="102">
        <v>46177</v>
      </c>
      <c r="J1525" s="70">
        <v>3</v>
      </c>
      <c r="K1525" s="106" t="s">
        <v>4462</v>
      </c>
      <c r="L1525" s="104">
        <f t="shared" si="415"/>
        <v>46269</v>
      </c>
      <c r="M1525" s="105">
        <f ca="1" t="shared" si="416"/>
        <v>-44</v>
      </c>
      <c r="N1525" s="70"/>
      <c r="O1525" s="204" t="s">
        <v>3559</v>
      </c>
      <c r="P1525" s="70" t="s">
        <v>264</v>
      </c>
      <c r="Q1525" s="205" t="s">
        <v>2706</v>
      </c>
      <c r="R1525" s="71" t="s">
        <v>4392</v>
      </c>
      <c r="S1525" s="72"/>
      <c r="T1525" s="73"/>
      <c r="U1525" s="75"/>
      <c r="V1525" s="102">
        <v>46272</v>
      </c>
      <c r="W1525" s="70">
        <v>3</v>
      </c>
      <c r="X1525" s="103" t="s">
        <v>4463</v>
      </c>
      <c r="Y1525" s="104">
        <f t="shared" si="413"/>
        <v>46363</v>
      </c>
      <c r="Z1525" s="105">
        <f ca="1" t="shared" si="414"/>
        <v>50</v>
      </c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5"/>
      <c r="AO1525" s="115"/>
      <c r="AP1525" s="115"/>
      <c r="AQ1525" s="93"/>
      <c r="AR1525" s="93"/>
      <c r="AS1525" s="94"/>
      <c r="AT1525" s="95"/>
      <c r="AU1525" s="79"/>
      <c r="AV1525" s="117"/>
      <c r="AW1525" s="115"/>
      <c r="AX1525" s="106"/>
      <c r="AY1525" s="104"/>
      <c r="AZ1525" s="105"/>
    </row>
    <row r="1526" customHeight="1" spans="1:52">
      <c r="A1526" s="70">
        <v>1532</v>
      </c>
      <c r="B1526" s="204" t="s">
        <v>3559</v>
      </c>
      <c r="C1526" s="70" t="s">
        <v>264</v>
      </c>
      <c r="D1526" s="205" t="s">
        <v>4395</v>
      </c>
      <c r="E1526" s="71" t="s">
        <v>3954</v>
      </c>
      <c r="F1526" s="72"/>
      <c r="G1526" s="73"/>
      <c r="H1526" s="75"/>
      <c r="I1526" s="102">
        <v>46177</v>
      </c>
      <c r="J1526" s="70" t="s">
        <v>767</v>
      </c>
      <c r="K1526" s="106"/>
      <c r="L1526" s="104" t="e">
        <f t="shared" si="415"/>
        <v>#VALUE!</v>
      </c>
      <c r="M1526" s="105" t="e">
        <f ca="1" t="shared" si="416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>
        <f t="shared" si="413"/>
        <v>0</v>
      </c>
      <c r="Z1526" s="105">
        <f ca="1" t="shared" si="414"/>
        <v>-46313</v>
      </c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5"/>
      <c r="AO1526" s="115"/>
      <c r="AP1526" s="115"/>
      <c r="AQ1526" s="93"/>
      <c r="AR1526" s="93"/>
      <c r="AS1526" s="94"/>
      <c r="AT1526" s="95"/>
      <c r="AU1526" s="79"/>
      <c r="AV1526" s="117"/>
      <c r="AW1526" s="115"/>
      <c r="AX1526" s="106"/>
      <c r="AY1526" s="104"/>
      <c r="AZ1526" s="105"/>
    </row>
    <row r="1527" customHeight="1" spans="1:52">
      <c r="A1527" s="70">
        <v>1533</v>
      </c>
      <c r="B1527" s="204" t="s">
        <v>3559</v>
      </c>
      <c r="C1527" s="70" t="s">
        <v>264</v>
      </c>
      <c r="D1527" s="205" t="s">
        <v>4391</v>
      </c>
      <c r="E1527" s="71" t="s">
        <v>4392</v>
      </c>
      <c r="F1527" s="72"/>
      <c r="G1527" s="73"/>
      <c r="H1527" s="75"/>
      <c r="I1527" s="102">
        <v>46177</v>
      </c>
      <c r="J1527" s="70" t="s">
        <v>767</v>
      </c>
      <c r="K1527" s="106"/>
      <c r="L1527" s="104" t="e">
        <f t="shared" si="415"/>
        <v>#VALUE!</v>
      </c>
      <c r="M1527" s="105" t="e">
        <f ca="1" t="shared" si="416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>
        <f t="shared" ref="Y1527:Y1583" si="417">EDATE(V1527,W1527)</f>
        <v>0</v>
      </c>
      <c r="Z1527" s="105">
        <f ca="1" t="shared" ref="Z1527:Z1583" si="418">Y1527-TODAY()</f>
        <v>-46313</v>
      </c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5"/>
      <c r="AO1527" s="115"/>
      <c r="AP1527" s="115"/>
      <c r="AQ1527" s="93"/>
      <c r="AR1527" s="93"/>
      <c r="AS1527" s="94"/>
      <c r="AT1527" s="95"/>
      <c r="AU1527" s="79"/>
      <c r="AV1527" s="117"/>
      <c r="AW1527" s="115"/>
      <c r="AX1527" s="106"/>
      <c r="AY1527" s="104"/>
      <c r="AZ1527" s="105"/>
    </row>
    <row r="1528" customHeight="1" spans="1:52">
      <c r="A1528" s="70">
        <v>1534</v>
      </c>
      <c r="B1528" s="70" t="s">
        <v>270</v>
      </c>
      <c r="C1528" s="70" t="s">
        <v>264</v>
      </c>
      <c r="D1528" s="71" t="s">
        <v>4029</v>
      </c>
      <c r="E1528" s="71" t="s">
        <v>4464</v>
      </c>
      <c r="F1528" s="72"/>
      <c r="G1528" s="73"/>
      <c r="H1528" s="75"/>
      <c r="I1528" s="102">
        <v>46177</v>
      </c>
      <c r="J1528" s="70" t="s">
        <v>434</v>
      </c>
      <c r="K1528" s="106" t="s">
        <v>4465</v>
      </c>
      <c r="L1528" s="104" t="e">
        <f t="shared" si="415"/>
        <v>#VALUE!</v>
      </c>
      <c r="M1528" s="105" t="e">
        <f ca="1" t="shared" si="416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>
        <f t="shared" si="417"/>
        <v>0</v>
      </c>
      <c r="Z1528" s="105">
        <f ca="1" t="shared" si="418"/>
        <v>-46313</v>
      </c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5"/>
      <c r="AO1528" s="115"/>
      <c r="AP1528" s="115"/>
      <c r="AQ1528" s="93"/>
      <c r="AR1528" s="93"/>
      <c r="AS1528" s="94"/>
      <c r="AT1528" s="95"/>
      <c r="AU1528" s="79"/>
      <c r="AV1528" s="117"/>
      <c r="AW1528" s="115"/>
      <c r="AX1528" s="106"/>
      <c r="AY1528" s="104"/>
      <c r="AZ1528" s="105"/>
    </row>
    <row r="1529" customHeight="1" spans="1:52">
      <c r="A1529" s="70">
        <v>1535</v>
      </c>
      <c r="B1529" s="70" t="s">
        <v>164</v>
      </c>
      <c r="C1529" s="70" t="s">
        <v>13</v>
      </c>
      <c r="D1529" s="71" t="s">
        <v>4466</v>
      </c>
      <c r="E1529" s="71" t="s">
        <v>76</v>
      </c>
      <c r="F1529" s="72"/>
      <c r="G1529" s="73"/>
      <c r="H1529" s="75"/>
      <c r="I1529" s="102">
        <v>46178</v>
      </c>
      <c r="J1529" s="70">
        <v>3</v>
      </c>
      <c r="K1529" s="106" t="s">
        <v>4467</v>
      </c>
      <c r="L1529" s="104">
        <f t="shared" si="415"/>
        <v>46270</v>
      </c>
      <c r="M1529" s="105">
        <f ca="1" t="shared" si="416"/>
        <v>-43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>
        <f t="shared" si="417"/>
        <v>0</v>
      </c>
      <c r="Z1529" s="105">
        <f ca="1" t="shared" si="418"/>
        <v>-46313</v>
      </c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5"/>
      <c r="AO1529" s="115"/>
      <c r="AP1529" s="115"/>
      <c r="AQ1529" s="93"/>
      <c r="AR1529" s="93"/>
      <c r="AS1529" s="94"/>
      <c r="AT1529" s="95"/>
      <c r="AU1529" s="79"/>
      <c r="AV1529" s="117"/>
      <c r="AW1529" s="115"/>
      <c r="AX1529" s="106"/>
      <c r="AY1529" s="104"/>
      <c r="AZ1529" s="105"/>
    </row>
    <row r="1530" customHeight="1" spans="1:52">
      <c r="A1530" s="70">
        <v>1536</v>
      </c>
      <c r="B1530" s="70" t="s">
        <v>164</v>
      </c>
      <c r="C1530" s="70" t="s">
        <v>38</v>
      </c>
      <c r="D1530" s="71" t="s">
        <v>4468</v>
      </c>
      <c r="E1530" s="71" t="s">
        <v>189</v>
      </c>
      <c r="F1530" s="72"/>
      <c r="G1530" s="73"/>
      <c r="H1530" s="75"/>
      <c r="I1530" s="102">
        <v>46178</v>
      </c>
      <c r="J1530" s="70">
        <v>3</v>
      </c>
      <c r="K1530" s="106" t="s">
        <v>4469</v>
      </c>
      <c r="L1530" s="104">
        <f t="shared" si="415"/>
        <v>46270</v>
      </c>
      <c r="M1530" s="105">
        <f ca="1" t="shared" si="416"/>
        <v>-43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>
        <f t="shared" si="417"/>
        <v>0</v>
      </c>
      <c r="Z1530" s="105">
        <f ca="1" t="shared" si="418"/>
        <v>-46313</v>
      </c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5"/>
      <c r="AO1530" s="115"/>
      <c r="AP1530" s="115"/>
      <c r="AQ1530" s="93"/>
      <c r="AR1530" s="93"/>
      <c r="AS1530" s="94"/>
      <c r="AT1530" s="95"/>
      <c r="AU1530" s="79"/>
      <c r="AV1530" s="117"/>
      <c r="AW1530" s="115"/>
      <c r="AX1530" s="106"/>
      <c r="AY1530" s="104"/>
      <c r="AZ1530" s="105"/>
    </row>
    <row r="1531" customHeight="1" spans="1:52">
      <c r="A1531" s="70">
        <v>1537</v>
      </c>
      <c r="B1531" s="70" t="s">
        <v>3722</v>
      </c>
      <c r="C1531" s="70" t="s">
        <v>38</v>
      </c>
      <c r="D1531" s="71" t="s">
        <v>4470</v>
      </c>
      <c r="E1531" s="71" t="s">
        <v>3387</v>
      </c>
      <c r="F1531" s="72"/>
      <c r="G1531" s="73"/>
      <c r="H1531" s="75"/>
      <c r="I1531" s="102">
        <v>46178</v>
      </c>
      <c r="J1531" s="70">
        <v>3</v>
      </c>
      <c r="K1531" s="106" t="s">
        <v>4471</v>
      </c>
      <c r="L1531" s="104">
        <f t="shared" si="415"/>
        <v>46270</v>
      </c>
      <c r="M1531" s="105">
        <f ca="1" t="shared" si="416"/>
        <v>-43</v>
      </c>
      <c r="N1531" s="70"/>
      <c r="O1531" s="70" t="s">
        <v>3722</v>
      </c>
      <c r="P1531" s="70" t="s">
        <v>38</v>
      </c>
      <c r="Q1531" s="71" t="s">
        <v>4470</v>
      </c>
      <c r="R1531" s="71" t="s">
        <v>3387</v>
      </c>
      <c r="S1531" s="72"/>
      <c r="T1531" s="73"/>
      <c r="U1531" s="75"/>
      <c r="V1531" s="102">
        <v>46282</v>
      </c>
      <c r="W1531" s="70">
        <v>3</v>
      </c>
      <c r="X1531" s="103" t="s">
        <v>4472</v>
      </c>
      <c r="Y1531" s="104">
        <f t="shared" si="417"/>
        <v>46373</v>
      </c>
      <c r="Z1531" s="105">
        <f ca="1" t="shared" si="418"/>
        <v>60</v>
      </c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5"/>
      <c r="AO1531" s="115"/>
      <c r="AP1531" s="115"/>
      <c r="AQ1531" s="93"/>
      <c r="AR1531" s="93"/>
      <c r="AS1531" s="94"/>
      <c r="AT1531" s="95"/>
      <c r="AU1531" s="79"/>
      <c r="AV1531" s="117"/>
      <c r="AW1531" s="115"/>
      <c r="AX1531" s="106"/>
      <c r="AY1531" s="104"/>
      <c r="AZ1531" s="105"/>
    </row>
    <row r="1532" customHeight="1" spans="1:52">
      <c r="A1532" s="70">
        <v>1538</v>
      </c>
      <c r="B1532" s="70" t="s">
        <v>3081</v>
      </c>
      <c r="C1532" s="70" t="s">
        <v>13</v>
      </c>
      <c r="D1532" s="71" t="s">
        <v>4473</v>
      </c>
      <c r="E1532" s="71" t="s">
        <v>136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4474</v>
      </c>
      <c r="L1532" s="104">
        <f t="shared" si="415"/>
        <v>46270</v>
      </c>
      <c r="M1532" s="105">
        <f ca="1" t="shared" si="416"/>
        <v>-43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>
        <f t="shared" si="417"/>
        <v>0</v>
      </c>
      <c r="Z1532" s="105">
        <f ca="1" t="shared" si="418"/>
        <v>-46313</v>
      </c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5"/>
      <c r="AO1532" s="115"/>
      <c r="AP1532" s="115"/>
      <c r="AQ1532" s="93"/>
      <c r="AR1532" s="93"/>
      <c r="AS1532" s="94"/>
      <c r="AT1532" s="95"/>
      <c r="AU1532" s="79"/>
      <c r="AV1532" s="117"/>
      <c r="AW1532" s="115"/>
      <c r="AX1532" s="106"/>
      <c r="AY1532" s="104"/>
      <c r="AZ1532" s="105"/>
    </row>
    <row r="1533" customHeight="1" spans="1:52">
      <c r="A1533" s="70">
        <v>1539</v>
      </c>
      <c r="B1533" s="70" t="s">
        <v>4475</v>
      </c>
      <c r="C1533" s="70" t="s">
        <v>13</v>
      </c>
      <c r="D1533" s="71" t="s">
        <v>4476</v>
      </c>
      <c r="E1533" s="71" t="s">
        <v>34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4477</v>
      </c>
      <c r="L1533" s="104">
        <f t="shared" si="415"/>
        <v>46270</v>
      </c>
      <c r="M1533" s="105">
        <f ca="1" t="shared" si="416"/>
        <v>-43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>
        <f t="shared" si="417"/>
        <v>0</v>
      </c>
      <c r="Z1533" s="105">
        <f ca="1" t="shared" si="418"/>
        <v>-46313</v>
      </c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5"/>
      <c r="AO1533" s="115"/>
      <c r="AP1533" s="115"/>
      <c r="AQ1533" s="93"/>
      <c r="AR1533" s="93"/>
      <c r="AS1533" s="94"/>
      <c r="AT1533" s="95"/>
      <c r="AU1533" s="79"/>
      <c r="AV1533" s="117"/>
      <c r="AW1533" s="115"/>
      <c r="AX1533" s="106"/>
      <c r="AY1533" s="104"/>
      <c r="AZ1533" s="105"/>
    </row>
    <row r="1534" customHeight="1" spans="1:52">
      <c r="A1534" s="70">
        <v>1540</v>
      </c>
      <c r="B1534" s="70" t="s">
        <v>134</v>
      </c>
      <c r="C1534" s="70" t="s">
        <v>38</v>
      </c>
      <c r="D1534" s="71" t="s">
        <v>3866</v>
      </c>
      <c r="E1534" s="71" t="s">
        <v>4234</v>
      </c>
      <c r="F1534" s="72"/>
      <c r="G1534" s="73"/>
      <c r="H1534" s="75"/>
      <c r="I1534" s="102">
        <v>46178</v>
      </c>
      <c r="J1534" s="70" t="s">
        <v>434</v>
      </c>
      <c r="K1534" s="106"/>
      <c r="L1534" s="104" t="e">
        <f t="shared" ref="L1534:L1548" si="419">EDATE(I1534,J1534)</f>
        <v>#VALUE!</v>
      </c>
      <c r="M1534" s="105" t="e">
        <f ca="1" t="shared" ref="M1534:M1548" si="420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>
        <f t="shared" si="417"/>
        <v>0</v>
      </c>
      <c r="Z1534" s="105">
        <f ca="1" t="shared" si="418"/>
        <v>-46313</v>
      </c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5"/>
      <c r="AO1534" s="115"/>
      <c r="AP1534" s="115"/>
      <c r="AQ1534" s="93"/>
      <c r="AR1534" s="93"/>
      <c r="AS1534" s="94"/>
      <c r="AT1534" s="95"/>
      <c r="AU1534" s="79"/>
      <c r="AV1534" s="117"/>
      <c r="AW1534" s="115"/>
      <c r="AX1534" s="106"/>
      <c r="AY1534" s="104"/>
      <c r="AZ1534" s="105"/>
    </row>
    <row r="1535" customHeight="1" spans="1:52">
      <c r="A1535" s="70">
        <v>1541</v>
      </c>
      <c r="B1535" s="204" t="s">
        <v>1275</v>
      </c>
      <c r="C1535" s="70" t="s">
        <v>13</v>
      </c>
      <c r="D1535" s="71" t="s">
        <v>4478</v>
      </c>
      <c r="E1535" s="71" t="s">
        <v>1291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4479</v>
      </c>
      <c r="L1535" s="104">
        <f t="shared" si="419"/>
        <v>46271</v>
      </c>
      <c r="M1535" s="105">
        <f ca="1" t="shared" si="420"/>
        <v>-42</v>
      </c>
      <c r="N1535" s="70"/>
      <c r="O1535" s="204" t="s">
        <v>1275</v>
      </c>
      <c r="P1535" s="70" t="s">
        <v>13</v>
      </c>
      <c r="Q1535" s="71" t="s">
        <v>4478</v>
      </c>
      <c r="R1535" s="71" t="s">
        <v>1291</v>
      </c>
      <c r="S1535" s="72"/>
      <c r="T1535" s="73"/>
      <c r="U1535" s="74" t="s">
        <v>16</v>
      </c>
      <c r="V1535" s="102">
        <v>46271</v>
      </c>
      <c r="W1535" s="70">
        <v>3</v>
      </c>
      <c r="X1535" s="103" t="s">
        <v>4480</v>
      </c>
      <c r="Y1535" s="104">
        <f t="shared" si="417"/>
        <v>46362</v>
      </c>
      <c r="Z1535" s="105">
        <f ca="1" t="shared" si="418"/>
        <v>49</v>
      </c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5"/>
      <c r="AO1535" s="115"/>
      <c r="AP1535" s="115"/>
      <c r="AQ1535" s="93"/>
      <c r="AR1535" s="93"/>
      <c r="AS1535" s="94"/>
      <c r="AT1535" s="95"/>
      <c r="AU1535" s="79"/>
      <c r="AV1535" s="117"/>
      <c r="AW1535" s="115"/>
      <c r="AX1535" s="106"/>
      <c r="AY1535" s="104"/>
      <c r="AZ1535" s="105"/>
    </row>
    <row r="1536" customHeight="1" spans="1:52">
      <c r="A1536" s="70">
        <v>1542</v>
      </c>
      <c r="B1536" s="70" t="s">
        <v>4278</v>
      </c>
      <c r="C1536" s="70" t="s">
        <v>38</v>
      </c>
      <c r="D1536" s="71" t="s">
        <v>4481</v>
      </c>
      <c r="E1536" s="71" t="s">
        <v>189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4482</v>
      </c>
      <c r="L1536" s="104">
        <f t="shared" si="419"/>
        <v>46271</v>
      </c>
      <c r="M1536" s="105">
        <f ca="1" t="shared" si="420"/>
        <v>-42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>
        <f t="shared" si="417"/>
        <v>0</v>
      </c>
      <c r="Z1536" s="105">
        <f ca="1" t="shared" si="418"/>
        <v>-46313</v>
      </c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5"/>
      <c r="AO1536" s="115"/>
      <c r="AP1536" s="115"/>
      <c r="AQ1536" s="93"/>
      <c r="AR1536" s="93"/>
      <c r="AS1536" s="94"/>
      <c r="AT1536" s="95"/>
      <c r="AU1536" s="79"/>
      <c r="AV1536" s="117"/>
      <c r="AW1536" s="115"/>
      <c r="AX1536" s="106"/>
      <c r="AY1536" s="104"/>
      <c r="AZ1536" s="105"/>
    </row>
    <row r="1537" customHeight="1" spans="1:52">
      <c r="A1537" s="70">
        <v>1543</v>
      </c>
      <c r="B1537" s="204" t="s">
        <v>3722</v>
      </c>
      <c r="C1537" s="70" t="s">
        <v>38</v>
      </c>
      <c r="D1537" s="205" t="s">
        <v>4483</v>
      </c>
      <c r="E1537" s="71" t="s">
        <v>3387</v>
      </c>
      <c r="F1537" s="72"/>
      <c r="G1537" s="73"/>
      <c r="H1537" s="75"/>
      <c r="I1537" s="102">
        <v>46179</v>
      </c>
      <c r="J1537" s="70">
        <v>3</v>
      </c>
      <c r="K1537" s="106" t="s">
        <v>4484</v>
      </c>
      <c r="L1537" s="104">
        <f t="shared" si="419"/>
        <v>46271</v>
      </c>
      <c r="M1537" s="105">
        <f ca="1" t="shared" si="420"/>
        <v>-42</v>
      </c>
      <c r="N1537" s="70"/>
      <c r="O1537" s="204" t="s">
        <v>3722</v>
      </c>
      <c r="P1537" s="70" t="s">
        <v>38</v>
      </c>
      <c r="Q1537" s="205" t="s">
        <v>4483</v>
      </c>
      <c r="R1537" s="71" t="s">
        <v>3387</v>
      </c>
      <c r="S1537" s="72"/>
      <c r="T1537" s="73"/>
      <c r="U1537" s="75"/>
      <c r="V1537" s="102">
        <v>46282</v>
      </c>
      <c r="W1537" s="70">
        <v>3</v>
      </c>
      <c r="X1537" s="103" t="s">
        <v>4485</v>
      </c>
      <c r="Y1537" s="104">
        <f t="shared" si="417"/>
        <v>46373</v>
      </c>
      <c r="Z1537" s="105">
        <f ca="1" t="shared" si="418"/>
        <v>60</v>
      </c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5"/>
      <c r="AO1537" s="115"/>
      <c r="AP1537" s="115"/>
      <c r="AQ1537" s="93"/>
      <c r="AR1537" s="93"/>
      <c r="AS1537" s="94"/>
      <c r="AT1537" s="95"/>
      <c r="AU1537" s="79"/>
      <c r="AV1537" s="117"/>
      <c r="AW1537" s="115"/>
      <c r="AX1537" s="106"/>
      <c r="AY1537" s="104"/>
      <c r="AZ1537" s="105"/>
    </row>
    <row r="1538" customHeight="1" spans="1:52">
      <c r="A1538" s="70">
        <v>1544</v>
      </c>
      <c r="B1538" s="204" t="s">
        <v>3722</v>
      </c>
      <c r="C1538" s="70" t="s">
        <v>38</v>
      </c>
      <c r="D1538" s="205" t="s">
        <v>4486</v>
      </c>
      <c r="E1538" s="71" t="s">
        <v>3387</v>
      </c>
      <c r="F1538" s="72"/>
      <c r="G1538" s="73"/>
      <c r="H1538" s="75"/>
      <c r="I1538" s="102">
        <v>46179</v>
      </c>
      <c r="J1538" s="70">
        <v>3</v>
      </c>
      <c r="K1538" s="106" t="s">
        <v>4487</v>
      </c>
      <c r="L1538" s="104">
        <f t="shared" si="419"/>
        <v>46271</v>
      </c>
      <c r="M1538" s="105">
        <f ca="1" t="shared" si="420"/>
        <v>-42</v>
      </c>
      <c r="N1538" s="70"/>
      <c r="O1538" s="204" t="s">
        <v>3722</v>
      </c>
      <c r="P1538" s="70" t="s">
        <v>38</v>
      </c>
      <c r="Q1538" s="205" t="s">
        <v>4486</v>
      </c>
      <c r="R1538" s="71" t="s">
        <v>3387</v>
      </c>
      <c r="S1538" s="72"/>
      <c r="T1538" s="73"/>
      <c r="U1538" s="75"/>
      <c r="V1538" s="102">
        <v>46282</v>
      </c>
      <c r="W1538" s="70">
        <v>3</v>
      </c>
      <c r="X1538" s="103" t="s">
        <v>4488</v>
      </c>
      <c r="Y1538" s="104">
        <f t="shared" si="417"/>
        <v>46373</v>
      </c>
      <c r="Z1538" s="105">
        <f ca="1" t="shared" si="418"/>
        <v>60</v>
      </c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5"/>
      <c r="AO1538" s="115"/>
      <c r="AP1538" s="115"/>
      <c r="AQ1538" s="93"/>
      <c r="AR1538" s="93"/>
      <c r="AS1538" s="94"/>
      <c r="AT1538" s="95"/>
      <c r="AU1538" s="79"/>
      <c r="AV1538" s="117"/>
      <c r="AW1538" s="115"/>
      <c r="AX1538" s="106"/>
      <c r="AY1538" s="104"/>
      <c r="AZ1538" s="105"/>
    </row>
    <row r="1539" customHeight="1" spans="1:52">
      <c r="A1539" s="70">
        <v>1545</v>
      </c>
      <c r="B1539" s="204" t="s">
        <v>3722</v>
      </c>
      <c r="C1539" s="70" t="s">
        <v>38</v>
      </c>
      <c r="D1539" s="205" t="s">
        <v>4489</v>
      </c>
      <c r="E1539" s="71" t="s">
        <v>3387</v>
      </c>
      <c r="F1539" s="72"/>
      <c r="G1539" s="73"/>
      <c r="H1539" s="75"/>
      <c r="I1539" s="102">
        <v>46179</v>
      </c>
      <c r="J1539" s="70">
        <v>3</v>
      </c>
      <c r="K1539" s="106" t="s">
        <v>4490</v>
      </c>
      <c r="L1539" s="104">
        <f t="shared" si="419"/>
        <v>46271</v>
      </c>
      <c r="M1539" s="105">
        <f ca="1" t="shared" si="420"/>
        <v>-42</v>
      </c>
      <c r="N1539" s="70"/>
      <c r="O1539" s="204" t="s">
        <v>3722</v>
      </c>
      <c r="P1539" s="70" t="s">
        <v>38</v>
      </c>
      <c r="Q1539" s="205" t="s">
        <v>4489</v>
      </c>
      <c r="R1539" s="71" t="s">
        <v>3387</v>
      </c>
      <c r="S1539" s="72"/>
      <c r="T1539" s="73"/>
      <c r="U1539" s="75"/>
      <c r="V1539" s="102">
        <v>46282</v>
      </c>
      <c r="W1539" s="70">
        <v>3</v>
      </c>
      <c r="X1539" s="103" t="s">
        <v>4491</v>
      </c>
      <c r="Y1539" s="104">
        <f t="shared" si="417"/>
        <v>46373</v>
      </c>
      <c r="Z1539" s="105">
        <f ca="1" t="shared" si="418"/>
        <v>60</v>
      </c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5"/>
      <c r="AO1539" s="115"/>
      <c r="AP1539" s="115"/>
      <c r="AQ1539" s="93"/>
      <c r="AR1539" s="93"/>
      <c r="AS1539" s="94"/>
      <c r="AT1539" s="95"/>
      <c r="AU1539" s="79"/>
      <c r="AV1539" s="117"/>
      <c r="AW1539" s="115"/>
      <c r="AX1539" s="106"/>
      <c r="AY1539" s="104"/>
      <c r="AZ1539" s="105"/>
    </row>
    <row r="1540" customHeight="1" spans="1:52">
      <c r="A1540" s="70">
        <v>1546</v>
      </c>
      <c r="B1540" s="204" t="s">
        <v>3722</v>
      </c>
      <c r="C1540" s="70" t="s">
        <v>38</v>
      </c>
      <c r="D1540" s="205" t="s">
        <v>4492</v>
      </c>
      <c r="E1540" s="71" t="s">
        <v>3387</v>
      </c>
      <c r="F1540" s="72"/>
      <c r="G1540" s="73"/>
      <c r="H1540" s="75"/>
      <c r="I1540" s="102">
        <v>46179</v>
      </c>
      <c r="J1540" s="70">
        <v>3</v>
      </c>
      <c r="K1540" s="106" t="s">
        <v>4493</v>
      </c>
      <c r="L1540" s="104">
        <f t="shared" si="419"/>
        <v>46271</v>
      </c>
      <c r="M1540" s="105">
        <f ca="1" t="shared" si="420"/>
        <v>-42</v>
      </c>
      <c r="N1540" s="70"/>
      <c r="O1540" s="204" t="s">
        <v>3722</v>
      </c>
      <c r="P1540" s="70" t="s">
        <v>38</v>
      </c>
      <c r="Q1540" s="205" t="s">
        <v>4492</v>
      </c>
      <c r="R1540" s="71" t="s">
        <v>3387</v>
      </c>
      <c r="S1540" s="72"/>
      <c r="T1540" s="73"/>
      <c r="U1540" s="75"/>
      <c r="V1540" s="102">
        <v>46282</v>
      </c>
      <c r="W1540" s="70">
        <v>3</v>
      </c>
      <c r="X1540" s="103" t="s">
        <v>4494</v>
      </c>
      <c r="Y1540" s="104">
        <f t="shared" si="417"/>
        <v>46373</v>
      </c>
      <c r="Z1540" s="105">
        <f ca="1" t="shared" si="418"/>
        <v>60</v>
      </c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5"/>
      <c r="AO1540" s="115"/>
      <c r="AP1540" s="115"/>
      <c r="AQ1540" s="93"/>
      <c r="AR1540" s="93"/>
      <c r="AS1540" s="94"/>
      <c r="AT1540" s="95"/>
      <c r="AU1540" s="79"/>
      <c r="AV1540" s="117"/>
      <c r="AW1540" s="115"/>
      <c r="AX1540" s="106"/>
      <c r="AY1540" s="104"/>
      <c r="AZ1540" s="105"/>
    </row>
    <row r="1541" customHeight="1" spans="1:52">
      <c r="A1541" s="70">
        <v>1547</v>
      </c>
      <c r="B1541" s="204" t="s">
        <v>4128</v>
      </c>
      <c r="C1541" s="70" t="s">
        <v>13</v>
      </c>
      <c r="D1541" s="205" t="s">
        <v>4495</v>
      </c>
      <c r="E1541" s="71" t="s">
        <v>4496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4497</v>
      </c>
      <c r="L1541" s="104">
        <f t="shared" si="419"/>
        <v>46271</v>
      </c>
      <c r="M1541" s="105">
        <f ca="1" t="shared" si="420"/>
        <v>-42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>
        <f t="shared" si="417"/>
        <v>0</v>
      </c>
      <c r="Z1541" s="105">
        <f ca="1" t="shared" si="418"/>
        <v>-46313</v>
      </c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5"/>
      <c r="AO1541" s="115"/>
      <c r="AP1541" s="115"/>
      <c r="AQ1541" s="93"/>
      <c r="AR1541" s="93"/>
      <c r="AS1541" s="94"/>
      <c r="AT1541" s="95"/>
      <c r="AU1541" s="79"/>
      <c r="AV1541" s="117"/>
      <c r="AW1541" s="115"/>
      <c r="AX1541" s="106"/>
      <c r="AY1541" s="104"/>
      <c r="AZ1541" s="105"/>
    </row>
    <row r="1542" customHeight="1" spans="1:52">
      <c r="A1542" s="70">
        <v>1548</v>
      </c>
      <c r="B1542" s="204" t="s">
        <v>1380</v>
      </c>
      <c r="C1542" s="70" t="s">
        <v>13</v>
      </c>
      <c r="D1542" s="205" t="s">
        <v>4498</v>
      </c>
      <c r="E1542" s="71" t="s">
        <v>4499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4500</v>
      </c>
      <c r="L1542" s="104">
        <f t="shared" si="419"/>
        <v>46271</v>
      </c>
      <c r="M1542" s="105">
        <f ca="1" t="shared" si="420"/>
        <v>-42</v>
      </c>
      <c r="N1542" s="70"/>
      <c r="O1542" s="204" t="s">
        <v>1377</v>
      </c>
      <c r="P1542" s="70" t="s">
        <v>13</v>
      </c>
      <c r="Q1542" s="205" t="s">
        <v>4498</v>
      </c>
      <c r="R1542" s="71" t="s">
        <v>4499</v>
      </c>
      <c r="S1542" s="72"/>
      <c r="T1542" s="73"/>
      <c r="U1542" s="79" t="s">
        <v>16</v>
      </c>
      <c r="V1542" s="102">
        <v>46272</v>
      </c>
      <c r="W1542" s="70">
        <v>3</v>
      </c>
      <c r="X1542" s="103" t="s">
        <v>4501</v>
      </c>
      <c r="Y1542" s="104">
        <f t="shared" si="417"/>
        <v>46363</v>
      </c>
      <c r="Z1542" s="105">
        <f ca="1" t="shared" si="418"/>
        <v>50</v>
      </c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5"/>
      <c r="AO1542" s="115"/>
      <c r="AP1542" s="115"/>
      <c r="AQ1542" s="93"/>
      <c r="AR1542" s="93"/>
      <c r="AS1542" s="94"/>
      <c r="AT1542" s="95"/>
      <c r="AU1542" s="79"/>
      <c r="AV1542" s="117"/>
      <c r="AW1542" s="115"/>
      <c r="AX1542" s="106"/>
      <c r="AY1542" s="104"/>
      <c r="AZ1542" s="105"/>
    </row>
    <row r="1543" customHeight="1" spans="1:52">
      <c r="A1543" s="70">
        <v>1549</v>
      </c>
      <c r="B1543" s="108" t="s">
        <v>798</v>
      </c>
      <c r="C1543" s="70" t="s">
        <v>13</v>
      </c>
      <c r="D1543" s="205" t="s">
        <v>4502</v>
      </c>
      <c r="E1543" s="71" t="s">
        <v>4122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4503</v>
      </c>
      <c r="L1543" s="104">
        <f t="shared" si="419"/>
        <v>46271</v>
      </c>
      <c r="M1543" s="105">
        <f ca="1" t="shared" si="420"/>
        <v>-42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>
        <f t="shared" si="417"/>
        <v>0</v>
      </c>
      <c r="Z1543" s="105">
        <f ca="1" t="shared" si="418"/>
        <v>-46313</v>
      </c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5"/>
      <c r="AO1543" s="115"/>
      <c r="AP1543" s="115"/>
      <c r="AQ1543" s="93"/>
      <c r="AR1543" s="93"/>
      <c r="AS1543" s="94"/>
      <c r="AT1543" s="95"/>
      <c r="AU1543" s="79"/>
      <c r="AV1543" s="117"/>
      <c r="AW1543" s="115"/>
      <c r="AX1543" s="106"/>
      <c r="AY1543" s="104"/>
      <c r="AZ1543" s="105"/>
    </row>
    <row r="1544" customHeight="1" spans="1:52">
      <c r="A1544" s="70">
        <v>1550</v>
      </c>
      <c r="B1544" s="108" t="s">
        <v>798</v>
      </c>
      <c r="C1544" s="70" t="s">
        <v>13</v>
      </c>
      <c r="D1544" s="205" t="s">
        <v>4504</v>
      </c>
      <c r="E1544" s="71" t="s">
        <v>4505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4506</v>
      </c>
      <c r="L1544" s="104">
        <f t="shared" si="419"/>
        <v>46271</v>
      </c>
      <c r="M1544" s="105">
        <f ca="1" t="shared" si="420"/>
        <v>-42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>
        <f t="shared" si="417"/>
        <v>0</v>
      </c>
      <c r="Z1544" s="105">
        <f ca="1" t="shared" si="418"/>
        <v>-46313</v>
      </c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5"/>
      <c r="AO1544" s="115"/>
      <c r="AP1544" s="115"/>
      <c r="AQ1544" s="93"/>
      <c r="AR1544" s="93"/>
      <c r="AS1544" s="94"/>
      <c r="AT1544" s="95"/>
      <c r="AU1544" s="79"/>
      <c r="AV1544" s="117"/>
      <c r="AW1544" s="115"/>
      <c r="AX1544" s="106"/>
      <c r="AY1544" s="104"/>
      <c r="AZ1544" s="105"/>
    </row>
    <row r="1545" customHeight="1" spans="1:52">
      <c r="A1545" s="70">
        <v>1551</v>
      </c>
      <c r="B1545" s="204" t="s">
        <v>718</v>
      </c>
      <c r="C1545" s="70" t="s">
        <v>13</v>
      </c>
      <c r="D1545" s="205" t="s">
        <v>4507</v>
      </c>
      <c r="E1545" s="71" t="s">
        <v>4508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4509</v>
      </c>
      <c r="L1545" s="104">
        <f t="shared" si="419"/>
        <v>46271</v>
      </c>
      <c r="M1545" s="105">
        <f ca="1" t="shared" si="420"/>
        <v>-42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>
        <f t="shared" si="417"/>
        <v>0</v>
      </c>
      <c r="Z1545" s="105">
        <f ca="1" t="shared" si="418"/>
        <v>-46313</v>
      </c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5"/>
      <c r="AO1545" s="115"/>
      <c r="AP1545" s="115"/>
      <c r="AQ1545" s="93"/>
      <c r="AR1545" s="93"/>
      <c r="AS1545" s="94"/>
      <c r="AT1545" s="95"/>
      <c r="AU1545" s="79"/>
      <c r="AV1545" s="117"/>
      <c r="AW1545" s="115"/>
      <c r="AX1545" s="106"/>
      <c r="AY1545" s="104"/>
      <c r="AZ1545" s="105"/>
    </row>
    <row r="1546" customHeight="1" spans="1:52">
      <c r="A1546" s="70">
        <v>1553</v>
      </c>
      <c r="B1546" s="108" t="s">
        <v>798</v>
      </c>
      <c r="C1546" s="70" t="s">
        <v>264</v>
      </c>
      <c r="D1546" s="205" t="s">
        <v>4510</v>
      </c>
      <c r="E1546" s="71" t="s">
        <v>753</v>
      </c>
      <c r="F1546" s="72"/>
      <c r="G1546" s="73"/>
      <c r="H1546" s="151"/>
      <c r="I1546" s="102">
        <v>46179</v>
      </c>
      <c r="J1546" s="70">
        <v>3</v>
      </c>
      <c r="K1546" s="106" t="s">
        <v>4511</v>
      </c>
      <c r="L1546" s="104">
        <f t="shared" si="419"/>
        <v>46271</v>
      </c>
      <c r="M1546" s="105">
        <f ca="1" t="shared" si="420"/>
        <v>-42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>
        <f t="shared" si="417"/>
        <v>0</v>
      </c>
      <c r="Z1546" s="105">
        <f ca="1" t="shared" si="418"/>
        <v>-46313</v>
      </c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5"/>
      <c r="AO1546" s="115"/>
      <c r="AP1546" s="115"/>
      <c r="AQ1546" s="93"/>
      <c r="AR1546" s="93"/>
      <c r="AS1546" s="94"/>
      <c r="AT1546" s="95"/>
      <c r="AU1546" s="79"/>
      <c r="AV1546" s="117"/>
      <c r="AW1546" s="115"/>
      <c r="AX1546" s="106"/>
      <c r="AY1546" s="104"/>
      <c r="AZ1546" s="105"/>
    </row>
    <row r="1547" customHeight="1" spans="1:52">
      <c r="A1547" s="70">
        <v>1554</v>
      </c>
      <c r="B1547" s="204" t="s">
        <v>644</v>
      </c>
      <c r="C1547" s="70" t="s">
        <v>264</v>
      </c>
      <c r="D1547" s="205" t="s">
        <v>2433</v>
      </c>
      <c r="E1547" s="71" t="s">
        <v>753</v>
      </c>
      <c r="F1547" s="72"/>
      <c r="G1547" s="73"/>
      <c r="H1547" s="75"/>
      <c r="I1547" s="102">
        <v>46179</v>
      </c>
      <c r="J1547" s="70" t="s">
        <v>767</v>
      </c>
      <c r="K1547" s="106"/>
      <c r="L1547" s="104" t="e">
        <f t="shared" ref="L1547:L1558" si="421">EDATE(I1547,J1547)</f>
        <v>#VALUE!</v>
      </c>
      <c r="M1547" s="105" t="e">
        <f ca="1" t="shared" ref="M1547:M1558" si="422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>
        <f t="shared" si="417"/>
        <v>0</v>
      </c>
      <c r="Z1547" s="105">
        <f ca="1" t="shared" si="418"/>
        <v>-46313</v>
      </c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5"/>
      <c r="AO1547" s="115"/>
      <c r="AP1547" s="115"/>
      <c r="AQ1547" s="93"/>
      <c r="AR1547" s="93"/>
      <c r="AS1547" s="94"/>
      <c r="AT1547" s="95"/>
      <c r="AU1547" s="79"/>
      <c r="AV1547" s="117"/>
      <c r="AW1547" s="115"/>
      <c r="AX1547" s="106"/>
      <c r="AY1547" s="104"/>
      <c r="AZ1547" s="105"/>
    </row>
    <row r="1548" customHeight="1" spans="1:52">
      <c r="A1548" s="70">
        <v>1555</v>
      </c>
      <c r="B1548" s="70" t="s">
        <v>2120</v>
      </c>
      <c r="C1548" s="70" t="s">
        <v>38</v>
      </c>
      <c r="D1548" s="71" t="s">
        <v>4512</v>
      </c>
      <c r="E1548" s="71" t="s">
        <v>2122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4513</v>
      </c>
      <c r="L1548" s="104">
        <f t="shared" si="421"/>
        <v>46273</v>
      </c>
      <c r="M1548" s="105">
        <f ca="1" t="shared" si="422"/>
        <v>-40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>
        <f t="shared" si="417"/>
        <v>0</v>
      </c>
      <c r="Z1548" s="105">
        <f ca="1" t="shared" si="418"/>
        <v>-46313</v>
      </c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5"/>
      <c r="AO1548" s="115"/>
      <c r="AP1548" s="115"/>
      <c r="AQ1548" s="93"/>
      <c r="AR1548" s="93"/>
      <c r="AS1548" s="94"/>
      <c r="AT1548" s="95"/>
      <c r="AU1548" s="79"/>
      <c r="AV1548" s="117"/>
      <c r="AW1548" s="115"/>
      <c r="AX1548" s="106"/>
      <c r="AY1548" s="104"/>
      <c r="AZ1548" s="105"/>
    </row>
    <row r="1549" customHeight="1" spans="1:52">
      <c r="A1549" s="70">
        <v>1556</v>
      </c>
      <c r="B1549" s="70" t="s">
        <v>1359</v>
      </c>
      <c r="C1549" s="70" t="s">
        <v>13</v>
      </c>
      <c r="D1549" s="71" t="s">
        <v>4514</v>
      </c>
      <c r="E1549" s="71" t="s">
        <v>4515</v>
      </c>
      <c r="F1549" s="72"/>
      <c r="G1549" s="73"/>
      <c r="H1549" s="75"/>
      <c r="I1549" s="102">
        <v>46181</v>
      </c>
      <c r="J1549" s="70">
        <v>3</v>
      </c>
      <c r="K1549" s="106" t="s">
        <v>4516</v>
      </c>
      <c r="L1549" s="104">
        <f t="shared" si="421"/>
        <v>46273</v>
      </c>
      <c r="M1549" s="105">
        <f ca="1" t="shared" si="422"/>
        <v>-40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>
        <f t="shared" si="417"/>
        <v>0</v>
      </c>
      <c r="Z1549" s="105">
        <f ca="1" t="shared" si="418"/>
        <v>-46313</v>
      </c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5"/>
      <c r="AO1549" s="115"/>
      <c r="AP1549" s="115"/>
      <c r="AQ1549" s="93"/>
      <c r="AR1549" s="93"/>
      <c r="AS1549" s="94"/>
      <c r="AT1549" s="95"/>
      <c r="AU1549" s="79"/>
      <c r="AV1549" s="117"/>
      <c r="AW1549" s="115"/>
      <c r="AX1549" s="106"/>
      <c r="AY1549" s="104"/>
      <c r="AZ1549" s="105"/>
    </row>
    <row r="1550" customHeight="1" spans="1:52">
      <c r="A1550" s="70">
        <v>1557</v>
      </c>
      <c r="B1550" s="70" t="s">
        <v>1359</v>
      </c>
      <c r="C1550" s="70" t="s">
        <v>13</v>
      </c>
      <c r="D1550" s="71" t="s">
        <v>2714</v>
      </c>
      <c r="E1550" s="71" t="s">
        <v>2715</v>
      </c>
      <c r="F1550" s="72"/>
      <c r="G1550" s="73"/>
      <c r="H1550" s="74" t="s">
        <v>16</v>
      </c>
      <c r="I1550" s="102">
        <v>46181</v>
      </c>
      <c r="J1550" s="70" t="s">
        <v>767</v>
      </c>
      <c r="K1550" s="106"/>
      <c r="L1550" s="104" t="e">
        <f t="shared" si="421"/>
        <v>#VALUE!</v>
      </c>
      <c r="M1550" s="105" t="e">
        <f ca="1" t="shared" si="422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>
        <f t="shared" si="417"/>
        <v>0</v>
      </c>
      <c r="Z1550" s="105">
        <f ca="1" t="shared" si="418"/>
        <v>-46313</v>
      </c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5"/>
      <c r="AO1550" s="115"/>
      <c r="AP1550" s="115"/>
      <c r="AQ1550" s="93"/>
      <c r="AR1550" s="93"/>
      <c r="AS1550" s="94"/>
      <c r="AT1550" s="95"/>
      <c r="AU1550" s="79"/>
      <c r="AV1550" s="117"/>
      <c r="AW1550" s="115"/>
      <c r="AX1550" s="106"/>
      <c r="AY1550" s="104"/>
      <c r="AZ1550" s="105"/>
    </row>
    <row r="1551" customHeight="1" spans="1:52">
      <c r="A1551" s="70">
        <v>1558</v>
      </c>
      <c r="B1551" s="70" t="s">
        <v>4233</v>
      </c>
      <c r="C1551" s="70" t="s">
        <v>264</v>
      </c>
      <c r="D1551" s="71" t="s">
        <v>4517</v>
      </c>
      <c r="E1551" s="71" t="s">
        <v>4392</v>
      </c>
      <c r="F1551" s="72"/>
      <c r="G1551" s="73"/>
      <c r="H1551" s="75"/>
      <c r="I1551" s="102">
        <v>46181</v>
      </c>
      <c r="J1551" s="70">
        <v>3</v>
      </c>
      <c r="K1551" s="106" t="s">
        <v>4518</v>
      </c>
      <c r="L1551" s="104">
        <f t="shared" si="421"/>
        <v>46273</v>
      </c>
      <c r="M1551" s="105">
        <f ca="1" t="shared" si="422"/>
        <v>-40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>
        <f t="shared" si="417"/>
        <v>0</v>
      </c>
      <c r="Z1551" s="105">
        <f ca="1" t="shared" si="418"/>
        <v>-46313</v>
      </c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5"/>
      <c r="AO1551" s="115"/>
      <c r="AP1551" s="115"/>
      <c r="AQ1551" s="93"/>
      <c r="AR1551" s="93"/>
      <c r="AS1551" s="94"/>
      <c r="AT1551" s="95"/>
      <c r="AU1551" s="79"/>
      <c r="AV1551" s="117"/>
      <c r="AW1551" s="115"/>
      <c r="AX1551" s="106"/>
      <c r="AY1551" s="104"/>
      <c r="AZ1551" s="105"/>
    </row>
    <row r="1552" customHeight="1" spans="1:52">
      <c r="A1552" s="70">
        <v>1559</v>
      </c>
      <c r="B1552" s="204" t="s">
        <v>644</v>
      </c>
      <c r="C1552" s="70" t="s">
        <v>264</v>
      </c>
      <c r="D1552" s="205" t="s">
        <v>1922</v>
      </c>
      <c r="E1552" s="71" t="s">
        <v>266</v>
      </c>
      <c r="F1552" s="72"/>
      <c r="G1552" s="73"/>
      <c r="H1552" s="75"/>
      <c r="I1552" s="102">
        <v>46181</v>
      </c>
      <c r="J1552" s="70" t="s">
        <v>767</v>
      </c>
      <c r="K1552" s="106"/>
      <c r="L1552" s="104" t="e">
        <f t="shared" si="421"/>
        <v>#VALUE!</v>
      </c>
      <c r="M1552" s="105" t="e">
        <f ca="1" t="shared" si="422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>
        <f t="shared" si="417"/>
        <v>0</v>
      </c>
      <c r="Z1552" s="105">
        <f ca="1" t="shared" si="418"/>
        <v>-46313</v>
      </c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5"/>
      <c r="AO1552" s="115"/>
      <c r="AP1552" s="115"/>
      <c r="AQ1552" s="93"/>
      <c r="AR1552" s="93"/>
      <c r="AS1552" s="94"/>
      <c r="AT1552" s="95"/>
      <c r="AU1552" s="79"/>
      <c r="AV1552" s="117"/>
      <c r="AW1552" s="115"/>
      <c r="AX1552" s="106"/>
      <c r="AY1552" s="104"/>
      <c r="AZ1552" s="105"/>
    </row>
    <row r="1553" customHeight="1" spans="1:52">
      <c r="A1553" s="70">
        <v>1560</v>
      </c>
      <c r="B1553" s="204" t="s">
        <v>1234</v>
      </c>
      <c r="C1553" s="70" t="s">
        <v>264</v>
      </c>
      <c r="D1553" s="205" t="s">
        <v>1235</v>
      </c>
      <c r="E1553" s="71" t="s">
        <v>264</v>
      </c>
      <c r="F1553" s="72"/>
      <c r="G1553" s="73"/>
      <c r="H1553" s="75"/>
      <c r="I1553" s="102">
        <v>46181</v>
      </c>
      <c r="J1553" s="70" t="s">
        <v>767</v>
      </c>
      <c r="K1553" s="106"/>
      <c r="L1553" s="104" t="e">
        <f t="shared" si="421"/>
        <v>#VALUE!</v>
      </c>
      <c r="M1553" s="105" t="e">
        <f ca="1" t="shared" si="422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>
        <f t="shared" si="417"/>
        <v>0</v>
      </c>
      <c r="Z1553" s="105">
        <f ca="1" t="shared" si="418"/>
        <v>-46313</v>
      </c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5"/>
      <c r="AO1553" s="115"/>
      <c r="AP1553" s="115"/>
      <c r="AQ1553" s="93"/>
      <c r="AR1553" s="93"/>
      <c r="AS1553" s="94"/>
      <c r="AT1553" s="95"/>
      <c r="AU1553" s="79"/>
      <c r="AV1553" s="117"/>
      <c r="AW1553" s="115"/>
      <c r="AX1553" s="106"/>
      <c r="AY1553" s="104"/>
      <c r="AZ1553" s="105"/>
    </row>
    <row r="1554" customHeight="1" spans="1:52">
      <c r="A1554" s="70">
        <v>1561</v>
      </c>
      <c r="B1554" s="204" t="s">
        <v>2058</v>
      </c>
      <c r="C1554" s="70" t="s">
        <v>264</v>
      </c>
      <c r="D1554" s="205" t="s">
        <v>4519</v>
      </c>
      <c r="E1554" s="71" t="s">
        <v>4520</v>
      </c>
      <c r="F1554" s="72"/>
      <c r="G1554" s="73"/>
      <c r="H1554" s="75"/>
      <c r="I1554" s="102">
        <v>46182</v>
      </c>
      <c r="J1554" s="70">
        <v>3</v>
      </c>
      <c r="K1554" s="106" t="s">
        <v>4521</v>
      </c>
      <c r="L1554" s="104">
        <f t="shared" si="421"/>
        <v>46274</v>
      </c>
      <c r="M1554" s="105">
        <f ca="1" t="shared" si="422"/>
        <v>-39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>
        <f t="shared" si="417"/>
        <v>0</v>
      </c>
      <c r="Z1554" s="105">
        <f ca="1" t="shared" si="418"/>
        <v>-46313</v>
      </c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5"/>
      <c r="AO1554" s="115"/>
      <c r="AP1554" s="115"/>
      <c r="AQ1554" s="93"/>
      <c r="AR1554" s="93"/>
      <c r="AS1554" s="94"/>
      <c r="AT1554" s="95"/>
      <c r="AU1554" s="79"/>
      <c r="AV1554" s="117"/>
      <c r="AW1554" s="115"/>
      <c r="AX1554" s="106"/>
      <c r="AY1554" s="104"/>
      <c r="AZ1554" s="105"/>
    </row>
    <row r="1555" customHeight="1" spans="1:52">
      <c r="A1555" s="70">
        <v>1562</v>
      </c>
      <c r="B1555" s="70" t="s">
        <v>4522</v>
      </c>
      <c r="C1555" s="70" t="s">
        <v>38</v>
      </c>
      <c r="D1555" s="71" t="s">
        <v>4523</v>
      </c>
      <c r="E1555" s="71" t="s">
        <v>1395</v>
      </c>
      <c r="F1555" s="72"/>
      <c r="G1555" s="73"/>
      <c r="H1555" s="75"/>
      <c r="I1555" s="102">
        <v>46182</v>
      </c>
      <c r="J1555" s="70">
        <v>3</v>
      </c>
      <c r="K1555" s="106" t="s">
        <v>4524</v>
      </c>
      <c r="L1555" s="104">
        <f t="shared" si="421"/>
        <v>46274</v>
      </c>
      <c r="M1555" s="105">
        <f ca="1" t="shared" si="422"/>
        <v>-39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>
        <f t="shared" si="417"/>
        <v>0</v>
      </c>
      <c r="Z1555" s="105">
        <f ca="1" t="shared" si="418"/>
        <v>-46313</v>
      </c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5"/>
      <c r="AO1555" s="115"/>
      <c r="AP1555" s="115"/>
      <c r="AQ1555" s="93"/>
      <c r="AR1555" s="93"/>
      <c r="AS1555" s="94"/>
      <c r="AT1555" s="95"/>
      <c r="AU1555" s="79"/>
      <c r="AV1555" s="117"/>
      <c r="AW1555" s="115"/>
      <c r="AX1555" s="106"/>
      <c r="AY1555" s="104"/>
      <c r="AZ1555" s="105"/>
    </row>
    <row r="1556" customHeight="1" spans="1:52">
      <c r="A1556" s="70">
        <v>1563</v>
      </c>
      <c r="B1556" s="204" t="s">
        <v>263</v>
      </c>
      <c r="C1556" s="70" t="s">
        <v>264</v>
      </c>
      <c r="D1556" s="205" t="s">
        <v>2433</v>
      </c>
      <c r="E1556" s="71" t="s">
        <v>753</v>
      </c>
      <c r="F1556" s="72"/>
      <c r="G1556" s="73"/>
      <c r="H1556" s="75"/>
      <c r="I1556" s="102">
        <v>46182</v>
      </c>
      <c r="J1556" s="70">
        <v>3</v>
      </c>
      <c r="K1556" s="106" t="s">
        <v>4525</v>
      </c>
      <c r="L1556" s="104">
        <f t="shared" si="421"/>
        <v>46274</v>
      </c>
      <c r="M1556" s="105">
        <f ca="1" t="shared" si="422"/>
        <v>-39</v>
      </c>
      <c r="N1556" s="70"/>
      <c r="O1556" s="204" t="s">
        <v>263</v>
      </c>
      <c r="P1556" s="70" t="s">
        <v>264</v>
      </c>
      <c r="Q1556" s="205" t="s">
        <v>2433</v>
      </c>
      <c r="R1556" s="71" t="s">
        <v>753</v>
      </c>
      <c r="S1556" s="72"/>
      <c r="T1556" s="73"/>
      <c r="U1556" s="75"/>
      <c r="V1556" s="102">
        <v>46275</v>
      </c>
      <c r="W1556" s="70">
        <v>3</v>
      </c>
      <c r="X1556" s="103" t="s">
        <v>4526</v>
      </c>
      <c r="Y1556" s="104">
        <f t="shared" si="417"/>
        <v>46366</v>
      </c>
      <c r="Z1556" s="105">
        <f ca="1" t="shared" si="418"/>
        <v>53</v>
      </c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5"/>
      <c r="AO1556" s="115"/>
      <c r="AP1556" s="115"/>
      <c r="AQ1556" s="93"/>
      <c r="AR1556" s="93"/>
      <c r="AS1556" s="94"/>
      <c r="AT1556" s="95"/>
      <c r="AU1556" s="79"/>
      <c r="AV1556" s="117"/>
      <c r="AW1556" s="115"/>
      <c r="AX1556" s="106"/>
      <c r="AY1556" s="104"/>
      <c r="AZ1556" s="105"/>
    </row>
    <row r="1557" customHeight="1" spans="1:52">
      <c r="A1557" s="70">
        <v>1564</v>
      </c>
      <c r="B1557" s="204" t="s">
        <v>263</v>
      </c>
      <c r="C1557" s="70" t="s">
        <v>264</v>
      </c>
      <c r="D1557" s="205" t="s">
        <v>1922</v>
      </c>
      <c r="E1557" s="71" t="s">
        <v>753</v>
      </c>
      <c r="F1557" s="72"/>
      <c r="G1557" s="73"/>
      <c r="H1557" s="75"/>
      <c r="I1557" s="102">
        <v>46182</v>
      </c>
      <c r="J1557" s="70">
        <v>3</v>
      </c>
      <c r="K1557" s="106" t="s">
        <v>4527</v>
      </c>
      <c r="L1557" s="104">
        <f t="shared" si="421"/>
        <v>46274</v>
      </c>
      <c r="M1557" s="105">
        <f ca="1" t="shared" si="422"/>
        <v>-39</v>
      </c>
      <c r="N1557" s="70"/>
      <c r="O1557" s="204" t="s">
        <v>263</v>
      </c>
      <c r="P1557" s="70" t="s">
        <v>264</v>
      </c>
      <c r="Q1557" s="205" t="s">
        <v>1922</v>
      </c>
      <c r="R1557" s="71" t="s">
        <v>753</v>
      </c>
      <c r="S1557" s="72"/>
      <c r="T1557" s="73"/>
      <c r="U1557" s="75"/>
      <c r="V1557" s="102">
        <v>46277</v>
      </c>
      <c r="W1557" s="70">
        <v>3</v>
      </c>
      <c r="X1557" s="103" t="s">
        <v>4528</v>
      </c>
      <c r="Y1557" s="104">
        <f t="shared" si="417"/>
        <v>46368</v>
      </c>
      <c r="Z1557" s="105">
        <f ca="1" t="shared" si="418"/>
        <v>55</v>
      </c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5"/>
      <c r="AO1557" s="115"/>
      <c r="AP1557" s="115"/>
      <c r="AQ1557" s="93"/>
      <c r="AR1557" s="93"/>
      <c r="AS1557" s="94"/>
      <c r="AT1557" s="95"/>
      <c r="AU1557" s="79"/>
      <c r="AV1557" s="117"/>
      <c r="AW1557" s="115"/>
      <c r="AX1557" s="106"/>
      <c r="AY1557" s="104"/>
      <c r="AZ1557" s="105"/>
    </row>
    <row r="1558" customHeight="1" spans="1:52">
      <c r="A1558" s="70">
        <v>1565</v>
      </c>
      <c r="B1558" s="204" t="s">
        <v>1359</v>
      </c>
      <c r="C1558" s="70" t="s">
        <v>13</v>
      </c>
      <c r="D1558" s="205" t="s">
        <v>4529</v>
      </c>
      <c r="E1558" s="71" t="s">
        <v>1361</v>
      </c>
      <c r="F1558" s="72"/>
      <c r="G1558" s="73"/>
      <c r="H1558" s="75"/>
      <c r="I1558" s="102">
        <v>46182</v>
      </c>
      <c r="J1558" s="70">
        <v>3</v>
      </c>
      <c r="K1558" s="106" t="s">
        <v>4530</v>
      </c>
      <c r="L1558" s="104">
        <f t="shared" si="421"/>
        <v>46274</v>
      </c>
      <c r="M1558" s="105">
        <f ca="1" t="shared" si="422"/>
        <v>-39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>
        <f t="shared" si="417"/>
        <v>0</v>
      </c>
      <c r="Z1558" s="105">
        <f ca="1" t="shared" si="418"/>
        <v>-46313</v>
      </c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5"/>
      <c r="AO1558" s="115"/>
      <c r="AP1558" s="115"/>
      <c r="AQ1558" s="93"/>
      <c r="AR1558" s="93"/>
      <c r="AS1558" s="94"/>
      <c r="AT1558" s="95"/>
      <c r="AU1558" s="79"/>
      <c r="AV1558" s="117"/>
      <c r="AW1558" s="115"/>
      <c r="AX1558" s="106"/>
      <c r="AY1558" s="104"/>
      <c r="AZ1558" s="105"/>
    </row>
    <row r="1559" customHeight="1" spans="1:52">
      <c r="A1559" s="70">
        <v>1566</v>
      </c>
      <c r="B1559" s="204" t="s">
        <v>1359</v>
      </c>
      <c r="C1559" s="70" t="s">
        <v>13</v>
      </c>
      <c r="D1559" s="205" t="s">
        <v>4531</v>
      </c>
      <c r="E1559" s="71" t="s">
        <v>4532</v>
      </c>
      <c r="F1559" s="72"/>
      <c r="G1559" s="73"/>
      <c r="H1559" s="75"/>
      <c r="I1559" s="102">
        <v>46182</v>
      </c>
      <c r="J1559" s="70">
        <v>3</v>
      </c>
      <c r="K1559" s="106" t="s">
        <v>4533</v>
      </c>
      <c r="L1559" s="104">
        <f t="shared" ref="L1558:L1580" si="423">EDATE(I1559,J1559)</f>
        <v>46274</v>
      </c>
      <c r="M1559" s="105">
        <f ca="1" t="shared" ref="M1558:M1580" si="424">L1559-TODAY()</f>
        <v>-39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>
        <f t="shared" si="417"/>
        <v>0</v>
      </c>
      <c r="Z1559" s="105">
        <f ca="1" t="shared" si="418"/>
        <v>-46313</v>
      </c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5"/>
      <c r="AO1559" s="115"/>
      <c r="AP1559" s="115"/>
      <c r="AQ1559" s="93"/>
      <c r="AR1559" s="93"/>
      <c r="AS1559" s="94"/>
      <c r="AT1559" s="95"/>
      <c r="AU1559" s="79"/>
      <c r="AV1559" s="117"/>
      <c r="AW1559" s="115"/>
      <c r="AX1559" s="106"/>
      <c r="AY1559" s="104"/>
      <c r="AZ1559" s="105"/>
    </row>
    <row r="1560" customHeight="1" spans="1:52">
      <c r="A1560" s="70">
        <v>1567</v>
      </c>
      <c r="B1560" s="204" t="s">
        <v>1359</v>
      </c>
      <c r="C1560" s="70" t="s">
        <v>13</v>
      </c>
      <c r="D1560" s="205" t="s">
        <v>4534</v>
      </c>
      <c r="E1560" s="71" t="s">
        <v>4535</v>
      </c>
      <c r="F1560" s="72"/>
      <c r="G1560" s="73"/>
      <c r="H1560" s="75"/>
      <c r="I1560" s="102">
        <v>46182</v>
      </c>
      <c r="J1560" s="70">
        <v>3</v>
      </c>
      <c r="K1560" s="106" t="s">
        <v>4536</v>
      </c>
      <c r="L1560" s="104">
        <f t="shared" si="423"/>
        <v>46274</v>
      </c>
      <c r="M1560" s="105">
        <f ca="1" t="shared" si="424"/>
        <v>-39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>
        <f t="shared" si="417"/>
        <v>0</v>
      </c>
      <c r="Z1560" s="105">
        <f ca="1" t="shared" si="418"/>
        <v>-46313</v>
      </c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5"/>
      <c r="AO1560" s="115"/>
      <c r="AP1560" s="115"/>
      <c r="AQ1560" s="93"/>
      <c r="AR1560" s="93"/>
      <c r="AS1560" s="94"/>
      <c r="AT1560" s="95"/>
      <c r="AU1560" s="79"/>
      <c r="AV1560" s="117"/>
      <c r="AW1560" s="115"/>
      <c r="AX1560" s="106"/>
      <c r="AY1560" s="104"/>
      <c r="AZ1560" s="105"/>
    </row>
    <row r="1561" customHeight="1" spans="1:52">
      <c r="A1561" s="70">
        <v>1568</v>
      </c>
      <c r="B1561" s="204" t="s">
        <v>1359</v>
      </c>
      <c r="C1561" s="70" t="s">
        <v>13</v>
      </c>
      <c r="D1561" s="205" t="s">
        <v>4537</v>
      </c>
      <c r="E1561" s="71" t="s">
        <v>4538</v>
      </c>
      <c r="F1561" s="72"/>
      <c r="G1561" s="73"/>
      <c r="H1561" s="75"/>
      <c r="I1561" s="102">
        <v>46182</v>
      </c>
      <c r="J1561" s="70">
        <v>3</v>
      </c>
      <c r="K1561" s="106" t="s">
        <v>4539</v>
      </c>
      <c r="L1561" s="104">
        <f t="shared" si="423"/>
        <v>46274</v>
      </c>
      <c r="M1561" s="105">
        <f ca="1" t="shared" si="424"/>
        <v>-39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>
        <f t="shared" si="417"/>
        <v>0</v>
      </c>
      <c r="Z1561" s="105">
        <f ca="1" t="shared" si="418"/>
        <v>-46313</v>
      </c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5"/>
      <c r="AO1561" s="115"/>
      <c r="AP1561" s="115"/>
      <c r="AQ1561" s="93"/>
      <c r="AR1561" s="93"/>
      <c r="AS1561" s="94"/>
      <c r="AT1561" s="95"/>
      <c r="AU1561" s="79"/>
      <c r="AV1561" s="117"/>
      <c r="AW1561" s="115"/>
      <c r="AX1561" s="106"/>
      <c r="AY1561" s="104"/>
      <c r="AZ1561" s="105"/>
    </row>
    <row r="1562" customHeight="1" spans="1:52">
      <c r="A1562" s="70">
        <v>1569</v>
      </c>
      <c r="B1562" s="204" t="s">
        <v>1359</v>
      </c>
      <c r="C1562" s="70" t="s">
        <v>13</v>
      </c>
      <c r="D1562" s="205" t="s">
        <v>4540</v>
      </c>
      <c r="E1562" s="71" t="s">
        <v>4541</v>
      </c>
      <c r="F1562" s="72"/>
      <c r="G1562" s="73"/>
      <c r="H1562" s="75"/>
      <c r="I1562" s="102">
        <v>46182</v>
      </c>
      <c r="J1562" s="70">
        <v>3</v>
      </c>
      <c r="K1562" s="106" t="s">
        <v>4542</v>
      </c>
      <c r="L1562" s="104">
        <f t="shared" si="423"/>
        <v>46274</v>
      </c>
      <c r="M1562" s="105">
        <f ca="1" t="shared" si="424"/>
        <v>-39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>
        <f t="shared" si="417"/>
        <v>0</v>
      </c>
      <c r="Z1562" s="105">
        <f ca="1" t="shared" si="418"/>
        <v>-46313</v>
      </c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5"/>
      <c r="AO1562" s="115"/>
      <c r="AP1562" s="115"/>
      <c r="AQ1562" s="93"/>
      <c r="AR1562" s="93"/>
      <c r="AS1562" s="94"/>
      <c r="AT1562" s="95"/>
      <c r="AU1562" s="79"/>
      <c r="AV1562" s="117"/>
      <c r="AW1562" s="115"/>
      <c r="AX1562" s="106"/>
      <c r="AY1562" s="104"/>
      <c r="AZ1562" s="105"/>
    </row>
    <row r="1563" customHeight="1" spans="1:52">
      <c r="A1563" s="70">
        <v>1570</v>
      </c>
      <c r="B1563" s="204" t="s">
        <v>1359</v>
      </c>
      <c r="C1563" s="70" t="s">
        <v>13</v>
      </c>
      <c r="D1563" s="205" t="s">
        <v>4543</v>
      </c>
      <c r="E1563" s="71" t="s">
        <v>1364</v>
      </c>
      <c r="F1563" s="72"/>
      <c r="G1563" s="73"/>
      <c r="H1563" s="75"/>
      <c r="I1563" s="102">
        <v>46182</v>
      </c>
      <c r="J1563" s="70">
        <v>3</v>
      </c>
      <c r="K1563" s="106" t="s">
        <v>4544</v>
      </c>
      <c r="L1563" s="104">
        <f t="shared" si="423"/>
        <v>46274</v>
      </c>
      <c r="M1563" s="105">
        <f ca="1" t="shared" si="424"/>
        <v>-39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>
        <f t="shared" si="417"/>
        <v>0</v>
      </c>
      <c r="Z1563" s="105">
        <f ca="1" t="shared" si="418"/>
        <v>-46313</v>
      </c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5"/>
      <c r="AO1563" s="115"/>
      <c r="AP1563" s="115"/>
      <c r="AQ1563" s="93"/>
      <c r="AR1563" s="93"/>
      <c r="AS1563" s="94"/>
      <c r="AT1563" s="95"/>
      <c r="AU1563" s="79"/>
      <c r="AV1563" s="117"/>
      <c r="AW1563" s="115"/>
      <c r="AX1563" s="106"/>
      <c r="AY1563" s="104"/>
      <c r="AZ1563" s="105"/>
    </row>
    <row r="1564" customHeight="1" spans="1:52">
      <c r="A1564" s="70">
        <v>1571</v>
      </c>
      <c r="B1564" s="204" t="s">
        <v>1359</v>
      </c>
      <c r="C1564" s="70" t="s">
        <v>13</v>
      </c>
      <c r="D1564" s="205" t="s">
        <v>4545</v>
      </c>
      <c r="E1564" s="71" t="s">
        <v>4546</v>
      </c>
      <c r="F1564" s="72"/>
      <c r="G1564" s="73"/>
      <c r="H1564" s="75"/>
      <c r="I1564" s="102">
        <v>46182</v>
      </c>
      <c r="J1564" s="70">
        <v>3</v>
      </c>
      <c r="K1564" s="106" t="s">
        <v>4547</v>
      </c>
      <c r="L1564" s="104">
        <f t="shared" si="423"/>
        <v>46274</v>
      </c>
      <c r="M1564" s="105">
        <f ca="1" t="shared" si="424"/>
        <v>-39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>
        <f t="shared" si="417"/>
        <v>0</v>
      </c>
      <c r="Z1564" s="105">
        <f ca="1" t="shared" si="418"/>
        <v>-46313</v>
      </c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5"/>
      <c r="AO1564" s="115"/>
      <c r="AP1564" s="115"/>
      <c r="AQ1564" s="93"/>
      <c r="AR1564" s="93"/>
      <c r="AS1564" s="94"/>
      <c r="AT1564" s="95"/>
      <c r="AU1564" s="79"/>
      <c r="AV1564" s="117"/>
      <c r="AW1564" s="115"/>
      <c r="AX1564" s="106"/>
      <c r="AY1564" s="104"/>
      <c r="AZ1564" s="105"/>
    </row>
    <row r="1565" customHeight="1" spans="1:52">
      <c r="A1565" s="70">
        <v>1572</v>
      </c>
      <c r="B1565" s="204" t="s">
        <v>1359</v>
      </c>
      <c r="C1565" s="70" t="s">
        <v>13</v>
      </c>
      <c r="D1565" s="205" t="s">
        <v>2626</v>
      </c>
      <c r="E1565" s="71" t="s">
        <v>2388</v>
      </c>
      <c r="F1565" s="72"/>
      <c r="G1565" s="73"/>
      <c r="H1565" s="75"/>
      <c r="I1565" s="102">
        <v>46182</v>
      </c>
      <c r="J1565" s="70" t="s">
        <v>767</v>
      </c>
      <c r="K1565" s="106"/>
      <c r="L1565" s="104" t="e">
        <f t="shared" si="423"/>
        <v>#VALUE!</v>
      </c>
      <c r="M1565" s="105" t="e">
        <f ca="1" t="shared" si="424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>
        <f t="shared" si="417"/>
        <v>0</v>
      </c>
      <c r="Z1565" s="105">
        <f ca="1" t="shared" si="418"/>
        <v>-46313</v>
      </c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5"/>
      <c r="AO1565" s="115"/>
      <c r="AP1565" s="115"/>
      <c r="AQ1565" s="93"/>
      <c r="AR1565" s="93"/>
      <c r="AS1565" s="94"/>
      <c r="AT1565" s="95"/>
      <c r="AU1565" s="79"/>
      <c r="AV1565" s="117"/>
      <c r="AW1565" s="115"/>
      <c r="AX1565" s="106"/>
      <c r="AY1565" s="104"/>
      <c r="AZ1565" s="105"/>
    </row>
    <row r="1566" customHeight="1" spans="1:52">
      <c r="A1566" s="70">
        <v>1573</v>
      </c>
      <c r="B1566" s="204" t="s">
        <v>263</v>
      </c>
      <c r="C1566" s="70" t="s">
        <v>264</v>
      </c>
      <c r="D1566" s="205" t="s">
        <v>763</v>
      </c>
      <c r="E1566" s="71" t="s">
        <v>764</v>
      </c>
      <c r="F1566" s="72"/>
      <c r="G1566" s="73"/>
      <c r="H1566" s="75"/>
      <c r="I1566" s="102">
        <v>46182</v>
      </c>
      <c r="J1566" s="70" t="s">
        <v>767</v>
      </c>
      <c r="K1566" s="106" t="s">
        <v>4548</v>
      </c>
      <c r="L1566" s="104" t="e">
        <f t="shared" si="423"/>
        <v>#VALUE!</v>
      </c>
      <c r="M1566" s="105" t="e">
        <f ca="1" t="shared" si="424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>
        <f t="shared" si="417"/>
        <v>0</v>
      </c>
      <c r="Z1566" s="105">
        <f ca="1" t="shared" si="418"/>
        <v>-46313</v>
      </c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5"/>
      <c r="AO1566" s="115"/>
      <c r="AP1566" s="115"/>
      <c r="AQ1566" s="93"/>
      <c r="AR1566" s="93"/>
      <c r="AS1566" s="94"/>
      <c r="AT1566" s="95"/>
      <c r="AU1566" s="79"/>
      <c r="AV1566" s="117"/>
      <c r="AW1566" s="115"/>
      <c r="AX1566" s="106"/>
      <c r="AY1566" s="104"/>
      <c r="AZ1566" s="105"/>
    </row>
    <row r="1567" customHeight="1" spans="1:52">
      <c r="A1567" s="70">
        <v>1574</v>
      </c>
      <c r="B1567" s="204" t="s">
        <v>74</v>
      </c>
      <c r="C1567" s="70" t="s">
        <v>38</v>
      </c>
      <c r="D1567" s="205" t="s">
        <v>4549</v>
      </c>
      <c r="E1567" s="71" t="s">
        <v>820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4550</v>
      </c>
      <c r="L1567" s="104">
        <f t="shared" si="423"/>
        <v>46275</v>
      </c>
      <c r="M1567" s="105">
        <f ca="1" t="shared" si="424"/>
        <v>-38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>
        <f t="shared" si="417"/>
        <v>0</v>
      </c>
      <c r="Z1567" s="105">
        <f ca="1" t="shared" si="418"/>
        <v>-46313</v>
      </c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5"/>
      <c r="AO1567" s="115"/>
      <c r="AP1567" s="115"/>
      <c r="AQ1567" s="93"/>
      <c r="AR1567" s="93"/>
      <c r="AS1567" s="94"/>
      <c r="AT1567" s="95"/>
      <c r="AU1567" s="79"/>
      <c r="AV1567" s="117"/>
      <c r="AW1567" s="115"/>
      <c r="AX1567" s="106"/>
      <c r="AY1567" s="104"/>
      <c r="AZ1567" s="105"/>
    </row>
    <row r="1568" customHeight="1" spans="1:52">
      <c r="A1568" s="70">
        <v>1575</v>
      </c>
      <c r="B1568" s="204" t="s">
        <v>74</v>
      </c>
      <c r="C1568" s="70" t="s">
        <v>13</v>
      </c>
      <c r="D1568" s="205" t="s">
        <v>4551</v>
      </c>
      <c r="E1568" s="71" t="s">
        <v>1688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4552</v>
      </c>
      <c r="L1568" s="104">
        <f t="shared" si="423"/>
        <v>46275</v>
      </c>
      <c r="M1568" s="105">
        <f ca="1" t="shared" si="424"/>
        <v>-38</v>
      </c>
      <c r="N1568" s="70"/>
      <c r="O1568" s="204" t="s">
        <v>74</v>
      </c>
      <c r="P1568" s="70" t="s">
        <v>13</v>
      </c>
      <c r="Q1568" s="205" t="s">
        <v>4551</v>
      </c>
      <c r="R1568" s="71" t="s">
        <v>1688</v>
      </c>
      <c r="S1568" s="72"/>
      <c r="T1568" s="73"/>
      <c r="U1568" s="74" t="s">
        <v>16</v>
      </c>
      <c r="V1568" s="102">
        <v>46281</v>
      </c>
      <c r="W1568" s="70">
        <v>3</v>
      </c>
      <c r="X1568" s="103" t="s">
        <v>4553</v>
      </c>
      <c r="Y1568" s="104">
        <f t="shared" si="417"/>
        <v>46372</v>
      </c>
      <c r="Z1568" s="105">
        <f ca="1" t="shared" si="418"/>
        <v>59</v>
      </c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5"/>
      <c r="AO1568" s="115"/>
      <c r="AP1568" s="115"/>
      <c r="AQ1568" s="93"/>
      <c r="AR1568" s="93"/>
      <c r="AS1568" s="94"/>
      <c r="AT1568" s="95"/>
      <c r="AU1568" s="79"/>
      <c r="AV1568" s="117"/>
      <c r="AW1568" s="115"/>
      <c r="AX1568" s="106"/>
      <c r="AY1568" s="104"/>
      <c r="AZ1568" s="105"/>
    </row>
    <row r="1569" customHeight="1" spans="1:52">
      <c r="A1569" s="70">
        <v>1576</v>
      </c>
      <c r="B1569" s="204" t="s">
        <v>798</v>
      </c>
      <c r="C1569" s="70" t="s">
        <v>38</v>
      </c>
      <c r="D1569" s="205" t="s">
        <v>4554</v>
      </c>
      <c r="E1569" s="71" t="s">
        <v>332</v>
      </c>
      <c r="F1569" s="72"/>
      <c r="G1569" s="73"/>
      <c r="H1569" s="75"/>
      <c r="I1569" s="102">
        <v>46183</v>
      </c>
      <c r="J1569" s="70">
        <v>3</v>
      </c>
      <c r="K1569" s="106" t="s">
        <v>4555</v>
      </c>
      <c r="L1569" s="104">
        <f t="shared" si="423"/>
        <v>46275</v>
      </c>
      <c r="M1569" s="105">
        <f ca="1" t="shared" si="424"/>
        <v>-38</v>
      </c>
      <c r="N1569" s="70"/>
      <c r="O1569" s="204" t="s">
        <v>798</v>
      </c>
      <c r="P1569" s="70" t="s">
        <v>38</v>
      </c>
      <c r="Q1569" s="205" t="s">
        <v>4554</v>
      </c>
      <c r="R1569" s="71" t="s">
        <v>332</v>
      </c>
      <c r="S1569" s="72"/>
      <c r="T1569" s="73"/>
      <c r="U1569" s="75"/>
      <c r="V1569" s="102">
        <v>46275</v>
      </c>
      <c r="W1569" s="70">
        <v>3</v>
      </c>
      <c r="X1569" s="103" t="s">
        <v>4556</v>
      </c>
      <c r="Y1569" s="104">
        <f t="shared" si="417"/>
        <v>46366</v>
      </c>
      <c r="Z1569" s="105">
        <f ca="1" t="shared" si="418"/>
        <v>53</v>
      </c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5"/>
      <c r="AO1569" s="115"/>
      <c r="AP1569" s="115"/>
      <c r="AQ1569" s="93"/>
      <c r="AR1569" s="93"/>
      <c r="AS1569" s="94"/>
      <c r="AT1569" s="95"/>
      <c r="AU1569" s="79"/>
      <c r="AV1569" s="117"/>
      <c r="AW1569" s="115"/>
      <c r="AX1569" s="106"/>
      <c r="AY1569" s="104"/>
      <c r="AZ1569" s="105"/>
    </row>
    <row r="1570" customHeight="1" spans="1:52">
      <c r="A1570" s="70">
        <v>1577</v>
      </c>
      <c r="B1570" s="204" t="s">
        <v>1359</v>
      </c>
      <c r="C1570" s="70" t="s">
        <v>13</v>
      </c>
      <c r="D1570" s="205" t="s">
        <v>4557</v>
      </c>
      <c r="E1570" s="71" t="s">
        <v>4558</v>
      </c>
      <c r="F1570" s="72"/>
      <c r="G1570" s="73"/>
      <c r="H1570" s="75"/>
      <c r="I1570" s="102">
        <v>46183</v>
      </c>
      <c r="J1570" s="70">
        <v>3</v>
      </c>
      <c r="K1570" s="106" t="s">
        <v>4559</v>
      </c>
      <c r="L1570" s="104">
        <f t="shared" si="423"/>
        <v>46275</v>
      </c>
      <c r="M1570" s="105">
        <f ca="1" t="shared" si="424"/>
        <v>-38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>
        <f t="shared" si="417"/>
        <v>0</v>
      </c>
      <c r="Z1570" s="105">
        <f ca="1" t="shared" si="418"/>
        <v>-46313</v>
      </c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5"/>
      <c r="AO1570" s="115"/>
      <c r="AP1570" s="115"/>
      <c r="AQ1570" s="93"/>
      <c r="AR1570" s="93"/>
      <c r="AS1570" s="94"/>
      <c r="AT1570" s="95"/>
      <c r="AU1570" s="79"/>
      <c r="AV1570" s="117"/>
      <c r="AW1570" s="115"/>
      <c r="AX1570" s="106"/>
      <c r="AY1570" s="104"/>
      <c r="AZ1570" s="105"/>
    </row>
    <row r="1571" customHeight="1" spans="1:52">
      <c r="A1571" s="70">
        <v>1578</v>
      </c>
      <c r="B1571" s="108" t="s">
        <v>1918</v>
      </c>
      <c r="C1571" s="70" t="s">
        <v>264</v>
      </c>
      <c r="D1571" s="205" t="s">
        <v>955</v>
      </c>
      <c r="E1571" s="71" t="s">
        <v>753</v>
      </c>
      <c r="F1571" s="72"/>
      <c r="G1571" s="73"/>
      <c r="H1571" s="75"/>
      <c r="I1571" s="102">
        <v>46183</v>
      </c>
      <c r="J1571" s="70" t="s">
        <v>767</v>
      </c>
      <c r="K1571" s="106"/>
      <c r="L1571" s="104" t="e">
        <f t="shared" si="423"/>
        <v>#VALUE!</v>
      </c>
      <c r="M1571" s="105" t="e">
        <f ca="1" t="shared" si="424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>
        <f t="shared" si="417"/>
        <v>0</v>
      </c>
      <c r="Z1571" s="105">
        <f ca="1" t="shared" si="418"/>
        <v>-46313</v>
      </c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5"/>
      <c r="AO1571" s="115"/>
      <c r="AP1571" s="115"/>
      <c r="AQ1571" s="93"/>
      <c r="AR1571" s="93"/>
      <c r="AS1571" s="94"/>
      <c r="AT1571" s="95"/>
      <c r="AU1571" s="79"/>
      <c r="AV1571" s="117"/>
      <c r="AW1571" s="115"/>
      <c r="AX1571" s="106"/>
      <c r="AY1571" s="104"/>
      <c r="AZ1571" s="105"/>
    </row>
    <row r="1572" customHeight="1" spans="1:52">
      <c r="A1572" s="70">
        <v>1579</v>
      </c>
      <c r="B1572" s="204" t="s">
        <v>644</v>
      </c>
      <c r="C1572" s="70" t="s">
        <v>264</v>
      </c>
      <c r="D1572" s="205" t="s">
        <v>2433</v>
      </c>
      <c r="E1572" s="71" t="s">
        <v>753</v>
      </c>
      <c r="F1572" s="72"/>
      <c r="G1572" s="73"/>
      <c r="H1572" s="75"/>
      <c r="I1572" s="102">
        <v>46183</v>
      </c>
      <c r="J1572" s="70" t="s">
        <v>767</v>
      </c>
      <c r="K1572" s="106"/>
      <c r="L1572" s="104" t="e">
        <f t="shared" si="423"/>
        <v>#VALUE!</v>
      </c>
      <c r="M1572" s="105" t="e">
        <f ca="1" t="shared" si="424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>
        <f t="shared" si="417"/>
        <v>0</v>
      </c>
      <c r="Z1572" s="105">
        <f ca="1" t="shared" si="418"/>
        <v>-46313</v>
      </c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5"/>
      <c r="AO1572" s="115"/>
      <c r="AP1572" s="115"/>
      <c r="AQ1572" s="93"/>
      <c r="AR1572" s="93"/>
      <c r="AS1572" s="94"/>
      <c r="AT1572" s="95"/>
      <c r="AU1572" s="79"/>
      <c r="AV1572" s="117"/>
      <c r="AW1572" s="115"/>
      <c r="AX1572" s="106"/>
      <c r="AY1572" s="104"/>
      <c r="AZ1572" s="105"/>
    </row>
    <row r="1573" customHeight="1" spans="1:52">
      <c r="A1573" s="70">
        <v>1580</v>
      </c>
      <c r="B1573" s="70" t="s">
        <v>1205</v>
      </c>
      <c r="C1573" s="70" t="s">
        <v>13</v>
      </c>
      <c r="D1573" s="71" t="s">
        <v>4560</v>
      </c>
      <c r="E1573" s="71" t="s">
        <v>76</v>
      </c>
      <c r="F1573" s="72"/>
      <c r="G1573" s="73"/>
      <c r="H1573" s="75"/>
      <c r="I1573" s="102">
        <v>46184</v>
      </c>
      <c r="J1573" s="70">
        <v>3</v>
      </c>
      <c r="K1573" s="106" t="s">
        <v>4561</v>
      </c>
      <c r="L1573" s="104">
        <f t="shared" si="423"/>
        <v>46276</v>
      </c>
      <c r="M1573" s="105">
        <f ca="1" t="shared" si="424"/>
        <v>-37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>
        <f t="shared" si="417"/>
        <v>0</v>
      </c>
      <c r="Z1573" s="105">
        <f ca="1" t="shared" si="418"/>
        <v>-46313</v>
      </c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5"/>
      <c r="AO1573" s="115"/>
      <c r="AP1573" s="115"/>
      <c r="AQ1573" s="93"/>
      <c r="AR1573" s="93"/>
      <c r="AS1573" s="94"/>
      <c r="AT1573" s="95"/>
      <c r="AU1573" s="79"/>
      <c r="AV1573" s="117"/>
      <c r="AW1573" s="115"/>
      <c r="AX1573" s="106"/>
      <c r="AY1573" s="104"/>
      <c r="AZ1573" s="105"/>
    </row>
    <row r="1574" customHeight="1" spans="1:52">
      <c r="A1574" s="70">
        <v>1582</v>
      </c>
      <c r="B1574" s="204" t="s">
        <v>3559</v>
      </c>
      <c r="C1574" s="70" t="s">
        <v>264</v>
      </c>
      <c r="D1574" s="205" t="s">
        <v>4562</v>
      </c>
      <c r="E1574" s="71" t="s">
        <v>3954</v>
      </c>
      <c r="F1574" s="72"/>
      <c r="G1574" s="73"/>
      <c r="H1574" s="75"/>
      <c r="I1574" s="102">
        <v>46184</v>
      </c>
      <c r="J1574" s="70">
        <v>3</v>
      </c>
      <c r="K1574" s="106" t="s">
        <v>4563</v>
      </c>
      <c r="L1574" s="104">
        <f t="shared" si="423"/>
        <v>46276</v>
      </c>
      <c r="M1574" s="105">
        <f ca="1" t="shared" si="424"/>
        <v>-37</v>
      </c>
      <c r="N1574" s="70"/>
      <c r="O1574" s="204" t="s">
        <v>3559</v>
      </c>
      <c r="P1574" s="70" t="s">
        <v>264</v>
      </c>
      <c r="Q1574" s="205" t="s">
        <v>4562</v>
      </c>
      <c r="R1574" s="71" t="s">
        <v>3954</v>
      </c>
      <c r="S1574" s="72"/>
      <c r="T1574" s="73"/>
      <c r="U1574" s="75"/>
      <c r="V1574" s="102">
        <v>46272</v>
      </c>
      <c r="W1574" s="70">
        <v>3</v>
      </c>
      <c r="X1574" s="103" t="s">
        <v>4564</v>
      </c>
      <c r="Y1574" s="104">
        <f t="shared" si="417"/>
        <v>46363</v>
      </c>
      <c r="Z1574" s="105">
        <f ca="1" t="shared" si="418"/>
        <v>50</v>
      </c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5"/>
      <c r="AO1574" s="115"/>
      <c r="AP1574" s="115"/>
      <c r="AQ1574" s="93"/>
      <c r="AR1574" s="93"/>
      <c r="AS1574" s="94"/>
      <c r="AT1574" s="95"/>
      <c r="AU1574" s="79"/>
      <c r="AV1574" s="117"/>
      <c r="AW1574" s="115"/>
      <c r="AX1574" s="106"/>
      <c r="AY1574" s="104"/>
      <c r="AZ1574" s="105"/>
    </row>
    <row r="1575" customHeight="1" spans="1:52">
      <c r="A1575" s="70">
        <v>1583</v>
      </c>
      <c r="B1575" s="204" t="s">
        <v>3559</v>
      </c>
      <c r="C1575" s="70" t="s">
        <v>264</v>
      </c>
      <c r="D1575" s="205" t="s">
        <v>4565</v>
      </c>
      <c r="E1575" s="71" t="s">
        <v>4392</v>
      </c>
      <c r="F1575" s="72"/>
      <c r="G1575" s="73"/>
      <c r="H1575" s="75"/>
      <c r="I1575" s="102">
        <v>46184</v>
      </c>
      <c r="J1575" s="70">
        <v>3</v>
      </c>
      <c r="K1575" s="106" t="s">
        <v>4566</v>
      </c>
      <c r="L1575" s="104">
        <f t="shared" si="423"/>
        <v>46276</v>
      </c>
      <c r="M1575" s="105">
        <f ca="1" t="shared" si="424"/>
        <v>-37</v>
      </c>
      <c r="N1575" s="70"/>
      <c r="O1575" s="204" t="s">
        <v>3559</v>
      </c>
      <c r="P1575" s="70" t="s">
        <v>264</v>
      </c>
      <c r="Q1575" s="205" t="s">
        <v>4565</v>
      </c>
      <c r="R1575" s="71" t="s">
        <v>4392</v>
      </c>
      <c r="S1575" s="72"/>
      <c r="T1575" s="73"/>
      <c r="U1575" s="75"/>
      <c r="V1575" s="102">
        <v>46277</v>
      </c>
      <c r="W1575" s="70">
        <v>3</v>
      </c>
      <c r="X1575" s="103" t="s">
        <v>4567</v>
      </c>
      <c r="Y1575" s="104">
        <f t="shared" si="417"/>
        <v>46368</v>
      </c>
      <c r="Z1575" s="105">
        <f ca="1" t="shared" si="418"/>
        <v>55</v>
      </c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5"/>
      <c r="AO1575" s="115"/>
      <c r="AP1575" s="115"/>
      <c r="AQ1575" s="93"/>
      <c r="AR1575" s="93"/>
      <c r="AS1575" s="94"/>
      <c r="AT1575" s="95"/>
      <c r="AU1575" s="79"/>
      <c r="AV1575" s="117"/>
      <c r="AW1575" s="115"/>
      <c r="AX1575" s="106"/>
      <c r="AY1575" s="104"/>
      <c r="AZ1575" s="105"/>
    </row>
    <row r="1576" customHeight="1" spans="1:52">
      <c r="A1576" s="70">
        <v>1584</v>
      </c>
      <c r="B1576" s="204" t="s">
        <v>281</v>
      </c>
      <c r="C1576" s="70" t="s">
        <v>264</v>
      </c>
      <c r="D1576" s="205" t="s">
        <v>4568</v>
      </c>
      <c r="E1576" s="71" t="s">
        <v>4569</v>
      </c>
      <c r="F1576" s="72"/>
      <c r="G1576" s="73"/>
      <c r="H1576" s="75"/>
      <c r="I1576" s="102">
        <v>46184</v>
      </c>
      <c r="J1576" s="70">
        <v>3</v>
      </c>
      <c r="K1576" s="106" t="s">
        <v>4570</v>
      </c>
      <c r="L1576" s="104">
        <f t="shared" si="423"/>
        <v>46276</v>
      </c>
      <c r="M1576" s="105">
        <f ca="1" t="shared" si="424"/>
        <v>-37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>
        <f t="shared" si="417"/>
        <v>0</v>
      </c>
      <c r="Z1576" s="105">
        <f ca="1" t="shared" si="418"/>
        <v>-46313</v>
      </c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5"/>
      <c r="AO1576" s="115"/>
      <c r="AP1576" s="115"/>
      <c r="AQ1576" s="93"/>
      <c r="AR1576" s="93"/>
      <c r="AS1576" s="94"/>
      <c r="AT1576" s="95"/>
      <c r="AU1576" s="79"/>
      <c r="AV1576" s="117"/>
      <c r="AW1576" s="115"/>
      <c r="AX1576" s="106"/>
      <c r="AY1576" s="104"/>
      <c r="AZ1576" s="105"/>
    </row>
    <row r="1577" customHeight="1" spans="1:52">
      <c r="A1577" s="70">
        <v>1585</v>
      </c>
      <c r="B1577" s="213" t="s">
        <v>4233</v>
      </c>
      <c r="C1577" s="70" t="s">
        <v>264</v>
      </c>
      <c r="D1577" s="205" t="s">
        <v>4571</v>
      </c>
      <c r="E1577" s="71" t="s">
        <v>753</v>
      </c>
      <c r="F1577" s="72"/>
      <c r="G1577" s="73"/>
      <c r="H1577" s="75"/>
      <c r="I1577" s="102">
        <v>46184</v>
      </c>
      <c r="J1577" s="70">
        <v>3</v>
      </c>
      <c r="K1577" s="106" t="s">
        <v>4572</v>
      </c>
      <c r="L1577" s="104">
        <f t="shared" si="423"/>
        <v>46276</v>
      </c>
      <c r="M1577" s="105">
        <f ca="1" t="shared" si="424"/>
        <v>-37</v>
      </c>
      <c r="N1577" s="70"/>
      <c r="O1577" s="213" t="s">
        <v>4233</v>
      </c>
      <c r="P1577" s="70" t="s">
        <v>264</v>
      </c>
      <c r="Q1577" s="205" t="s">
        <v>4571</v>
      </c>
      <c r="R1577" s="71" t="s">
        <v>753</v>
      </c>
      <c r="S1577" s="72"/>
      <c r="T1577" s="73"/>
      <c r="U1577" s="75"/>
      <c r="V1577" s="102">
        <v>46284</v>
      </c>
      <c r="W1577" s="70">
        <v>3</v>
      </c>
      <c r="X1577" s="103" t="s">
        <v>4573</v>
      </c>
      <c r="Y1577" s="104">
        <f t="shared" si="417"/>
        <v>46375</v>
      </c>
      <c r="Z1577" s="105">
        <f ca="1" t="shared" si="418"/>
        <v>62</v>
      </c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5"/>
      <c r="AO1577" s="115"/>
      <c r="AP1577" s="115"/>
      <c r="AQ1577" s="93"/>
      <c r="AR1577" s="93"/>
      <c r="AS1577" s="94"/>
      <c r="AT1577" s="95"/>
      <c r="AU1577" s="79"/>
      <c r="AV1577" s="117"/>
      <c r="AW1577" s="115"/>
      <c r="AX1577" s="106"/>
      <c r="AY1577" s="104"/>
      <c r="AZ1577" s="105"/>
    </row>
    <row r="1578" customHeight="1" spans="1:52">
      <c r="A1578" s="70">
        <v>1586</v>
      </c>
      <c r="B1578" s="204" t="s">
        <v>644</v>
      </c>
      <c r="C1578" s="70" t="s">
        <v>264</v>
      </c>
      <c r="D1578" s="205" t="s">
        <v>1922</v>
      </c>
      <c r="E1578" s="71" t="s">
        <v>753</v>
      </c>
      <c r="F1578" s="72"/>
      <c r="G1578" s="73"/>
      <c r="H1578" s="75"/>
      <c r="I1578" s="102">
        <v>46184</v>
      </c>
      <c r="J1578" s="70" t="s">
        <v>767</v>
      </c>
      <c r="K1578" s="106"/>
      <c r="L1578" s="104" t="e">
        <f t="shared" si="423"/>
        <v>#VALUE!</v>
      </c>
      <c r="M1578" s="105" t="e">
        <f ca="1" t="shared" si="424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>
        <f t="shared" si="417"/>
        <v>0</v>
      </c>
      <c r="Z1578" s="105">
        <f ca="1" t="shared" si="418"/>
        <v>-46313</v>
      </c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5"/>
      <c r="AO1578" s="115"/>
      <c r="AP1578" s="115"/>
      <c r="AQ1578" s="93"/>
      <c r="AR1578" s="93"/>
      <c r="AS1578" s="94"/>
      <c r="AT1578" s="95"/>
      <c r="AU1578" s="79"/>
      <c r="AV1578" s="117"/>
      <c r="AW1578" s="115"/>
      <c r="AX1578" s="106"/>
      <c r="AY1578" s="104"/>
      <c r="AZ1578" s="105"/>
    </row>
    <row r="1579" customHeight="1" spans="1:52">
      <c r="A1579" s="70">
        <v>1587</v>
      </c>
      <c r="B1579" s="204" t="s">
        <v>644</v>
      </c>
      <c r="C1579" s="70" t="s">
        <v>264</v>
      </c>
      <c r="D1579" s="205" t="s">
        <v>2433</v>
      </c>
      <c r="E1579" s="71" t="s">
        <v>753</v>
      </c>
      <c r="F1579" s="72"/>
      <c r="G1579" s="73"/>
      <c r="H1579" s="75"/>
      <c r="I1579" s="102">
        <v>46184</v>
      </c>
      <c r="J1579" s="70" t="s">
        <v>767</v>
      </c>
      <c r="K1579" s="106"/>
      <c r="L1579" s="104" t="e">
        <f t="shared" si="423"/>
        <v>#VALUE!</v>
      </c>
      <c r="M1579" s="105" t="e">
        <f ca="1" t="shared" si="424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>
        <f t="shared" si="417"/>
        <v>0</v>
      </c>
      <c r="Z1579" s="105">
        <f ca="1" t="shared" si="418"/>
        <v>-46313</v>
      </c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5"/>
      <c r="AO1579" s="115"/>
      <c r="AP1579" s="115"/>
      <c r="AQ1579" s="93"/>
      <c r="AR1579" s="93"/>
      <c r="AS1579" s="94"/>
      <c r="AT1579" s="95"/>
      <c r="AU1579" s="79"/>
      <c r="AV1579" s="117"/>
      <c r="AW1579" s="115"/>
      <c r="AX1579" s="106"/>
      <c r="AY1579" s="104"/>
      <c r="AZ1579" s="105"/>
    </row>
    <row r="1580" customHeight="1" spans="1:52">
      <c r="A1580" s="70">
        <v>1588</v>
      </c>
      <c r="B1580" s="204" t="s">
        <v>281</v>
      </c>
      <c r="C1580" s="70" t="s">
        <v>264</v>
      </c>
      <c r="D1580" s="205" t="s">
        <v>4295</v>
      </c>
      <c r="E1580" s="71" t="s">
        <v>364</v>
      </c>
      <c r="F1580" s="72"/>
      <c r="G1580" s="73"/>
      <c r="H1580" s="75"/>
      <c r="I1580" s="102">
        <v>46184</v>
      </c>
      <c r="J1580" s="70" t="s">
        <v>767</v>
      </c>
      <c r="K1580" s="106"/>
      <c r="L1580" s="104" t="e">
        <f t="shared" si="423"/>
        <v>#VALUE!</v>
      </c>
      <c r="M1580" s="105" t="e">
        <f ca="1" t="shared" si="424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>
        <f t="shared" si="417"/>
        <v>0</v>
      </c>
      <c r="Z1580" s="105">
        <f ca="1" t="shared" si="418"/>
        <v>-46313</v>
      </c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5"/>
      <c r="AO1580" s="115"/>
      <c r="AP1580" s="115"/>
      <c r="AQ1580" s="93"/>
      <c r="AR1580" s="93"/>
      <c r="AS1580" s="94"/>
      <c r="AT1580" s="95"/>
      <c r="AU1580" s="79"/>
      <c r="AV1580" s="117"/>
      <c r="AW1580" s="115"/>
      <c r="AX1580" s="106"/>
      <c r="AY1580" s="104"/>
      <c r="AZ1580" s="105"/>
    </row>
    <row r="1581" customHeight="1" spans="1:52">
      <c r="A1581" s="70">
        <v>1589</v>
      </c>
      <c r="B1581" s="108" t="s">
        <v>3559</v>
      </c>
      <c r="C1581" s="70" t="s">
        <v>264</v>
      </c>
      <c r="D1581" s="205" t="s">
        <v>4574</v>
      </c>
      <c r="E1581" s="71" t="s">
        <v>3954</v>
      </c>
      <c r="F1581" s="72"/>
      <c r="G1581" s="73"/>
      <c r="H1581" s="75"/>
      <c r="I1581" s="102">
        <v>46185</v>
      </c>
      <c r="J1581" s="70">
        <v>3</v>
      </c>
      <c r="K1581" s="106" t="s">
        <v>4575</v>
      </c>
      <c r="L1581" s="104">
        <f t="shared" ref="L1581:L1601" si="425">EDATE(I1581,J1581)</f>
        <v>46277</v>
      </c>
      <c r="M1581" s="105">
        <f ca="1" t="shared" ref="M1581:M1601" si="426">L1581-TODAY()</f>
        <v>-36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>
        <f t="shared" si="417"/>
        <v>0</v>
      </c>
      <c r="Z1581" s="105">
        <f ca="1" t="shared" si="418"/>
        <v>-46313</v>
      </c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5"/>
      <c r="AO1581" s="115"/>
      <c r="AP1581" s="115"/>
      <c r="AQ1581" s="93"/>
      <c r="AR1581" s="93"/>
      <c r="AS1581" s="94"/>
      <c r="AT1581" s="95"/>
      <c r="AU1581" s="79"/>
      <c r="AV1581" s="117"/>
      <c r="AW1581" s="115"/>
      <c r="AX1581" s="106"/>
      <c r="AY1581" s="104"/>
      <c r="AZ1581" s="105"/>
    </row>
    <row r="1582" customHeight="1" spans="1:52">
      <c r="A1582" s="70">
        <v>1590</v>
      </c>
      <c r="B1582" s="108" t="s">
        <v>3559</v>
      </c>
      <c r="C1582" s="70" t="s">
        <v>264</v>
      </c>
      <c r="D1582" s="205" t="s">
        <v>4576</v>
      </c>
      <c r="E1582" s="71" t="s">
        <v>4577</v>
      </c>
      <c r="F1582" s="72"/>
      <c r="G1582" s="73"/>
      <c r="H1582" s="75"/>
      <c r="I1582" s="102">
        <v>46185</v>
      </c>
      <c r="J1582" s="70">
        <v>3</v>
      </c>
      <c r="K1582" s="106" t="s">
        <v>4578</v>
      </c>
      <c r="L1582" s="104">
        <f t="shared" si="425"/>
        <v>46277</v>
      </c>
      <c r="M1582" s="105">
        <f ca="1" t="shared" si="426"/>
        <v>-36</v>
      </c>
      <c r="N1582" s="70"/>
      <c r="O1582" s="108" t="s">
        <v>3559</v>
      </c>
      <c r="P1582" s="70" t="s">
        <v>264</v>
      </c>
      <c r="Q1582" s="205" t="s">
        <v>4576</v>
      </c>
      <c r="R1582" s="71" t="s">
        <v>4577</v>
      </c>
      <c r="S1582" s="72"/>
      <c r="T1582" s="73"/>
      <c r="U1582" s="75"/>
      <c r="V1582" s="102">
        <v>46261</v>
      </c>
      <c r="W1582" s="70">
        <v>3</v>
      </c>
      <c r="X1582" s="103" t="s">
        <v>4579</v>
      </c>
      <c r="Y1582" s="104">
        <f t="shared" si="417"/>
        <v>46353</v>
      </c>
      <c r="Z1582" s="105">
        <f ca="1" t="shared" si="418"/>
        <v>40</v>
      </c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5"/>
      <c r="AO1582" s="115"/>
      <c r="AP1582" s="115"/>
      <c r="AQ1582" s="93"/>
      <c r="AR1582" s="93"/>
      <c r="AS1582" s="94"/>
      <c r="AT1582" s="95"/>
      <c r="AU1582" s="79"/>
      <c r="AV1582" s="117"/>
      <c r="AW1582" s="115"/>
      <c r="AX1582" s="106"/>
      <c r="AY1582" s="104"/>
      <c r="AZ1582" s="105"/>
    </row>
    <row r="1583" customHeight="1" spans="1:52">
      <c r="A1583" s="70">
        <v>1591</v>
      </c>
      <c r="B1583" s="108" t="s">
        <v>3559</v>
      </c>
      <c r="C1583" s="70" t="s">
        <v>264</v>
      </c>
      <c r="D1583" s="205" t="s">
        <v>4580</v>
      </c>
      <c r="E1583" s="71" t="s">
        <v>3954</v>
      </c>
      <c r="F1583" s="72"/>
      <c r="G1583" s="73"/>
      <c r="H1583" s="75"/>
      <c r="I1583" s="102">
        <v>46185</v>
      </c>
      <c r="J1583" s="70">
        <v>3</v>
      </c>
      <c r="K1583" s="106" t="s">
        <v>4581</v>
      </c>
      <c r="L1583" s="104">
        <f t="shared" si="425"/>
        <v>46277</v>
      </c>
      <c r="M1583" s="105">
        <f ca="1" t="shared" si="426"/>
        <v>-36</v>
      </c>
      <c r="N1583" s="70"/>
      <c r="O1583" s="108" t="s">
        <v>3559</v>
      </c>
      <c r="P1583" s="70" t="s">
        <v>264</v>
      </c>
      <c r="Q1583" s="205" t="s">
        <v>4580</v>
      </c>
      <c r="R1583" s="71" t="s">
        <v>3954</v>
      </c>
      <c r="S1583" s="72"/>
      <c r="T1583" s="73"/>
      <c r="U1583" s="75"/>
      <c r="V1583" s="102">
        <v>46277</v>
      </c>
      <c r="W1583" s="70">
        <v>3</v>
      </c>
      <c r="X1583" s="103" t="s">
        <v>4582</v>
      </c>
      <c r="Y1583" s="104">
        <f t="shared" si="417"/>
        <v>46368</v>
      </c>
      <c r="Z1583" s="105">
        <f ca="1" t="shared" si="418"/>
        <v>55</v>
      </c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5"/>
      <c r="AO1583" s="115"/>
      <c r="AP1583" s="115"/>
      <c r="AQ1583" s="93"/>
      <c r="AR1583" s="93"/>
      <c r="AS1583" s="94"/>
      <c r="AT1583" s="95"/>
      <c r="AU1583" s="79"/>
      <c r="AV1583" s="117"/>
      <c r="AW1583" s="115"/>
      <c r="AX1583" s="106"/>
      <c r="AY1583" s="104"/>
      <c r="AZ1583" s="105"/>
    </row>
    <row r="1584" customHeight="1" spans="1:52">
      <c r="A1584" s="70">
        <v>1592</v>
      </c>
      <c r="B1584" s="204" t="s">
        <v>4583</v>
      </c>
      <c r="C1584" s="70" t="s">
        <v>38</v>
      </c>
      <c r="D1584" s="205" t="s">
        <v>4584</v>
      </c>
      <c r="E1584" s="71" t="s">
        <v>332</v>
      </c>
      <c r="F1584" s="72"/>
      <c r="G1584" s="73"/>
      <c r="H1584" s="75"/>
      <c r="I1584" s="102">
        <v>46185</v>
      </c>
      <c r="J1584" s="70">
        <v>3</v>
      </c>
      <c r="K1584" s="106" t="s">
        <v>4585</v>
      </c>
      <c r="L1584" s="104">
        <f t="shared" si="425"/>
        <v>46277</v>
      </c>
      <c r="M1584" s="105">
        <f ca="1" t="shared" si="426"/>
        <v>-36</v>
      </c>
      <c r="N1584" s="70"/>
      <c r="O1584" s="204" t="s">
        <v>4583</v>
      </c>
      <c r="P1584" s="70" t="s">
        <v>38</v>
      </c>
      <c r="Q1584" s="205" t="s">
        <v>4584</v>
      </c>
      <c r="R1584" s="71" t="s">
        <v>332</v>
      </c>
      <c r="S1584" s="72"/>
      <c r="T1584" s="73"/>
      <c r="U1584" s="75"/>
      <c r="V1584" s="102">
        <v>46264</v>
      </c>
      <c r="W1584" s="70">
        <v>3</v>
      </c>
      <c r="X1584" s="103" t="s">
        <v>4586</v>
      </c>
      <c r="Y1584" s="104">
        <f t="shared" ref="Y1582:Y1616" si="427">EDATE(V1584,W1584)</f>
        <v>46356</v>
      </c>
      <c r="Z1584" s="105">
        <f ca="1" t="shared" ref="Z1582:Z1616" si="428">Y1584-TODAY()</f>
        <v>43</v>
      </c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5"/>
      <c r="AO1584" s="115"/>
      <c r="AP1584" s="115"/>
      <c r="AQ1584" s="93"/>
      <c r="AR1584" s="93"/>
      <c r="AS1584" s="94"/>
      <c r="AT1584" s="95"/>
      <c r="AU1584" s="79"/>
      <c r="AV1584" s="117"/>
      <c r="AW1584" s="115"/>
      <c r="AX1584" s="106"/>
      <c r="AY1584" s="104"/>
      <c r="AZ1584" s="105"/>
    </row>
    <row r="1585" customHeight="1" spans="1:52">
      <c r="A1585" s="70">
        <v>1593</v>
      </c>
      <c r="B1585" s="108" t="s">
        <v>718</v>
      </c>
      <c r="C1585" s="70" t="s">
        <v>38</v>
      </c>
      <c r="D1585" s="205" t="s">
        <v>4587</v>
      </c>
      <c r="E1585" s="71" t="s">
        <v>332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4588</v>
      </c>
      <c r="L1585" s="104">
        <f t="shared" si="425"/>
        <v>46277</v>
      </c>
      <c r="M1585" s="105">
        <f ca="1" t="shared" si="426"/>
        <v>-36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>
        <f t="shared" si="427"/>
        <v>0</v>
      </c>
      <c r="Z1585" s="105">
        <f ca="1" t="shared" si="428"/>
        <v>-46313</v>
      </c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5"/>
      <c r="AO1585" s="115"/>
      <c r="AP1585" s="115"/>
      <c r="AQ1585" s="93"/>
      <c r="AR1585" s="93"/>
      <c r="AS1585" s="94"/>
      <c r="AT1585" s="95"/>
      <c r="AU1585" s="79"/>
      <c r="AV1585" s="117"/>
      <c r="AW1585" s="115"/>
      <c r="AX1585" s="106"/>
      <c r="AY1585" s="104"/>
      <c r="AZ1585" s="105"/>
    </row>
    <row r="1586" customHeight="1" spans="1:52">
      <c r="A1586" s="70">
        <v>1594</v>
      </c>
      <c r="B1586" s="204" t="s">
        <v>4589</v>
      </c>
      <c r="C1586" s="70" t="s">
        <v>38</v>
      </c>
      <c r="D1586" s="205" t="s">
        <v>4590</v>
      </c>
      <c r="E1586" s="71" t="s">
        <v>4591</v>
      </c>
      <c r="F1586" s="72"/>
      <c r="G1586" s="73"/>
      <c r="H1586" s="75"/>
      <c r="I1586" s="102">
        <v>46185</v>
      </c>
      <c r="J1586" s="70">
        <v>3</v>
      </c>
      <c r="K1586" s="106" t="s">
        <v>4592</v>
      </c>
      <c r="L1586" s="104">
        <f t="shared" si="425"/>
        <v>46277</v>
      </c>
      <c r="M1586" s="105">
        <f ca="1" t="shared" si="426"/>
        <v>-36</v>
      </c>
      <c r="N1586" s="70"/>
      <c r="O1586" s="204" t="s">
        <v>4589</v>
      </c>
      <c r="P1586" s="70" t="s">
        <v>38</v>
      </c>
      <c r="Q1586" s="205" t="s">
        <v>4590</v>
      </c>
      <c r="R1586" s="71" t="s">
        <v>4591</v>
      </c>
      <c r="S1586" s="72"/>
      <c r="T1586" s="73"/>
      <c r="U1586" s="75"/>
      <c r="V1586" s="102">
        <v>46264</v>
      </c>
      <c r="W1586" s="70">
        <v>3</v>
      </c>
      <c r="X1586" s="103" t="s">
        <v>4593</v>
      </c>
      <c r="Y1586" s="104">
        <f t="shared" si="427"/>
        <v>46356</v>
      </c>
      <c r="Z1586" s="105">
        <f ca="1" t="shared" si="428"/>
        <v>43</v>
      </c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5"/>
      <c r="AO1586" s="115"/>
      <c r="AP1586" s="115"/>
      <c r="AQ1586" s="93"/>
      <c r="AR1586" s="93"/>
      <c r="AS1586" s="94"/>
      <c r="AT1586" s="95"/>
      <c r="AU1586" s="79"/>
      <c r="AV1586" s="117"/>
      <c r="AW1586" s="115"/>
      <c r="AX1586" s="106"/>
      <c r="AY1586" s="104"/>
      <c r="AZ1586" s="105"/>
    </row>
    <row r="1587" customHeight="1" spans="1:52">
      <c r="A1587" s="70">
        <v>1595</v>
      </c>
      <c r="B1587" s="204" t="s">
        <v>4594</v>
      </c>
      <c r="C1587" s="70" t="s">
        <v>38</v>
      </c>
      <c r="D1587" s="205" t="s">
        <v>4595</v>
      </c>
      <c r="E1587" s="71" t="s">
        <v>332</v>
      </c>
      <c r="F1587" s="72"/>
      <c r="G1587" s="73"/>
      <c r="H1587" s="75"/>
      <c r="I1587" s="102">
        <v>46185</v>
      </c>
      <c r="J1587" s="70">
        <v>3</v>
      </c>
      <c r="K1587" s="106" t="s">
        <v>4596</v>
      </c>
      <c r="L1587" s="104">
        <f t="shared" si="425"/>
        <v>46277</v>
      </c>
      <c r="M1587" s="105">
        <f ca="1" t="shared" si="426"/>
        <v>-36</v>
      </c>
      <c r="N1587" s="70"/>
      <c r="O1587" s="204" t="s">
        <v>4594</v>
      </c>
      <c r="P1587" s="70" t="s">
        <v>38</v>
      </c>
      <c r="Q1587" s="205" t="s">
        <v>4595</v>
      </c>
      <c r="R1587" s="71" t="s">
        <v>332</v>
      </c>
      <c r="S1587" s="72"/>
      <c r="T1587" s="73"/>
      <c r="U1587" s="75"/>
      <c r="V1587" s="102">
        <v>46271</v>
      </c>
      <c r="W1587" s="70">
        <v>3</v>
      </c>
      <c r="X1587" s="103" t="s">
        <v>4597</v>
      </c>
      <c r="Y1587" s="104">
        <f t="shared" si="427"/>
        <v>46362</v>
      </c>
      <c r="Z1587" s="105">
        <f ca="1" t="shared" si="428"/>
        <v>49</v>
      </c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5"/>
      <c r="AO1587" s="115"/>
      <c r="AP1587" s="115"/>
      <c r="AQ1587" s="93"/>
      <c r="AR1587" s="93"/>
      <c r="AS1587" s="94"/>
      <c r="AT1587" s="95"/>
      <c r="AU1587" s="79"/>
      <c r="AV1587" s="117"/>
      <c r="AW1587" s="115"/>
      <c r="AX1587" s="106"/>
      <c r="AY1587" s="104"/>
      <c r="AZ1587" s="105"/>
    </row>
    <row r="1588" customHeight="1" spans="1:52">
      <c r="A1588" s="70">
        <v>1596</v>
      </c>
      <c r="B1588" s="204" t="s">
        <v>4594</v>
      </c>
      <c r="C1588" s="70" t="s">
        <v>38</v>
      </c>
      <c r="D1588" s="205" t="s">
        <v>4598</v>
      </c>
      <c r="E1588" s="71" t="s">
        <v>4599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4600</v>
      </c>
      <c r="L1588" s="104">
        <f t="shared" si="425"/>
        <v>46277</v>
      </c>
      <c r="M1588" s="105">
        <f ca="1" t="shared" si="426"/>
        <v>-36</v>
      </c>
      <c r="N1588" s="70"/>
      <c r="O1588" s="204" t="s">
        <v>4594</v>
      </c>
      <c r="P1588" s="70" t="s">
        <v>38</v>
      </c>
      <c r="Q1588" s="205" t="s">
        <v>4598</v>
      </c>
      <c r="R1588" s="71" t="s">
        <v>4599</v>
      </c>
      <c r="S1588" s="72"/>
      <c r="T1588" s="73"/>
      <c r="U1588" s="79" t="s">
        <v>16</v>
      </c>
      <c r="V1588" s="102">
        <v>46271</v>
      </c>
      <c r="W1588" s="70">
        <v>3</v>
      </c>
      <c r="X1588" s="103" t="s">
        <v>4601</v>
      </c>
      <c r="Y1588" s="104">
        <f t="shared" si="427"/>
        <v>46362</v>
      </c>
      <c r="Z1588" s="105">
        <f ca="1" t="shared" si="428"/>
        <v>49</v>
      </c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5"/>
      <c r="AO1588" s="115"/>
      <c r="AP1588" s="115"/>
      <c r="AQ1588" s="93"/>
      <c r="AR1588" s="93"/>
      <c r="AS1588" s="94"/>
      <c r="AT1588" s="95"/>
      <c r="AU1588" s="79"/>
      <c r="AV1588" s="117"/>
      <c r="AW1588" s="115"/>
      <c r="AX1588" s="106"/>
      <c r="AY1588" s="104"/>
      <c r="AZ1588" s="105"/>
    </row>
    <row r="1589" customHeight="1" spans="1:52">
      <c r="A1589" s="70">
        <v>1597</v>
      </c>
      <c r="B1589" s="204" t="s">
        <v>798</v>
      </c>
      <c r="C1589" s="70" t="s">
        <v>38</v>
      </c>
      <c r="D1589" s="205" t="s">
        <v>4602</v>
      </c>
      <c r="E1589" s="71" t="s">
        <v>4603</v>
      </c>
      <c r="F1589" s="72"/>
      <c r="G1589" s="73"/>
      <c r="H1589" s="75"/>
      <c r="I1589" s="102">
        <v>46185</v>
      </c>
      <c r="J1589" s="70">
        <v>3</v>
      </c>
      <c r="K1589" s="106" t="s">
        <v>4604</v>
      </c>
      <c r="L1589" s="104">
        <f t="shared" si="425"/>
        <v>46277</v>
      </c>
      <c r="M1589" s="105">
        <f ca="1" t="shared" si="426"/>
        <v>-36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>
        <f t="shared" si="427"/>
        <v>0</v>
      </c>
      <c r="Z1589" s="105">
        <f ca="1" t="shared" si="428"/>
        <v>-46313</v>
      </c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5"/>
      <c r="AO1589" s="115"/>
      <c r="AP1589" s="115"/>
      <c r="AQ1589" s="93"/>
      <c r="AR1589" s="93"/>
      <c r="AS1589" s="94"/>
      <c r="AT1589" s="95"/>
      <c r="AU1589" s="79"/>
      <c r="AV1589" s="117"/>
      <c r="AW1589" s="115"/>
      <c r="AX1589" s="106"/>
      <c r="AY1589" s="104"/>
      <c r="AZ1589" s="105"/>
    </row>
    <row r="1590" customHeight="1" spans="1:52">
      <c r="A1590" s="70">
        <v>1598</v>
      </c>
      <c r="B1590" s="204" t="s">
        <v>886</v>
      </c>
      <c r="C1590" s="70" t="s">
        <v>374</v>
      </c>
      <c r="D1590" s="205" t="s">
        <v>4605</v>
      </c>
      <c r="E1590" s="71" t="s">
        <v>568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4606</v>
      </c>
      <c r="L1590" s="104">
        <f t="shared" si="425"/>
        <v>46277</v>
      </c>
      <c r="M1590" s="105">
        <f ca="1" t="shared" si="426"/>
        <v>-36</v>
      </c>
      <c r="N1590" s="70"/>
      <c r="O1590" s="204" t="s">
        <v>886</v>
      </c>
      <c r="P1590" s="70" t="s">
        <v>374</v>
      </c>
      <c r="Q1590" s="205" t="s">
        <v>4605</v>
      </c>
      <c r="R1590" s="71" t="s">
        <v>568</v>
      </c>
      <c r="S1590" s="72"/>
      <c r="T1590" s="73"/>
      <c r="U1590" s="74" t="s">
        <v>16</v>
      </c>
      <c r="V1590" s="102">
        <v>46288</v>
      </c>
      <c r="W1590" s="70">
        <v>3</v>
      </c>
      <c r="X1590" s="103" t="s">
        <v>4607</v>
      </c>
      <c r="Y1590" s="104">
        <f t="shared" si="427"/>
        <v>46379</v>
      </c>
      <c r="Z1590" s="105">
        <f ca="1" t="shared" si="428"/>
        <v>66</v>
      </c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5"/>
      <c r="AO1590" s="115"/>
      <c r="AP1590" s="115"/>
      <c r="AQ1590" s="93"/>
      <c r="AR1590" s="93"/>
      <c r="AS1590" s="94"/>
      <c r="AT1590" s="95"/>
      <c r="AU1590" s="79"/>
      <c r="AV1590" s="117"/>
      <c r="AW1590" s="115"/>
      <c r="AX1590" s="106"/>
      <c r="AY1590" s="104"/>
      <c r="AZ1590" s="105"/>
    </row>
    <row r="1591" customHeight="1" spans="1:52">
      <c r="A1591" s="70">
        <v>1599</v>
      </c>
      <c r="B1591" s="108" t="s">
        <v>3243</v>
      </c>
      <c r="C1591" s="70" t="s">
        <v>374</v>
      </c>
      <c r="D1591" s="205" t="s">
        <v>4608</v>
      </c>
      <c r="E1591" s="71" t="s">
        <v>4609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4610</v>
      </c>
      <c r="L1591" s="104">
        <f t="shared" si="425"/>
        <v>46277</v>
      </c>
      <c r="M1591" s="105">
        <f ca="1" t="shared" si="426"/>
        <v>-36</v>
      </c>
      <c r="N1591" s="70"/>
      <c r="O1591" s="108" t="s">
        <v>3243</v>
      </c>
      <c r="P1591" s="70" t="s">
        <v>374</v>
      </c>
      <c r="Q1591" s="205" t="s">
        <v>4608</v>
      </c>
      <c r="R1591" s="71" t="s">
        <v>4609</v>
      </c>
      <c r="S1591" s="72"/>
      <c r="T1591" s="73"/>
      <c r="U1591" s="74" t="s">
        <v>16</v>
      </c>
      <c r="V1591" s="102">
        <v>46262</v>
      </c>
      <c r="W1591" s="70">
        <v>3</v>
      </c>
      <c r="X1591" s="103" t="s">
        <v>4611</v>
      </c>
      <c r="Y1591" s="104">
        <f t="shared" si="427"/>
        <v>46354</v>
      </c>
      <c r="Z1591" s="105">
        <f ca="1" t="shared" si="428"/>
        <v>41</v>
      </c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5"/>
      <c r="AO1591" s="115"/>
      <c r="AP1591" s="115"/>
      <c r="AQ1591" s="93"/>
      <c r="AR1591" s="93"/>
      <c r="AS1591" s="94"/>
      <c r="AT1591" s="95"/>
      <c r="AU1591" s="79"/>
      <c r="AV1591" s="117"/>
      <c r="AW1591" s="115"/>
      <c r="AX1591" s="106"/>
      <c r="AY1591" s="104"/>
      <c r="AZ1591" s="105"/>
    </row>
    <row r="1592" customHeight="1" spans="1:52">
      <c r="A1592" s="70">
        <v>1600</v>
      </c>
      <c r="B1592" s="70" t="s">
        <v>1036</v>
      </c>
      <c r="C1592" s="70" t="s">
        <v>374</v>
      </c>
      <c r="D1592" s="71" t="s">
        <v>4612</v>
      </c>
      <c r="E1592" s="93" t="s">
        <v>4613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4614</v>
      </c>
      <c r="L1592" s="104">
        <f t="shared" si="425"/>
        <v>46277</v>
      </c>
      <c r="M1592" s="105">
        <f ca="1" t="shared" si="426"/>
        <v>-36</v>
      </c>
      <c r="N1592" s="70"/>
      <c r="O1592" s="70" t="s">
        <v>1036</v>
      </c>
      <c r="P1592" s="70" t="s">
        <v>374</v>
      </c>
      <c r="Q1592" s="71" t="s">
        <v>4612</v>
      </c>
      <c r="R1592" s="93" t="s">
        <v>4613</v>
      </c>
      <c r="S1592" s="94"/>
      <c r="T1592" s="95"/>
      <c r="U1592" s="74" t="s">
        <v>16</v>
      </c>
      <c r="V1592" s="102">
        <v>46276</v>
      </c>
      <c r="W1592" s="70">
        <v>3</v>
      </c>
      <c r="X1592" s="103" t="s">
        <v>4615</v>
      </c>
      <c r="Y1592" s="104">
        <f t="shared" si="427"/>
        <v>46367</v>
      </c>
      <c r="Z1592" s="105">
        <f ca="1" t="shared" si="428"/>
        <v>54</v>
      </c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5"/>
      <c r="AO1592" s="115"/>
      <c r="AP1592" s="115"/>
      <c r="AQ1592" s="93"/>
      <c r="AR1592" s="93"/>
      <c r="AS1592" s="94"/>
      <c r="AT1592" s="95"/>
      <c r="AU1592" s="79"/>
      <c r="AV1592" s="117"/>
      <c r="AW1592" s="115"/>
      <c r="AX1592" s="106"/>
      <c r="AY1592" s="104"/>
      <c r="AZ1592" s="105"/>
    </row>
    <row r="1593" customHeight="1" spans="1:52">
      <c r="A1593" s="70">
        <v>1601</v>
      </c>
      <c r="B1593" s="70" t="s">
        <v>886</v>
      </c>
      <c r="C1593" s="70" t="s">
        <v>374</v>
      </c>
      <c r="D1593" s="71" t="s">
        <v>4616</v>
      </c>
      <c r="E1593" s="93" t="s">
        <v>568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4617</v>
      </c>
      <c r="L1593" s="104">
        <f t="shared" si="425"/>
        <v>46277</v>
      </c>
      <c r="M1593" s="105">
        <f ca="1" t="shared" si="426"/>
        <v>-36</v>
      </c>
      <c r="N1593" s="70"/>
      <c r="O1593" s="70" t="s">
        <v>886</v>
      </c>
      <c r="P1593" s="70" t="s">
        <v>374</v>
      </c>
      <c r="Q1593" s="71" t="s">
        <v>4616</v>
      </c>
      <c r="R1593" s="93" t="s">
        <v>568</v>
      </c>
      <c r="S1593" s="94"/>
      <c r="T1593" s="95"/>
      <c r="U1593" s="74" t="s">
        <v>16</v>
      </c>
      <c r="V1593" s="102">
        <v>46276</v>
      </c>
      <c r="W1593" s="70">
        <v>3</v>
      </c>
      <c r="X1593" s="103" t="s">
        <v>4618</v>
      </c>
      <c r="Y1593" s="104">
        <f t="shared" si="427"/>
        <v>46367</v>
      </c>
      <c r="Z1593" s="105">
        <f ca="1" t="shared" si="428"/>
        <v>54</v>
      </c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5"/>
      <c r="AO1593" s="115"/>
      <c r="AP1593" s="115"/>
      <c r="AQ1593" s="93"/>
      <c r="AR1593" s="93"/>
      <c r="AS1593" s="94"/>
      <c r="AT1593" s="95"/>
      <c r="AU1593" s="79"/>
      <c r="AV1593" s="117"/>
      <c r="AW1593" s="115"/>
      <c r="AX1593" s="106"/>
      <c r="AY1593" s="104"/>
      <c r="AZ1593" s="105"/>
    </row>
    <row r="1594" customHeight="1" spans="1:52">
      <c r="A1594" s="70">
        <v>1602</v>
      </c>
      <c r="B1594" s="70" t="s">
        <v>159</v>
      </c>
      <c r="C1594" s="70" t="s">
        <v>38</v>
      </c>
      <c r="D1594" s="71" t="s">
        <v>160</v>
      </c>
      <c r="E1594" s="71" t="s">
        <v>161</v>
      </c>
      <c r="F1594" s="72"/>
      <c r="G1594" s="73"/>
      <c r="H1594" s="75"/>
      <c r="I1594" s="102">
        <v>46185</v>
      </c>
      <c r="J1594" s="70" t="s">
        <v>767</v>
      </c>
      <c r="K1594" s="106"/>
      <c r="L1594" s="104" t="e">
        <f t="shared" si="425"/>
        <v>#VALUE!</v>
      </c>
      <c r="M1594" s="105" t="e">
        <f ca="1" t="shared" si="426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>
        <f t="shared" si="427"/>
        <v>0</v>
      </c>
      <c r="Z1594" s="105">
        <f ca="1" t="shared" si="428"/>
        <v>-46313</v>
      </c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5"/>
      <c r="AO1594" s="115"/>
      <c r="AP1594" s="115"/>
      <c r="AQ1594" s="93"/>
      <c r="AR1594" s="93"/>
      <c r="AS1594" s="94"/>
      <c r="AT1594" s="95"/>
      <c r="AU1594" s="79"/>
      <c r="AV1594" s="117"/>
      <c r="AW1594" s="115"/>
      <c r="AX1594" s="106"/>
      <c r="AY1594" s="104"/>
      <c r="AZ1594" s="105"/>
    </row>
    <row r="1595" customHeight="1" spans="1:52">
      <c r="A1595" s="70">
        <v>1603</v>
      </c>
      <c r="B1595" s="70" t="s">
        <v>164</v>
      </c>
      <c r="C1595" s="70" t="s">
        <v>13</v>
      </c>
      <c r="D1595" s="217" t="s">
        <v>4619</v>
      </c>
      <c r="E1595" s="71" t="s">
        <v>45</v>
      </c>
      <c r="F1595" s="72"/>
      <c r="G1595" s="73"/>
      <c r="H1595" s="75"/>
      <c r="I1595" s="102">
        <v>46185</v>
      </c>
      <c r="J1595" s="70">
        <v>3</v>
      </c>
      <c r="K1595" s="106" t="s">
        <v>4620</v>
      </c>
      <c r="L1595" s="104">
        <f t="shared" si="425"/>
        <v>46277</v>
      </c>
      <c r="M1595" s="105">
        <f ca="1" t="shared" si="426"/>
        <v>-36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>
        <f t="shared" si="427"/>
        <v>0</v>
      </c>
      <c r="Z1595" s="105">
        <f ca="1" t="shared" si="428"/>
        <v>-46313</v>
      </c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5"/>
      <c r="AO1595" s="115"/>
      <c r="AP1595" s="115"/>
      <c r="AQ1595" s="93"/>
      <c r="AR1595" s="93"/>
      <c r="AS1595" s="94"/>
      <c r="AT1595" s="95"/>
      <c r="AU1595" s="79"/>
      <c r="AV1595" s="117"/>
      <c r="AW1595" s="115"/>
      <c r="AX1595" s="106"/>
      <c r="AY1595" s="104"/>
      <c r="AZ1595" s="105"/>
    </row>
    <row r="1596" customHeight="1" spans="1:52">
      <c r="A1596" s="70">
        <v>1604</v>
      </c>
      <c r="B1596" s="70" t="s">
        <v>164</v>
      </c>
      <c r="C1596" s="70" t="s">
        <v>38</v>
      </c>
      <c r="D1596" s="217" t="s">
        <v>4621</v>
      </c>
      <c r="E1596" s="71" t="s">
        <v>189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4622</v>
      </c>
      <c r="L1596" s="104">
        <f t="shared" si="425"/>
        <v>46277</v>
      </c>
      <c r="M1596" s="105">
        <f ca="1" t="shared" si="426"/>
        <v>-36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>
        <f t="shared" si="427"/>
        <v>0</v>
      </c>
      <c r="Z1596" s="105">
        <f ca="1" t="shared" si="428"/>
        <v>-46313</v>
      </c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5"/>
      <c r="AO1596" s="115"/>
      <c r="AP1596" s="115"/>
      <c r="AQ1596" s="93"/>
      <c r="AR1596" s="93"/>
      <c r="AS1596" s="94"/>
      <c r="AT1596" s="95"/>
      <c r="AU1596" s="79"/>
      <c r="AV1596" s="117"/>
      <c r="AW1596" s="115"/>
      <c r="AX1596" s="106"/>
      <c r="AY1596" s="104"/>
      <c r="AZ1596" s="105"/>
    </row>
    <row r="1597" customHeight="1" spans="1:52">
      <c r="A1597" s="70">
        <v>1605</v>
      </c>
      <c r="B1597" s="70" t="s">
        <v>4623</v>
      </c>
      <c r="C1597" s="70" t="s">
        <v>374</v>
      </c>
      <c r="D1597" s="205" t="s">
        <v>4624</v>
      </c>
      <c r="E1597" s="71" t="s">
        <v>4625</v>
      </c>
      <c r="F1597" s="72"/>
      <c r="G1597" s="73"/>
      <c r="H1597" s="75"/>
      <c r="I1597" s="102">
        <v>46186</v>
      </c>
      <c r="J1597" s="70">
        <v>3</v>
      </c>
      <c r="K1597" s="106" t="s">
        <v>4626</v>
      </c>
      <c r="L1597" s="104">
        <f t="shared" si="425"/>
        <v>46278</v>
      </c>
      <c r="M1597" s="105">
        <f ca="1" t="shared" si="426"/>
        <v>-35</v>
      </c>
      <c r="N1597" s="70"/>
      <c r="O1597" s="70" t="s">
        <v>4623</v>
      </c>
      <c r="P1597" s="70" t="s">
        <v>374</v>
      </c>
      <c r="Q1597" s="205" t="s">
        <v>4624</v>
      </c>
      <c r="R1597" s="71" t="s">
        <v>4625</v>
      </c>
      <c r="S1597" s="72"/>
      <c r="T1597" s="73"/>
      <c r="U1597" s="75"/>
      <c r="V1597" s="102">
        <v>46275</v>
      </c>
      <c r="W1597" s="70">
        <v>3</v>
      </c>
      <c r="X1597" s="103" t="s">
        <v>4627</v>
      </c>
      <c r="Y1597" s="104">
        <f t="shared" si="427"/>
        <v>46366</v>
      </c>
      <c r="Z1597" s="105">
        <f ca="1" t="shared" si="428"/>
        <v>53</v>
      </c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5"/>
      <c r="AO1597" s="115"/>
      <c r="AP1597" s="115"/>
      <c r="AQ1597" s="93"/>
      <c r="AR1597" s="93"/>
      <c r="AS1597" s="94"/>
      <c r="AT1597" s="95"/>
      <c r="AU1597" s="79"/>
      <c r="AV1597" s="117"/>
      <c r="AW1597" s="115"/>
      <c r="AX1597" s="106"/>
      <c r="AY1597" s="104"/>
      <c r="AZ1597" s="105"/>
    </row>
    <row r="1598" customHeight="1" spans="1:52">
      <c r="A1598" s="70">
        <v>1606</v>
      </c>
      <c r="B1598" s="70" t="s">
        <v>4623</v>
      </c>
      <c r="C1598" s="70" t="s">
        <v>374</v>
      </c>
      <c r="D1598" s="205" t="s">
        <v>4628</v>
      </c>
      <c r="E1598" s="71" t="s">
        <v>4629</v>
      </c>
      <c r="F1598" s="72"/>
      <c r="G1598" s="73"/>
      <c r="H1598" s="75"/>
      <c r="I1598" s="102">
        <v>46186</v>
      </c>
      <c r="J1598" s="70">
        <v>3</v>
      </c>
      <c r="K1598" s="106" t="s">
        <v>4630</v>
      </c>
      <c r="L1598" s="104">
        <f t="shared" si="425"/>
        <v>46278</v>
      </c>
      <c r="M1598" s="105">
        <f ca="1" t="shared" si="426"/>
        <v>-35</v>
      </c>
      <c r="N1598" s="70"/>
      <c r="O1598" s="70" t="s">
        <v>4623</v>
      </c>
      <c r="P1598" s="70" t="s">
        <v>374</v>
      </c>
      <c r="Q1598" s="205" t="s">
        <v>4628</v>
      </c>
      <c r="R1598" s="71" t="s">
        <v>4629</v>
      </c>
      <c r="S1598" s="72"/>
      <c r="T1598" s="73"/>
      <c r="U1598" s="75"/>
      <c r="V1598" s="102">
        <v>46275</v>
      </c>
      <c r="W1598" s="70">
        <v>3</v>
      </c>
      <c r="X1598" s="103" t="s">
        <v>4631</v>
      </c>
      <c r="Y1598" s="104">
        <f t="shared" si="427"/>
        <v>46366</v>
      </c>
      <c r="Z1598" s="105">
        <f ca="1" t="shared" si="428"/>
        <v>53</v>
      </c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5"/>
      <c r="AO1598" s="115"/>
      <c r="AP1598" s="115"/>
      <c r="AQ1598" s="93"/>
      <c r="AR1598" s="93"/>
      <c r="AS1598" s="94"/>
      <c r="AT1598" s="95"/>
      <c r="AU1598" s="79"/>
      <c r="AV1598" s="117"/>
      <c r="AW1598" s="115"/>
      <c r="AX1598" s="106"/>
      <c r="AY1598" s="104"/>
      <c r="AZ1598" s="105"/>
    </row>
    <row r="1599" customHeight="1" spans="1:52">
      <c r="A1599" s="70">
        <v>1607</v>
      </c>
      <c r="B1599" s="70" t="s">
        <v>4623</v>
      </c>
      <c r="C1599" s="70" t="s">
        <v>374</v>
      </c>
      <c r="D1599" s="205" t="s">
        <v>4632</v>
      </c>
      <c r="E1599" s="71" t="s">
        <v>4625</v>
      </c>
      <c r="F1599" s="72"/>
      <c r="G1599" s="73"/>
      <c r="H1599" s="75"/>
      <c r="I1599" s="102">
        <v>46186</v>
      </c>
      <c r="J1599" s="70">
        <v>3</v>
      </c>
      <c r="K1599" s="106" t="s">
        <v>4633</v>
      </c>
      <c r="L1599" s="104">
        <f t="shared" si="425"/>
        <v>46278</v>
      </c>
      <c r="M1599" s="105">
        <f ca="1" t="shared" si="426"/>
        <v>-35</v>
      </c>
      <c r="N1599" s="70"/>
      <c r="O1599" s="70" t="s">
        <v>4623</v>
      </c>
      <c r="P1599" s="70" t="s">
        <v>374</v>
      </c>
      <c r="Q1599" s="205" t="s">
        <v>4632</v>
      </c>
      <c r="R1599" s="71" t="s">
        <v>4625</v>
      </c>
      <c r="S1599" s="72"/>
      <c r="T1599" s="73"/>
      <c r="U1599" s="75"/>
      <c r="V1599" s="102">
        <v>46275</v>
      </c>
      <c r="W1599" s="70">
        <v>3</v>
      </c>
      <c r="X1599" s="103" t="s">
        <v>4634</v>
      </c>
      <c r="Y1599" s="104">
        <f t="shared" si="427"/>
        <v>46366</v>
      </c>
      <c r="Z1599" s="105">
        <f ca="1" t="shared" si="428"/>
        <v>53</v>
      </c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5"/>
      <c r="AO1599" s="115"/>
      <c r="AP1599" s="115"/>
      <c r="AQ1599" s="93"/>
      <c r="AR1599" s="93"/>
      <c r="AS1599" s="94"/>
      <c r="AT1599" s="95"/>
      <c r="AU1599" s="79"/>
      <c r="AV1599" s="117"/>
      <c r="AW1599" s="115"/>
      <c r="AX1599" s="106"/>
      <c r="AY1599" s="104"/>
      <c r="AZ1599" s="105"/>
    </row>
    <row r="1600" customHeight="1" spans="1:52">
      <c r="A1600" s="70">
        <v>1608</v>
      </c>
      <c r="B1600" s="70" t="s">
        <v>881</v>
      </c>
      <c r="C1600" s="70" t="s">
        <v>374</v>
      </c>
      <c r="D1600" s="71" t="s">
        <v>4635</v>
      </c>
      <c r="E1600" s="71" t="s">
        <v>654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4636</v>
      </c>
      <c r="L1600" s="104">
        <f t="shared" si="425"/>
        <v>46278</v>
      </c>
      <c r="M1600" s="105">
        <f ca="1" t="shared" si="426"/>
        <v>-35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>
        <f t="shared" si="427"/>
        <v>0</v>
      </c>
      <c r="Z1600" s="105">
        <f ca="1" t="shared" si="428"/>
        <v>-46313</v>
      </c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5"/>
      <c r="AO1600" s="115"/>
      <c r="AP1600" s="115"/>
      <c r="AQ1600" s="93"/>
      <c r="AR1600" s="93"/>
      <c r="AS1600" s="94"/>
      <c r="AT1600" s="95"/>
      <c r="AU1600" s="79"/>
      <c r="AV1600" s="117"/>
      <c r="AW1600" s="115"/>
      <c r="AX1600" s="106"/>
      <c r="AY1600" s="104"/>
      <c r="AZ1600" s="105"/>
    </row>
    <row r="1601" customHeight="1" spans="1:52">
      <c r="A1601" s="70">
        <v>1609</v>
      </c>
      <c r="B1601" s="70" t="s">
        <v>886</v>
      </c>
      <c r="C1601" s="70" t="s">
        <v>374</v>
      </c>
      <c r="D1601" s="71" t="s">
        <v>4637</v>
      </c>
      <c r="E1601" s="71" t="s">
        <v>568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4638</v>
      </c>
      <c r="L1601" s="104">
        <f t="shared" si="425"/>
        <v>46279</v>
      </c>
      <c r="M1601" s="105">
        <f ca="1" t="shared" si="426"/>
        <v>-34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>
        <f t="shared" si="427"/>
        <v>0</v>
      </c>
      <c r="Z1601" s="105">
        <f ca="1" t="shared" si="428"/>
        <v>-46313</v>
      </c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5"/>
      <c r="AO1601" s="115"/>
      <c r="AP1601" s="115"/>
      <c r="AQ1601" s="93"/>
      <c r="AR1601" s="93"/>
      <c r="AS1601" s="94"/>
      <c r="AT1601" s="95"/>
      <c r="AU1601" s="79"/>
      <c r="AV1601" s="117"/>
      <c r="AW1601" s="115"/>
      <c r="AX1601" s="106"/>
      <c r="AY1601" s="104"/>
      <c r="AZ1601" s="105"/>
    </row>
    <row r="1602" customHeight="1" spans="1:52">
      <c r="A1602" s="70">
        <v>1610</v>
      </c>
      <c r="B1602" s="70" t="s">
        <v>844</v>
      </c>
      <c r="C1602" s="70" t="s">
        <v>13</v>
      </c>
      <c r="D1602" s="71" t="s">
        <v>4639</v>
      </c>
      <c r="E1602" s="71" t="s">
        <v>76</v>
      </c>
      <c r="F1602" s="72"/>
      <c r="G1602" s="73"/>
      <c r="H1602" s="75"/>
      <c r="I1602" s="102">
        <v>46188</v>
      </c>
      <c r="J1602" s="70">
        <v>3</v>
      </c>
      <c r="K1602" s="106" t="s">
        <v>4640</v>
      </c>
      <c r="L1602" s="104">
        <f t="shared" ref="L1602:L1615" si="429">EDATE(I1602,J1602)</f>
        <v>46280</v>
      </c>
      <c r="M1602" s="105">
        <f ca="1" t="shared" ref="M1602:M1615" si="430">L1602-TODAY()</f>
        <v>-33</v>
      </c>
      <c r="N1602" s="70"/>
      <c r="O1602" s="70" t="s">
        <v>844</v>
      </c>
      <c r="P1602" s="70" t="s">
        <v>13</v>
      </c>
      <c r="Q1602" s="71" t="s">
        <v>4639</v>
      </c>
      <c r="R1602" s="71" t="s">
        <v>76</v>
      </c>
      <c r="S1602" s="72"/>
      <c r="T1602" s="73"/>
      <c r="U1602" s="75"/>
      <c r="V1602" s="102">
        <v>46311</v>
      </c>
      <c r="W1602" s="70">
        <v>3</v>
      </c>
      <c r="X1602" s="103"/>
      <c r="Y1602" s="104">
        <f t="shared" si="427"/>
        <v>46403</v>
      </c>
      <c r="Z1602" s="105">
        <f ca="1" t="shared" si="428"/>
        <v>90</v>
      </c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5"/>
      <c r="AO1602" s="115"/>
      <c r="AP1602" s="115"/>
      <c r="AQ1602" s="93"/>
      <c r="AR1602" s="93"/>
      <c r="AS1602" s="94"/>
      <c r="AT1602" s="95"/>
      <c r="AU1602" s="79"/>
      <c r="AV1602" s="117"/>
      <c r="AW1602" s="115"/>
      <c r="AX1602" s="106"/>
      <c r="AY1602" s="104"/>
      <c r="AZ1602" s="105"/>
    </row>
    <row r="1603" customHeight="1" spans="1:52">
      <c r="A1603" s="70">
        <v>1611</v>
      </c>
      <c r="B1603" s="70" t="s">
        <v>535</v>
      </c>
      <c r="C1603" s="70" t="s">
        <v>13</v>
      </c>
      <c r="D1603" s="71" t="s">
        <v>4641</v>
      </c>
      <c r="E1603" s="71" t="s">
        <v>4642</v>
      </c>
      <c r="F1603" s="72"/>
      <c r="G1603" s="73"/>
      <c r="H1603" s="75"/>
      <c r="I1603" s="102">
        <v>46188</v>
      </c>
      <c r="J1603" s="70">
        <v>3</v>
      </c>
      <c r="K1603" s="106" t="s">
        <v>4643</v>
      </c>
      <c r="L1603" s="104">
        <f t="shared" si="429"/>
        <v>46280</v>
      </c>
      <c r="M1603" s="105">
        <f ca="1" t="shared" si="430"/>
        <v>-33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>
        <f t="shared" si="427"/>
        <v>0</v>
      </c>
      <c r="Z1603" s="105">
        <f ca="1" t="shared" si="428"/>
        <v>-46313</v>
      </c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5"/>
      <c r="AO1603" s="115"/>
      <c r="AP1603" s="115"/>
      <c r="AQ1603" s="93"/>
      <c r="AR1603" s="93"/>
      <c r="AS1603" s="94"/>
      <c r="AT1603" s="95"/>
      <c r="AU1603" s="79"/>
      <c r="AV1603" s="117"/>
      <c r="AW1603" s="115"/>
      <c r="AX1603" s="106"/>
      <c r="AY1603" s="104"/>
      <c r="AZ1603" s="105"/>
    </row>
    <row r="1604" customHeight="1" spans="1:52">
      <c r="A1604" s="70">
        <v>1612</v>
      </c>
      <c r="B1604" s="70" t="s">
        <v>4644</v>
      </c>
      <c r="C1604" s="70" t="s">
        <v>38</v>
      </c>
      <c r="D1604" s="71" t="s">
        <v>4645</v>
      </c>
      <c r="E1604" s="71" t="s">
        <v>4646</v>
      </c>
      <c r="F1604" s="72"/>
      <c r="G1604" s="73"/>
      <c r="H1604" s="75"/>
      <c r="I1604" s="102">
        <v>46188</v>
      </c>
      <c r="J1604" s="70">
        <v>3</v>
      </c>
      <c r="K1604" s="106" t="s">
        <v>4647</v>
      </c>
      <c r="L1604" s="104">
        <f t="shared" si="429"/>
        <v>46280</v>
      </c>
      <c r="M1604" s="105">
        <f ca="1" t="shared" si="430"/>
        <v>-33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>
        <f t="shared" si="427"/>
        <v>0</v>
      </c>
      <c r="Z1604" s="105">
        <f ca="1" t="shared" si="428"/>
        <v>-46313</v>
      </c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5"/>
      <c r="AO1604" s="115"/>
      <c r="AP1604" s="115"/>
      <c r="AQ1604" s="93"/>
      <c r="AR1604" s="93"/>
      <c r="AS1604" s="94"/>
      <c r="AT1604" s="95"/>
      <c r="AU1604" s="79"/>
      <c r="AV1604" s="117"/>
      <c r="AW1604" s="115"/>
      <c r="AX1604" s="106"/>
      <c r="AY1604" s="104"/>
      <c r="AZ1604" s="105"/>
    </row>
    <row r="1605" customHeight="1" spans="1:52">
      <c r="A1605" s="70">
        <v>1613</v>
      </c>
      <c r="B1605" s="204" t="s">
        <v>263</v>
      </c>
      <c r="C1605" s="70" t="s">
        <v>264</v>
      </c>
      <c r="D1605" s="205" t="s">
        <v>763</v>
      </c>
      <c r="E1605" s="71" t="s">
        <v>753</v>
      </c>
      <c r="F1605" s="72"/>
      <c r="G1605" s="73"/>
      <c r="H1605" s="75"/>
      <c r="I1605" s="102">
        <v>46188</v>
      </c>
      <c r="J1605" s="70" t="s">
        <v>767</v>
      </c>
      <c r="K1605" s="106"/>
      <c r="L1605" s="104" t="e">
        <f t="shared" si="429"/>
        <v>#VALUE!</v>
      </c>
      <c r="M1605" s="105" t="e">
        <f ca="1" t="shared" si="430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>
        <f t="shared" si="427"/>
        <v>0</v>
      </c>
      <c r="Z1605" s="105">
        <f ca="1" t="shared" si="428"/>
        <v>-46313</v>
      </c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5"/>
      <c r="AO1605" s="115"/>
      <c r="AP1605" s="115"/>
      <c r="AQ1605" s="93"/>
      <c r="AR1605" s="93"/>
      <c r="AS1605" s="94"/>
      <c r="AT1605" s="95"/>
      <c r="AU1605" s="79"/>
      <c r="AV1605" s="117"/>
      <c r="AW1605" s="115"/>
      <c r="AX1605" s="106"/>
      <c r="AY1605" s="104"/>
      <c r="AZ1605" s="105"/>
    </row>
    <row r="1606" customHeight="1" spans="1:52">
      <c r="A1606" s="70">
        <v>1614</v>
      </c>
      <c r="B1606" s="204" t="s">
        <v>263</v>
      </c>
      <c r="C1606" s="70" t="s">
        <v>264</v>
      </c>
      <c r="D1606" s="205" t="s">
        <v>265</v>
      </c>
      <c r="E1606" s="71" t="s">
        <v>764</v>
      </c>
      <c r="F1606" s="72"/>
      <c r="G1606" s="73"/>
      <c r="H1606" s="75"/>
      <c r="I1606" s="102">
        <v>46188</v>
      </c>
      <c r="J1606" s="70" t="s">
        <v>767</v>
      </c>
      <c r="K1606" s="106"/>
      <c r="L1606" s="104" t="e">
        <f t="shared" si="429"/>
        <v>#VALUE!</v>
      </c>
      <c r="M1606" s="105" t="e">
        <f ca="1" t="shared" si="430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>
        <f t="shared" si="427"/>
        <v>0</v>
      </c>
      <c r="Z1606" s="105">
        <f ca="1" t="shared" si="428"/>
        <v>-46313</v>
      </c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5"/>
      <c r="AO1606" s="115"/>
      <c r="AP1606" s="115"/>
      <c r="AQ1606" s="93"/>
      <c r="AR1606" s="93"/>
      <c r="AS1606" s="94"/>
      <c r="AT1606" s="95"/>
      <c r="AU1606" s="79"/>
      <c r="AV1606" s="117"/>
      <c r="AW1606" s="115"/>
      <c r="AX1606" s="106"/>
      <c r="AY1606" s="104"/>
      <c r="AZ1606" s="105"/>
    </row>
    <row r="1607" customHeight="1" spans="1:52">
      <c r="A1607" s="70">
        <v>1615</v>
      </c>
      <c r="B1607" s="204" t="s">
        <v>644</v>
      </c>
      <c r="C1607" s="70" t="s">
        <v>264</v>
      </c>
      <c r="D1607" s="71" t="s">
        <v>1922</v>
      </c>
      <c r="E1607" s="71" t="s">
        <v>266</v>
      </c>
      <c r="F1607" s="72"/>
      <c r="G1607" s="73"/>
      <c r="H1607" s="75"/>
      <c r="I1607" s="102">
        <v>46188</v>
      </c>
      <c r="J1607" s="70" t="s">
        <v>767</v>
      </c>
      <c r="K1607" s="106"/>
      <c r="L1607" s="104" t="e">
        <f t="shared" si="429"/>
        <v>#VALUE!</v>
      </c>
      <c r="M1607" s="105" t="e">
        <f ca="1" t="shared" si="430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>
        <f t="shared" si="427"/>
        <v>0</v>
      </c>
      <c r="Z1607" s="105">
        <f ca="1" t="shared" si="428"/>
        <v>-46313</v>
      </c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5"/>
      <c r="AO1607" s="115"/>
      <c r="AP1607" s="115"/>
      <c r="AQ1607" s="93"/>
      <c r="AR1607" s="93"/>
      <c r="AS1607" s="94"/>
      <c r="AT1607" s="95"/>
      <c r="AU1607" s="79"/>
      <c r="AV1607" s="117"/>
      <c r="AW1607" s="115"/>
      <c r="AX1607" s="106"/>
      <c r="AY1607" s="104"/>
      <c r="AZ1607" s="105"/>
    </row>
    <row r="1608" customHeight="1" spans="1:52">
      <c r="A1608" s="70">
        <v>1616</v>
      </c>
      <c r="B1608" s="70" t="s">
        <v>12</v>
      </c>
      <c r="C1608" s="70" t="s">
        <v>13</v>
      </c>
      <c r="D1608" s="71" t="s">
        <v>4648</v>
      </c>
      <c r="E1608" s="71" t="s">
        <v>933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4649</v>
      </c>
      <c r="L1608" s="104">
        <f t="shared" si="429"/>
        <v>46281</v>
      </c>
      <c r="M1608" s="105">
        <f ca="1" t="shared" si="430"/>
        <v>-32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>
        <f t="shared" si="427"/>
        <v>0</v>
      </c>
      <c r="Z1608" s="105">
        <f ca="1" t="shared" si="428"/>
        <v>-46313</v>
      </c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5"/>
      <c r="AO1608" s="115"/>
      <c r="AP1608" s="115"/>
      <c r="AQ1608" s="93"/>
      <c r="AR1608" s="93"/>
      <c r="AS1608" s="94"/>
      <c r="AT1608" s="95"/>
      <c r="AU1608" s="79"/>
      <c r="AV1608" s="117"/>
      <c r="AW1608" s="115"/>
      <c r="AX1608" s="106"/>
      <c r="AY1608" s="104"/>
      <c r="AZ1608" s="105"/>
    </row>
    <row r="1609" customHeight="1" spans="1:52">
      <c r="A1609" s="70">
        <v>1617</v>
      </c>
      <c r="B1609" s="70" t="s">
        <v>12</v>
      </c>
      <c r="C1609" s="70" t="s">
        <v>38</v>
      </c>
      <c r="D1609" s="71" t="s">
        <v>4650</v>
      </c>
      <c r="E1609" s="71" t="s">
        <v>28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4651</v>
      </c>
      <c r="L1609" s="104">
        <f t="shared" si="429"/>
        <v>46281</v>
      </c>
      <c r="M1609" s="105">
        <f ca="1" t="shared" si="430"/>
        <v>-32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>
        <f t="shared" si="427"/>
        <v>0</v>
      </c>
      <c r="Z1609" s="105">
        <f ca="1" t="shared" si="428"/>
        <v>-46313</v>
      </c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5"/>
      <c r="AO1609" s="115"/>
      <c r="AP1609" s="115"/>
      <c r="AQ1609" s="93"/>
      <c r="AR1609" s="93"/>
      <c r="AS1609" s="94"/>
      <c r="AT1609" s="95"/>
      <c r="AU1609" s="79"/>
      <c r="AV1609" s="117"/>
      <c r="AW1609" s="115"/>
      <c r="AX1609" s="106"/>
      <c r="AY1609" s="104"/>
      <c r="AZ1609" s="105"/>
    </row>
    <row r="1610" customHeight="1" spans="1:52">
      <c r="A1610" s="70">
        <v>1618</v>
      </c>
      <c r="B1610" s="70" t="s">
        <v>4652</v>
      </c>
      <c r="C1610" s="70" t="s">
        <v>264</v>
      </c>
      <c r="D1610" s="71" t="s">
        <v>4653</v>
      </c>
      <c r="E1610" s="71" t="s">
        <v>4654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4655</v>
      </c>
      <c r="L1610" s="104">
        <f t="shared" si="429"/>
        <v>46281</v>
      </c>
      <c r="M1610" s="105">
        <f ca="1" t="shared" si="430"/>
        <v>-32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>
        <f t="shared" si="427"/>
        <v>0</v>
      </c>
      <c r="Z1610" s="105">
        <f ca="1" t="shared" si="428"/>
        <v>-46313</v>
      </c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5"/>
      <c r="AO1610" s="115"/>
      <c r="AP1610" s="115"/>
      <c r="AQ1610" s="93"/>
      <c r="AR1610" s="93"/>
      <c r="AS1610" s="94"/>
      <c r="AT1610" s="95"/>
      <c r="AU1610" s="79"/>
      <c r="AV1610" s="117"/>
      <c r="AW1610" s="115"/>
      <c r="AX1610" s="106"/>
      <c r="AY1610" s="104"/>
      <c r="AZ1610" s="105"/>
    </row>
    <row r="1611" customHeight="1" spans="1:52">
      <c r="A1611" s="70">
        <v>1619</v>
      </c>
      <c r="B1611" s="70" t="s">
        <v>4652</v>
      </c>
      <c r="C1611" s="70" t="s">
        <v>264</v>
      </c>
      <c r="D1611" s="71" t="s">
        <v>4656</v>
      </c>
      <c r="E1611" s="71" t="s">
        <v>4657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4658</v>
      </c>
      <c r="L1611" s="104">
        <f t="shared" si="429"/>
        <v>46281</v>
      </c>
      <c r="M1611" s="105">
        <f ca="1" t="shared" si="430"/>
        <v>-32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>
        <f t="shared" si="427"/>
        <v>0</v>
      </c>
      <c r="Z1611" s="105">
        <f ca="1" t="shared" si="428"/>
        <v>-46313</v>
      </c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5"/>
      <c r="AO1611" s="115"/>
      <c r="AP1611" s="115"/>
      <c r="AQ1611" s="93"/>
      <c r="AR1611" s="93"/>
      <c r="AS1611" s="94"/>
      <c r="AT1611" s="95"/>
      <c r="AU1611" s="79"/>
      <c r="AV1611" s="117"/>
      <c r="AW1611" s="115"/>
      <c r="AX1611" s="106"/>
      <c r="AY1611" s="104"/>
      <c r="AZ1611" s="105"/>
    </row>
    <row r="1612" customHeight="1" spans="1:52">
      <c r="A1612" s="70">
        <v>1620</v>
      </c>
      <c r="B1612" s="70" t="s">
        <v>1359</v>
      </c>
      <c r="C1612" s="70" t="s">
        <v>13</v>
      </c>
      <c r="D1612" s="205" t="s">
        <v>2626</v>
      </c>
      <c r="E1612" s="71" t="s">
        <v>4659</v>
      </c>
      <c r="F1612" s="72"/>
      <c r="G1612" s="73"/>
      <c r="H1612" s="75"/>
      <c r="I1612" s="102">
        <v>46189</v>
      </c>
      <c r="J1612" s="70" t="s">
        <v>767</v>
      </c>
      <c r="K1612" s="106"/>
      <c r="L1612" s="104" t="e">
        <f t="shared" si="429"/>
        <v>#VALUE!</v>
      </c>
      <c r="M1612" s="105" t="e">
        <f ca="1" t="shared" si="430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>
        <f t="shared" si="427"/>
        <v>0</v>
      </c>
      <c r="Z1612" s="105">
        <f ca="1" t="shared" si="428"/>
        <v>-46313</v>
      </c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5"/>
      <c r="AO1612" s="115"/>
      <c r="AP1612" s="115"/>
      <c r="AQ1612" s="93"/>
      <c r="AR1612" s="93"/>
      <c r="AS1612" s="94"/>
      <c r="AT1612" s="95"/>
      <c r="AU1612" s="79"/>
      <c r="AV1612" s="117"/>
      <c r="AW1612" s="115"/>
      <c r="AX1612" s="106"/>
      <c r="AY1612" s="104"/>
      <c r="AZ1612" s="105"/>
    </row>
    <row r="1613" customHeight="1" spans="1:52">
      <c r="A1613" s="70">
        <v>1621</v>
      </c>
      <c r="B1613" s="70" t="s">
        <v>1359</v>
      </c>
      <c r="C1613" s="70" t="s">
        <v>13</v>
      </c>
      <c r="D1613" s="71" t="s">
        <v>2714</v>
      </c>
      <c r="E1613" s="71" t="s">
        <v>2715</v>
      </c>
      <c r="F1613" s="72"/>
      <c r="G1613" s="73"/>
      <c r="H1613" s="75"/>
      <c r="I1613" s="102">
        <v>46189</v>
      </c>
      <c r="J1613" s="70" t="s">
        <v>767</v>
      </c>
      <c r="K1613" s="106"/>
      <c r="L1613" s="104" t="e">
        <f t="shared" si="429"/>
        <v>#VALUE!</v>
      </c>
      <c r="M1613" s="105" t="e">
        <f ca="1" t="shared" si="430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>
        <f t="shared" si="427"/>
        <v>0</v>
      </c>
      <c r="Z1613" s="105">
        <f ca="1" t="shared" si="428"/>
        <v>-46313</v>
      </c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5"/>
      <c r="AO1613" s="115"/>
      <c r="AP1613" s="115"/>
      <c r="AQ1613" s="93"/>
      <c r="AR1613" s="93"/>
      <c r="AS1613" s="94"/>
      <c r="AT1613" s="95"/>
      <c r="AU1613" s="79"/>
      <c r="AV1613" s="117"/>
      <c r="AW1613" s="115"/>
      <c r="AX1613" s="106"/>
      <c r="AY1613" s="104"/>
      <c r="AZ1613" s="105"/>
    </row>
    <row r="1614" customHeight="1" spans="1:52">
      <c r="A1614" s="70">
        <v>1622</v>
      </c>
      <c r="B1614" s="70" t="s">
        <v>1908</v>
      </c>
      <c r="C1614" s="70" t="s">
        <v>38</v>
      </c>
      <c r="D1614" s="71" t="s">
        <v>4660</v>
      </c>
      <c r="E1614" s="71" t="s">
        <v>2846</v>
      </c>
      <c r="F1614" s="72"/>
      <c r="G1614" s="73"/>
      <c r="H1614" s="75"/>
      <c r="I1614" s="102">
        <v>46189</v>
      </c>
      <c r="J1614" s="70" t="s">
        <v>767</v>
      </c>
      <c r="K1614" s="106"/>
      <c r="L1614" s="104" t="e">
        <f t="shared" si="429"/>
        <v>#VALUE!</v>
      </c>
      <c r="M1614" s="105" t="e">
        <f ca="1" t="shared" si="430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>
        <f t="shared" si="427"/>
        <v>0</v>
      </c>
      <c r="Z1614" s="105">
        <f ca="1" t="shared" si="428"/>
        <v>-46313</v>
      </c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5"/>
      <c r="AO1614" s="115"/>
      <c r="AP1614" s="115"/>
      <c r="AQ1614" s="93"/>
      <c r="AR1614" s="93"/>
      <c r="AS1614" s="94"/>
      <c r="AT1614" s="95"/>
      <c r="AU1614" s="79"/>
      <c r="AV1614" s="117"/>
      <c r="AW1614" s="115"/>
      <c r="AX1614" s="106"/>
      <c r="AY1614" s="104"/>
      <c r="AZ1614" s="105"/>
    </row>
    <row r="1615" customHeight="1" spans="1:52">
      <c r="A1615" s="70">
        <v>1623</v>
      </c>
      <c r="B1615" s="70" t="s">
        <v>12</v>
      </c>
      <c r="C1615" s="70" t="s">
        <v>38</v>
      </c>
      <c r="D1615" s="71" t="s">
        <v>4661</v>
      </c>
      <c r="E1615" s="71" t="s">
        <v>4662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4663</v>
      </c>
      <c r="L1615" s="104">
        <f t="shared" si="429"/>
        <v>46282</v>
      </c>
      <c r="M1615" s="105">
        <f ca="1" t="shared" si="430"/>
        <v>-31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>
        <f t="shared" si="427"/>
        <v>0</v>
      </c>
      <c r="Z1615" s="105">
        <f ca="1" t="shared" si="428"/>
        <v>-46313</v>
      </c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5"/>
      <c r="AO1615" s="115"/>
      <c r="AP1615" s="115"/>
      <c r="AQ1615" s="93"/>
      <c r="AR1615" s="93"/>
      <c r="AS1615" s="94"/>
      <c r="AT1615" s="95"/>
      <c r="AU1615" s="79"/>
      <c r="AV1615" s="117"/>
      <c r="AW1615" s="115"/>
      <c r="AX1615" s="106"/>
      <c r="AY1615" s="104"/>
      <c r="AZ1615" s="105"/>
    </row>
    <row r="1616" customHeight="1" spans="1:52">
      <c r="A1616" s="70">
        <v>1624</v>
      </c>
      <c r="B1616" s="70" t="s">
        <v>4664</v>
      </c>
      <c r="C1616" s="70" t="s">
        <v>38</v>
      </c>
      <c r="D1616" s="71" t="s">
        <v>4665</v>
      </c>
      <c r="E1616" s="71" t="s">
        <v>735</v>
      </c>
      <c r="F1616" s="72"/>
      <c r="G1616" s="73"/>
      <c r="H1616" s="151"/>
      <c r="I1616" s="102">
        <v>46190</v>
      </c>
      <c r="J1616" s="70">
        <v>3</v>
      </c>
      <c r="K1616" s="106" t="s">
        <v>4666</v>
      </c>
      <c r="L1616" s="104">
        <f t="shared" ref="L1616:L1638" si="431">EDATE(I1616,J1616)</f>
        <v>46282</v>
      </c>
      <c r="M1616" s="105">
        <f ca="1" t="shared" ref="M1616:M1638" si="432">L1616-TODAY()</f>
        <v>-31</v>
      </c>
      <c r="N1616" s="70"/>
      <c r="O1616" s="70" t="s">
        <v>4664</v>
      </c>
      <c r="P1616" s="70" t="s">
        <v>38</v>
      </c>
      <c r="Q1616" s="71" t="s">
        <v>4665</v>
      </c>
      <c r="R1616" s="71" t="s">
        <v>735</v>
      </c>
      <c r="S1616" s="72"/>
      <c r="T1616" s="73"/>
      <c r="U1616" s="151"/>
      <c r="V1616" s="102">
        <v>46278</v>
      </c>
      <c r="W1616" s="70">
        <v>3</v>
      </c>
      <c r="X1616" s="103" t="s">
        <v>4667</v>
      </c>
      <c r="Y1616" s="104">
        <f t="shared" si="427"/>
        <v>46369</v>
      </c>
      <c r="Z1616" s="105">
        <f ca="1" t="shared" si="428"/>
        <v>56</v>
      </c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5"/>
      <c r="AO1616" s="115"/>
      <c r="AP1616" s="115"/>
      <c r="AQ1616" s="93"/>
      <c r="AR1616" s="93"/>
      <c r="AS1616" s="94"/>
      <c r="AT1616" s="95"/>
      <c r="AU1616" s="79"/>
      <c r="AV1616" s="117"/>
      <c r="AW1616" s="115"/>
      <c r="AX1616" s="106"/>
      <c r="AY1616" s="104"/>
      <c r="AZ1616" s="105"/>
    </row>
    <row r="1617" customHeight="1" spans="1:52">
      <c r="A1617" s="70">
        <v>1625</v>
      </c>
      <c r="B1617" s="70" t="s">
        <v>2447</v>
      </c>
      <c r="C1617" s="70" t="s">
        <v>38</v>
      </c>
      <c r="D1617" s="205" t="s">
        <v>4668</v>
      </c>
      <c r="E1617" s="71" t="s">
        <v>4065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4669</v>
      </c>
      <c r="L1617" s="104">
        <f t="shared" si="431"/>
        <v>46282</v>
      </c>
      <c r="M1617" s="105">
        <f ca="1" t="shared" si="432"/>
        <v>-31</v>
      </c>
      <c r="N1617" s="70"/>
      <c r="O1617" s="70" t="s">
        <v>2447</v>
      </c>
      <c r="P1617" s="70" t="s">
        <v>38</v>
      </c>
      <c r="Q1617" s="205" t="s">
        <v>4668</v>
      </c>
      <c r="R1617" s="71" t="s">
        <v>4065</v>
      </c>
      <c r="S1617" s="72"/>
      <c r="T1617" s="73"/>
      <c r="U1617" s="114" t="s">
        <v>16</v>
      </c>
      <c r="V1617" s="102">
        <v>46275</v>
      </c>
      <c r="W1617" s="70">
        <v>3</v>
      </c>
      <c r="X1617" s="103" t="s">
        <v>4670</v>
      </c>
      <c r="Y1617" s="104">
        <f t="shared" ref="Y1617:Y1648" si="433">EDATE(V1617,W1617)</f>
        <v>46366</v>
      </c>
      <c r="Z1617" s="105">
        <f ca="1" t="shared" ref="Z1617:Z1648" si="434">Y1617-TODAY()</f>
        <v>53</v>
      </c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5"/>
      <c r="AO1617" s="115"/>
      <c r="AP1617" s="115"/>
      <c r="AQ1617" s="93"/>
      <c r="AR1617" s="93"/>
      <c r="AS1617" s="94"/>
      <c r="AT1617" s="95"/>
      <c r="AU1617" s="79"/>
      <c r="AV1617" s="117"/>
      <c r="AW1617" s="115"/>
      <c r="AX1617" s="106"/>
      <c r="AY1617" s="104"/>
      <c r="AZ1617" s="105"/>
    </row>
    <row r="1618" customHeight="1" spans="1:52">
      <c r="A1618" s="70">
        <v>1626</v>
      </c>
      <c r="B1618" s="70" t="s">
        <v>2447</v>
      </c>
      <c r="C1618" s="70" t="s">
        <v>38</v>
      </c>
      <c r="D1618" s="205" t="s">
        <v>4671</v>
      </c>
      <c r="E1618" s="71" t="s">
        <v>4065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4672</v>
      </c>
      <c r="L1618" s="104">
        <f t="shared" si="431"/>
        <v>46282</v>
      </c>
      <c r="M1618" s="105">
        <f ca="1" t="shared" si="432"/>
        <v>-31</v>
      </c>
      <c r="N1618" s="70"/>
      <c r="O1618" s="70" t="s">
        <v>2447</v>
      </c>
      <c r="P1618" s="70" t="s">
        <v>38</v>
      </c>
      <c r="Q1618" s="205" t="s">
        <v>4671</v>
      </c>
      <c r="R1618" s="71" t="s">
        <v>4065</v>
      </c>
      <c r="S1618" s="72"/>
      <c r="T1618" s="73"/>
      <c r="U1618" s="114" t="s">
        <v>16</v>
      </c>
      <c r="V1618" s="102">
        <v>46275</v>
      </c>
      <c r="W1618" s="70">
        <v>3</v>
      </c>
      <c r="X1618" s="103" t="s">
        <v>4673</v>
      </c>
      <c r="Y1618" s="104">
        <f t="shared" si="433"/>
        <v>46366</v>
      </c>
      <c r="Z1618" s="105">
        <f ca="1" t="shared" si="434"/>
        <v>53</v>
      </c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5"/>
      <c r="AO1618" s="115"/>
      <c r="AP1618" s="115"/>
      <c r="AQ1618" s="93"/>
      <c r="AR1618" s="93"/>
      <c r="AS1618" s="94"/>
      <c r="AT1618" s="95"/>
      <c r="AU1618" s="79"/>
      <c r="AV1618" s="117"/>
      <c r="AW1618" s="115"/>
      <c r="AX1618" s="106"/>
      <c r="AY1618" s="104"/>
      <c r="AZ1618" s="105"/>
    </row>
    <row r="1619" customHeight="1" spans="1:52">
      <c r="A1619" s="70">
        <v>1627</v>
      </c>
      <c r="B1619" s="70" t="s">
        <v>2447</v>
      </c>
      <c r="C1619" s="70" t="s">
        <v>38</v>
      </c>
      <c r="D1619" s="205" t="s">
        <v>4674</v>
      </c>
      <c r="E1619" s="71" t="s">
        <v>4065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4675</v>
      </c>
      <c r="L1619" s="104">
        <f t="shared" si="431"/>
        <v>46282</v>
      </c>
      <c r="M1619" s="105">
        <f ca="1" t="shared" si="432"/>
        <v>-31</v>
      </c>
      <c r="N1619" s="70"/>
      <c r="O1619" s="70" t="s">
        <v>2447</v>
      </c>
      <c r="P1619" s="70" t="s">
        <v>38</v>
      </c>
      <c r="Q1619" s="205" t="s">
        <v>4674</v>
      </c>
      <c r="R1619" s="71" t="s">
        <v>4065</v>
      </c>
      <c r="S1619" s="72"/>
      <c r="T1619" s="73"/>
      <c r="U1619" s="114" t="s">
        <v>16</v>
      </c>
      <c r="V1619" s="102">
        <v>46292</v>
      </c>
      <c r="W1619" s="70">
        <v>3</v>
      </c>
      <c r="X1619" s="103" t="s">
        <v>4676</v>
      </c>
      <c r="Y1619" s="104">
        <f t="shared" si="433"/>
        <v>46383</v>
      </c>
      <c r="Z1619" s="105">
        <f ca="1" t="shared" si="434"/>
        <v>70</v>
      </c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5"/>
      <c r="AO1619" s="115"/>
      <c r="AP1619" s="115"/>
      <c r="AQ1619" s="93"/>
      <c r="AR1619" s="93"/>
      <c r="AS1619" s="94"/>
      <c r="AT1619" s="95"/>
      <c r="AU1619" s="79"/>
      <c r="AV1619" s="117"/>
      <c r="AW1619" s="115"/>
      <c r="AX1619" s="106"/>
      <c r="AY1619" s="104"/>
      <c r="AZ1619" s="105"/>
    </row>
    <row r="1620" customHeight="1" spans="1:52">
      <c r="A1620" s="70">
        <v>1628</v>
      </c>
      <c r="B1620" s="70" t="s">
        <v>2447</v>
      </c>
      <c r="C1620" s="70" t="s">
        <v>38</v>
      </c>
      <c r="D1620" s="205" t="s">
        <v>4677</v>
      </c>
      <c r="E1620" s="71" t="s">
        <v>4065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4678</v>
      </c>
      <c r="L1620" s="104">
        <f t="shared" si="431"/>
        <v>46282</v>
      </c>
      <c r="M1620" s="105">
        <f ca="1" t="shared" si="432"/>
        <v>-31</v>
      </c>
      <c r="N1620" s="70"/>
      <c r="O1620" s="70" t="s">
        <v>2447</v>
      </c>
      <c r="P1620" s="70" t="s">
        <v>38</v>
      </c>
      <c r="Q1620" s="205" t="s">
        <v>4677</v>
      </c>
      <c r="R1620" s="71" t="s">
        <v>4065</v>
      </c>
      <c r="S1620" s="72"/>
      <c r="T1620" s="73"/>
      <c r="U1620" s="114" t="s">
        <v>16</v>
      </c>
      <c r="V1620" s="102">
        <v>46275</v>
      </c>
      <c r="W1620" s="70">
        <v>3</v>
      </c>
      <c r="X1620" s="103" t="s">
        <v>4679</v>
      </c>
      <c r="Y1620" s="104">
        <f t="shared" si="433"/>
        <v>46366</v>
      </c>
      <c r="Z1620" s="105">
        <f ca="1" t="shared" si="434"/>
        <v>53</v>
      </c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5"/>
      <c r="AO1620" s="115"/>
      <c r="AP1620" s="115"/>
      <c r="AQ1620" s="93"/>
      <c r="AR1620" s="93"/>
      <c r="AS1620" s="94"/>
      <c r="AT1620" s="95"/>
      <c r="AU1620" s="79"/>
      <c r="AV1620" s="117"/>
      <c r="AW1620" s="115"/>
      <c r="AX1620" s="106"/>
      <c r="AY1620" s="104"/>
      <c r="AZ1620" s="105"/>
    </row>
    <row r="1621" customHeight="1" spans="1:52">
      <c r="A1621" s="70">
        <v>1629</v>
      </c>
      <c r="B1621" s="70" t="s">
        <v>2447</v>
      </c>
      <c r="C1621" s="70" t="s">
        <v>38</v>
      </c>
      <c r="D1621" s="205" t="s">
        <v>4680</v>
      </c>
      <c r="E1621" s="71" t="s">
        <v>4065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4681</v>
      </c>
      <c r="L1621" s="104">
        <f t="shared" si="431"/>
        <v>46282</v>
      </c>
      <c r="M1621" s="105">
        <f ca="1" t="shared" si="432"/>
        <v>-31</v>
      </c>
      <c r="N1621" s="70"/>
      <c r="O1621" s="70" t="s">
        <v>2447</v>
      </c>
      <c r="P1621" s="70" t="s">
        <v>38</v>
      </c>
      <c r="Q1621" s="205" t="s">
        <v>4680</v>
      </c>
      <c r="R1621" s="71" t="s">
        <v>4065</v>
      </c>
      <c r="S1621" s="72"/>
      <c r="T1621" s="73"/>
      <c r="U1621" s="114" t="s">
        <v>16</v>
      </c>
      <c r="V1621" s="102">
        <v>46275</v>
      </c>
      <c r="W1621" s="70">
        <v>3</v>
      </c>
      <c r="X1621" s="103" t="s">
        <v>4682</v>
      </c>
      <c r="Y1621" s="104">
        <f t="shared" si="433"/>
        <v>46366</v>
      </c>
      <c r="Z1621" s="105">
        <f ca="1" t="shared" si="434"/>
        <v>53</v>
      </c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5"/>
      <c r="AO1621" s="115"/>
      <c r="AP1621" s="115"/>
      <c r="AQ1621" s="93"/>
      <c r="AR1621" s="93"/>
      <c r="AS1621" s="94"/>
      <c r="AT1621" s="95"/>
      <c r="AU1621" s="79"/>
      <c r="AV1621" s="117"/>
      <c r="AW1621" s="115"/>
      <c r="AX1621" s="106"/>
      <c r="AY1621" s="104"/>
      <c r="AZ1621" s="105"/>
    </row>
    <row r="1622" customHeight="1" spans="1:52">
      <c r="A1622" s="70">
        <v>1630</v>
      </c>
      <c r="B1622" s="70" t="s">
        <v>2447</v>
      </c>
      <c r="C1622" s="70" t="s">
        <v>38</v>
      </c>
      <c r="D1622" s="205" t="s">
        <v>4683</v>
      </c>
      <c r="E1622" s="71" t="s">
        <v>4065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4684</v>
      </c>
      <c r="L1622" s="104">
        <f t="shared" si="431"/>
        <v>46282</v>
      </c>
      <c r="M1622" s="105">
        <f ca="1" t="shared" si="432"/>
        <v>-31</v>
      </c>
      <c r="N1622" s="70"/>
      <c r="O1622" s="70" t="s">
        <v>2447</v>
      </c>
      <c r="P1622" s="70" t="s">
        <v>38</v>
      </c>
      <c r="Q1622" s="205" t="s">
        <v>4683</v>
      </c>
      <c r="R1622" s="71" t="s">
        <v>4065</v>
      </c>
      <c r="S1622" s="72"/>
      <c r="T1622" s="73"/>
      <c r="U1622" s="114" t="s">
        <v>16</v>
      </c>
      <c r="V1622" s="102">
        <v>46275</v>
      </c>
      <c r="W1622" s="70">
        <v>3</v>
      </c>
      <c r="X1622" s="103" t="s">
        <v>4685</v>
      </c>
      <c r="Y1622" s="104">
        <f t="shared" si="433"/>
        <v>46366</v>
      </c>
      <c r="Z1622" s="105">
        <f ca="1" t="shared" si="434"/>
        <v>53</v>
      </c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5"/>
      <c r="AO1622" s="115"/>
      <c r="AP1622" s="115"/>
      <c r="AQ1622" s="93"/>
      <c r="AR1622" s="93"/>
      <c r="AS1622" s="94"/>
      <c r="AT1622" s="95"/>
      <c r="AU1622" s="79"/>
      <c r="AV1622" s="117"/>
      <c r="AW1622" s="115"/>
      <c r="AX1622" s="106"/>
      <c r="AY1622" s="104"/>
      <c r="AZ1622" s="105"/>
    </row>
    <row r="1623" customHeight="1" spans="1:52">
      <c r="A1623" s="70">
        <v>1631</v>
      </c>
      <c r="B1623" s="70" t="s">
        <v>4652</v>
      </c>
      <c r="C1623" s="70" t="s">
        <v>264</v>
      </c>
      <c r="D1623" s="71" t="s">
        <v>4686</v>
      </c>
      <c r="E1623" s="71" t="s">
        <v>4687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4688</v>
      </c>
      <c r="L1623" s="104">
        <f t="shared" si="431"/>
        <v>46282</v>
      </c>
      <c r="M1623" s="105">
        <f ca="1" t="shared" si="432"/>
        <v>-31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>
        <f t="shared" si="433"/>
        <v>0</v>
      </c>
      <c r="Z1623" s="105">
        <f ca="1" t="shared" si="434"/>
        <v>-46313</v>
      </c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5"/>
      <c r="AO1623" s="115"/>
      <c r="AP1623" s="115"/>
      <c r="AQ1623" s="93"/>
      <c r="AR1623" s="93"/>
      <c r="AS1623" s="94"/>
      <c r="AT1623" s="95"/>
      <c r="AU1623" s="79"/>
      <c r="AV1623" s="117"/>
      <c r="AW1623" s="115"/>
      <c r="AX1623" s="106"/>
      <c r="AY1623" s="104"/>
      <c r="AZ1623" s="105"/>
    </row>
    <row r="1624" customHeight="1" spans="1:52">
      <c r="A1624" s="70">
        <v>1632</v>
      </c>
      <c r="B1624" s="70" t="s">
        <v>4652</v>
      </c>
      <c r="C1624" s="70" t="s">
        <v>264</v>
      </c>
      <c r="D1624" s="71" t="s">
        <v>4689</v>
      </c>
      <c r="E1624" s="71" t="s">
        <v>4690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4691</v>
      </c>
      <c r="L1624" s="104">
        <f t="shared" si="431"/>
        <v>46282</v>
      </c>
      <c r="M1624" s="105">
        <f ca="1" t="shared" si="432"/>
        <v>-31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>
        <f t="shared" si="433"/>
        <v>0</v>
      </c>
      <c r="Z1624" s="105">
        <f ca="1" t="shared" si="434"/>
        <v>-46313</v>
      </c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5"/>
      <c r="AO1624" s="115"/>
      <c r="AP1624" s="115"/>
      <c r="AQ1624" s="93"/>
      <c r="AR1624" s="93"/>
      <c r="AS1624" s="94"/>
      <c r="AT1624" s="95"/>
      <c r="AU1624" s="79"/>
      <c r="AV1624" s="117"/>
      <c r="AW1624" s="115"/>
      <c r="AX1624" s="106"/>
      <c r="AY1624" s="104"/>
      <c r="AZ1624" s="105"/>
    </row>
    <row r="1625" customHeight="1" spans="1:52">
      <c r="A1625" s="70">
        <v>1633</v>
      </c>
      <c r="B1625" s="70" t="s">
        <v>4652</v>
      </c>
      <c r="C1625" s="70" t="s">
        <v>264</v>
      </c>
      <c r="D1625" s="71" t="s">
        <v>4692</v>
      </c>
      <c r="E1625" s="71" t="s">
        <v>4693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4694</v>
      </c>
      <c r="L1625" s="104">
        <f t="shared" si="431"/>
        <v>46282</v>
      </c>
      <c r="M1625" s="105">
        <f ca="1" t="shared" si="432"/>
        <v>-31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>
        <f t="shared" si="433"/>
        <v>0</v>
      </c>
      <c r="Z1625" s="105">
        <f ca="1" t="shared" si="434"/>
        <v>-46313</v>
      </c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5"/>
      <c r="AO1625" s="115"/>
      <c r="AP1625" s="115"/>
      <c r="AQ1625" s="93"/>
      <c r="AR1625" s="93"/>
      <c r="AS1625" s="94"/>
      <c r="AT1625" s="95"/>
      <c r="AU1625" s="79"/>
      <c r="AV1625" s="117"/>
      <c r="AW1625" s="115"/>
      <c r="AX1625" s="106"/>
      <c r="AY1625" s="104"/>
      <c r="AZ1625" s="105"/>
    </row>
    <row r="1626" customHeight="1" spans="1:52">
      <c r="A1626" s="70">
        <v>1634</v>
      </c>
      <c r="B1626" s="204" t="s">
        <v>3559</v>
      </c>
      <c r="C1626" s="70" t="s">
        <v>264</v>
      </c>
      <c r="D1626" s="205" t="s">
        <v>4695</v>
      </c>
      <c r="E1626" s="71" t="s">
        <v>4696</v>
      </c>
      <c r="F1626" s="72"/>
      <c r="G1626" s="73"/>
      <c r="H1626" s="75"/>
      <c r="I1626" s="102">
        <v>46190</v>
      </c>
      <c r="J1626" s="70">
        <v>3</v>
      </c>
      <c r="K1626" s="106" t="s">
        <v>4697</v>
      </c>
      <c r="L1626" s="104">
        <f t="shared" si="431"/>
        <v>46282</v>
      </c>
      <c r="M1626" s="105">
        <f ca="1" t="shared" si="432"/>
        <v>-31</v>
      </c>
      <c r="N1626" s="70"/>
      <c r="O1626" s="204" t="s">
        <v>3559</v>
      </c>
      <c r="P1626" s="70" t="s">
        <v>264</v>
      </c>
      <c r="Q1626" s="205" t="s">
        <v>4695</v>
      </c>
      <c r="R1626" s="71" t="s">
        <v>4696</v>
      </c>
      <c r="S1626" s="72"/>
      <c r="T1626" s="73"/>
      <c r="U1626" s="75"/>
      <c r="V1626" s="102">
        <v>46276</v>
      </c>
      <c r="W1626" s="70">
        <v>3</v>
      </c>
      <c r="X1626" s="103" t="s">
        <v>4698</v>
      </c>
      <c r="Y1626" s="104">
        <f t="shared" si="433"/>
        <v>46367</v>
      </c>
      <c r="Z1626" s="105">
        <f ca="1" t="shared" si="434"/>
        <v>54</v>
      </c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5"/>
      <c r="AO1626" s="115"/>
      <c r="AP1626" s="115"/>
      <c r="AQ1626" s="93"/>
      <c r="AR1626" s="93"/>
      <c r="AS1626" s="94"/>
      <c r="AT1626" s="95"/>
      <c r="AU1626" s="79"/>
      <c r="AV1626" s="117"/>
      <c r="AW1626" s="115"/>
      <c r="AX1626" s="106"/>
      <c r="AY1626" s="104"/>
      <c r="AZ1626" s="105"/>
    </row>
    <row r="1627" customHeight="1" spans="1:52">
      <c r="A1627" s="70">
        <v>1635</v>
      </c>
      <c r="B1627" s="204" t="s">
        <v>3559</v>
      </c>
      <c r="C1627" s="70" t="s">
        <v>264</v>
      </c>
      <c r="D1627" s="205" t="s">
        <v>4699</v>
      </c>
      <c r="E1627" s="71" t="s">
        <v>4700</v>
      </c>
      <c r="F1627" s="72"/>
      <c r="G1627" s="73"/>
      <c r="H1627" s="75"/>
      <c r="I1627" s="102">
        <v>46190</v>
      </c>
      <c r="J1627" s="70">
        <v>3</v>
      </c>
      <c r="K1627" s="106" t="s">
        <v>4701</v>
      </c>
      <c r="L1627" s="104">
        <f t="shared" si="431"/>
        <v>46282</v>
      </c>
      <c r="M1627" s="105">
        <f ca="1" t="shared" si="432"/>
        <v>-31</v>
      </c>
      <c r="N1627" s="70"/>
      <c r="O1627" s="204" t="s">
        <v>3559</v>
      </c>
      <c r="P1627" s="70" t="s">
        <v>264</v>
      </c>
      <c r="Q1627" s="205" t="s">
        <v>4699</v>
      </c>
      <c r="R1627" s="71" t="s">
        <v>4700</v>
      </c>
      <c r="S1627" s="72"/>
      <c r="T1627" s="73"/>
      <c r="U1627" s="75"/>
      <c r="V1627" s="102">
        <v>46276</v>
      </c>
      <c r="W1627" s="70">
        <v>3</v>
      </c>
      <c r="X1627" s="103" t="s">
        <v>4702</v>
      </c>
      <c r="Y1627" s="104">
        <f t="shared" si="433"/>
        <v>46367</v>
      </c>
      <c r="Z1627" s="105">
        <f ca="1" t="shared" si="434"/>
        <v>54</v>
      </c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5"/>
      <c r="AO1627" s="115"/>
      <c r="AP1627" s="115"/>
      <c r="AQ1627" s="93"/>
      <c r="AR1627" s="93"/>
      <c r="AS1627" s="94"/>
      <c r="AT1627" s="95"/>
      <c r="AU1627" s="79"/>
      <c r="AV1627" s="117"/>
      <c r="AW1627" s="115"/>
      <c r="AX1627" s="106"/>
      <c r="AY1627" s="104"/>
      <c r="AZ1627" s="105"/>
    </row>
    <row r="1628" customHeight="1" spans="1:52">
      <c r="A1628" s="70">
        <v>1636</v>
      </c>
      <c r="B1628" s="204" t="s">
        <v>644</v>
      </c>
      <c r="C1628" s="70" t="s">
        <v>264</v>
      </c>
      <c r="D1628" s="71" t="s">
        <v>2433</v>
      </c>
      <c r="E1628" s="71" t="s">
        <v>753</v>
      </c>
      <c r="F1628" s="72"/>
      <c r="G1628" s="73"/>
      <c r="H1628" s="75"/>
      <c r="I1628" s="102">
        <v>46190</v>
      </c>
      <c r="J1628" s="70" t="s">
        <v>767</v>
      </c>
      <c r="K1628" s="106"/>
      <c r="L1628" s="104" t="e">
        <f t="shared" si="431"/>
        <v>#VALUE!</v>
      </c>
      <c r="M1628" s="105" t="e">
        <f ca="1" t="shared" si="432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>
        <f t="shared" si="433"/>
        <v>0</v>
      </c>
      <c r="Z1628" s="105">
        <f ca="1" t="shared" si="434"/>
        <v>-46313</v>
      </c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5"/>
      <c r="AO1628" s="115"/>
      <c r="AP1628" s="115"/>
      <c r="AQ1628" s="93"/>
      <c r="AR1628" s="93"/>
      <c r="AS1628" s="94"/>
      <c r="AT1628" s="95"/>
      <c r="AU1628" s="79"/>
      <c r="AV1628" s="117"/>
      <c r="AW1628" s="115"/>
      <c r="AX1628" s="106"/>
      <c r="AY1628" s="104"/>
      <c r="AZ1628" s="105"/>
    </row>
    <row r="1629" customHeight="1" spans="1:52">
      <c r="A1629" s="70">
        <v>1637</v>
      </c>
      <c r="B1629" s="70" t="s">
        <v>1908</v>
      </c>
      <c r="C1629" s="70" t="s">
        <v>13</v>
      </c>
      <c r="D1629" s="71" t="s">
        <v>4660</v>
      </c>
      <c r="E1629" s="71" t="s">
        <v>2846</v>
      </c>
      <c r="F1629" s="72"/>
      <c r="G1629" s="73"/>
      <c r="H1629" s="75"/>
      <c r="I1629" s="102">
        <v>46190</v>
      </c>
      <c r="J1629" s="70" t="s">
        <v>767</v>
      </c>
      <c r="K1629" s="106"/>
      <c r="L1629" s="104" t="e">
        <f t="shared" si="431"/>
        <v>#VALUE!</v>
      </c>
      <c r="M1629" s="105" t="e">
        <f ca="1" t="shared" si="432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>
        <f t="shared" si="433"/>
        <v>0</v>
      </c>
      <c r="Z1629" s="105">
        <f ca="1" t="shared" si="434"/>
        <v>-46313</v>
      </c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5"/>
      <c r="AO1629" s="115"/>
      <c r="AP1629" s="115"/>
      <c r="AQ1629" s="93"/>
      <c r="AR1629" s="93"/>
      <c r="AS1629" s="94"/>
      <c r="AT1629" s="95"/>
      <c r="AU1629" s="79"/>
      <c r="AV1629" s="117"/>
      <c r="AW1629" s="115"/>
      <c r="AX1629" s="106"/>
      <c r="AY1629" s="104"/>
      <c r="AZ1629" s="105"/>
    </row>
    <row r="1630" customHeight="1" spans="1:52">
      <c r="A1630" s="70">
        <v>1638</v>
      </c>
      <c r="B1630" s="70" t="s">
        <v>4703</v>
      </c>
      <c r="C1630" s="70" t="s">
        <v>38</v>
      </c>
      <c r="D1630" s="71" t="s">
        <v>4704</v>
      </c>
      <c r="E1630" s="71" t="s">
        <v>189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4705</v>
      </c>
      <c r="L1630" s="104">
        <f t="shared" si="431"/>
        <v>46283</v>
      </c>
      <c r="M1630" s="105">
        <f ca="1" t="shared" si="432"/>
        <v>-30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>
        <f t="shared" si="433"/>
        <v>0</v>
      </c>
      <c r="Z1630" s="105">
        <f ca="1" t="shared" si="434"/>
        <v>-46313</v>
      </c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5"/>
      <c r="AO1630" s="115"/>
      <c r="AP1630" s="115"/>
      <c r="AQ1630" s="93"/>
      <c r="AR1630" s="93"/>
      <c r="AS1630" s="94"/>
      <c r="AT1630" s="95"/>
      <c r="AU1630" s="79"/>
      <c r="AV1630" s="117"/>
      <c r="AW1630" s="115"/>
      <c r="AX1630" s="106"/>
      <c r="AY1630" s="104"/>
      <c r="AZ1630" s="105"/>
    </row>
    <row r="1631" customHeight="1" spans="1:52">
      <c r="A1631" s="70">
        <v>1639</v>
      </c>
      <c r="B1631" s="70" t="s">
        <v>4703</v>
      </c>
      <c r="C1631" s="70" t="s">
        <v>13</v>
      </c>
      <c r="D1631" s="71" t="s">
        <v>4706</v>
      </c>
      <c r="E1631" s="71" t="s">
        <v>45</v>
      </c>
      <c r="F1631" s="72"/>
      <c r="G1631" s="73"/>
      <c r="H1631" s="75"/>
      <c r="I1631" s="102">
        <v>46191</v>
      </c>
      <c r="J1631" s="70">
        <v>3</v>
      </c>
      <c r="K1631" s="106" t="s">
        <v>4707</v>
      </c>
      <c r="L1631" s="104">
        <f t="shared" si="431"/>
        <v>46283</v>
      </c>
      <c r="M1631" s="105">
        <f ca="1" t="shared" si="432"/>
        <v>-30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>
        <f t="shared" si="433"/>
        <v>0</v>
      </c>
      <c r="Z1631" s="105">
        <f ca="1" t="shared" si="434"/>
        <v>-46313</v>
      </c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5"/>
      <c r="AO1631" s="115"/>
      <c r="AP1631" s="115"/>
      <c r="AQ1631" s="93"/>
      <c r="AR1631" s="93"/>
      <c r="AS1631" s="94"/>
      <c r="AT1631" s="95"/>
      <c r="AU1631" s="79"/>
      <c r="AV1631" s="117"/>
      <c r="AW1631" s="115"/>
      <c r="AX1631" s="106"/>
      <c r="AY1631" s="104"/>
      <c r="AZ1631" s="105"/>
    </row>
    <row r="1632" customHeight="1" spans="1:52">
      <c r="A1632" s="70">
        <v>1640</v>
      </c>
      <c r="B1632" s="204" t="s">
        <v>644</v>
      </c>
      <c r="C1632" s="70" t="s">
        <v>264</v>
      </c>
      <c r="D1632" s="205" t="s">
        <v>1922</v>
      </c>
      <c r="E1632" s="71" t="s">
        <v>266</v>
      </c>
      <c r="F1632" s="72"/>
      <c r="G1632" s="73"/>
      <c r="H1632" s="75"/>
      <c r="I1632" s="102">
        <v>46191</v>
      </c>
      <c r="J1632" s="70" t="s">
        <v>767</v>
      </c>
      <c r="K1632" s="106"/>
      <c r="L1632" s="104" t="e">
        <f t="shared" ref="L1632:L1642" si="435">EDATE(I1632,J1632)</f>
        <v>#VALUE!</v>
      </c>
      <c r="M1632" s="105" t="e">
        <f ca="1" t="shared" ref="M1632:M1648" si="436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>
        <f t="shared" si="433"/>
        <v>0</v>
      </c>
      <c r="Z1632" s="105">
        <f ca="1" t="shared" si="434"/>
        <v>-46313</v>
      </c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5"/>
      <c r="AO1632" s="115"/>
      <c r="AP1632" s="115"/>
      <c r="AQ1632" s="93"/>
      <c r="AR1632" s="93"/>
      <c r="AS1632" s="94"/>
      <c r="AT1632" s="95"/>
      <c r="AU1632" s="79"/>
      <c r="AV1632" s="117"/>
      <c r="AW1632" s="115"/>
      <c r="AX1632" s="106"/>
      <c r="AY1632" s="104"/>
      <c r="AZ1632" s="105"/>
    </row>
    <row r="1633" customHeight="1" spans="1:52">
      <c r="A1633" s="70">
        <v>1641</v>
      </c>
      <c r="B1633" s="204" t="s">
        <v>644</v>
      </c>
      <c r="C1633" s="70" t="s">
        <v>264</v>
      </c>
      <c r="D1633" s="205" t="s">
        <v>265</v>
      </c>
      <c r="E1633" s="71" t="s">
        <v>266</v>
      </c>
      <c r="F1633" s="72"/>
      <c r="G1633" s="73"/>
      <c r="H1633" s="75"/>
      <c r="I1633" s="102">
        <v>46191</v>
      </c>
      <c r="J1633" s="70" t="s">
        <v>767</v>
      </c>
      <c r="K1633" s="106"/>
      <c r="L1633" s="104" t="e">
        <f t="shared" si="435"/>
        <v>#VALUE!</v>
      </c>
      <c r="M1633" s="105" t="e">
        <f ca="1" t="shared" si="436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>
        <f t="shared" si="433"/>
        <v>0</v>
      </c>
      <c r="Z1633" s="105">
        <f ca="1" t="shared" si="434"/>
        <v>-46313</v>
      </c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5"/>
      <c r="AO1633" s="115"/>
      <c r="AP1633" s="115"/>
      <c r="AQ1633" s="93"/>
      <c r="AR1633" s="93"/>
      <c r="AS1633" s="94"/>
      <c r="AT1633" s="95"/>
      <c r="AU1633" s="79"/>
      <c r="AV1633" s="117"/>
      <c r="AW1633" s="115"/>
      <c r="AX1633" s="106"/>
      <c r="AY1633" s="104"/>
      <c r="AZ1633" s="105"/>
    </row>
    <row r="1634" customHeight="1" spans="1:52">
      <c r="A1634" s="70">
        <v>1642</v>
      </c>
      <c r="B1634" s="204" t="s">
        <v>263</v>
      </c>
      <c r="C1634" s="70" t="s">
        <v>264</v>
      </c>
      <c r="D1634" s="205" t="s">
        <v>763</v>
      </c>
      <c r="E1634" s="71" t="s">
        <v>764</v>
      </c>
      <c r="F1634" s="72"/>
      <c r="G1634" s="73"/>
      <c r="H1634" s="75"/>
      <c r="I1634" s="102">
        <v>46191</v>
      </c>
      <c r="J1634" s="70" t="s">
        <v>767</v>
      </c>
      <c r="K1634" s="106"/>
      <c r="L1634" s="104" t="e">
        <f t="shared" si="435"/>
        <v>#VALUE!</v>
      </c>
      <c r="M1634" s="105" t="e">
        <f ca="1" t="shared" si="436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>
        <f t="shared" si="433"/>
        <v>0</v>
      </c>
      <c r="Z1634" s="105">
        <f ca="1" t="shared" si="434"/>
        <v>-46313</v>
      </c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5"/>
      <c r="AO1634" s="115"/>
      <c r="AP1634" s="115"/>
      <c r="AQ1634" s="93"/>
      <c r="AR1634" s="93"/>
      <c r="AS1634" s="94"/>
      <c r="AT1634" s="95"/>
      <c r="AU1634" s="79"/>
      <c r="AV1634" s="117"/>
      <c r="AW1634" s="115"/>
      <c r="AX1634" s="106"/>
      <c r="AY1634" s="104"/>
      <c r="AZ1634" s="105"/>
    </row>
    <row r="1635" customHeight="1" spans="1:52">
      <c r="A1635" s="70">
        <v>1643</v>
      </c>
      <c r="B1635" s="204" t="s">
        <v>263</v>
      </c>
      <c r="C1635" s="70" t="s">
        <v>264</v>
      </c>
      <c r="D1635" s="205" t="s">
        <v>265</v>
      </c>
      <c r="E1635" s="71" t="s">
        <v>266</v>
      </c>
      <c r="F1635" s="72"/>
      <c r="G1635" s="73"/>
      <c r="H1635" s="75"/>
      <c r="I1635" s="102">
        <v>46193</v>
      </c>
      <c r="J1635" s="70" t="s">
        <v>767</v>
      </c>
      <c r="K1635" s="106"/>
      <c r="L1635" s="104" t="e">
        <f t="shared" si="435"/>
        <v>#VALUE!</v>
      </c>
      <c r="M1635" s="105" t="e">
        <f ca="1" t="shared" si="436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>
        <f t="shared" si="433"/>
        <v>0</v>
      </c>
      <c r="Z1635" s="105">
        <f ca="1" t="shared" si="434"/>
        <v>-46313</v>
      </c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5"/>
      <c r="AO1635" s="115"/>
      <c r="AP1635" s="115"/>
      <c r="AQ1635" s="93"/>
      <c r="AR1635" s="93"/>
      <c r="AS1635" s="94"/>
      <c r="AT1635" s="95"/>
      <c r="AU1635" s="79"/>
      <c r="AV1635" s="117"/>
      <c r="AW1635" s="115"/>
      <c r="AX1635" s="106"/>
      <c r="AY1635" s="104"/>
      <c r="AZ1635" s="105"/>
    </row>
    <row r="1636" customHeight="1" spans="1:52">
      <c r="A1636" s="70">
        <v>1644</v>
      </c>
      <c r="B1636" s="204" t="s">
        <v>366</v>
      </c>
      <c r="C1636" s="70" t="s">
        <v>264</v>
      </c>
      <c r="D1636" s="205" t="s">
        <v>367</v>
      </c>
      <c r="E1636" s="71" t="s">
        <v>368</v>
      </c>
      <c r="F1636" s="72"/>
      <c r="G1636" s="73"/>
      <c r="H1636" s="75"/>
      <c r="I1636" s="102">
        <v>46193</v>
      </c>
      <c r="J1636" s="70" t="s">
        <v>767</v>
      </c>
      <c r="K1636" s="106"/>
      <c r="L1636" s="104" t="e">
        <f t="shared" si="435"/>
        <v>#VALUE!</v>
      </c>
      <c r="M1636" s="105" t="e">
        <f ca="1" t="shared" si="436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>
        <f t="shared" si="433"/>
        <v>0</v>
      </c>
      <c r="Z1636" s="105">
        <f ca="1" t="shared" si="434"/>
        <v>-46313</v>
      </c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5"/>
      <c r="AO1636" s="115"/>
      <c r="AP1636" s="115"/>
      <c r="AQ1636" s="93"/>
      <c r="AR1636" s="93"/>
      <c r="AS1636" s="94"/>
      <c r="AT1636" s="95"/>
      <c r="AU1636" s="79"/>
      <c r="AV1636" s="117"/>
      <c r="AW1636" s="115"/>
      <c r="AX1636" s="106"/>
      <c r="AY1636" s="104"/>
      <c r="AZ1636" s="105"/>
    </row>
    <row r="1637" customHeight="1" spans="1:52">
      <c r="A1637" s="70">
        <v>1645</v>
      </c>
      <c r="B1637" s="204" t="s">
        <v>3559</v>
      </c>
      <c r="C1637" s="70" t="s">
        <v>264</v>
      </c>
      <c r="D1637" s="205" t="s">
        <v>4708</v>
      </c>
      <c r="E1637" s="71" t="s">
        <v>3187</v>
      </c>
      <c r="F1637" s="72"/>
      <c r="G1637" s="73"/>
      <c r="H1637" s="75"/>
      <c r="I1637" s="102">
        <v>46193</v>
      </c>
      <c r="J1637" s="70">
        <v>3</v>
      </c>
      <c r="K1637" s="106" t="s">
        <v>4709</v>
      </c>
      <c r="L1637" s="104">
        <f t="shared" si="435"/>
        <v>46285</v>
      </c>
      <c r="M1637" s="105">
        <f ca="1" t="shared" si="436"/>
        <v>-28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>
        <f t="shared" si="433"/>
        <v>0</v>
      </c>
      <c r="Z1637" s="105">
        <f ca="1" t="shared" si="434"/>
        <v>-46313</v>
      </c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5"/>
      <c r="AO1637" s="115"/>
      <c r="AP1637" s="115"/>
      <c r="AQ1637" s="93"/>
      <c r="AR1637" s="93"/>
      <c r="AS1637" s="94"/>
      <c r="AT1637" s="95"/>
      <c r="AU1637" s="79"/>
      <c r="AV1637" s="117"/>
      <c r="AW1637" s="115"/>
      <c r="AX1637" s="106"/>
      <c r="AY1637" s="104"/>
      <c r="AZ1637" s="105"/>
    </row>
    <row r="1638" customHeight="1" spans="1:52">
      <c r="A1638" s="70">
        <v>1646</v>
      </c>
      <c r="B1638" s="204" t="s">
        <v>757</v>
      </c>
      <c r="C1638" s="70" t="s">
        <v>264</v>
      </c>
      <c r="D1638" s="205" t="s">
        <v>758</v>
      </c>
      <c r="E1638" s="71" t="s">
        <v>4412</v>
      </c>
      <c r="F1638" s="72"/>
      <c r="G1638" s="73"/>
      <c r="H1638" s="75"/>
      <c r="I1638" s="102">
        <v>46193</v>
      </c>
      <c r="J1638" s="70" t="s">
        <v>767</v>
      </c>
      <c r="K1638" s="106"/>
      <c r="L1638" s="104" t="e">
        <f t="shared" si="435"/>
        <v>#VALUE!</v>
      </c>
      <c r="M1638" s="105" t="e">
        <f ca="1" t="shared" si="436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>
        <f t="shared" si="433"/>
        <v>0</v>
      </c>
      <c r="Z1638" s="105">
        <f ca="1" t="shared" si="434"/>
        <v>-46313</v>
      </c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5"/>
      <c r="AO1638" s="115"/>
      <c r="AP1638" s="115"/>
      <c r="AQ1638" s="93"/>
      <c r="AR1638" s="93"/>
      <c r="AS1638" s="94"/>
      <c r="AT1638" s="95"/>
      <c r="AU1638" s="79"/>
      <c r="AV1638" s="117"/>
      <c r="AW1638" s="115"/>
      <c r="AX1638" s="106"/>
      <c r="AY1638" s="104"/>
      <c r="AZ1638" s="105"/>
    </row>
    <row r="1639" customHeight="1" spans="1:52">
      <c r="A1639" s="70">
        <v>1647</v>
      </c>
      <c r="B1639" s="204" t="s">
        <v>1359</v>
      </c>
      <c r="C1639" s="70" t="s">
        <v>13</v>
      </c>
      <c r="D1639" s="205" t="s">
        <v>2779</v>
      </c>
      <c r="E1639" s="71" t="s">
        <v>2780</v>
      </c>
      <c r="F1639" s="72"/>
      <c r="G1639" s="73"/>
      <c r="H1639" s="75" t="s">
        <v>434</v>
      </c>
      <c r="I1639" s="102">
        <v>46193</v>
      </c>
      <c r="J1639" s="70" t="s">
        <v>767</v>
      </c>
      <c r="K1639" s="106"/>
      <c r="L1639" s="104" t="e">
        <f t="shared" si="435"/>
        <v>#VALUE!</v>
      </c>
      <c r="M1639" s="105" t="e">
        <f ca="1" t="shared" si="436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>
        <f t="shared" si="433"/>
        <v>0</v>
      </c>
      <c r="Z1639" s="105">
        <f ca="1" t="shared" si="434"/>
        <v>-46313</v>
      </c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5"/>
      <c r="AO1639" s="115"/>
      <c r="AP1639" s="115"/>
      <c r="AQ1639" s="93"/>
      <c r="AR1639" s="93"/>
      <c r="AS1639" s="94"/>
      <c r="AT1639" s="95"/>
      <c r="AU1639" s="79"/>
      <c r="AV1639" s="117"/>
      <c r="AW1639" s="115"/>
      <c r="AX1639" s="106"/>
      <c r="AY1639" s="104"/>
      <c r="AZ1639" s="105"/>
    </row>
    <row r="1640" customHeight="1" spans="1:52">
      <c r="A1640" s="70">
        <v>1648</v>
      </c>
      <c r="B1640" s="204" t="s">
        <v>1359</v>
      </c>
      <c r="C1640" s="70" t="s">
        <v>13</v>
      </c>
      <c r="D1640" s="205" t="s">
        <v>2775</v>
      </c>
      <c r="E1640" s="71" t="s">
        <v>2776</v>
      </c>
      <c r="F1640" s="72"/>
      <c r="G1640" s="73"/>
      <c r="H1640" s="75" t="s">
        <v>434</v>
      </c>
      <c r="I1640" s="102">
        <v>46193</v>
      </c>
      <c r="J1640" s="70" t="s">
        <v>767</v>
      </c>
      <c r="K1640" s="106"/>
      <c r="L1640" s="104" t="e">
        <f t="shared" si="435"/>
        <v>#VALUE!</v>
      </c>
      <c r="M1640" s="105" t="e">
        <f ca="1" t="shared" si="436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>
        <f t="shared" si="433"/>
        <v>0</v>
      </c>
      <c r="Z1640" s="105">
        <f ca="1" t="shared" si="434"/>
        <v>-46313</v>
      </c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5"/>
      <c r="AO1640" s="115"/>
      <c r="AP1640" s="115"/>
      <c r="AQ1640" s="93"/>
      <c r="AR1640" s="93"/>
      <c r="AS1640" s="94"/>
      <c r="AT1640" s="95"/>
      <c r="AU1640" s="79"/>
      <c r="AV1640" s="117"/>
      <c r="AW1640" s="115"/>
      <c r="AX1640" s="106"/>
      <c r="AY1640" s="104"/>
      <c r="AZ1640" s="105"/>
    </row>
    <row r="1641" customHeight="1" spans="1:52">
      <c r="A1641" s="70">
        <v>1649</v>
      </c>
      <c r="B1641" s="204" t="s">
        <v>1359</v>
      </c>
      <c r="C1641" s="70" t="s">
        <v>13</v>
      </c>
      <c r="D1641" s="205" t="s">
        <v>2858</v>
      </c>
      <c r="E1641" s="71" t="s">
        <v>2859</v>
      </c>
      <c r="F1641" s="72"/>
      <c r="G1641" s="73"/>
      <c r="H1641" s="75"/>
      <c r="I1641" s="102">
        <v>46193</v>
      </c>
      <c r="J1641" s="70" t="s">
        <v>767</v>
      </c>
      <c r="K1641" s="106"/>
      <c r="L1641" s="104" t="e">
        <f t="shared" si="435"/>
        <v>#VALUE!</v>
      </c>
      <c r="M1641" s="105" t="e">
        <f ca="1" t="shared" si="436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>
        <f t="shared" si="433"/>
        <v>0</v>
      </c>
      <c r="Z1641" s="105">
        <f ca="1" t="shared" si="434"/>
        <v>-46313</v>
      </c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5"/>
      <c r="AO1641" s="115"/>
      <c r="AP1641" s="115"/>
      <c r="AQ1641" s="93"/>
      <c r="AR1641" s="93"/>
      <c r="AS1641" s="94"/>
      <c r="AT1641" s="95"/>
      <c r="AU1641" s="79"/>
      <c r="AV1641" s="117"/>
      <c r="AW1641" s="115"/>
      <c r="AX1641" s="106"/>
      <c r="AY1641" s="104"/>
      <c r="AZ1641" s="105"/>
    </row>
    <row r="1642" customHeight="1" spans="1:52">
      <c r="A1642" s="70">
        <v>1650</v>
      </c>
      <c r="B1642" s="70" t="s">
        <v>570</v>
      </c>
      <c r="C1642" s="70" t="s">
        <v>13</v>
      </c>
      <c r="D1642" s="71" t="s">
        <v>4710</v>
      </c>
      <c r="E1642" s="71" t="s">
        <v>76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4711</v>
      </c>
      <c r="L1642" s="104">
        <f t="shared" si="435"/>
        <v>46285</v>
      </c>
      <c r="M1642" s="105">
        <f ca="1" t="shared" si="436"/>
        <v>-28</v>
      </c>
      <c r="N1642" s="70"/>
      <c r="O1642" s="70" t="s">
        <v>570</v>
      </c>
      <c r="P1642" s="70" t="s">
        <v>13</v>
      </c>
      <c r="Q1642" s="71" t="s">
        <v>4710</v>
      </c>
      <c r="R1642" s="71" t="s">
        <v>76</v>
      </c>
      <c r="S1642" s="72"/>
      <c r="T1642" s="73"/>
      <c r="U1642" s="79" t="s">
        <v>16</v>
      </c>
      <c r="V1642" s="102">
        <v>46286</v>
      </c>
      <c r="W1642" s="70">
        <v>3</v>
      </c>
      <c r="X1642" s="103" t="s">
        <v>4712</v>
      </c>
      <c r="Y1642" s="104">
        <f t="shared" si="433"/>
        <v>46377</v>
      </c>
      <c r="Z1642" s="105">
        <f ca="1" t="shared" si="434"/>
        <v>64</v>
      </c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5"/>
      <c r="AO1642" s="115"/>
      <c r="AP1642" s="115"/>
      <c r="AQ1642" s="93"/>
      <c r="AR1642" s="93"/>
      <c r="AS1642" s="94"/>
      <c r="AT1642" s="95"/>
      <c r="AU1642" s="79"/>
      <c r="AV1642" s="117"/>
      <c r="AW1642" s="115"/>
      <c r="AX1642" s="106"/>
      <c r="AY1642" s="104"/>
      <c r="AZ1642" s="105"/>
    </row>
    <row r="1643" customHeight="1" spans="1:52">
      <c r="A1643" s="70">
        <v>1651</v>
      </c>
      <c r="B1643" s="204" t="s">
        <v>751</v>
      </c>
      <c r="C1643" s="70" t="s">
        <v>264</v>
      </c>
      <c r="D1643" s="205" t="s">
        <v>4713</v>
      </c>
      <c r="E1643" s="71" t="s">
        <v>3187</v>
      </c>
      <c r="F1643" s="72"/>
      <c r="G1643" s="73"/>
      <c r="H1643" s="75"/>
      <c r="I1643" s="102">
        <v>46194</v>
      </c>
      <c r="J1643" s="70">
        <v>3</v>
      </c>
      <c r="K1643" s="106" t="s">
        <v>4714</v>
      </c>
      <c r="L1643" s="104">
        <f t="shared" ref="L1643:L1652" si="437">EDATE(I1643,J1643)</f>
        <v>46286</v>
      </c>
      <c r="M1643" s="105">
        <f ca="1" t="shared" si="436"/>
        <v>-27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>
        <f t="shared" si="433"/>
        <v>0</v>
      </c>
      <c r="Z1643" s="105">
        <f ca="1" t="shared" si="434"/>
        <v>-46313</v>
      </c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5"/>
      <c r="AO1643" s="115"/>
      <c r="AP1643" s="115"/>
      <c r="AQ1643" s="93"/>
      <c r="AR1643" s="93"/>
      <c r="AS1643" s="94"/>
      <c r="AT1643" s="95"/>
      <c r="AU1643" s="79"/>
      <c r="AV1643" s="117"/>
      <c r="AW1643" s="115"/>
      <c r="AX1643" s="106"/>
      <c r="AY1643" s="104"/>
      <c r="AZ1643" s="105"/>
    </row>
    <row r="1644" customHeight="1" spans="1:52">
      <c r="A1644" s="70">
        <v>1652</v>
      </c>
      <c r="B1644" s="204" t="s">
        <v>751</v>
      </c>
      <c r="C1644" s="70" t="s">
        <v>264</v>
      </c>
      <c r="D1644" s="205" t="s">
        <v>4715</v>
      </c>
      <c r="E1644" s="71" t="s">
        <v>2747</v>
      </c>
      <c r="F1644" s="72"/>
      <c r="G1644" s="73"/>
      <c r="H1644" s="75"/>
      <c r="I1644" s="102">
        <v>46194</v>
      </c>
      <c r="J1644" s="70">
        <v>3</v>
      </c>
      <c r="K1644" s="106" t="s">
        <v>4716</v>
      </c>
      <c r="L1644" s="104">
        <f t="shared" si="437"/>
        <v>46286</v>
      </c>
      <c r="M1644" s="105">
        <f ca="1" t="shared" si="436"/>
        <v>-27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>
        <f t="shared" si="433"/>
        <v>0</v>
      </c>
      <c r="Z1644" s="105">
        <f ca="1" t="shared" si="434"/>
        <v>-46313</v>
      </c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5"/>
      <c r="AO1644" s="115"/>
      <c r="AP1644" s="115"/>
      <c r="AQ1644" s="93"/>
      <c r="AR1644" s="93"/>
      <c r="AS1644" s="94"/>
      <c r="AT1644" s="95"/>
      <c r="AU1644" s="79"/>
      <c r="AV1644" s="117"/>
      <c r="AW1644" s="115"/>
      <c r="AX1644" s="106"/>
      <c r="AY1644" s="104"/>
      <c r="AZ1644" s="105"/>
    </row>
    <row r="1645" customHeight="1" spans="1:52">
      <c r="A1645" s="70">
        <v>1653</v>
      </c>
      <c r="B1645" s="204" t="s">
        <v>751</v>
      </c>
      <c r="C1645" s="70" t="s">
        <v>264</v>
      </c>
      <c r="D1645" s="205" t="s">
        <v>4717</v>
      </c>
      <c r="E1645" s="71" t="s">
        <v>3182</v>
      </c>
      <c r="F1645" s="72"/>
      <c r="G1645" s="73"/>
      <c r="H1645" s="75"/>
      <c r="I1645" s="102">
        <v>46194</v>
      </c>
      <c r="J1645" s="70">
        <v>3</v>
      </c>
      <c r="K1645" s="106" t="s">
        <v>4718</v>
      </c>
      <c r="L1645" s="104">
        <f t="shared" si="437"/>
        <v>46286</v>
      </c>
      <c r="M1645" s="105">
        <f ca="1" t="shared" si="436"/>
        <v>-27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>
        <f t="shared" si="433"/>
        <v>0</v>
      </c>
      <c r="Z1645" s="105">
        <f ca="1" t="shared" si="434"/>
        <v>-46313</v>
      </c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5"/>
      <c r="AO1645" s="115"/>
      <c r="AP1645" s="115"/>
      <c r="AQ1645" s="93"/>
      <c r="AR1645" s="93"/>
      <c r="AS1645" s="94"/>
      <c r="AT1645" s="95"/>
      <c r="AU1645" s="79"/>
      <c r="AV1645" s="117"/>
      <c r="AW1645" s="115"/>
      <c r="AX1645" s="106"/>
      <c r="AY1645" s="104"/>
      <c r="AZ1645" s="105"/>
    </row>
    <row r="1646" customHeight="1" spans="1:52">
      <c r="A1646" s="70">
        <v>1654</v>
      </c>
      <c r="B1646" s="204" t="s">
        <v>751</v>
      </c>
      <c r="C1646" s="70" t="s">
        <v>264</v>
      </c>
      <c r="D1646" s="205" t="s">
        <v>4719</v>
      </c>
      <c r="E1646" s="71" t="s">
        <v>2744</v>
      </c>
      <c r="F1646" s="72"/>
      <c r="G1646" s="73"/>
      <c r="H1646" s="75"/>
      <c r="I1646" s="102">
        <v>46194</v>
      </c>
      <c r="J1646" s="70">
        <v>3</v>
      </c>
      <c r="K1646" s="106" t="s">
        <v>4720</v>
      </c>
      <c r="L1646" s="104">
        <f t="shared" si="437"/>
        <v>46286</v>
      </c>
      <c r="M1646" s="105">
        <f ca="1" t="shared" si="436"/>
        <v>-27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>
        <f t="shared" si="433"/>
        <v>0</v>
      </c>
      <c r="Z1646" s="105">
        <f ca="1" t="shared" si="434"/>
        <v>-46313</v>
      </c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5"/>
      <c r="AO1646" s="115"/>
      <c r="AP1646" s="115"/>
      <c r="AQ1646" s="93"/>
      <c r="AR1646" s="93"/>
      <c r="AS1646" s="94"/>
      <c r="AT1646" s="95"/>
      <c r="AU1646" s="79"/>
      <c r="AV1646" s="117"/>
      <c r="AW1646" s="115"/>
      <c r="AX1646" s="106"/>
      <c r="AY1646" s="104"/>
      <c r="AZ1646" s="105"/>
    </row>
    <row r="1647" customHeight="1" spans="1:52">
      <c r="A1647" s="70">
        <v>1655</v>
      </c>
      <c r="B1647" s="204" t="s">
        <v>751</v>
      </c>
      <c r="C1647" s="70" t="s">
        <v>264</v>
      </c>
      <c r="D1647" s="205" t="s">
        <v>4721</v>
      </c>
      <c r="E1647" s="71" t="s">
        <v>2734</v>
      </c>
      <c r="F1647" s="72"/>
      <c r="G1647" s="73"/>
      <c r="H1647" s="75"/>
      <c r="I1647" s="102">
        <v>46194</v>
      </c>
      <c r="J1647" s="70">
        <v>3</v>
      </c>
      <c r="K1647" s="106" t="s">
        <v>4722</v>
      </c>
      <c r="L1647" s="104">
        <f t="shared" si="437"/>
        <v>46286</v>
      </c>
      <c r="M1647" s="105">
        <f ca="1" t="shared" si="436"/>
        <v>-27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>
        <f t="shared" si="433"/>
        <v>0</v>
      </c>
      <c r="Z1647" s="105">
        <f ca="1" t="shared" si="434"/>
        <v>-46313</v>
      </c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5"/>
      <c r="AO1647" s="115"/>
      <c r="AP1647" s="115"/>
      <c r="AQ1647" s="93"/>
      <c r="AR1647" s="93"/>
      <c r="AS1647" s="94"/>
      <c r="AT1647" s="95"/>
      <c r="AU1647" s="79"/>
      <c r="AV1647" s="117"/>
      <c r="AW1647" s="115"/>
      <c r="AX1647" s="106"/>
      <c r="AY1647" s="104"/>
      <c r="AZ1647" s="105"/>
    </row>
    <row r="1648" customHeight="1" spans="1:52">
      <c r="A1648" s="70">
        <v>1656</v>
      </c>
      <c r="B1648" s="204" t="s">
        <v>751</v>
      </c>
      <c r="C1648" s="70" t="s">
        <v>264</v>
      </c>
      <c r="D1648" s="205" t="s">
        <v>4723</v>
      </c>
      <c r="E1648" s="71" t="s">
        <v>2734</v>
      </c>
      <c r="F1648" s="72"/>
      <c r="G1648" s="73"/>
      <c r="H1648" s="75"/>
      <c r="I1648" s="102">
        <v>46194</v>
      </c>
      <c r="J1648" s="70">
        <v>3</v>
      </c>
      <c r="K1648" s="106" t="s">
        <v>4724</v>
      </c>
      <c r="L1648" s="104">
        <f t="shared" si="437"/>
        <v>46286</v>
      </c>
      <c r="M1648" s="105">
        <f ca="1" t="shared" si="436"/>
        <v>-27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>
        <f t="shared" si="433"/>
        <v>0</v>
      </c>
      <c r="Z1648" s="105">
        <f ca="1" t="shared" si="434"/>
        <v>-46313</v>
      </c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5"/>
      <c r="AO1648" s="115"/>
      <c r="AP1648" s="115"/>
      <c r="AQ1648" s="93"/>
      <c r="AR1648" s="93"/>
      <c r="AS1648" s="94"/>
      <c r="AT1648" s="95"/>
      <c r="AU1648" s="79"/>
      <c r="AV1648" s="117"/>
      <c r="AW1648" s="115"/>
      <c r="AX1648" s="106"/>
      <c r="AY1648" s="104"/>
      <c r="AZ1648" s="105"/>
    </row>
    <row r="1649" customHeight="1" spans="1:52">
      <c r="A1649" s="70">
        <v>1657</v>
      </c>
      <c r="B1649" s="204" t="s">
        <v>55</v>
      </c>
      <c r="C1649" s="70" t="s">
        <v>13</v>
      </c>
      <c r="D1649" s="205" t="s">
        <v>4725</v>
      </c>
      <c r="E1649" s="71" t="s">
        <v>126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4726</v>
      </c>
      <c r="L1649" s="104">
        <f t="shared" si="437"/>
        <v>46286</v>
      </c>
      <c r="M1649" s="105">
        <f ca="1" t="shared" ref="M1649:M1657" si="438">L1649-TODAY()</f>
        <v>-27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>
        <f t="shared" ref="Y1649:Y1689" si="439">EDATE(V1649,W1649)</f>
        <v>0</v>
      </c>
      <c r="Z1649" s="105">
        <f ca="1" t="shared" ref="Z1649:Z1689" si="440">Y1649-TODAY()</f>
        <v>-46313</v>
      </c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5"/>
      <c r="AO1649" s="115"/>
      <c r="AP1649" s="115"/>
      <c r="AQ1649" s="93"/>
      <c r="AR1649" s="93"/>
      <c r="AS1649" s="94"/>
      <c r="AT1649" s="95"/>
      <c r="AU1649" s="79"/>
      <c r="AV1649" s="117"/>
      <c r="AW1649" s="115"/>
      <c r="AX1649" s="106"/>
      <c r="AY1649" s="104"/>
      <c r="AZ1649" s="105"/>
    </row>
    <row r="1650" customHeight="1" spans="1:52">
      <c r="A1650" s="70">
        <v>1658</v>
      </c>
      <c r="B1650" s="204" t="s">
        <v>55</v>
      </c>
      <c r="C1650" s="70" t="s">
        <v>13</v>
      </c>
      <c r="D1650" s="205" t="s">
        <v>4727</v>
      </c>
      <c r="E1650" s="71" t="s">
        <v>126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4728</v>
      </c>
      <c r="L1650" s="104">
        <f t="shared" si="437"/>
        <v>46286</v>
      </c>
      <c r="M1650" s="105">
        <f ca="1" t="shared" si="438"/>
        <v>-27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>
        <f t="shared" si="439"/>
        <v>0</v>
      </c>
      <c r="Z1650" s="105">
        <f ca="1" t="shared" si="440"/>
        <v>-46313</v>
      </c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5"/>
      <c r="AO1650" s="115"/>
      <c r="AP1650" s="115"/>
      <c r="AQ1650" s="93"/>
      <c r="AR1650" s="93"/>
      <c r="AS1650" s="94"/>
      <c r="AT1650" s="95"/>
      <c r="AU1650" s="79"/>
      <c r="AV1650" s="117"/>
      <c r="AW1650" s="115"/>
      <c r="AX1650" s="106"/>
      <c r="AY1650" s="104"/>
      <c r="AZ1650" s="105"/>
    </row>
    <row r="1651" customHeight="1" spans="1:52">
      <c r="A1651" s="70">
        <v>1659</v>
      </c>
      <c r="B1651" s="204" t="s">
        <v>55</v>
      </c>
      <c r="C1651" s="70" t="s">
        <v>13</v>
      </c>
      <c r="D1651" s="205" t="s">
        <v>4729</v>
      </c>
      <c r="E1651" s="71" t="s">
        <v>34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4730</v>
      </c>
      <c r="L1651" s="104">
        <f>EDATE(I1655,J1651)</f>
        <v>46287</v>
      </c>
      <c r="M1651" s="105">
        <f ca="1" t="shared" si="438"/>
        <v>-26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>
        <f t="shared" si="439"/>
        <v>0</v>
      </c>
      <c r="Z1651" s="105">
        <f ca="1" t="shared" si="440"/>
        <v>-46313</v>
      </c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5"/>
      <c r="AO1651" s="115"/>
      <c r="AP1651" s="115"/>
      <c r="AQ1651" s="93"/>
      <c r="AR1651" s="93"/>
      <c r="AS1651" s="94"/>
      <c r="AT1651" s="95"/>
      <c r="AU1651" s="79"/>
      <c r="AV1651" s="117"/>
      <c r="AW1651" s="115"/>
      <c r="AX1651" s="106"/>
      <c r="AY1651" s="104"/>
      <c r="AZ1651" s="105"/>
    </row>
    <row r="1652" customHeight="1" spans="1:52">
      <c r="A1652" s="70">
        <v>1663</v>
      </c>
      <c r="B1652" s="70" t="s">
        <v>373</v>
      </c>
      <c r="C1652" s="70" t="s">
        <v>374</v>
      </c>
      <c r="D1652" s="71" t="s">
        <v>4731</v>
      </c>
      <c r="E1652" s="71" t="s">
        <v>376</v>
      </c>
      <c r="F1652" s="72"/>
      <c r="G1652" s="73"/>
      <c r="H1652" s="75"/>
      <c r="I1652" s="102">
        <v>46195</v>
      </c>
      <c r="J1652" s="70">
        <v>3</v>
      </c>
      <c r="K1652" s="106" t="s">
        <v>4732</v>
      </c>
      <c r="L1652" s="104">
        <f>EDATE(I1656,J1652)</f>
        <v>46287</v>
      </c>
      <c r="M1652" s="105">
        <f ca="1" t="shared" si="438"/>
        <v>-26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>
        <f t="shared" si="439"/>
        <v>0</v>
      </c>
      <c r="Z1652" s="105">
        <f ca="1" t="shared" si="440"/>
        <v>-46313</v>
      </c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5"/>
      <c r="AO1652" s="115"/>
      <c r="AP1652" s="115"/>
      <c r="AQ1652" s="93"/>
      <c r="AR1652" s="93"/>
      <c r="AS1652" s="94"/>
      <c r="AT1652" s="95"/>
      <c r="AU1652" s="79"/>
      <c r="AV1652" s="117"/>
      <c r="AW1652" s="115"/>
      <c r="AX1652" s="106"/>
      <c r="AY1652" s="104"/>
      <c r="AZ1652" s="105"/>
    </row>
    <row r="1653" customHeight="1" spans="1:52">
      <c r="A1653" s="70">
        <v>1664</v>
      </c>
      <c r="B1653" s="70" t="s">
        <v>373</v>
      </c>
      <c r="C1653" s="70" t="s">
        <v>374</v>
      </c>
      <c r="D1653" s="71" t="s">
        <v>4733</v>
      </c>
      <c r="E1653" s="71" t="s">
        <v>376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4734</v>
      </c>
      <c r="L1653" s="104">
        <f>EDATE(I1657,J1653)</f>
        <v>46287</v>
      </c>
      <c r="M1653" s="105">
        <f ca="1" t="shared" si="438"/>
        <v>-26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>
        <f t="shared" si="439"/>
        <v>0</v>
      </c>
      <c r="Z1653" s="105">
        <f ca="1" t="shared" si="440"/>
        <v>-46313</v>
      </c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5"/>
      <c r="AO1653" s="115"/>
      <c r="AP1653" s="115"/>
      <c r="AQ1653" s="93"/>
      <c r="AR1653" s="93"/>
      <c r="AS1653" s="94"/>
      <c r="AT1653" s="95"/>
      <c r="AU1653" s="79"/>
      <c r="AV1653" s="117"/>
      <c r="AW1653" s="115"/>
      <c r="AX1653" s="106"/>
      <c r="AY1653" s="104"/>
      <c r="AZ1653" s="105"/>
    </row>
    <row r="1654" customHeight="1" spans="1:52">
      <c r="A1654" s="70">
        <v>1665</v>
      </c>
      <c r="B1654" s="70" t="s">
        <v>373</v>
      </c>
      <c r="C1654" s="70" t="s">
        <v>374</v>
      </c>
      <c r="D1654" s="71" t="s">
        <v>4735</v>
      </c>
      <c r="E1654" s="71" t="s">
        <v>381</v>
      </c>
      <c r="F1654" s="72"/>
      <c r="G1654" s="73"/>
      <c r="H1654" s="75"/>
      <c r="I1654" s="102">
        <v>46195</v>
      </c>
      <c r="J1654" s="70">
        <v>3</v>
      </c>
      <c r="K1654" s="106" t="s">
        <v>4736</v>
      </c>
      <c r="L1654" s="104">
        <f>EDATE(I1659,J1654)</f>
        <v>46288</v>
      </c>
      <c r="M1654" s="105">
        <f ca="1" t="shared" si="438"/>
        <v>-25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>
        <f t="shared" si="439"/>
        <v>0</v>
      </c>
      <c r="Z1654" s="105">
        <f ca="1" t="shared" si="440"/>
        <v>-46313</v>
      </c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5"/>
      <c r="AO1654" s="115"/>
      <c r="AP1654" s="115"/>
      <c r="AQ1654" s="93"/>
      <c r="AR1654" s="93"/>
      <c r="AS1654" s="94"/>
      <c r="AT1654" s="95"/>
      <c r="AU1654" s="79"/>
      <c r="AV1654" s="117"/>
      <c r="AW1654" s="115"/>
      <c r="AX1654" s="106"/>
      <c r="AY1654" s="104"/>
      <c r="AZ1654" s="105"/>
    </row>
    <row r="1655" customHeight="1" spans="1:52">
      <c r="A1655" s="70">
        <v>1666</v>
      </c>
      <c r="B1655" s="213" t="s">
        <v>644</v>
      </c>
      <c r="C1655" s="70" t="s">
        <v>264</v>
      </c>
      <c r="D1655" s="205" t="s">
        <v>1922</v>
      </c>
      <c r="E1655" s="71" t="s">
        <v>266</v>
      </c>
      <c r="F1655" s="72"/>
      <c r="G1655" s="73"/>
      <c r="H1655" s="75"/>
      <c r="I1655" s="102">
        <v>46195</v>
      </c>
      <c r="J1655" s="70" t="s">
        <v>767</v>
      </c>
      <c r="K1655" s="106"/>
      <c r="L1655" s="104" t="e">
        <f t="shared" ref="L1655:L1662" si="441">EDATE(I1660,J1655)</f>
        <v>#VALUE!</v>
      </c>
      <c r="M1655" s="105" t="e">
        <f ca="1" t="shared" ref="M1655:M1663" si="442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>
        <f t="shared" si="439"/>
        <v>0</v>
      </c>
      <c r="Z1655" s="105">
        <f ca="1" t="shared" si="440"/>
        <v>-46313</v>
      </c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5"/>
      <c r="AO1655" s="115"/>
      <c r="AP1655" s="115"/>
      <c r="AQ1655" s="93"/>
      <c r="AR1655" s="93"/>
      <c r="AS1655" s="94"/>
      <c r="AT1655" s="95"/>
      <c r="AU1655" s="79"/>
      <c r="AV1655" s="117"/>
      <c r="AW1655" s="115"/>
      <c r="AX1655" s="106"/>
      <c r="AY1655" s="104"/>
      <c r="AZ1655" s="105"/>
    </row>
    <row r="1656" customHeight="1" spans="1:52">
      <c r="A1656" s="70">
        <v>1667</v>
      </c>
      <c r="B1656" s="213" t="s">
        <v>644</v>
      </c>
      <c r="C1656" s="70" t="s">
        <v>264</v>
      </c>
      <c r="D1656" s="205" t="s">
        <v>746</v>
      </c>
      <c r="E1656" s="71" t="s">
        <v>753</v>
      </c>
      <c r="F1656" s="72"/>
      <c r="G1656" s="73"/>
      <c r="H1656" s="75"/>
      <c r="I1656" s="102">
        <v>46195</v>
      </c>
      <c r="J1656" s="70" t="s">
        <v>767</v>
      </c>
      <c r="K1656" s="106"/>
      <c r="L1656" s="104" t="e">
        <f t="shared" si="441"/>
        <v>#VALUE!</v>
      </c>
      <c r="M1656" s="105" t="e">
        <f ca="1" t="shared" si="442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>
        <f t="shared" si="439"/>
        <v>0</v>
      </c>
      <c r="Z1656" s="105">
        <f ca="1" t="shared" si="440"/>
        <v>-46313</v>
      </c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5"/>
      <c r="AO1656" s="115"/>
      <c r="AP1656" s="115"/>
      <c r="AQ1656" s="93"/>
      <c r="AR1656" s="93"/>
      <c r="AS1656" s="94"/>
      <c r="AT1656" s="95"/>
      <c r="AU1656" s="79"/>
      <c r="AV1656" s="117"/>
      <c r="AW1656" s="115"/>
      <c r="AX1656" s="106"/>
      <c r="AY1656" s="104"/>
      <c r="AZ1656" s="105"/>
    </row>
    <row r="1657" customHeight="1" spans="1:52">
      <c r="A1657" s="70">
        <v>1668</v>
      </c>
      <c r="B1657" s="204" t="s">
        <v>1908</v>
      </c>
      <c r="C1657" s="70" t="s">
        <v>38</v>
      </c>
      <c r="D1657" s="205" t="s">
        <v>4660</v>
      </c>
      <c r="E1657" s="71" t="s">
        <v>2846</v>
      </c>
      <c r="F1657" s="72"/>
      <c r="G1657" s="73"/>
      <c r="H1657" s="75"/>
      <c r="I1657" s="102">
        <v>46195</v>
      </c>
      <c r="J1657" s="70" t="s">
        <v>767</v>
      </c>
      <c r="K1657" s="106"/>
      <c r="L1657" s="104" t="e">
        <f t="shared" si="441"/>
        <v>#VALUE!</v>
      </c>
      <c r="M1657" s="105" t="e">
        <f ca="1" t="shared" si="442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>
        <f t="shared" si="439"/>
        <v>0</v>
      </c>
      <c r="Z1657" s="105">
        <f ca="1" t="shared" si="440"/>
        <v>-46313</v>
      </c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5"/>
      <c r="AO1657" s="115"/>
      <c r="AP1657" s="115"/>
      <c r="AQ1657" s="93"/>
      <c r="AR1657" s="93"/>
      <c r="AS1657" s="94"/>
      <c r="AT1657" s="95"/>
      <c r="AU1657" s="79"/>
      <c r="AV1657" s="117"/>
      <c r="AW1657" s="115"/>
      <c r="AX1657" s="106"/>
      <c r="AY1657" s="104"/>
      <c r="AZ1657" s="105"/>
    </row>
    <row r="1658" customHeight="1" spans="1:52">
      <c r="A1658" s="70">
        <v>1669</v>
      </c>
      <c r="B1658" s="70" t="s">
        <v>1860</v>
      </c>
      <c r="C1658" s="70" t="s">
        <v>38</v>
      </c>
      <c r="D1658" s="71" t="s">
        <v>4737</v>
      </c>
      <c r="E1658" s="71" t="s">
        <v>332</v>
      </c>
      <c r="F1658" s="72"/>
      <c r="G1658" s="73"/>
      <c r="H1658" s="75"/>
      <c r="I1658" s="102">
        <v>46196</v>
      </c>
      <c r="J1658" s="70">
        <v>3</v>
      </c>
      <c r="K1658" s="106" t="s">
        <v>4738</v>
      </c>
      <c r="L1658" s="104">
        <f t="shared" si="441"/>
        <v>46289</v>
      </c>
      <c r="M1658" s="105">
        <f ca="1" t="shared" si="442"/>
        <v>-24</v>
      </c>
      <c r="N1658" s="70"/>
      <c r="O1658" s="70" t="s">
        <v>1860</v>
      </c>
      <c r="P1658" s="70" t="s">
        <v>38</v>
      </c>
      <c r="Q1658" s="71" t="s">
        <v>4737</v>
      </c>
      <c r="R1658" s="71" t="s">
        <v>332</v>
      </c>
      <c r="S1658" s="72"/>
      <c r="T1658" s="73"/>
      <c r="U1658" s="75"/>
      <c r="V1658" s="102">
        <v>46288</v>
      </c>
      <c r="W1658" s="70">
        <v>3</v>
      </c>
      <c r="X1658" s="103" t="s">
        <v>4739</v>
      </c>
      <c r="Y1658" s="104">
        <f t="shared" si="439"/>
        <v>46379</v>
      </c>
      <c r="Z1658" s="105">
        <f ca="1" t="shared" si="440"/>
        <v>66</v>
      </c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5"/>
      <c r="AO1658" s="115"/>
      <c r="AP1658" s="115"/>
      <c r="AQ1658" s="93"/>
      <c r="AR1658" s="93"/>
      <c r="AS1658" s="94"/>
      <c r="AT1658" s="95"/>
      <c r="AU1658" s="79"/>
      <c r="AV1658" s="117"/>
      <c r="AW1658" s="115"/>
      <c r="AX1658" s="106"/>
      <c r="AY1658" s="104"/>
      <c r="AZ1658" s="105"/>
    </row>
    <row r="1659" customHeight="1" spans="1:52">
      <c r="A1659" s="70">
        <v>1670</v>
      </c>
      <c r="B1659" s="213" t="s">
        <v>644</v>
      </c>
      <c r="C1659" s="70" t="s">
        <v>264</v>
      </c>
      <c r="D1659" s="71" t="s">
        <v>1922</v>
      </c>
      <c r="E1659" s="71" t="s">
        <v>266</v>
      </c>
      <c r="F1659" s="72"/>
      <c r="G1659" s="73"/>
      <c r="H1659" s="75"/>
      <c r="I1659" s="102">
        <v>46196</v>
      </c>
      <c r="J1659" s="70" t="s">
        <v>767</v>
      </c>
      <c r="K1659" s="106"/>
      <c r="L1659" s="104" t="e">
        <f t="shared" si="441"/>
        <v>#VALUE!</v>
      </c>
      <c r="M1659" s="105" t="e">
        <f ca="1" t="shared" si="442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>
        <f t="shared" si="439"/>
        <v>0</v>
      </c>
      <c r="Z1659" s="105">
        <f ca="1" t="shared" si="440"/>
        <v>-46313</v>
      </c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5"/>
      <c r="AO1659" s="115"/>
      <c r="AP1659" s="115"/>
      <c r="AQ1659" s="93"/>
      <c r="AR1659" s="93"/>
      <c r="AS1659" s="94"/>
      <c r="AT1659" s="95"/>
      <c r="AU1659" s="79"/>
      <c r="AV1659" s="117"/>
      <c r="AW1659" s="115"/>
      <c r="AX1659" s="106"/>
      <c r="AY1659" s="104"/>
      <c r="AZ1659" s="105"/>
    </row>
    <row r="1660" customHeight="1" spans="1:52">
      <c r="A1660" s="70">
        <v>1671</v>
      </c>
      <c r="B1660" s="213" t="s">
        <v>644</v>
      </c>
      <c r="C1660" s="70" t="s">
        <v>264</v>
      </c>
      <c r="D1660" s="71" t="s">
        <v>2433</v>
      </c>
      <c r="E1660" s="71" t="s">
        <v>753</v>
      </c>
      <c r="F1660" s="72"/>
      <c r="G1660" s="73"/>
      <c r="H1660" s="75"/>
      <c r="I1660" s="102">
        <v>46196</v>
      </c>
      <c r="J1660" s="70" t="s">
        <v>767</v>
      </c>
      <c r="K1660" s="106"/>
      <c r="L1660" s="104" t="e">
        <f t="shared" si="441"/>
        <v>#VALUE!</v>
      </c>
      <c r="M1660" s="105" t="e">
        <f ca="1" t="shared" si="442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>
        <f t="shared" si="439"/>
        <v>0</v>
      </c>
      <c r="Z1660" s="105">
        <f ca="1" t="shared" si="440"/>
        <v>-46313</v>
      </c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5"/>
      <c r="AO1660" s="115"/>
      <c r="AP1660" s="115"/>
      <c r="AQ1660" s="93"/>
      <c r="AR1660" s="93"/>
      <c r="AS1660" s="94"/>
      <c r="AT1660" s="95"/>
      <c r="AU1660" s="79"/>
      <c r="AV1660" s="117"/>
      <c r="AW1660" s="115"/>
      <c r="AX1660" s="106"/>
      <c r="AY1660" s="104"/>
      <c r="AZ1660" s="105"/>
    </row>
    <row r="1661" customHeight="1" spans="1:52">
      <c r="A1661" s="70">
        <v>1672</v>
      </c>
      <c r="B1661" s="70" t="s">
        <v>1359</v>
      </c>
      <c r="C1661" s="70" t="s">
        <v>13</v>
      </c>
      <c r="D1661" s="71" t="s">
        <v>2858</v>
      </c>
      <c r="E1661" s="71" t="s">
        <v>2859</v>
      </c>
      <c r="F1661" s="72"/>
      <c r="G1661" s="73"/>
      <c r="H1661" s="75"/>
      <c r="I1661" s="102">
        <v>46196</v>
      </c>
      <c r="J1661" s="70" t="s">
        <v>767</v>
      </c>
      <c r="K1661" s="106"/>
      <c r="L1661" s="104" t="e">
        <f t="shared" si="441"/>
        <v>#VALUE!</v>
      </c>
      <c r="M1661" s="105" t="e">
        <f ca="1" t="shared" si="442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>
        <f t="shared" si="439"/>
        <v>0</v>
      </c>
      <c r="Z1661" s="105">
        <f ca="1" t="shared" si="440"/>
        <v>-46313</v>
      </c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5"/>
      <c r="AO1661" s="115"/>
      <c r="AP1661" s="115"/>
      <c r="AQ1661" s="93"/>
      <c r="AR1661" s="93"/>
      <c r="AS1661" s="94"/>
      <c r="AT1661" s="95"/>
      <c r="AU1661" s="79"/>
      <c r="AV1661" s="117"/>
      <c r="AW1661" s="115"/>
      <c r="AX1661" s="106"/>
      <c r="AY1661" s="104"/>
      <c r="AZ1661" s="105"/>
    </row>
    <row r="1662" customHeight="1" spans="1:52">
      <c r="A1662" s="70">
        <v>1673</v>
      </c>
      <c r="B1662" s="70" t="s">
        <v>535</v>
      </c>
      <c r="C1662" s="70" t="s">
        <v>13</v>
      </c>
      <c r="D1662" s="71" t="s">
        <v>4740</v>
      </c>
      <c r="E1662" s="71" t="s">
        <v>3960</v>
      </c>
      <c r="F1662" s="72"/>
      <c r="G1662" s="73"/>
      <c r="H1662" s="75"/>
      <c r="I1662" s="102">
        <v>46197</v>
      </c>
      <c r="J1662" s="70">
        <v>3</v>
      </c>
      <c r="K1662" s="106" t="s">
        <v>4741</v>
      </c>
      <c r="L1662" s="104">
        <f>EDATE(I1662,J1662)</f>
        <v>46289</v>
      </c>
      <c r="M1662" s="105">
        <f ca="1" t="shared" si="442"/>
        <v>-24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>
        <f t="shared" si="439"/>
        <v>0</v>
      </c>
      <c r="Z1662" s="105">
        <f ca="1" t="shared" si="440"/>
        <v>-46313</v>
      </c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5"/>
      <c r="AO1662" s="115"/>
      <c r="AP1662" s="115"/>
      <c r="AQ1662" s="93"/>
      <c r="AR1662" s="93"/>
      <c r="AS1662" s="94"/>
      <c r="AT1662" s="95"/>
      <c r="AU1662" s="79"/>
      <c r="AV1662" s="117"/>
      <c r="AW1662" s="115"/>
      <c r="AX1662" s="106"/>
      <c r="AY1662" s="104"/>
      <c r="AZ1662" s="105"/>
    </row>
    <row r="1663" customHeight="1" spans="1:52">
      <c r="A1663" s="70">
        <v>1674</v>
      </c>
      <c r="B1663" s="70" t="s">
        <v>134</v>
      </c>
      <c r="C1663" s="70" t="s">
        <v>38</v>
      </c>
      <c r="D1663" s="71" t="s">
        <v>3866</v>
      </c>
      <c r="E1663" s="71" t="s">
        <v>3837</v>
      </c>
      <c r="F1663" s="72"/>
      <c r="G1663" s="73"/>
      <c r="H1663" s="75"/>
      <c r="I1663" s="102">
        <v>46197</v>
      </c>
      <c r="J1663" s="70" t="s">
        <v>434</v>
      </c>
      <c r="K1663" s="106"/>
      <c r="L1663" s="104" t="e">
        <f t="shared" ref="L1663:L1668" si="443">EDATE(I1663,J1663)</f>
        <v>#VALUE!</v>
      </c>
      <c r="M1663" s="105" t="e">
        <f ca="1" t="shared" ref="M1663:M1668" si="444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04">
        <f t="shared" si="439"/>
        <v>0</v>
      </c>
      <c r="Z1663" s="105">
        <f ca="1" t="shared" si="440"/>
        <v>-46313</v>
      </c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5"/>
      <c r="AO1663" s="115"/>
      <c r="AP1663" s="115"/>
      <c r="AQ1663" s="93"/>
      <c r="AR1663" s="93"/>
      <c r="AS1663" s="94"/>
      <c r="AT1663" s="95"/>
      <c r="AU1663" s="79"/>
      <c r="AV1663" s="117"/>
      <c r="AW1663" s="115"/>
      <c r="AX1663" s="106"/>
      <c r="AY1663" s="104"/>
      <c r="AZ1663" s="105"/>
    </row>
    <row r="1664" customHeight="1" spans="1:52">
      <c r="A1664" s="70">
        <v>1675</v>
      </c>
      <c r="B1664" s="204" t="s">
        <v>4742</v>
      </c>
      <c r="C1664" s="70" t="s">
        <v>38</v>
      </c>
      <c r="D1664" s="205" t="s">
        <v>4743</v>
      </c>
      <c r="E1664" s="71" t="s">
        <v>4744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4745</v>
      </c>
      <c r="L1664" s="104">
        <f t="shared" si="443"/>
        <v>46290</v>
      </c>
      <c r="M1664" s="105">
        <f ca="1" t="shared" si="444"/>
        <v>-23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04">
        <f t="shared" si="439"/>
        <v>0</v>
      </c>
      <c r="Z1664" s="105">
        <f ca="1" t="shared" si="440"/>
        <v>-46313</v>
      </c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5"/>
      <c r="AO1664" s="115"/>
      <c r="AP1664" s="115"/>
      <c r="AQ1664" s="93"/>
      <c r="AR1664" s="93"/>
      <c r="AS1664" s="94"/>
      <c r="AT1664" s="95"/>
      <c r="AU1664" s="79"/>
      <c r="AV1664" s="117"/>
      <c r="AW1664" s="115"/>
      <c r="AX1664" s="106"/>
      <c r="AY1664" s="104"/>
      <c r="AZ1664" s="105"/>
    </row>
    <row r="1665" customHeight="1" spans="1:52">
      <c r="A1665" s="70">
        <v>1676</v>
      </c>
      <c r="B1665" s="204" t="s">
        <v>4742</v>
      </c>
      <c r="C1665" s="70" t="s">
        <v>38</v>
      </c>
      <c r="D1665" s="205" t="s">
        <v>4746</v>
      </c>
      <c r="E1665" s="71" t="s">
        <v>4747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4748</v>
      </c>
      <c r="L1665" s="104">
        <f t="shared" si="443"/>
        <v>46290</v>
      </c>
      <c r="M1665" s="105">
        <f ca="1" t="shared" si="444"/>
        <v>-23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04">
        <f t="shared" si="439"/>
        <v>0</v>
      </c>
      <c r="Z1665" s="105">
        <f ca="1" t="shared" si="440"/>
        <v>-46313</v>
      </c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5"/>
      <c r="AO1665" s="115"/>
      <c r="AP1665" s="115"/>
      <c r="AQ1665" s="93"/>
      <c r="AR1665" s="93"/>
      <c r="AS1665" s="94"/>
      <c r="AT1665" s="95"/>
      <c r="AU1665" s="79"/>
      <c r="AV1665" s="117"/>
      <c r="AW1665" s="115"/>
      <c r="AX1665" s="106"/>
      <c r="AY1665" s="104"/>
      <c r="AZ1665" s="105"/>
    </row>
    <row r="1666" customHeight="1" spans="1:52">
      <c r="A1666" s="70">
        <v>1677</v>
      </c>
      <c r="B1666" s="204" t="s">
        <v>4742</v>
      </c>
      <c r="C1666" s="70" t="s">
        <v>38</v>
      </c>
      <c r="D1666" s="205" t="s">
        <v>4749</v>
      </c>
      <c r="E1666" s="71" t="s">
        <v>4750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4751</v>
      </c>
      <c r="L1666" s="104">
        <f t="shared" si="443"/>
        <v>46290</v>
      </c>
      <c r="M1666" s="105">
        <f ca="1" t="shared" si="444"/>
        <v>-23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04">
        <f t="shared" si="439"/>
        <v>0</v>
      </c>
      <c r="Z1666" s="105">
        <f ca="1" t="shared" si="440"/>
        <v>-46313</v>
      </c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5"/>
      <c r="AO1666" s="115"/>
      <c r="AP1666" s="115"/>
      <c r="AQ1666" s="93"/>
      <c r="AR1666" s="93"/>
      <c r="AS1666" s="94"/>
      <c r="AT1666" s="95"/>
      <c r="AU1666" s="79"/>
      <c r="AV1666" s="117"/>
      <c r="AW1666" s="115"/>
      <c r="AX1666" s="106"/>
      <c r="AY1666" s="104"/>
      <c r="AZ1666" s="105"/>
    </row>
    <row r="1667" customHeight="1" spans="1:52">
      <c r="A1667" s="70">
        <v>1678</v>
      </c>
      <c r="B1667" s="204" t="s">
        <v>4742</v>
      </c>
      <c r="C1667" s="70" t="s">
        <v>38</v>
      </c>
      <c r="D1667" s="205" t="s">
        <v>4752</v>
      </c>
      <c r="E1667" s="71" t="s">
        <v>4753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4754</v>
      </c>
      <c r="L1667" s="104">
        <f t="shared" si="443"/>
        <v>46290</v>
      </c>
      <c r="M1667" s="105">
        <f ca="1" t="shared" si="444"/>
        <v>-23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04">
        <f t="shared" si="439"/>
        <v>0</v>
      </c>
      <c r="Z1667" s="105">
        <f ca="1" t="shared" si="440"/>
        <v>-46313</v>
      </c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5"/>
      <c r="AO1667" s="115"/>
      <c r="AP1667" s="115"/>
      <c r="AQ1667" s="93"/>
      <c r="AR1667" s="93"/>
      <c r="AS1667" s="94"/>
      <c r="AT1667" s="95"/>
      <c r="AU1667" s="79"/>
      <c r="AV1667" s="117"/>
      <c r="AW1667" s="115"/>
      <c r="AX1667" s="106"/>
      <c r="AY1667" s="104"/>
      <c r="AZ1667" s="105"/>
    </row>
    <row r="1668" customHeight="1" spans="1:52">
      <c r="A1668" s="70">
        <v>1679</v>
      </c>
      <c r="B1668" s="70" t="s">
        <v>4755</v>
      </c>
      <c r="C1668" s="70" t="s">
        <v>38</v>
      </c>
      <c r="D1668" s="205" t="s">
        <v>4756</v>
      </c>
      <c r="E1668" s="71" t="s">
        <v>189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4757</v>
      </c>
      <c r="L1668" s="104">
        <f t="shared" si="443"/>
        <v>46290</v>
      </c>
      <c r="M1668" s="105">
        <f ca="1" t="shared" si="444"/>
        <v>-23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04">
        <f t="shared" si="439"/>
        <v>0</v>
      </c>
      <c r="Z1668" s="105">
        <f ca="1" t="shared" si="440"/>
        <v>-46313</v>
      </c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5"/>
      <c r="AO1668" s="115"/>
      <c r="AP1668" s="115"/>
      <c r="AQ1668" s="93"/>
      <c r="AR1668" s="93"/>
      <c r="AS1668" s="94"/>
      <c r="AT1668" s="95"/>
      <c r="AU1668" s="79"/>
      <c r="AV1668" s="117"/>
      <c r="AW1668" s="115"/>
      <c r="AX1668" s="106"/>
      <c r="AY1668" s="104"/>
      <c r="AZ1668" s="105"/>
    </row>
    <row r="1669" customHeight="1" spans="1:52">
      <c r="A1669" s="70">
        <v>1680</v>
      </c>
      <c r="B1669" s="70" t="s">
        <v>4755</v>
      </c>
      <c r="C1669" s="70" t="s">
        <v>13</v>
      </c>
      <c r="D1669" s="205" t="s">
        <v>4758</v>
      </c>
      <c r="E1669" s="71" t="s">
        <v>76</v>
      </c>
      <c r="F1669" s="72"/>
      <c r="G1669" s="73"/>
      <c r="H1669" s="75"/>
      <c r="I1669" s="102">
        <v>46198</v>
      </c>
      <c r="J1669" s="70">
        <v>3</v>
      </c>
      <c r="K1669" s="106" t="s">
        <v>4759</v>
      </c>
      <c r="L1669" s="104">
        <f t="shared" ref="L1669:L1674" si="445">EDATE(I1669,J1669)</f>
        <v>46290</v>
      </c>
      <c r="M1669" s="105">
        <f ca="1" t="shared" ref="M1669:M1674" si="446">L1669-TODAY()</f>
        <v>-23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04">
        <f t="shared" si="439"/>
        <v>0</v>
      </c>
      <c r="Z1669" s="105">
        <f ca="1" t="shared" si="440"/>
        <v>-46313</v>
      </c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5"/>
      <c r="AO1669" s="115"/>
      <c r="AP1669" s="115"/>
      <c r="AQ1669" s="93"/>
      <c r="AR1669" s="93"/>
      <c r="AS1669" s="94"/>
      <c r="AT1669" s="95"/>
      <c r="AU1669" s="79"/>
      <c r="AV1669" s="117"/>
      <c r="AW1669" s="115"/>
      <c r="AX1669" s="106"/>
      <c r="AY1669" s="104"/>
      <c r="AZ1669" s="105"/>
    </row>
    <row r="1670" customHeight="1" spans="1:52">
      <c r="A1670" s="70">
        <v>1681</v>
      </c>
      <c r="B1670" s="70" t="s">
        <v>164</v>
      </c>
      <c r="C1670" s="70" t="s">
        <v>13</v>
      </c>
      <c r="D1670" s="71" t="s">
        <v>4760</v>
      </c>
      <c r="E1670" s="71" t="s">
        <v>76</v>
      </c>
      <c r="F1670" s="72"/>
      <c r="G1670" s="73"/>
      <c r="H1670" s="75"/>
      <c r="I1670" s="102">
        <v>46198</v>
      </c>
      <c r="J1670" s="70">
        <v>3</v>
      </c>
      <c r="K1670" s="106" t="s">
        <v>4761</v>
      </c>
      <c r="L1670" s="104">
        <f t="shared" si="445"/>
        <v>46290</v>
      </c>
      <c r="M1670" s="105">
        <f ca="1" t="shared" si="446"/>
        <v>-23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04">
        <f t="shared" si="439"/>
        <v>0</v>
      </c>
      <c r="Z1670" s="105">
        <f ca="1" t="shared" si="440"/>
        <v>-46313</v>
      </c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5"/>
      <c r="AO1670" s="115"/>
      <c r="AP1670" s="115"/>
      <c r="AQ1670" s="93"/>
      <c r="AR1670" s="93"/>
      <c r="AS1670" s="94"/>
      <c r="AT1670" s="95"/>
      <c r="AU1670" s="79"/>
      <c r="AV1670" s="117"/>
      <c r="AW1670" s="115"/>
      <c r="AX1670" s="106"/>
      <c r="AY1670" s="104"/>
      <c r="AZ1670" s="105"/>
    </row>
    <row r="1671" customHeight="1" spans="1:52">
      <c r="A1671" s="70">
        <v>1682</v>
      </c>
      <c r="B1671" s="70" t="s">
        <v>844</v>
      </c>
      <c r="C1671" s="70" t="s">
        <v>13</v>
      </c>
      <c r="D1671" s="71" t="s">
        <v>4762</v>
      </c>
      <c r="E1671" s="71" t="s">
        <v>126</v>
      </c>
      <c r="F1671" s="72"/>
      <c r="G1671" s="73"/>
      <c r="H1671" s="75"/>
      <c r="I1671" s="102">
        <v>46198</v>
      </c>
      <c r="J1671" s="70">
        <v>3</v>
      </c>
      <c r="K1671" s="106" t="s">
        <v>4763</v>
      </c>
      <c r="L1671" s="104">
        <f t="shared" si="445"/>
        <v>46290</v>
      </c>
      <c r="M1671" s="105">
        <f ca="1" t="shared" si="446"/>
        <v>-23</v>
      </c>
      <c r="N1671" s="70"/>
      <c r="O1671" s="70" t="s">
        <v>844</v>
      </c>
      <c r="P1671" s="70" t="s">
        <v>13</v>
      </c>
      <c r="Q1671" s="71" t="s">
        <v>4762</v>
      </c>
      <c r="R1671" s="71" t="s">
        <v>126</v>
      </c>
      <c r="S1671" s="72"/>
      <c r="T1671" s="73"/>
      <c r="U1671" s="75"/>
      <c r="V1671" s="102">
        <v>46289</v>
      </c>
      <c r="W1671" s="70">
        <v>3</v>
      </c>
      <c r="X1671" s="103" t="s">
        <v>4764</v>
      </c>
      <c r="Y1671" s="104">
        <f t="shared" si="439"/>
        <v>46380</v>
      </c>
      <c r="Z1671" s="105">
        <f ca="1" t="shared" si="440"/>
        <v>67</v>
      </c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5"/>
      <c r="AO1671" s="115"/>
      <c r="AP1671" s="115"/>
      <c r="AQ1671" s="93"/>
      <c r="AR1671" s="93"/>
      <c r="AS1671" s="94"/>
      <c r="AT1671" s="95"/>
      <c r="AU1671" s="79"/>
      <c r="AV1671" s="117"/>
      <c r="AW1671" s="115"/>
      <c r="AX1671" s="106"/>
      <c r="AY1671" s="104"/>
      <c r="AZ1671" s="105"/>
    </row>
    <row r="1672" customHeight="1" spans="1:52">
      <c r="A1672" s="70">
        <v>1683</v>
      </c>
      <c r="B1672" s="70" t="s">
        <v>1147</v>
      </c>
      <c r="C1672" s="70" t="s">
        <v>13</v>
      </c>
      <c r="D1672" s="71" t="s">
        <v>2605</v>
      </c>
      <c r="E1672" s="71" t="s">
        <v>4765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4766</v>
      </c>
      <c r="L1672" s="104">
        <f t="shared" si="445"/>
        <v>46290</v>
      </c>
      <c r="M1672" s="105">
        <f ca="1" t="shared" si="446"/>
        <v>-23</v>
      </c>
      <c r="N1672" s="70"/>
      <c r="O1672" s="70" t="s">
        <v>1147</v>
      </c>
      <c r="P1672" s="70" t="s">
        <v>13</v>
      </c>
      <c r="Q1672" s="71" t="s">
        <v>2605</v>
      </c>
      <c r="R1672" s="71" t="s">
        <v>4765</v>
      </c>
      <c r="S1672" s="72"/>
      <c r="T1672" s="73"/>
      <c r="U1672" s="74" t="s">
        <v>16</v>
      </c>
      <c r="V1672" s="102">
        <v>46277</v>
      </c>
      <c r="W1672" s="70">
        <v>3</v>
      </c>
      <c r="X1672" s="103" t="s">
        <v>4767</v>
      </c>
      <c r="Y1672" s="104">
        <f t="shared" si="439"/>
        <v>46368</v>
      </c>
      <c r="Z1672" s="105">
        <f ca="1" t="shared" si="440"/>
        <v>55</v>
      </c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5"/>
      <c r="AO1672" s="115"/>
      <c r="AP1672" s="115"/>
      <c r="AQ1672" s="93"/>
      <c r="AR1672" s="93"/>
      <c r="AS1672" s="94"/>
      <c r="AT1672" s="95"/>
      <c r="AU1672" s="79"/>
      <c r="AV1672" s="117"/>
      <c r="AW1672" s="115"/>
      <c r="AX1672" s="106"/>
      <c r="AY1672" s="104"/>
      <c r="AZ1672" s="105"/>
    </row>
    <row r="1673" customHeight="1" spans="1:52">
      <c r="A1673" s="70">
        <v>1684</v>
      </c>
      <c r="B1673" s="70" t="s">
        <v>1399</v>
      </c>
      <c r="C1673" s="70" t="s">
        <v>374</v>
      </c>
      <c r="D1673" s="71" t="s">
        <v>4768</v>
      </c>
      <c r="E1673" s="71" t="s">
        <v>883</v>
      </c>
      <c r="F1673" s="72"/>
      <c r="G1673" s="73"/>
      <c r="H1673" s="75"/>
      <c r="I1673" s="102">
        <v>46198</v>
      </c>
      <c r="J1673" s="70">
        <v>3</v>
      </c>
      <c r="K1673" s="106" t="s">
        <v>4769</v>
      </c>
      <c r="L1673" s="104">
        <f t="shared" si="445"/>
        <v>46290</v>
      </c>
      <c r="M1673" s="105">
        <f ca="1" t="shared" si="446"/>
        <v>-23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04">
        <f t="shared" si="439"/>
        <v>0</v>
      </c>
      <c r="Z1673" s="105">
        <f ca="1" t="shared" si="440"/>
        <v>-46313</v>
      </c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5"/>
      <c r="AO1673" s="115"/>
      <c r="AP1673" s="115"/>
      <c r="AQ1673" s="93"/>
      <c r="AR1673" s="93"/>
      <c r="AS1673" s="94"/>
      <c r="AT1673" s="95"/>
      <c r="AU1673" s="79"/>
      <c r="AV1673" s="117"/>
      <c r="AW1673" s="115"/>
      <c r="AX1673" s="106"/>
      <c r="AY1673" s="104"/>
      <c r="AZ1673" s="105"/>
    </row>
    <row r="1674" customHeight="1" spans="1:52">
      <c r="A1674" s="70">
        <v>1685</v>
      </c>
      <c r="B1674" s="70" t="s">
        <v>644</v>
      </c>
      <c r="C1674" s="70" t="s">
        <v>264</v>
      </c>
      <c r="D1674" s="71" t="s">
        <v>1922</v>
      </c>
      <c r="E1674" s="71" t="s">
        <v>266</v>
      </c>
      <c r="F1674" s="72"/>
      <c r="G1674" s="73"/>
      <c r="H1674" s="75"/>
      <c r="I1674" s="102">
        <v>46198</v>
      </c>
      <c r="J1674" s="70" t="s">
        <v>767</v>
      </c>
      <c r="K1674" s="106"/>
      <c r="L1674" s="104" t="e">
        <f t="shared" ref="L1674:L1695" si="447">EDATE(I1674,J1674)</f>
        <v>#VALUE!</v>
      </c>
      <c r="M1674" s="105" t="e">
        <f ca="1" t="shared" ref="M1674:M1695" si="448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04">
        <f t="shared" si="439"/>
        <v>0</v>
      </c>
      <c r="Z1674" s="105">
        <f ca="1" t="shared" si="440"/>
        <v>-46313</v>
      </c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5"/>
      <c r="AO1674" s="115"/>
      <c r="AP1674" s="115"/>
      <c r="AQ1674" s="93"/>
      <c r="AR1674" s="93"/>
      <c r="AS1674" s="94"/>
      <c r="AT1674" s="95"/>
      <c r="AU1674" s="79"/>
      <c r="AV1674" s="117"/>
      <c r="AW1674" s="115"/>
      <c r="AX1674" s="106"/>
      <c r="AY1674" s="104"/>
      <c r="AZ1674" s="105"/>
    </row>
    <row r="1675" customHeight="1" spans="1:52">
      <c r="A1675" s="70">
        <v>1686</v>
      </c>
      <c r="B1675" s="70" t="s">
        <v>229</v>
      </c>
      <c r="C1675" s="70" t="s">
        <v>13</v>
      </c>
      <c r="D1675" s="71" t="s">
        <v>4770</v>
      </c>
      <c r="E1675" s="71" t="s">
        <v>126</v>
      </c>
      <c r="F1675" s="72"/>
      <c r="G1675" s="73"/>
      <c r="H1675" s="75"/>
      <c r="I1675" s="102">
        <v>46199</v>
      </c>
      <c r="J1675" s="70">
        <v>3</v>
      </c>
      <c r="K1675" s="106" t="s">
        <v>4771</v>
      </c>
      <c r="L1675" s="104">
        <f t="shared" si="447"/>
        <v>46291</v>
      </c>
      <c r="M1675" s="105">
        <f ca="1" t="shared" si="448"/>
        <v>-22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04">
        <f t="shared" si="439"/>
        <v>0</v>
      </c>
      <c r="Z1675" s="105">
        <f ca="1" t="shared" si="440"/>
        <v>-46313</v>
      </c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5"/>
      <c r="AO1675" s="115"/>
      <c r="AP1675" s="115"/>
      <c r="AQ1675" s="93"/>
      <c r="AR1675" s="93"/>
      <c r="AS1675" s="94"/>
      <c r="AT1675" s="95"/>
      <c r="AU1675" s="79"/>
      <c r="AV1675" s="117"/>
      <c r="AW1675" s="115"/>
      <c r="AX1675" s="106"/>
      <c r="AY1675" s="104"/>
      <c r="AZ1675" s="105"/>
    </row>
    <row r="1676" customHeight="1" spans="1:52">
      <c r="A1676" s="70">
        <v>1687</v>
      </c>
      <c r="B1676" s="204" t="s">
        <v>4772</v>
      </c>
      <c r="C1676" s="70" t="s">
        <v>38</v>
      </c>
      <c r="D1676" s="71" t="s">
        <v>4773</v>
      </c>
      <c r="E1676" s="71" t="s">
        <v>4774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4775</v>
      </c>
      <c r="L1676" s="104">
        <f t="shared" si="447"/>
        <v>46291</v>
      </c>
      <c r="M1676" s="105">
        <f ca="1" t="shared" si="448"/>
        <v>-22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04">
        <f t="shared" si="439"/>
        <v>0</v>
      </c>
      <c r="Z1676" s="105">
        <f ca="1" t="shared" si="440"/>
        <v>-46313</v>
      </c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5"/>
      <c r="AO1676" s="115"/>
      <c r="AP1676" s="115"/>
      <c r="AQ1676" s="93"/>
      <c r="AR1676" s="93"/>
      <c r="AS1676" s="94"/>
      <c r="AT1676" s="95"/>
      <c r="AU1676" s="79"/>
      <c r="AV1676" s="117"/>
      <c r="AW1676" s="115"/>
      <c r="AX1676" s="106"/>
      <c r="AY1676" s="104"/>
      <c r="AZ1676" s="105"/>
    </row>
    <row r="1677" customHeight="1" spans="1:52">
      <c r="A1677" s="70">
        <v>1688</v>
      </c>
      <c r="B1677" s="70" t="s">
        <v>768</v>
      </c>
      <c r="C1677" s="70" t="s">
        <v>374</v>
      </c>
      <c r="D1677" s="71" t="s">
        <v>4776</v>
      </c>
      <c r="E1677" s="71" t="s">
        <v>770</v>
      </c>
      <c r="F1677" s="72"/>
      <c r="G1677" s="73"/>
      <c r="H1677" s="75"/>
      <c r="I1677" s="102">
        <v>46199</v>
      </c>
      <c r="J1677" s="70">
        <v>3</v>
      </c>
      <c r="K1677" s="106" t="s">
        <v>4777</v>
      </c>
      <c r="L1677" s="104">
        <f t="shared" si="447"/>
        <v>46291</v>
      </c>
      <c r="M1677" s="105">
        <f ca="1" t="shared" si="448"/>
        <v>-22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04">
        <f t="shared" si="439"/>
        <v>0</v>
      </c>
      <c r="Z1677" s="105">
        <f ca="1" t="shared" si="440"/>
        <v>-46313</v>
      </c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5"/>
      <c r="AO1677" s="115"/>
      <c r="AP1677" s="115"/>
      <c r="AQ1677" s="93"/>
      <c r="AR1677" s="93"/>
      <c r="AS1677" s="94"/>
      <c r="AT1677" s="95"/>
      <c r="AU1677" s="79"/>
      <c r="AV1677" s="117"/>
      <c r="AW1677" s="115"/>
      <c r="AX1677" s="106"/>
      <c r="AY1677" s="104"/>
      <c r="AZ1677" s="105"/>
    </row>
    <row r="1678" customHeight="1" spans="1:52">
      <c r="A1678" s="70">
        <v>1689</v>
      </c>
      <c r="B1678" s="70" t="s">
        <v>782</v>
      </c>
      <c r="C1678" s="70" t="s">
        <v>374</v>
      </c>
      <c r="D1678" s="71" t="s">
        <v>4778</v>
      </c>
      <c r="E1678" s="71" t="s">
        <v>4779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4780</v>
      </c>
      <c r="L1678" s="104">
        <f t="shared" si="447"/>
        <v>46291</v>
      </c>
      <c r="M1678" s="105">
        <f ca="1" t="shared" si="448"/>
        <v>-22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04">
        <f t="shared" si="439"/>
        <v>0</v>
      </c>
      <c r="Z1678" s="105">
        <f ca="1" t="shared" si="440"/>
        <v>-46313</v>
      </c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5"/>
      <c r="AO1678" s="115"/>
      <c r="AP1678" s="115"/>
      <c r="AQ1678" s="93"/>
      <c r="AR1678" s="93"/>
      <c r="AS1678" s="94"/>
      <c r="AT1678" s="95"/>
      <c r="AU1678" s="79"/>
      <c r="AV1678" s="117"/>
      <c r="AW1678" s="115"/>
      <c r="AX1678" s="106"/>
      <c r="AY1678" s="104"/>
      <c r="AZ1678" s="105"/>
    </row>
    <row r="1679" customHeight="1" spans="1:52">
      <c r="A1679" s="70">
        <v>1690</v>
      </c>
      <c r="B1679" s="204" t="s">
        <v>4781</v>
      </c>
      <c r="C1679" s="70" t="s">
        <v>264</v>
      </c>
      <c r="D1679" s="205" t="s">
        <v>4782</v>
      </c>
      <c r="E1679" s="71" t="s">
        <v>4783</v>
      </c>
      <c r="F1679" s="72"/>
      <c r="G1679" s="73"/>
      <c r="H1679" s="75"/>
      <c r="I1679" s="102">
        <v>46199</v>
      </c>
      <c r="J1679" s="70">
        <v>3</v>
      </c>
      <c r="K1679" s="106" t="s">
        <v>4784</v>
      </c>
      <c r="L1679" s="104">
        <f t="shared" si="447"/>
        <v>46291</v>
      </c>
      <c r="M1679" s="105">
        <f ca="1" t="shared" si="448"/>
        <v>-22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04">
        <f t="shared" si="439"/>
        <v>0</v>
      </c>
      <c r="Z1679" s="105">
        <f ca="1" t="shared" si="440"/>
        <v>-46313</v>
      </c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5"/>
      <c r="AO1679" s="115"/>
      <c r="AP1679" s="115"/>
      <c r="AQ1679" s="93"/>
      <c r="AR1679" s="93"/>
      <c r="AS1679" s="94"/>
      <c r="AT1679" s="95"/>
      <c r="AU1679" s="79"/>
      <c r="AV1679" s="117"/>
      <c r="AW1679" s="115"/>
      <c r="AX1679" s="106"/>
      <c r="AY1679" s="104"/>
      <c r="AZ1679" s="105"/>
    </row>
    <row r="1680" customHeight="1" spans="1:52">
      <c r="A1680" s="70">
        <v>1691</v>
      </c>
      <c r="B1680" s="204" t="s">
        <v>281</v>
      </c>
      <c r="C1680" s="70" t="s">
        <v>264</v>
      </c>
      <c r="D1680" s="205" t="s">
        <v>4785</v>
      </c>
      <c r="E1680" s="71" t="s">
        <v>277</v>
      </c>
      <c r="F1680" s="72"/>
      <c r="G1680" s="73"/>
      <c r="H1680" s="75"/>
      <c r="I1680" s="102">
        <v>46199</v>
      </c>
      <c r="J1680" s="70">
        <v>3</v>
      </c>
      <c r="K1680" s="106" t="s">
        <v>4786</v>
      </c>
      <c r="L1680" s="104">
        <f t="shared" si="447"/>
        <v>46291</v>
      </c>
      <c r="M1680" s="105">
        <f ca="1" t="shared" si="448"/>
        <v>-22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104">
        <f t="shared" si="439"/>
        <v>0</v>
      </c>
      <c r="Z1680" s="105">
        <f ca="1" t="shared" si="440"/>
        <v>-46313</v>
      </c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5"/>
      <c r="AO1680" s="115"/>
      <c r="AP1680" s="115"/>
      <c r="AQ1680" s="93"/>
      <c r="AR1680" s="93"/>
      <c r="AS1680" s="94"/>
      <c r="AT1680" s="95"/>
      <c r="AU1680" s="79"/>
      <c r="AV1680" s="117"/>
      <c r="AW1680" s="115"/>
      <c r="AX1680" s="106"/>
      <c r="AY1680" s="104"/>
      <c r="AZ1680" s="105"/>
    </row>
    <row r="1681" customHeight="1" spans="1:52">
      <c r="A1681" s="70">
        <v>1692</v>
      </c>
      <c r="B1681" s="204" t="s">
        <v>295</v>
      </c>
      <c r="C1681" s="70" t="s">
        <v>264</v>
      </c>
      <c r="D1681" s="205" t="s">
        <v>4787</v>
      </c>
      <c r="E1681" s="71" t="s">
        <v>4788</v>
      </c>
      <c r="F1681" s="72"/>
      <c r="G1681" s="73"/>
      <c r="H1681" s="75"/>
      <c r="I1681" s="102">
        <v>46199</v>
      </c>
      <c r="J1681" s="70">
        <v>3</v>
      </c>
      <c r="K1681" s="106" t="s">
        <v>4789</v>
      </c>
      <c r="L1681" s="104">
        <f t="shared" si="447"/>
        <v>46291</v>
      </c>
      <c r="M1681" s="105">
        <f ca="1" t="shared" si="448"/>
        <v>-22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04">
        <f t="shared" si="439"/>
        <v>0</v>
      </c>
      <c r="Z1681" s="105">
        <f ca="1" t="shared" si="440"/>
        <v>-46313</v>
      </c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5"/>
      <c r="AO1681" s="115"/>
      <c r="AP1681" s="115"/>
      <c r="AQ1681" s="93"/>
      <c r="AR1681" s="93"/>
      <c r="AS1681" s="94"/>
      <c r="AT1681" s="95"/>
      <c r="AU1681" s="79"/>
      <c r="AV1681" s="117"/>
      <c r="AW1681" s="115"/>
      <c r="AX1681" s="106"/>
      <c r="AY1681" s="104"/>
      <c r="AZ1681" s="105"/>
    </row>
    <row r="1682" customHeight="1" spans="1:52">
      <c r="A1682" s="70">
        <v>1693</v>
      </c>
      <c r="B1682" s="204" t="s">
        <v>295</v>
      </c>
      <c r="C1682" s="70" t="s">
        <v>264</v>
      </c>
      <c r="D1682" s="205" t="s">
        <v>4790</v>
      </c>
      <c r="E1682" s="71" t="s">
        <v>4788</v>
      </c>
      <c r="F1682" s="72"/>
      <c r="G1682" s="73"/>
      <c r="H1682" s="75"/>
      <c r="I1682" s="102">
        <v>46199</v>
      </c>
      <c r="J1682" s="70">
        <v>3</v>
      </c>
      <c r="K1682" s="106" t="s">
        <v>4791</v>
      </c>
      <c r="L1682" s="104">
        <f t="shared" si="447"/>
        <v>46291</v>
      </c>
      <c r="M1682" s="105">
        <f ca="1" t="shared" si="448"/>
        <v>-22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04">
        <f t="shared" si="439"/>
        <v>0</v>
      </c>
      <c r="Z1682" s="105">
        <f ca="1" t="shared" si="440"/>
        <v>-46313</v>
      </c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5"/>
      <c r="AO1682" s="115"/>
      <c r="AP1682" s="115"/>
      <c r="AQ1682" s="93"/>
      <c r="AR1682" s="93"/>
      <c r="AS1682" s="94"/>
      <c r="AT1682" s="95"/>
      <c r="AU1682" s="79"/>
      <c r="AV1682" s="117"/>
      <c r="AW1682" s="115"/>
      <c r="AX1682" s="106"/>
      <c r="AY1682" s="104"/>
      <c r="AZ1682" s="105"/>
    </row>
    <row r="1683" customHeight="1" spans="1:52">
      <c r="A1683" s="70">
        <v>1694</v>
      </c>
      <c r="B1683" s="204" t="s">
        <v>295</v>
      </c>
      <c r="C1683" s="70" t="s">
        <v>264</v>
      </c>
      <c r="D1683" s="205" t="s">
        <v>2694</v>
      </c>
      <c r="E1683" s="71" t="s">
        <v>1707</v>
      </c>
      <c r="F1683" s="72"/>
      <c r="G1683" s="73"/>
      <c r="H1683" s="75"/>
      <c r="I1683" s="102">
        <v>46199</v>
      </c>
      <c r="J1683" s="102" t="s">
        <v>767</v>
      </c>
      <c r="K1683" s="106"/>
      <c r="L1683" s="104" t="e">
        <f t="shared" si="447"/>
        <v>#VALUE!</v>
      </c>
      <c r="M1683" s="105" t="e">
        <f ca="1" t="shared" si="448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04">
        <f t="shared" si="439"/>
        <v>0</v>
      </c>
      <c r="Z1683" s="105">
        <f ca="1" t="shared" si="440"/>
        <v>-46313</v>
      </c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5"/>
      <c r="AO1683" s="115"/>
      <c r="AP1683" s="115"/>
      <c r="AQ1683" s="93"/>
      <c r="AR1683" s="93"/>
      <c r="AS1683" s="94"/>
      <c r="AT1683" s="95"/>
      <c r="AU1683" s="79"/>
      <c r="AV1683" s="117"/>
      <c r="AW1683" s="115"/>
      <c r="AX1683" s="106"/>
      <c r="AY1683" s="104"/>
      <c r="AZ1683" s="105"/>
    </row>
    <row r="1684" customHeight="1" spans="1:52">
      <c r="A1684" s="70">
        <v>1695</v>
      </c>
      <c r="B1684" s="204" t="s">
        <v>281</v>
      </c>
      <c r="C1684" s="70" t="s">
        <v>264</v>
      </c>
      <c r="D1684" s="205" t="s">
        <v>2618</v>
      </c>
      <c r="E1684" s="71" t="s">
        <v>364</v>
      </c>
      <c r="F1684" s="72"/>
      <c r="G1684" s="73"/>
      <c r="H1684" s="75"/>
      <c r="I1684" s="102">
        <v>46199</v>
      </c>
      <c r="J1684" s="102" t="s">
        <v>767</v>
      </c>
      <c r="K1684" s="106"/>
      <c r="L1684" s="104" t="e">
        <f t="shared" si="447"/>
        <v>#VALUE!</v>
      </c>
      <c r="M1684" s="105" t="e">
        <f ca="1" t="shared" si="448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04">
        <f t="shared" si="439"/>
        <v>0</v>
      </c>
      <c r="Z1684" s="105">
        <f ca="1" t="shared" si="440"/>
        <v>-46313</v>
      </c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5"/>
      <c r="AO1684" s="115"/>
      <c r="AP1684" s="115"/>
      <c r="AQ1684" s="93"/>
      <c r="AR1684" s="93"/>
      <c r="AS1684" s="94"/>
      <c r="AT1684" s="95"/>
      <c r="AU1684" s="79"/>
      <c r="AV1684" s="117"/>
      <c r="AW1684" s="115"/>
      <c r="AX1684" s="106"/>
      <c r="AY1684" s="104"/>
      <c r="AZ1684" s="105"/>
    </row>
    <row r="1685" customHeight="1" spans="1:52">
      <c r="A1685" s="70">
        <v>1696</v>
      </c>
      <c r="B1685" s="204" t="s">
        <v>1908</v>
      </c>
      <c r="C1685" s="70" t="s">
        <v>38</v>
      </c>
      <c r="D1685" s="205" t="s">
        <v>4660</v>
      </c>
      <c r="E1685" s="71" t="s">
        <v>2846</v>
      </c>
      <c r="F1685" s="72"/>
      <c r="G1685" s="73"/>
      <c r="H1685" s="75"/>
      <c r="I1685" s="102">
        <v>46199</v>
      </c>
      <c r="J1685" s="102" t="s">
        <v>767</v>
      </c>
      <c r="K1685" s="106"/>
      <c r="L1685" s="104" t="e">
        <f t="shared" si="447"/>
        <v>#VALUE!</v>
      </c>
      <c r="M1685" s="105" t="e">
        <f ca="1" t="shared" si="448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04">
        <f t="shared" si="439"/>
        <v>0</v>
      </c>
      <c r="Z1685" s="105">
        <f ca="1" t="shared" si="440"/>
        <v>-46313</v>
      </c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5"/>
      <c r="AO1685" s="115"/>
      <c r="AP1685" s="115"/>
      <c r="AQ1685" s="93"/>
      <c r="AR1685" s="93"/>
      <c r="AS1685" s="94"/>
      <c r="AT1685" s="95"/>
      <c r="AU1685" s="79"/>
      <c r="AV1685" s="117"/>
      <c r="AW1685" s="115"/>
      <c r="AX1685" s="106"/>
      <c r="AY1685" s="104"/>
      <c r="AZ1685" s="105"/>
    </row>
    <row r="1686" customHeight="1" spans="1:52">
      <c r="A1686" s="70">
        <v>1697</v>
      </c>
      <c r="B1686" s="204" t="s">
        <v>229</v>
      </c>
      <c r="C1686" s="70" t="s">
        <v>38</v>
      </c>
      <c r="D1686" s="205" t="s">
        <v>428</v>
      </c>
      <c r="E1686" s="71" t="s">
        <v>1822</v>
      </c>
      <c r="F1686" s="72"/>
      <c r="G1686" s="73"/>
      <c r="H1686" s="75"/>
      <c r="I1686" s="102">
        <v>46199</v>
      </c>
      <c r="J1686" s="102" t="s">
        <v>434</v>
      </c>
      <c r="K1686" s="106"/>
      <c r="L1686" s="104" t="e">
        <f t="shared" si="447"/>
        <v>#VALUE!</v>
      </c>
      <c r="M1686" s="105" t="e">
        <f ca="1" t="shared" si="448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04">
        <f t="shared" si="439"/>
        <v>0</v>
      </c>
      <c r="Z1686" s="105">
        <f ca="1" t="shared" si="440"/>
        <v>-46313</v>
      </c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5"/>
      <c r="AO1686" s="115"/>
      <c r="AP1686" s="115"/>
      <c r="AQ1686" s="93"/>
      <c r="AR1686" s="93"/>
      <c r="AS1686" s="94"/>
      <c r="AT1686" s="95"/>
      <c r="AU1686" s="79"/>
      <c r="AV1686" s="117"/>
      <c r="AW1686" s="115"/>
      <c r="AX1686" s="106"/>
      <c r="AY1686" s="104"/>
      <c r="AZ1686" s="105"/>
    </row>
    <row r="1687" customHeight="1" spans="1:52">
      <c r="A1687" s="70">
        <v>1698</v>
      </c>
      <c r="B1687" s="70" t="s">
        <v>2191</v>
      </c>
      <c r="C1687" s="70" t="s">
        <v>38</v>
      </c>
      <c r="D1687" s="71" t="s">
        <v>4792</v>
      </c>
      <c r="E1687" s="71" t="s">
        <v>189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4793</v>
      </c>
      <c r="L1687" s="104">
        <f t="shared" si="447"/>
        <v>46292</v>
      </c>
      <c r="M1687" s="105">
        <f ca="1" t="shared" si="448"/>
        <v>-21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104">
        <f t="shared" si="439"/>
        <v>0</v>
      </c>
      <c r="Z1687" s="105">
        <f ca="1" t="shared" si="440"/>
        <v>-46313</v>
      </c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5"/>
      <c r="AO1687" s="115"/>
      <c r="AP1687" s="115"/>
      <c r="AQ1687" s="93"/>
      <c r="AR1687" s="93"/>
      <c r="AS1687" s="94"/>
      <c r="AT1687" s="95"/>
      <c r="AU1687" s="79"/>
      <c r="AV1687" s="117"/>
      <c r="AW1687" s="115"/>
      <c r="AX1687" s="106"/>
      <c r="AY1687" s="104"/>
      <c r="AZ1687" s="105"/>
    </row>
    <row r="1688" customHeight="1" spans="1:52">
      <c r="A1688" s="70">
        <v>1699</v>
      </c>
      <c r="B1688" s="70" t="s">
        <v>2191</v>
      </c>
      <c r="C1688" s="70" t="s">
        <v>38</v>
      </c>
      <c r="D1688" s="71" t="s">
        <v>4794</v>
      </c>
      <c r="E1688" s="71" t="s">
        <v>189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4795</v>
      </c>
      <c r="L1688" s="104">
        <f t="shared" si="447"/>
        <v>46292</v>
      </c>
      <c r="M1688" s="105">
        <f ca="1" t="shared" si="448"/>
        <v>-21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04">
        <f t="shared" si="439"/>
        <v>0</v>
      </c>
      <c r="Z1688" s="105">
        <f ca="1" t="shared" si="440"/>
        <v>-46313</v>
      </c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5"/>
      <c r="AO1688" s="115"/>
      <c r="AP1688" s="115"/>
      <c r="AQ1688" s="93"/>
      <c r="AR1688" s="93"/>
      <c r="AS1688" s="94"/>
      <c r="AT1688" s="95"/>
      <c r="AU1688" s="79"/>
      <c r="AV1688" s="117"/>
      <c r="AW1688" s="115"/>
      <c r="AX1688" s="106"/>
      <c r="AY1688" s="104"/>
      <c r="AZ1688" s="105"/>
    </row>
    <row r="1689" customHeight="1" spans="1:52">
      <c r="A1689" s="70">
        <v>1700</v>
      </c>
      <c r="B1689" s="70" t="s">
        <v>844</v>
      </c>
      <c r="C1689" s="70" t="s">
        <v>38</v>
      </c>
      <c r="D1689" s="71" t="s">
        <v>4796</v>
      </c>
      <c r="E1689" s="71" t="s">
        <v>189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4797</v>
      </c>
      <c r="L1689" s="104">
        <f t="shared" si="447"/>
        <v>46292</v>
      </c>
      <c r="M1689" s="105">
        <f ca="1" t="shared" si="448"/>
        <v>-21</v>
      </c>
      <c r="N1689" s="70"/>
      <c r="O1689" s="70" t="s">
        <v>844</v>
      </c>
      <c r="P1689" s="70" t="s">
        <v>38</v>
      </c>
      <c r="Q1689" s="71" t="s">
        <v>4796</v>
      </c>
      <c r="R1689" s="71" t="s">
        <v>189</v>
      </c>
      <c r="S1689" s="72"/>
      <c r="T1689" s="73"/>
      <c r="U1689" s="79" t="s">
        <v>16</v>
      </c>
      <c r="V1689" s="102">
        <v>46311</v>
      </c>
      <c r="W1689" s="70">
        <v>3</v>
      </c>
      <c r="X1689" s="103"/>
      <c r="Y1689" s="104">
        <f t="shared" si="439"/>
        <v>46403</v>
      </c>
      <c r="Z1689" s="105">
        <f ca="1" t="shared" si="440"/>
        <v>90</v>
      </c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5"/>
      <c r="AO1689" s="115"/>
      <c r="AP1689" s="115"/>
      <c r="AQ1689" s="93"/>
      <c r="AR1689" s="93"/>
      <c r="AS1689" s="94"/>
      <c r="AT1689" s="95"/>
      <c r="AU1689" s="79"/>
      <c r="AV1689" s="117"/>
      <c r="AW1689" s="115"/>
      <c r="AX1689" s="106"/>
      <c r="AY1689" s="104"/>
      <c r="AZ1689" s="105"/>
    </row>
    <row r="1690" customHeight="1" spans="1:52">
      <c r="A1690" s="70">
        <v>1701</v>
      </c>
      <c r="B1690" s="70" t="s">
        <v>263</v>
      </c>
      <c r="C1690" s="70" t="s">
        <v>264</v>
      </c>
      <c r="D1690" s="71" t="s">
        <v>4798</v>
      </c>
      <c r="E1690" s="71" t="s">
        <v>764</v>
      </c>
      <c r="F1690" s="72"/>
      <c r="G1690" s="73"/>
      <c r="H1690" s="75"/>
      <c r="I1690" s="102">
        <v>46200</v>
      </c>
      <c r="J1690" s="70">
        <v>3</v>
      </c>
      <c r="K1690" s="106" t="s">
        <v>4799</v>
      </c>
      <c r="L1690" s="104">
        <f t="shared" si="447"/>
        <v>46292</v>
      </c>
      <c r="M1690" s="105">
        <f ca="1" t="shared" si="448"/>
        <v>-21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5"/>
      <c r="AO1690" s="115"/>
      <c r="AP1690" s="115"/>
      <c r="AQ1690" s="93"/>
      <c r="AR1690" s="93"/>
      <c r="AS1690" s="94"/>
      <c r="AT1690" s="95"/>
      <c r="AU1690" s="79"/>
      <c r="AV1690" s="117"/>
      <c r="AW1690" s="115"/>
      <c r="AX1690" s="106"/>
      <c r="AY1690" s="104"/>
      <c r="AZ1690" s="105"/>
    </row>
    <row r="1691" customHeight="1" spans="1:52">
      <c r="A1691" s="70">
        <v>1702</v>
      </c>
      <c r="B1691" s="204" t="s">
        <v>295</v>
      </c>
      <c r="C1691" s="70" t="s">
        <v>264</v>
      </c>
      <c r="D1691" s="205" t="s">
        <v>3020</v>
      </c>
      <c r="E1691" s="71" t="s">
        <v>3021</v>
      </c>
      <c r="F1691" s="72"/>
      <c r="G1691" s="73"/>
      <c r="H1691" s="75"/>
      <c r="I1691" s="102">
        <v>46200</v>
      </c>
      <c r="J1691" s="70" t="s">
        <v>767</v>
      </c>
      <c r="K1691" s="106"/>
      <c r="L1691" s="104" t="e">
        <f t="shared" si="447"/>
        <v>#VALUE!</v>
      </c>
      <c r="M1691" s="105" t="e">
        <f ca="1" t="shared" si="448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6"/>
      <c r="Z1691" s="13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5"/>
      <c r="AO1691" s="115"/>
      <c r="AP1691" s="115"/>
      <c r="AQ1691" s="93"/>
      <c r="AR1691" s="93"/>
      <c r="AS1691" s="94"/>
      <c r="AT1691" s="95"/>
      <c r="AU1691" s="79"/>
      <c r="AV1691" s="117"/>
      <c r="AW1691" s="115"/>
      <c r="AX1691" s="106"/>
      <c r="AY1691" s="104"/>
      <c r="AZ1691" s="105"/>
    </row>
    <row r="1692" customHeight="1" spans="1:52">
      <c r="A1692" s="70">
        <v>1703</v>
      </c>
      <c r="B1692" s="204" t="s">
        <v>1238</v>
      </c>
      <c r="C1692" s="70" t="s">
        <v>264</v>
      </c>
      <c r="D1692" s="205" t="s">
        <v>2702</v>
      </c>
      <c r="E1692" s="71" t="s">
        <v>364</v>
      </c>
      <c r="F1692" s="72"/>
      <c r="G1692" s="73"/>
      <c r="H1692" s="75"/>
      <c r="I1692" s="102">
        <v>46200</v>
      </c>
      <c r="J1692" s="70" t="s">
        <v>767</v>
      </c>
      <c r="K1692" s="106"/>
      <c r="L1692" s="104" t="e">
        <f t="shared" si="447"/>
        <v>#VALUE!</v>
      </c>
      <c r="M1692" s="105" t="e">
        <f ca="1" t="shared" si="448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5"/>
      <c r="AO1692" s="115"/>
      <c r="AP1692" s="115"/>
      <c r="AQ1692" s="93"/>
      <c r="AR1692" s="93"/>
      <c r="AS1692" s="94"/>
      <c r="AT1692" s="95"/>
      <c r="AU1692" s="79"/>
      <c r="AV1692" s="117"/>
      <c r="AW1692" s="115"/>
      <c r="AX1692" s="106"/>
      <c r="AY1692" s="104"/>
      <c r="AZ1692" s="105"/>
    </row>
    <row r="1693" customHeight="1" spans="1:52">
      <c r="A1693" s="70">
        <v>1704</v>
      </c>
      <c r="B1693" s="204" t="s">
        <v>751</v>
      </c>
      <c r="C1693" s="70" t="s">
        <v>264</v>
      </c>
      <c r="D1693" s="205" t="s">
        <v>752</v>
      </c>
      <c r="E1693" s="71" t="s">
        <v>753</v>
      </c>
      <c r="F1693" s="72"/>
      <c r="G1693" s="73"/>
      <c r="H1693" s="75"/>
      <c r="I1693" s="102">
        <v>46200</v>
      </c>
      <c r="J1693" s="70" t="s">
        <v>767</v>
      </c>
      <c r="K1693" s="106"/>
      <c r="L1693" s="104" t="e">
        <f t="shared" si="447"/>
        <v>#VALUE!</v>
      </c>
      <c r="M1693" s="105" t="e">
        <f ca="1" t="shared" si="448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6"/>
      <c r="Z1693" s="13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5"/>
      <c r="AO1693" s="115"/>
      <c r="AP1693" s="115"/>
      <c r="AQ1693" s="93"/>
      <c r="AR1693" s="93"/>
      <c r="AS1693" s="94"/>
      <c r="AT1693" s="95"/>
      <c r="AU1693" s="79"/>
      <c r="AV1693" s="117"/>
      <c r="AW1693" s="115"/>
      <c r="AX1693" s="106"/>
      <c r="AY1693" s="104"/>
      <c r="AZ1693" s="105"/>
    </row>
    <row r="1694" customHeight="1" spans="1:52">
      <c r="A1694" s="70">
        <v>1705</v>
      </c>
      <c r="B1694" s="204" t="s">
        <v>644</v>
      </c>
      <c r="C1694" s="70" t="s">
        <v>264</v>
      </c>
      <c r="D1694" s="205" t="s">
        <v>2433</v>
      </c>
      <c r="E1694" s="71" t="s">
        <v>753</v>
      </c>
      <c r="F1694" s="72"/>
      <c r="G1694" s="73"/>
      <c r="H1694" s="75"/>
      <c r="I1694" s="102">
        <v>46200</v>
      </c>
      <c r="J1694" s="70" t="s">
        <v>767</v>
      </c>
      <c r="K1694" s="106"/>
      <c r="L1694" s="104" t="e">
        <f t="shared" si="447"/>
        <v>#VALUE!</v>
      </c>
      <c r="M1694" s="105" t="e">
        <f ca="1" t="shared" si="448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6"/>
      <c r="Z1694" s="13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5"/>
      <c r="AO1694" s="115"/>
      <c r="AP1694" s="115"/>
      <c r="AQ1694" s="93"/>
      <c r="AR1694" s="93"/>
      <c r="AS1694" s="94"/>
      <c r="AT1694" s="95"/>
      <c r="AU1694" s="79"/>
      <c r="AV1694" s="117"/>
      <c r="AW1694" s="115"/>
      <c r="AX1694" s="106"/>
      <c r="AY1694" s="104"/>
      <c r="AZ1694" s="105"/>
    </row>
    <row r="1695" customHeight="1" spans="1:52">
      <c r="A1695" s="70">
        <v>1706</v>
      </c>
      <c r="B1695" s="204" t="s">
        <v>366</v>
      </c>
      <c r="C1695" s="70" t="s">
        <v>264</v>
      </c>
      <c r="D1695" s="205" t="s">
        <v>367</v>
      </c>
      <c r="E1695" s="71" t="s">
        <v>368</v>
      </c>
      <c r="F1695" s="72"/>
      <c r="G1695" s="73"/>
      <c r="H1695" s="75"/>
      <c r="I1695" s="102">
        <v>46200</v>
      </c>
      <c r="J1695" s="70" t="s">
        <v>767</v>
      </c>
      <c r="K1695" s="106"/>
      <c r="L1695" s="104" t="e">
        <f t="shared" si="447"/>
        <v>#VALUE!</v>
      </c>
      <c r="M1695" s="105" t="e">
        <f ca="1" t="shared" si="448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6"/>
      <c r="Z1695" s="13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5"/>
      <c r="AO1695" s="115"/>
      <c r="AP1695" s="115"/>
      <c r="AQ1695" s="93"/>
      <c r="AR1695" s="93"/>
      <c r="AS1695" s="94"/>
      <c r="AT1695" s="95"/>
      <c r="AU1695" s="79"/>
      <c r="AV1695" s="117"/>
      <c r="AW1695" s="115"/>
      <c r="AX1695" s="106"/>
      <c r="AY1695" s="104"/>
      <c r="AZ1695" s="105"/>
    </row>
    <row r="1696" customHeight="1" spans="1:52">
      <c r="A1696" s="70">
        <v>1707</v>
      </c>
      <c r="B1696" s="204" t="s">
        <v>263</v>
      </c>
      <c r="C1696" s="70" t="s">
        <v>264</v>
      </c>
      <c r="D1696" s="205" t="s">
        <v>1922</v>
      </c>
      <c r="E1696" s="71" t="s">
        <v>266</v>
      </c>
      <c r="F1696" s="72"/>
      <c r="G1696" s="73"/>
      <c r="H1696" s="75"/>
      <c r="I1696" s="102">
        <v>46201</v>
      </c>
      <c r="J1696" s="70" t="s">
        <v>767</v>
      </c>
      <c r="K1696" s="106"/>
      <c r="L1696" s="104" t="e">
        <f t="shared" ref="L1696:L1701" si="449">EDATE(I1696,J1696)</f>
        <v>#VALUE!</v>
      </c>
      <c r="M1696" s="105" t="e">
        <f ca="1" t="shared" ref="M1696:M1701" si="450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5"/>
      <c r="AO1696" s="115"/>
      <c r="AP1696" s="115"/>
      <c r="AQ1696" s="93"/>
      <c r="AR1696" s="93"/>
      <c r="AS1696" s="94"/>
      <c r="AT1696" s="95"/>
      <c r="AU1696" s="79"/>
      <c r="AV1696" s="117"/>
      <c r="AW1696" s="115"/>
      <c r="AX1696" s="106"/>
      <c r="AY1696" s="104"/>
      <c r="AZ1696" s="105"/>
    </row>
    <row r="1697" customHeight="1" spans="1:52">
      <c r="A1697" s="70">
        <v>1708</v>
      </c>
      <c r="B1697" s="204" t="s">
        <v>1908</v>
      </c>
      <c r="C1697" s="70" t="s">
        <v>38</v>
      </c>
      <c r="D1697" s="205" t="s">
        <v>4660</v>
      </c>
      <c r="E1697" s="71" t="s">
        <v>820</v>
      </c>
      <c r="F1697" s="72"/>
      <c r="G1697" s="73"/>
      <c r="H1697" s="75"/>
      <c r="I1697" s="102">
        <v>46201</v>
      </c>
      <c r="J1697" s="70" t="s">
        <v>767</v>
      </c>
      <c r="K1697" s="106"/>
      <c r="L1697" s="104" t="e">
        <f t="shared" si="449"/>
        <v>#VALUE!</v>
      </c>
      <c r="M1697" s="105" t="e">
        <f ca="1" t="shared" si="450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6"/>
      <c r="Z1697" s="13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5"/>
      <c r="AO1697" s="115"/>
      <c r="AP1697" s="115"/>
      <c r="AQ1697" s="93"/>
      <c r="AR1697" s="93"/>
      <c r="AS1697" s="94"/>
      <c r="AT1697" s="95"/>
      <c r="AU1697" s="79"/>
      <c r="AV1697" s="117"/>
      <c r="AW1697" s="115"/>
      <c r="AX1697" s="106"/>
      <c r="AY1697" s="104"/>
      <c r="AZ1697" s="105"/>
    </row>
    <row r="1698" customHeight="1" spans="1:52">
      <c r="A1698" s="70">
        <v>1709</v>
      </c>
      <c r="B1698" s="204" t="s">
        <v>1359</v>
      </c>
      <c r="C1698" s="70" t="s">
        <v>13</v>
      </c>
      <c r="D1698" s="205" t="s">
        <v>2775</v>
      </c>
      <c r="E1698" s="71" t="s">
        <v>2776</v>
      </c>
      <c r="F1698" s="72"/>
      <c r="G1698" s="73"/>
      <c r="H1698" s="75" t="s">
        <v>434</v>
      </c>
      <c r="I1698" s="102">
        <v>46201</v>
      </c>
      <c r="J1698" s="70" t="s">
        <v>767</v>
      </c>
      <c r="K1698" s="106" t="s">
        <v>4800</v>
      </c>
      <c r="L1698" s="104" t="e">
        <f t="shared" si="449"/>
        <v>#VALUE!</v>
      </c>
      <c r="M1698" s="105" t="e">
        <f ca="1" t="shared" si="450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5"/>
      <c r="AO1698" s="115"/>
      <c r="AP1698" s="115"/>
      <c r="AQ1698" s="93"/>
      <c r="AR1698" s="93"/>
      <c r="AS1698" s="94"/>
      <c r="AT1698" s="95"/>
      <c r="AU1698" s="79"/>
      <c r="AV1698" s="117"/>
      <c r="AW1698" s="115"/>
      <c r="AX1698" s="106"/>
      <c r="AY1698" s="104"/>
      <c r="AZ1698" s="105"/>
    </row>
    <row r="1699" customHeight="1" spans="1:52">
      <c r="A1699" s="70">
        <v>1710</v>
      </c>
      <c r="B1699" s="204" t="s">
        <v>1359</v>
      </c>
      <c r="C1699" s="70" t="s">
        <v>13</v>
      </c>
      <c r="D1699" s="205" t="s">
        <v>2779</v>
      </c>
      <c r="E1699" s="71" t="s">
        <v>2780</v>
      </c>
      <c r="F1699" s="72"/>
      <c r="G1699" s="73"/>
      <c r="H1699" s="75" t="s">
        <v>434</v>
      </c>
      <c r="I1699" s="102">
        <v>46201</v>
      </c>
      <c r="J1699" s="70" t="s">
        <v>767</v>
      </c>
      <c r="K1699" s="106"/>
      <c r="L1699" s="104" t="e">
        <f t="shared" si="449"/>
        <v>#VALUE!</v>
      </c>
      <c r="M1699" s="105" t="e">
        <f ca="1" t="shared" si="450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6"/>
      <c r="Z1699" s="13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5"/>
      <c r="AO1699" s="115"/>
      <c r="AP1699" s="115"/>
      <c r="AQ1699" s="93"/>
      <c r="AR1699" s="93"/>
      <c r="AS1699" s="94"/>
      <c r="AT1699" s="95"/>
      <c r="AU1699" s="79"/>
      <c r="AV1699" s="117"/>
      <c r="AW1699" s="115"/>
      <c r="AX1699" s="106"/>
      <c r="AY1699" s="104"/>
      <c r="AZ1699" s="105"/>
    </row>
    <row r="1700" customHeight="1" spans="1:52">
      <c r="A1700" s="70">
        <v>1711</v>
      </c>
      <c r="B1700" s="204" t="s">
        <v>1359</v>
      </c>
      <c r="C1700" s="70" t="s">
        <v>13</v>
      </c>
      <c r="D1700" s="205" t="s">
        <v>2714</v>
      </c>
      <c r="E1700" s="71" t="s">
        <v>3792</v>
      </c>
      <c r="F1700" s="72"/>
      <c r="G1700" s="73"/>
      <c r="H1700" s="75"/>
      <c r="I1700" s="102">
        <v>46201</v>
      </c>
      <c r="J1700" s="70" t="s">
        <v>767</v>
      </c>
      <c r="K1700" s="106"/>
      <c r="L1700" s="104" t="e">
        <f t="shared" si="449"/>
        <v>#VALUE!</v>
      </c>
      <c r="M1700" s="105" t="e">
        <f ca="1" t="shared" si="450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5"/>
      <c r="AO1700" s="115"/>
      <c r="AP1700" s="115"/>
      <c r="AQ1700" s="93"/>
      <c r="AR1700" s="93"/>
      <c r="AS1700" s="94"/>
      <c r="AT1700" s="95"/>
      <c r="AU1700" s="79"/>
      <c r="AV1700" s="117"/>
      <c r="AW1700" s="115"/>
      <c r="AX1700" s="106"/>
      <c r="AY1700" s="104"/>
      <c r="AZ1700" s="105"/>
    </row>
    <row r="1701" customHeight="1" spans="1:52">
      <c r="A1701" s="70">
        <v>1712</v>
      </c>
      <c r="B1701" s="204" t="s">
        <v>1359</v>
      </c>
      <c r="C1701" s="70" t="s">
        <v>13</v>
      </c>
      <c r="D1701" s="205" t="s">
        <v>2626</v>
      </c>
      <c r="E1701" s="71" t="s">
        <v>2388</v>
      </c>
      <c r="F1701" s="72"/>
      <c r="G1701" s="73"/>
      <c r="H1701" s="75"/>
      <c r="I1701" s="102">
        <v>46201</v>
      </c>
      <c r="J1701" s="70" t="s">
        <v>767</v>
      </c>
      <c r="K1701" s="106"/>
      <c r="L1701" s="104" t="e">
        <f t="shared" si="449"/>
        <v>#VALUE!</v>
      </c>
      <c r="M1701" s="105" t="e">
        <f ca="1" t="shared" si="450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6"/>
      <c r="Z1701" s="13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5"/>
      <c r="AO1701" s="115"/>
      <c r="AP1701" s="115"/>
      <c r="AQ1701" s="93"/>
      <c r="AR1701" s="93"/>
      <c r="AS1701" s="94"/>
      <c r="AT1701" s="95"/>
      <c r="AU1701" s="79"/>
      <c r="AV1701" s="117"/>
      <c r="AW1701" s="115"/>
      <c r="AX1701" s="106"/>
      <c r="AY1701" s="104"/>
      <c r="AZ1701" s="105"/>
    </row>
    <row r="1702" customHeight="1" spans="1:52">
      <c r="A1702" s="70">
        <v>1713</v>
      </c>
      <c r="B1702" s="70" t="s">
        <v>74</v>
      </c>
      <c r="C1702" s="70" t="s">
        <v>13</v>
      </c>
      <c r="D1702" s="71" t="s">
        <v>4801</v>
      </c>
      <c r="E1702" s="71" t="s">
        <v>989</v>
      </c>
      <c r="F1702" s="72"/>
      <c r="G1702" s="73"/>
      <c r="H1702" s="75"/>
      <c r="I1702" s="102">
        <v>46202</v>
      </c>
      <c r="J1702" s="70">
        <v>3</v>
      </c>
      <c r="K1702" s="106" t="s">
        <v>4802</v>
      </c>
      <c r="L1702" s="104">
        <f t="shared" ref="L1702:L1723" si="451">EDATE(I1702,J1702)</f>
        <v>46294</v>
      </c>
      <c r="M1702" s="105">
        <f ca="1" t="shared" ref="M1702:M1723" si="452">L1702-TODAY()</f>
        <v>-19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5"/>
      <c r="AO1702" s="115"/>
      <c r="AP1702" s="115"/>
      <c r="AQ1702" s="93"/>
      <c r="AR1702" s="93"/>
      <c r="AS1702" s="94"/>
      <c r="AT1702" s="95"/>
      <c r="AU1702" s="79"/>
      <c r="AV1702" s="117"/>
      <c r="AW1702" s="115"/>
      <c r="AX1702" s="106"/>
      <c r="AY1702" s="104"/>
      <c r="AZ1702" s="105"/>
    </row>
    <row r="1703" customHeight="1" spans="1:52">
      <c r="A1703" s="70">
        <v>1714</v>
      </c>
      <c r="B1703" s="204" t="s">
        <v>1359</v>
      </c>
      <c r="C1703" s="70" t="s">
        <v>13</v>
      </c>
      <c r="D1703" s="205" t="s">
        <v>4803</v>
      </c>
      <c r="E1703" s="71" t="s">
        <v>4804</v>
      </c>
      <c r="F1703" s="72"/>
      <c r="G1703" s="73"/>
      <c r="H1703" s="75"/>
      <c r="I1703" s="102">
        <v>46202</v>
      </c>
      <c r="J1703" s="70">
        <v>3</v>
      </c>
      <c r="K1703" s="106" t="s">
        <v>4805</v>
      </c>
      <c r="L1703" s="104">
        <f t="shared" si="451"/>
        <v>46294</v>
      </c>
      <c r="M1703" s="105">
        <f ca="1" t="shared" si="452"/>
        <v>-19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6"/>
      <c r="Z1703" s="13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5"/>
      <c r="AO1703" s="115"/>
      <c r="AP1703" s="115"/>
      <c r="AQ1703" s="93"/>
      <c r="AR1703" s="93"/>
      <c r="AS1703" s="94"/>
      <c r="AT1703" s="95"/>
      <c r="AU1703" s="79"/>
      <c r="AV1703" s="117"/>
      <c r="AW1703" s="115"/>
      <c r="AX1703" s="106"/>
      <c r="AY1703" s="104"/>
      <c r="AZ1703" s="105"/>
    </row>
    <row r="1704" customHeight="1" spans="1:52">
      <c r="A1704" s="70">
        <v>1715</v>
      </c>
      <c r="B1704" s="204" t="s">
        <v>1359</v>
      </c>
      <c r="C1704" s="70" t="s">
        <v>13</v>
      </c>
      <c r="D1704" s="205" t="s">
        <v>4806</v>
      </c>
      <c r="E1704" s="71" t="s">
        <v>4807</v>
      </c>
      <c r="F1704" s="72"/>
      <c r="G1704" s="73"/>
      <c r="H1704" s="75"/>
      <c r="I1704" s="102">
        <v>46202</v>
      </c>
      <c r="J1704" s="70">
        <v>3</v>
      </c>
      <c r="K1704" s="106" t="s">
        <v>4808</v>
      </c>
      <c r="L1704" s="104">
        <f t="shared" si="451"/>
        <v>46294</v>
      </c>
      <c r="M1704" s="105">
        <f ca="1" t="shared" si="452"/>
        <v>-19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5"/>
      <c r="AO1704" s="115"/>
      <c r="AP1704" s="115"/>
      <c r="AQ1704" s="93"/>
      <c r="AR1704" s="93"/>
      <c r="AS1704" s="94"/>
      <c r="AT1704" s="95"/>
      <c r="AU1704" s="79"/>
      <c r="AV1704" s="117"/>
      <c r="AW1704" s="115"/>
      <c r="AX1704" s="106"/>
      <c r="AY1704" s="104"/>
      <c r="AZ1704" s="105"/>
    </row>
    <row r="1705" customHeight="1" spans="1:52">
      <c r="A1705" s="70">
        <v>1716</v>
      </c>
      <c r="B1705" s="204" t="s">
        <v>1359</v>
      </c>
      <c r="C1705" s="70" t="s">
        <v>13</v>
      </c>
      <c r="D1705" s="205" t="s">
        <v>4809</v>
      </c>
      <c r="E1705" s="71" t="s">
        <v>4810</v>
      </c>
      <c r="F1705" s="72"/>
      <c r="G1705" s="73"/>
      <c r="H1705" s="75"/>
      <c r="I1705" s="102">
        <v>46202</v>
      </c>
      <c r="J1705" s="70">
        <v>3</v>
      </c>
      <c r="K1705" s="106" t="s">
        <v>4811</v>
      </c>
      <c r="L1705" s="104">
        <f t="shared" si="451"/>
        <v>46294</v>
      </c>
      <c r="M1705" s="105">
        <f ca="1" t="shared" si="452"/>
        <v>-19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6"/>
      <c r="Z1705" s="13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5"/>
      <c r="AO1705" s="115"/>
      <c r="AP1705" s="115"/>
      <c r="AQ1705" s="93"/>
      <c r="AR1705" s="93"/>
      <c r="AS1705" s="94"/>
      <c r="AT1705" s="95"/>
      <c r="AU1705" s="79"/>
      <c r="AV1705" s="117"/>
      <c r="AW1705" s="115"/>
      <c r="AX1705" s="106"/>
      <c r="AY1705" s="104"/>
      <c r="AZ1705" s="105"/>
    </row>
    <row r="1706" customHeight="1" spans="1:52">
      <c r="A1706" s="70">
        <v>1717</v>
      </c>
      <c r="B1706" s="204" t="s">
        <v>1359</v>
      </c>
      <c r="C1706" s="70" t="s">
        <v>13</v>
      </c>
      <c r="D1706" s="205" t="s">
        <v>4812</v>
      </c>
      <c r="E1706" s="71" t="s">
        <v>1364</v>
      </c>
      <c r="F1706" s="72"/>
      <c r="G1706" s="73"/>
      <c r="H1706" s="75"/>
      <c r="I1706" s="102">
        <v>46202</v>
      </c>
      <c r="J1706" s="70">
        <v>3</v>
      </c>
      <c r="K1706" s="106" t="s">
        <v>4813</v>
      </c>
      <c r="L1706" s="104">
        <f t="shared" si="451"/>
        <v>46294</v>
      </c>
      <c r="M1706" s="105">
        <f ca="1" t="shared" si="452"/>
        <v>-19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5"/>
      <c r="AO1706" s="115"/>
      <c r="AP1706" s="115"/>
      <c r="AQ1706" s="93"/>
      <c r="AR1706" s="93"/>
      <c r="AS1706" s="94"/>
      <c r="AT1706" s="95"/>
      <c r="AU1706" s="79"/>
      <c r="AV1706" s="117"/>
      <c r="AW1706" s="115"/>
      <c r="AX1706" s="106"/>
      <c r="AY1706" s="104"/>
      <c r="AZ1706" s="105"/>
    </row>
    <row r="1707" customHeight="1" spans="1:52">
      <c r="A1707" s="70">
        <v>1718</v>
      </c>
      <c r="B1707" s="204" t="s">
        <v>1359</v>
      </c>
      <c r="C1707" s="70" t="s">
        <v>13</v>
      </c>
      <c r="D1707" s="205" t="s">
        <v>4814</v>
      </c>
      <c r="E1707" s="71" t="s">
        <v>4804</v>
      </c>
      <c r="F1707" s="72"/>
      <c r="G1707" s="73"/>
      <c r="H1707" s="75"/>
      <c r="I1707" s="102">
        <v>46202</v>
      </c>
      <c r="J1707" s="70">
        <v>3</v>
      </c>
      <c r="K1707" s="106" t="s">
        <v>4815</v>
      </c>
      <c r="L1707" s="104">
        <f t="shared" si="451"/>
        <v>46294</v>
      </c>
      <c r="M1707" s="105">
        <f ca="1" t="shared" si="452"/>
        <v>-19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6"/>
      <c r="Z1707" s="13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5"/>
      <c r="AO1707" s="115"/>
      <c r="AP1707" s="115"/>
      <c r="AQ1707" s="93"/>
      <c r="AR1707" s="93"/>
      <c r="AS1707" s="94"/>
      <c r="AT1707" s="95"/>
      <c r="AU1707" s="79"/>
      <c r="AV1707" s="117"/>
      <c r="AW1707" s="115"/>
      <c r="AX1707" s="106"/>
      <c r="AY1707" s="104"/>
      <c r="AZ1707" s="105"/>
    </row>
    <row r="1708" customHeight="1" spans="1:52">
      <c r="A1708" s="70">
        <v>1719</v>
      </c>
      <c r="B1708" s="204" t="s">
        <v>1359</v>
      </c>
      <c r="C1708" s="70" t="s">
        <v>13</v>
      </c>
      <c r="D1708" s="205" t="s">
        <v>4816</v>
      </c>
      <c r="E1708" s="71" t="s">
        <v>4558</v>
      </c>
      <c r="F1708" s="72"/>
      <c r="G1708" s="73"/>
      <c r="H1708" s="75"/>
      <c r="I1708" s="102">
        <v>46202</v>
      </c>
      <c r="J1708" s="70">
        <v>3</v>
      </c>
      <c r="K1708" s="106" t="s">
        <v>4817</v>
      </c>
      <c r="L1708" s="104">
        <f t="shared" si="451"/>
        <v>46294</v>
      </c>
      <c r="M1708" s="105">
        <f ca="1" t="shared" si="452"/>
        <v>-19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5"/>
      <c r="AO1708" s="115"/>
      <c r="AP1708" s="115"/>
      <c r="AQ1708" s="93"/>
      <c r="AR1708" s="93"/>
      <c r="AS1708" s="94"/>
      <c r="AT1708" s="95"/>
      <c r="AU1708" s="79"/>
      <c r="AV1708" s="117"/>
      <c r="AW1708" s="115"/>
      <c r="AX1708" s="106"/>
      <c r="AY1708" s="104"/>
      <c r="AZ1708" s="105"/>
    </row>
    <row r="1709" customHeight="1" spans="1:52">
      <c r="A1709" s="70">
        <v>1720</v>
      </c>
      <c r="B1709" s="204" t="s">
        <v>1359</v>
      </c>
      <c r="C1709" s="70" t="s">
        <v>13</v>
      </c>
      <c r="D1709" s="205" t="s">
        <v>4818</v>
      </c>
      <c r="E1709" s="71" t="s">
        <v>1361</v>
      </c>
      <c r="F1709" s="72"/>
      <c r="G1709" s="73"/>
      <c r="H1709" s="75"/>
      <c r="I1709" s="102">
        <v>46202</v>
      </c>
      <c r="J1709" s="70">
        <v>3</v>
      </c>
      <c r="K1709" s="106" t="s">
        <v>4819</v>
      </c>
      <c r="L1709" s="104">
        <f t="shared" si="451"/>
        <v>46294</v>
      </c>
      <c r="M1709" s="105">
        <f ca="1" t="shared" si="452"/>
        <v>-19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6"/>
      <c r="Z1709" s="13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5"/>
      <c r="AO1709" s="115"/>
      <c r="AP1709" s="115"/>
      <c r="AQ1709" s="93"/>
      <c r="AR1709" s="93"/>
      <c r="AS1709" s="94"/>
      <c r="AT1709" s="95"/>
      <c r="AU1709" s="79"/>
      <c r="AV1709" s="117"/>
      <c r="AW1709" s="115"/>
      <c r="AX1709" s="106"/>
      <c r="AY1709" s="104"/>
      <c r="AZ1709" s="105"/>
    </row>
    <row r="1710" customHeight="1" spans="1:52">
      <c r="A1710" s="70">
        <v>1721</v>
      </c>
      <c r="B1710" s="204" t="s">
        <v>4820</v>
      </c>
      <c r="C1710" s="70" t="s">
        <v>38</v>
      </c>
      <c r="D1710" s="205" t="s">
        <v>4821</v>
      </c>
      <c r="E1710" s="71" t="s">
        <v>189</v>
      </c>
      <c r="F1710" s="72"/>
      <c r="G1710" s="73"/>
      <c r="H1710" s="75"/>
      <c r="I1710" s="102">
        <v>46203</v>
      </c>
      <c r="J1710" s="70">
        <v>3</v>
      </c>
      <c r="K1710" s="106" t="s">
        <v>4822</v>
      </c>
      <c r="L1710" s="104">
        <f t="shared" si="451"/>
        <v>46295</v>
      </c>
      <c r="M1710" s="105">
        <f ca="1" t="shared" si="452"/>
        <v>-18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5"/>
      <c r="AO1710" s="115"/>
      <c r="AP1710" s="115"/>
      <c r="AQ1710" s="93"/>
      <c r="AR1710" s="93"/>
      <c r="AS1710" s="94"/>
      <c r="AT1710" s="95"/>
      <c r="AU1710" s="79"/>
      <c r="AV1710" s="117"/>
      <c r="AW1710" s="115"/>
      <c r="AX1710" s="106"/>
      <c r="AY1710" s="104"/>
      <c r="AZ1710" s="105"/>
    </row>
    <row r="1711" customHeight="1" spans="1:52">
      <c r="A1711" s="70">
        <v>1722</v>
      </c>
      <c r="B1711" s="204" t="s">
        <v>4820</v>
      </c>
      <c r="C1711" s="70" t="s">
        <v>38</v>
      </c>
      <c r="D1711" s="205" t="s">
        <v>4823</v>
      </c>
      <c r="E1711" s="71" t="s">
        <v>189</v>
      </c>
      <c r="F1711" s="72"/>
      <c r="G1711" s="73"/>
      <c r="H1711" s="75"/>
      <c r="I1711" s="102">
        <v>46203</v>
      </c>
      <c r="J1711" s="70">
        <v>3</v>
      </c>
      <c r="K1711" s="106" t="s">
        <v>4824</v>
      </c>
      <c r="L1711" s="104">
        <f t="shared" si="451"/>
        <v>46295</v>
      </c>
      <c r="M1711" s="105">
        <f ca="1" t="shared" si="452"/>
        <v>-18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04">
        <f t="shared" ref="Y1711:Y1716" si="453">EDATE(V1711,W1711)</f>
        <v>0</v>
      </c>
      <c r="Z1711" s="105">
        <f ca="1" t="shared" ref="Z1711:Z1716" si="454">Y1711-TODAY()</f>
        <v>-46313</v>
      </c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5"/>
      <c r="AO1711" s="115"/>
      <c r="AP1711" s="115"/>
      <c r="AQ1711" s="93"/>
      <c r="AR1711" s="93"/>
      <c r="AS1711" s="94"/>
      <c r="AT1711" s="95"/>
      <c r="AU1711" s="79"/>
      <c r="AV1711" s="117"/>
      <c r="AW1711" s="115"/>
      <c r="AX1711" s="106"/>
      <c r="AY1711" s="104"/>
      <c r="AZ1711" s="105"/>
    </row>
    <row r="1712" customHeight="1" spans="1:52">
      <c r="A1712" s="70">
        <v>1723</v>
      </c>
      <c r="B1712" s="204" t="s">
        <v>4820</v>
      </c>
      <c r="C1712" s="70" t="s">
        <v>13</v>
      </c>
      <c r="D1712" s="205" t="s">
        <v>4825</v>
      </c>
      <c r="E1712" s="71" t="s">
        <v>4826</v>
      </c>
      <c r="F1712" s="72"/>
      <c r="G1712" s="73"/>
      <c r="H1712" s="75"/>
      <c r="I1712" s="102">
        <v>46203</v>
      </c>
      <c r="J1712" s="70">
        <v>3</v>
      </c>
      <c r="K1712" s="106" t="s">
        <v>4827</v>
      </c>
      <c r="L1712" s="104">
        <f t="shared" si="451"/>
        <v>46295</v>
      </c>
      <c r="M1712" s="105">
        <f ca="1" t="shared" si="452"/>
        <v>-18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04">
        <f t="shared" si="453"/>
        <v>0</v>
      </c>
      <c r="Z1712" s="105">
        <f ca="1" t="shared" si="454"/>
        <v>-46313</v>
      </c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5"/>
      <c r="AO1712" s="115"/>
      <c r="AP1712" s="115"/>
      <c r="AQ1712" s="93"/>
      <c r="AR1712" s="93"/>
      <c r="AS1712" s="94"/>
      <c r="AT1712" s="95"/>
      <c r="AU1712" s="79"/>
      <c r="AV1712" s="117"/>
      <c r="AW1712" s="115"/>
      <c r="AX1712" s="106"/>
      <c r="AY1712" s="104"/>
      <c r="AZ1712" s="105"/>
    </row>
    <row r="1713" customHeight="1" spans="1:52">
      <c r="A1713" s="70">
        <v>1724</v>
      </c>
      <c r="B1713" s="204" t="s">
        <v>4820</v>
      </c>
      <c r="C1713" s="70" t="s">
        <v>38</v>
      </c>
      <c r="D1713" s="205" t="s">
        <v>4828</v>
      </c>
      <c r="E1713" s="71" t="s">
        <v>4829</v>
      </c>
      <c r="F1713" s="72"/>
      <c r="G1713" s="73"/>
      <c r="H1713" s="75"/>
      <c r="I1713" s="102">
        <v>46203</v>
      </c>
      <c r="J1713" s="70">
        <v>3</v>
      </c>
      <c r="K1713" s="106" t="s">
        <v>4830</v>
      </c>
      <c r="L1713" s="104">
        <f t="shared" si="451"/>
        <v>46295</v>
      </c>
      <c r="M1713" s="105">
        <f ca="1" t="shared" si="452"/>
        <v>-18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04">
        <f t="shared" si="453"/>
        <v>0</v>
      </c>
      <c r="Z1713" s="105">
        <f ca="1" t="shared" si="454"/>
        <v>-46313</v>
      </c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5"/>
      <c r="AO1713" s="115"/>
      <c r="AP1713" s="115"/>
      <c r="AQ1713" s="93"/>
      <c r="AR1713" s="93"/>
      <c r="AS1713" s="94"/>
      <c r="AT1713" s="95"/>
      <c r="AU1713" s="79"/>
      <c r="AV1713" s="117"/>
      <c r="AW1713" s="115"/>
      <c r="AX1713" s="106"/>
      <c r="AY1713" s="104"/>
      <c r="AZ1713" s="105"/>
    </row>
    <row r="1714" customHeight="1" spans="1:52">
      <c r="A1714" s="70">
        <v>1725</v>
      </c>
      <c r="B1714" s="204" t="s">
        <v>4820</v>
      </c>
      <c r="C1714" s="70" t="s">
        <v>38</v>
      </c>
      <c r="D1714" s="205" t="s">
        <v>4831</v>
      </c>
      <c r="E1714" s="71" t="s">
        <v>4829</v>
      </c>
      <c r="F1714" s="72"/>
      <c r="G1714" s="73"/>
      <c r="H1714" s="75"/>
      <c r="I1714" s="102">
        <v>46203</v>
      </c>
      <c r="J1714" s="70">
        <v>3</v>
      </c>
      <c r="K1714" s="106" t="s">
        <v>4832</v>
      </c>
      <c r="L1714" s="104">
        <f t="shared" si="451"/>
        <v>46295</v>
      </c>
      <c r="M1714" s="105">
        <f ca="1" t="shared" si="452"/>
        <v>-18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04">
        <f t="shared" si="453"/>
        <v>0</v>
      </c>
      <c r="Z1714" s="105">
        <f ca="1" t="shared" si="454"/>
        <v>-46313</v>
      </c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5"/>
      <c r="AO1714" s="115"/>
      <c r="AP1714" s="115"/>
      <c r="AQ1714" s="93"/>
      <c r="AR1714" s="93"/>
      <c r="AS1714" s="94"/>
      <c r="AT1714" s="95"/>
      <c r="AU1714" s="79"/>
      <c r="AV1714" s="117"/>
      <c r="AW1714" s="115"/>
      <c r="AX1714" s="106"/>
      <c r="AY1714" s="104"/>
      <c r="AZ1714" s="105"/>
    </row>
    <row r="1715" customHeight="1" spans="1:52">
      <c r="A1715" s="70">
        <v>1726</v>
      </c>
      <c r="B1715" s="204" t="s">
        <v>4820</v>
      </c>
      <c r="C1715" s="70" t="s">
        <v>13</v>
      </c>
      <c r="D1715" s="205" t="s">
        <v>4833</v>
      </c>
      <c r="E1715" s="71" t="s">
        <v>4834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4835</v>
      </c>
      <c r="L1715" s="104">
        <f t="shared" si="451"/>
        <v>46295</v>
      </c>
      <c r="M1715" s="105">
        <f ca="1" t="shared" si="452"/>
        <v>-18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04">
        <f t="shared" si="453"/>
        <v>0</v>
      </c>
      <c r="Z1715" s="105">
        <f ca="1" t="shared" si="454"/>
        <v>-46313</v>
      </c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5"/>
      <c r="AO1715" s="115"/>
      <c r="AP1715" s="115"/>
      <c r="AQ1715" s="93"/>
      <c r="AR1715" s="93"/>
      <c r="AS1715" s="94"/>
      <c r="AT1715" s="95"/>
      <c r="AU1715" s="79"/>
      <c r="AV1715" s="117"/>
      <c r="AW1715" s="115"/>
      <c r="AX1715" s="106"/>
      <c r="AY1715" s="104"/>
      <c r="AZ1715" s="105"/>
    </row>
    <row r="1716" customHeight="1" spans="1:52">
      <c r="A1716" s="70">
        <v>1727</v>
      </c>
      <c r="B1716" s="204" t="s">
        <v>4820</v>
      </c>
      <c r="C1716" s="70" t="s">
        <v>13</v>
      </c>
      <c r="D1716" s="205" t="s">
        <v>4836</v>
      </c>
      <c r="E1716" s="71" t="s">
        <v>4834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4837</v>
      </c>
      <c r="L1716" s="104">
        <f t="shared" si="451"/>
        <v>46295</v>
      </c>
      <c r="M1716" s="105">
        <f ca="1" t="shared" si="452"/>
        <v>-18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04">
        <f t="shared" si="453"/>
        <v>0</v>
      </c>
      <c r="Z1716" s="105">
        <f ca="1" t="shared" si="454"/>
        <v>-46313</v>
      </c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5"/>
      <c r="AO1716" s="115"/>
      <c r="AP1716" s="115"/>
      <c r="AQ1716" s="93"/>
      <c r="AR1716" s="93"/>
      <c r="AS1716" s="94"/>
      <c r="AT1716" s="95"/>
      <c r="AU1716" s="79"/>
      <c r="AV1716" s="117"/>
      <c r="AW1716" s="115"/>
      <c r="AX1716" s="106"/>
      <c r="AY1716" s="104"/>
      <c r="AZ1716" s="105"/>
    </row>
    <row r="1717" customHeight="1" spans="1:52">
      <c r="A1717" s="70">
        <v>1728</v>
      </c>
      <c r="B1717" s="70" t="s">
        <v>2195</v>
      </c>
      <c r="C1717" s="70" t="s">
        <v>374</v>
      </c>
      <c r="D1717" s="71" t="s">
        <v>4838</v>
      </c>
      <c r="E1717" s="71" t="s">
        <v>568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4839</v>
      </c>
      <c r="L1717" s="104">
        <f t="shared" si="451"/>
        <v>46295</v>
      </c>
      <c r="M1717" s="105">
        <f ca="1" t="shared" si="452"/>
        <v>-18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04">
        <f t="shared" ref="Y1717:Y1736" si="455">EDATE(V1717,W1717)</f>
        <v>0</v>
      </c>
      <c r="Z1717" s="105">
        <f ca="1" t="shared" ref="Z1717:Z1736" si="456">Y1717-TODAY()</f>
        <v>-46313</v>
      </c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5"/>
      <c r="AO1717" s="115"/>
      <c r="AP1717" s="115"/>
      <c r="AQ1717" s="93"/>
      <c r="AR1717" s="93"/>
      <c r="AS1717" s="94"/>
      <c r="AT1717" s="95"/>
      <c r="AU1717" s="79"/>
      <c r="AV1717" s="117"/>
      <c r="AW1717" s="115"/>
      <c r="AX1717" s="106"/>
      <c r="AY1717" s="104"/>
      <c r="AZ1717" s="105"/>
    </row>
    <row r="1718" customHeight="1" spans="1:52">
      <c r="A1718" s="70">
        <v>1729</v>
      </c>
      <c r="B1718" s="70" t="s">
        <v>678</v>
      </c>
      <c r="C1718" s="70" t="s">
        <v>374</v>
      </c>
      <c r="D1718" s="71" t="s">
        <v>4840</v>
      </c>
      <c r="E1718" s="71" t="s">
        <v>680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4841</v>
      </c>
      <c r="L1718" s="104">
        <f t="shared" si="451"/>
        <v>46295</v>
      </c>
      <c r="M1718" s="105">
        <f ca="1" t="shared" si="452"/>
        <v>-18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04">
        <f t="shared" si="455"/>
        <v>0</v>
      </c>
      <c r="Z1718" s="105">
        <f ca="1" t="shared" si="456"/>
        <v>-46313</v>
      </c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5"/>
      <c r="AO1718" s="115"/>
      <c r="AP1718" s="115"/>
      <c r="AQ1718" s="93"/>
      <c r="AR1718" s="93"/>
      <c r="AS1718" s="94"/>
      <c r="AT1718" s="95"/>
      <c r="AU1718" s="79"/>
      <c r="AV1718" s="117"/>
      <c r="AW1718" s="115"/>
      <c r="AX1718" s="106"/>
      <c r="AY1718" s="104"/>
      <c r="AZ1718" s="105"/>
    </row>
    <row r="1719" customHeight="1" spans="1:52">
      <c r="A1719" s="70">
        <v>1730</v>
      </c>
      <c r="B1719" s="108" t="s">
        <v>295</v>
      </c>
      <c r="C1719" s="70" t="s">
        <v>264</v>
      </c>
      <c r="D1719" s="205" t="s">
        <v>4842</v>
      </c>
      <c r="E1719" s="71" t="s">
        <v>4843</v>
      </c>
      <c r="F1719" s="72"/>
      <c r="G1719" s="73"/>
      <c r="H1719" s="75"/>
      <c r="I1719" s="102">
        <v>46203</v>
      </c>
      <c r="J1719" s="70">
        <v>3</v>
      </c>
      <c r="K1719" s="106" t="s">
        <v>4844</v>
      </c>
      <c r="L1719" s="104">
        <f t="shared" si="451"/>
        <v>46295</v>
      </c>
      <c r="M1719" s="105">
        <f ca="1" t="shared" si="452"/>
        <v>-18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04">
        <f t="shared" si="455"/>
        <v>0</v>
      </c>
      <c r="Z1719" s="105">
        <f ca="1" t="shared" si="456"/>
        <v>-46313</v>
      </c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5"/>
      <c r="AO1719" s="115"/>
      <c r="AP1719" s="115"/>
      <c r="AQ1719" s="93"/>
      <c r="AR1719" s="93"/>
      <c r="AS1719" s="94"/>
      <c r="AT1719" s="95"/>
      <c r="AU1719" s="79"/>
      <c r="AV1719" s="117"/>
      <c r="AW1719" s="115"/>
      <c r="AX1719" s="106"/>
      <c r="AY1719" s="104"/>
      <c r="AZ1719" s="105"/>
    </row>
    <row r="1720" customHeight="1" spans="1:52">
      <c r="A1720" s="70">
        <v>1731</v>
      </c>
      <c r="B1720" s="204" t="s">
        <v>281</v>
      </c>
      <c r="C1720" s="70" t="s">
        <v>264</v>
      </c>
      <c r="D1720" s="205" t="s">
        <v>4845</v>
      </c>
      <c r="E1720" s="71" t="s">
        <v>3954</v>
      </c>
      <c r="F1720" s="72"/>
      <c r="G1720" s="73"/>
      <c r="H1720" s="75"/>
      <c r="I1720" s="102">
        <v>46203</v>
      </c>
      <c r="J1720" s="70">
        <v>3</v>
      </c>
      <c r="K1720" s="106" t="s">
        <v>4846</v>
      </c>
      <c r="L1720" s="104">
        <f t="shared" si="451"/>
        <v>46295</v>
      </c>
      <c r="M1720" s="105">
        <f ca="1" t="shared" si="452"/>
        <v>-18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04">
        <f t="shared" si="455"/>
        <v>0</v>
      </c>
      <c r="Z1720" s="105">
        <f ca="1" t="shared" si="456"/>
        <v>-46313</v>
      </c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5"/>
      <c r="AO1720" s="115"/>
      <c r="AP1720" s="115"/>
      <c r="AQ1720" s="93"/>
      <c r="AR1720" s="93"/>
      <c r="AS1720" s="94"/>
      <c r="AT1720" s="95"/>
      <c r="AU1720" s="79"/>
      <c r="AV1720" s="117"/>
      <c r="AW1720" s="115"/>
      <c r="AX1720" s="106"/>
      <c r="AY1720" s="104"/>
      <c r="AZ1720" s="105"/>
    </row>
    <row r="1721" customHeight="1" spans="1:52">
      <c r="A1721" s="70">
        <v>1732</v>
      </c>
      <c r="B1721" s="204" t="s">
        <v>263</v>
      </c>
      <c r="C1721" s="70" t="s">
        <v>264</v>
      </c>
      <c r="D1721" s="205" t="s">
        <v>1922</v>
      </c>
      <c r="E1721" s="71" t="s">
        <v>266</v>
      </c>
      <c r="F1721" s="72"/>
      <c r="G1721" s="73"/>
      <c r="H1721" s="75"/>
      <c r="I1721" s="102">
        <v>46203</v>
      </c>
      <c r="J1721" s="70" t="s">
        <v>767</v>
      </c>
      <c r="K1721" s="106"/>
      <c r="L1721" s="104" t="e">
        <f t="shared" ref="L1721:L1729" si="457">EDATE(I1721,J1721)</f>
        <v>#VALUE!</v>
      </c>
      <c r="M1721" s="105" t="e">
        <f ca="1" t="shared" ref="M1721:M1729" si="458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04">
        <f t="shared" si="455"/>
        <v>0</v>
      </c>
      <c r="Z1721" s="105">
        <f ca="1" t="shared" si="456"/>
        <v>-46313</v>
      </c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5"/>
      <c r="AO1721" s="115"/>
      <c r="AP1721" s="115"/>
      <c r="AQ1721" s="93"/>
      <c r="AR1721" s="93"/>
      <c r="AS1721" s="94"/>
      <c r="AT1721" s="95"/>
      <c r="AU1721" s="79"/>
      <c r="AV1721" s="117"/>
      <c r="AW1721" s="115"/>
      <c r="AX1721" s="106"/>
      <c r="AY1721" s="104"/>
      <c r="AZ1721" s="105"/>
    </row>
    <row r="1722" customHeight="1" spans="1:52">
      <c r="A1722" s="70">
        <v>1733</v>
      </c>
      <c r="B1722" s="108" t="s">
        <v>1918</v>
      </c>
      <c r="C1722" s="70" t="s">
        <v>264</v>
      </c>
      <c r="D1722" s="205" t="s">
        <v>955</v>
      </c>
      <c r="E1722" s="71" t="s">
        <v>753</v>
      </c>
      <c r="F1722" s="72"/>
      <c r="G1722" s="73"/>
      <c r="H1722" s="75"/>
      <c r="I1722" s="102">
        <v>46203</v>
      </c>
      <c r="J1722" s="70" t="s">
        <v>767</v>
      </c>
      <c r="K1722" s="106"/>
      <c r="L1722" s="104" t="e">
        <f t="shared" si="457"/>
        <v>#VALUE!</v>
      </c>
      <c r="M1722" s="105" t="e">
        <f ca="1" t="shared" si="458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04">
        <f t="shared" si="455"/>
        <v>0</v>
      </c>
      <c r="Z1722" s="105">
        <f ca="1" t="shared" si="456"/>
        <v>-46313</v>
      </c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5"/>
      <c r="AO1722" s="115"/>
      <c r="AP1722" s="115"/>
      <c r="AQ1722" s="93"/>
      <c r="AR1722" s="93"/>
      <c r="AS1722" s="94"/>
      <c r="AT1722" s="95"/>
      <c r="AU1722" s="79"/>
      <c r="AV1722" s="117"/>
      <c r="AW1722" s="115"/>
      <c r="AX1722" s="106"/>
      <c r="AY1722" s="104"/>
      <c r="AZ1722" s="105"/>
    </row>
    <row r="1723" customHeight="1" spans="1:52">
      <c r="A1723" s="70">
        <v>1734</v>
      </c>
      <c r="B1723" s="204" t="s">
        <v>281</v>
      </c>
      <c r="C1723" s="70" t="s">
        <v>264</v>
      </c>
      <c r="D1723" s="205" t="s">
        <v>2618</v>
      </c>
      <c r="E1723" s="71" t="s">
        <v>364</v>
      </c>
      <c r="F1723" s="72"/>
      <c r="G1723" s="73"/>
      <c r="H1723" s="75"/>
      <c r="I1723" s="102">
        <v>46203</v>
      </c>
      <c r="J1723" s="70" t="s">
        <v>767</v>
      </c>
      <c r="K1723" s="106"/>
      <c r="L1723" s="104" t="e">
        <f t="shared" si="457"/>
        <v>#VALUE!</v>
      </c>
      <c r="M1723" s="105" t="e">
        <f ca="1" t="shared" si="458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04">
        <f t="shared" si="455"/>
        <v>0</v>
      </c>
      <c r="Z1723" s="105">
        <f ca="1" t="shared" si="456"/>
        <v>-46313</v>
      </c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5"/>
      <c r="AO1723" s="115"/>
      <c r="AP1723" s="115"/>
      <c r="AQ1723" s="93"/>
      <c r="AR1723" s="93"/>
      <c r="AS1723" s="94"/>
      <c r="AT1723" s="95"/>
      <c r="AU1723" s="79"/>
      <c r="AV1723" s="117"/>
      <c r="AW1723" s="115"/>
      <c r="AX1723" s="106"/>
      <c r="AY1723" s="104"/>
      <c r="AZ1723" s="105"/>
    </row>
    <row r="1724" customHeight="1" spans="1:52">
      <c r="A1724" s="70">
        <v>1735</v>
      </c>
      <c r="B1724" s="204" t="s">
        <v>1275</v>
      </c>
      <c r="C1724" s="70" t="s">
        <v>38</v>
      </c>
      <c r="D1724" s="205" t="s">
        <v>4847</v>
      </c>
      <c r="E1724" s="71" t="s">
        <v>189</v>
      </c>
      <c r="F1724" s="72"/>
      <c r="G1724" s="73"/>
      <c r="H1724" s="75"/>
      <c r="I1724" s="102">
        <v>46204</v>
      </c>
      <c r="J1724" s="70">
        <v>3</v>
      </c>
      <c r="K1724" s="106" t="s">
        <v>4848</v>
      </c>
      <c r="L1724" s="104">
        <f t="shared" si="457"/>
        <v>46296</v>
      </c>
      <c r="M1724" s="105">
        <f ca="1" t="shared" si="458"/>
        <v>-17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04">
        <f t="shared" si="455"/>
        <v>0</v>
      </c>
      <c r="Z1724" s="105">
        <f ca="1" t="shared" si="456"/>
        <v>-46313</v>
      </c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5"/>
      <c r="AO1724" s="115"/>
      <c r="AP1724" s="115"/>
      <c r="AQ1724" s="93"/>
      <c r="AR1724" s="93"/>
      <c r="AS1724" s="94"/>
      <c r="AT1724" s="95"/>
      <c r="AU1724" s="79"/>
      <c r="AV1724" s="117"/>
      <c r="AW1724" s="115"/>
      <c r="AX1724" s="106"/>
      <c r="AY1724" s="104"/>
      <c r="AZ1724" s="105"/>
    </row>
    <row r="1725" customHeight="1" spans="1:52">
      <c r="A1725" s="70">
        <v>1736</v>
      </c>
      <c r="B1725" s="204" t="s">
        <v>4849</v>
      </c>
      <c r="C1725" s="70" t="s">
        <v>38</v>
      </c>
      <c r="D1725" s="205" t="s">
        <v>4850</v>
      </c>
      <c r="E1725" s="71" t="s">
        <v>4851</v>
      </c>
      <c r="F1725" s="72"/>
      <c r="G1725" s="73"/>
      <c r="H1725" s="75"/>
      <c r="I1725" s="102">
        <v>46204</v>
      </c>
      <c r="J1725" s="70">
        <v>3</v>
      </c>
      <c r="K1725" s="106" t="s">
        <v>4852</v>
      </c>
      <c r="L1725" s="104">
        <f t="shared" si="457"/>
        <v>46296</v>
      </c>
      <c r="M1725" s="105">
        <f ca="1" t="shared" si="458"/>
        <v>-17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04">
        <f t="shared" si="455"/>
        <v>0</v>
      </c>
      <c r="Z1725" s="105">
        <f ca="1" t="shared" si="456"/>
        <v>-46313</v>
      </c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5"/>
      <c r="AO1725" s="115"/>
      <c r="AP1725" s="115"/>
      <c r="AQ1725" s="93"/>
      <c r="AR1725" s="93"/>
      <c r="AS1725" s="94"/>
      <c r="AT1725" s="95"/>
      <c r="AU1725" s="79"/>
      <c r="AV1725" s="117"/>
      <c r="AW1725" s="115"/>
      <c r="AX1725" s="106"/>
      <c r="AY1725" s="104"/>
      <c r="AZ1725" s="105"/>
    </row>
    <row r="1726" customHeight="1" spans="1:52">
      <c r="A1726" s="70">
        <v>1737</v>
      </c>
      <c r="B1726" s="204" t="s">
        <v>4849</v>
      </c>
      <c r="C1726" s="70" t="s">
        <v>38</v>
      </c>
      <c r="D1726" s="205" t="s">
        <v>4853</v>
      </c>
      <c r="E1726" s="71" t="s">
        <v>4851</v>
      </c>
      <c r="F1726" s="72"/>
      <c r="G1726" s="73"/>
      <c r="H1726" s="75"/>
      <c r="I1726" s="102">
        <v>46204</v>
      </c>
      <c r="J1726" s="70">
        <v>3</v>
      </c>
      <c r="K1726" s="106" t="s">
        <v>4854</v>
      </c>
      <c r="L1726" s="104">
        <f t="shared" si="457"/>
        <v>46296</v>
      </c>
      <c r="M1726" s="105">
        <f ca="1" t="shared" si="458"/>
        <v>-17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04">
        <f t="shared" si="455"/>
        <v>0</v>
      </c>
      <c r="Z1726" s="105">
        <f ca="1" t="shared" si="456"/>
        <v>-46313</v>
      </c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5"/>
      <c r="AO1726" s="115"/>
      <c r="AP1726" s="115"/>
      <c r="AQ1726" s="93"/>
      <c r="AR1726" s="93"/>
      <c r="AS1726" s="94"/>
      <c r="AT1726" s="95"/>
      <c r="AU1726" s="79"/>
      <c r="AV1726" s="117"/>
      <c r="AW1726" s="115"/>
      <c r="AX1726" s="106"/>
      <c r="AY1726" s="104"/>
      <c r="AZ1726" s="105"/>
    </row>
    <row r="1727" customHeight="1" spans="1:52">
      <c r="A1727" s="70">
        <v>1738</v>
      </c>
      <c r="B1727" s="70" t="s">
        <v>3385</v>
      </c>
      <c r="C1727" s="70" t="s">
        <v>38</v>
      </c>
      <c r="D1727" s="71" t="s">
        <v>4855</v>
      </c>
      <c r="E1727" s="71" t="s">
        <v>40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4856</v>
      </c>
      <c r="L1727" s="104">
        <f t="shared" si="457"/>
        <v>46296</v>
      </c>
      <c r="M1727" s="105">
        <f ca="1" t="shared" si="458"/>
        <v>-17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04">
        <f t="shared" si="455"/>
        <v>0</v>
      </c>
      <c r="Z1727" s="105">
        <f ca="1" t="shared" si="456"/>
        <v>-46313</v>
      </c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5"/>
      <c r="AO1727" s="115"/>
      <c r="AP1727" s="115"/>
      <c r="AQ1727" s="93"/>
      <c r="AR1727" s="93"/>
      <c r="AS1727" s="94"/>
      <c r="AT1727" s="95"/>
      <c r="AU1727" s="79"/>
      <c r="AV1727" s="117"/>
      <c r="AW1727" s="115"/>
      <c r="AX1727" s="106"/>
      <c r="AY1727" s="104"/>
      <c r="AZ1727" s="105"/>
    </row>
    <row r="1728" customHeight="1" spans="1:52">
      <c r="A1728" s="70">
        <v>1741</v>
      </c>
      <c r="B1728" s="204" t="s">
        <v>2120</v>
      </c>
      <c r="C1728" s="70" t="s">
        <v>38</v>
      </c>
      <c r="D1728" s="205" t="s">
        <v>4857</v>
      </c>
      <c r="E1728" s="71" t="s">
        <v>2122</v>
      </c>
      <c r="F1728" s="72"/>
      <c r="G1728" s="73"/>
      <c r="H1728" s="79" t="s">
        <v>16</v>
      </c>
      <c r="I1728" s="102">
        <v>46205</v>
      </c>
      <c r="J1728" s="70">
        <v>3</v>
      </c>
      <c r="K1728" s="106" t="s">
        <v>4858</v>
      </c>
      <c r="L1728" s="104">
        <f t="shared" ref="L1728:L1739" si="459">EDATE(I1728,J1728)</f>
        <v>46297</v>
      </c>
      <c r="M1728" s="105">
        <f ca="1" t="shared" ref="M1728:M1739" si="460">L1728-TODAY()</f>
        <v>-16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04">
        <f t="shared" si="455"/>
        <v>0</v>
      </c>
      <c r="Z1728" s="105">
        <f ca="1" t="shared" si="456"/>
        <v>-46313</v>
      </c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5"/>
      <c r="AO1728" s="115"/>
      <c r="AP1728" s="115"/>
      <c r="AQ1728" s="93"/>
      <c r="AR1728" s="93"/>
      <c r="AS1728" s="94"/>
      <c r="AT1728" s="95"/>
      <c r="AU1728" s="79"/>
      <c r="AV1728" s="117"/>
      <c r="AW1728" s="115"/>
      <c r="AX1728" s="106"/>
      <c r="AY1728" s="104"/>
      <c r="AZ1728" s="105"/>
    </row>
    <row r="1729" customHeight="1" spans="1:52">
      <c r="A1729" s="70">
        <v>1742</v>
      </c>
      <c r="B1729" s="204" t="s">
        <v>2120</v>
      </c>
      <c r="C1729" s="70" t="s">
        <v>38</v>
      </c>
      <c r="D1729" s="205" t="s">
        <v>4859</v>
      </c>
      <c r="E1729" s="71" t="s">
        <v>2122</v>
      </c>
      <c r="F1729" s="72"/>
      <c r="G1729" s="73"/>
      <c r="H1729" s="79" t="s">
        <v>16</v>
      </c>
      <c r="I1729" s="102">
        <v>46205</v>
      </c>
      <c r="J1729" s="70">
        <v>3</v>
      </c>
      <c r="K1729" s="106" t="s">
        <v>4860</v>
      </c>
      <c r="L1729" s="104">
        <f t="shared" si="459"/>
        <v>46297</v>
      </c>
      <c r="M1729" s="105">
        <f ca="1" t="shared" si="460"/>
        <v>-16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04">
        <f t="shared" si="455"/>
        <v>0</v>
      </c>
      <c r="Z1729" s="105">
        <f ca="1" t="shared" si="456"/>
        <v>-46313</v>
      </c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5"/>
      <c r="AO1729" s="115"/>
      <c r="AP1729" s="115"/>
      <c r="AQ1729" s="93"/>
      <c r="AR1729" s="93"/>
      <c r="AS1729" s="94"/>
      <c r="AT1729" s="95"/>
      <c r="AU1729" s="79"/>
      <c r="AV1729" s="117"/>
      <c r="AW1729" s="115"/>
      <c r="AX1729" s="106"/>
      <c r="AY1729" s="104"/>
      <c r="AZ1729" s="105"/>
    </row>
    <row r="1730" customHeight="1" spans="1:52">
      <c r="A1730" s="70">
        <v>1743</v>
      </c>
      <c r="B1730" s="204" t="s">
        <v>2120</v>
      </c>
      <c r="C1730" s="70" t="s">
        <v>38</v>
      </c>
      <c r="D1730" s="205" t="s">
        <v>4861</v>
      </c>
      <c r="E1730" s="71" t="s">
        <v>2122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4862</v>
      </c>
      <c r="L1730" s="104">
        <f t="shared" si="459"/>
        <v>46297</v>
      </c>
      <c r="M1730" s="105">
        <f ca="1" t="shared" si="460"/>
        <v>-16</v>
      </c>
      <c r="N1730" s="70"/>
      <c r="O1730" s="204" t="s">
        <v>2120</v>
      </c>
      <c r="P1730" s="70" t="s">
        <v>38</v>
      </c>
      <c r="Q1730" s="205" t="s">
        <v>4861</v>
      </c>
      <c r="R1730" s="71" t="s">
        <v>2122</v>
      </c>
      <c r="S1730" s="72"/>
      <c r="T1730" s="73"/>
      <c r="U1730" s="79" t="s">
        <v>16</v>
      </c>
      <c r="V1730" s="102">
        <v>46288</v>
      </c>
      <c r="W1730" s="70">
        <v>3</v>
      </c>
      <c r="X1730" s="103" t="s">
        <v>4863</v>
      </c>
      <c r="Y1730" s="104">
        <f t="shared" si="455"/>
        <v>46379</v>
      </c>
      <c r="Z1730" s="105">
        <f ca="1" t="shared" si="456"/>
        <v>66</v>
      </c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5"/>
      <c r="AO1730" s="115"/>
      <c r="AP1730" s="115"/>
      <c r="AQ1730" s="93"/>
      <c r="AR1730" s="93"/>
      <c r="AS1730" s="94"/>
      <c r="AT1730" s="95"/>
      <c r="AU1730" s="79"/>
      <c r="AV1730" s="117"/>
      <c r="AW1730" s="115"/>
      <c r="AX1730" s="106"/>
      <c r="AY1730" s="104"/>
      <c r="AZ1730" s="105"/>
    </row>
    <row r="1731" customHeight="1" spans="1:52">
      <c r="A1731" s="70">
        <v>1744</v>
      </c>
      <c r="B1731" s="204" t="s">
        <v>2120</v>
      </c>
      <c r="C1731" s="70" t="s">
        <v>38</v>
      </c>
      <c r="D1731" s="205" t="s">
        <v>4864</v>
      </c>
      <c r="E1731" s="71" t="s">
        <v>2122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4865</v>
      </c>
      <c r="L1731" s="104">
        <f t="shared" si="459"/>
        <v>46297</v>
      </c>
      <c r="M1731" s="105">
        <f ca="1" t="shared" si="460"/>
        <v>-16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04">
        <f t="shared" si="455"/>
        <v>0</v>
      </c>
      <c r="Z1731" s="105">
        <f ca="1" t="shared" si="456"/>
        <v>-46313</v>
      </c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5"/>
      <c r="AO1731" s="115"/>
      <c r="AP1731" s="115"/>
      <c r="AQ1731" s="93"/>
      <c r="AR1731" s="93"/>
      <c r="AS1731" s="94"/>
      <c r="AT1731" s="95"/>
      <c r="AU1731" s="79"/>
      <c r="AV1731" s="117"/>
      <c r="AW1731" s="115"/>
      <c r="AX1731" s="106"/>
      <c r="AY1731" s="104"/>
      <c r="AZ1731" s="105"/>
    </row>
    <row r="1732" customHeight="1" spans="1:52">
      <c r="A1732" s="70">
        <v>1745</v>
      </c>
      <c r="B1732" s="204" t="s">
        <v>2120</v>
      </c>
      <c r="C1732" s="70" t="s">
        <v>38</v>
      </c>
      <c r="D1732" s="205" t="s">
        <v>4866</v>
      </c>
      <c r="E1732" s="71" t="s">
        <v>2122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4867</v>
      </c>
      <c r="L1732" s="104">
        <f t="shared" si="459"/>
        <v>46297</v>
      </c>
      <c r="M1732" s="105">
        <f ca="1" t="shared" si="460"/>
        <v>-16</v>
      </c>
      <c r="N1732" s="70"/>
      <c r="O1732" s="204" t="s">
        <v>2120</v>
      </c>
      <c r="P1732" s="70" t="s">
        <v>38</v>
      </c>
      <c r="Q1732" s="205" t="s">
        <v>4866</v>
      </c>
      <c r="R1732" s="71" t="s">
        <v>2122</v>
      </c>
      <c r="S1732" s="72"/>
      <c r="T1732" s="73"/>
      <c r="U1732" s="79" t="s">
        <v>16</v>
      </c>
      <c r="V1732" s="102">
        <v>46303</v>
      </c>
      <c r="W1732" s="70">
        <v>3</v>
      </c>
      <c r="X1732" s="103"/>
      <c r="Y1732" s="104">
        <f t="shared" si="455"/>
        <v>46395</v>
      </c>
      <c r="Z1732" s="105">
        <f ca="1" t="shared" si="456"/>
        <v>82</v>
      </c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5"/>
      <c r="AO1732" s="115"/>
      <c r="AP1732" s="115"/>
      <c r="AQ1732" s="93"/>
      <c r="AR1732" s="93"/>
      <c r="AS1732" s="94"/>
      <c r="AT1732" s="95"/>
      <c r="AU1732" s="79"/>
      <c r="AV1732" s="117"/>
      <c r="AW1732" s="115"/>
      <c r="AX1732" s="106"/>
      <c r="AY1732" s="104"/>
      <c r="AZ1732" s="105"/>
    </row>
    <row r="1733" customHeight="1" spans="1:52">
      <c r="A1733" s="70">
        <v>1746</v>
      </c>
      <c r="B1733" s="204" t="s">
        <v>2120</v>
      </c>
      <c r="C1733" s="70" t="s">
        <v>38</v>
      </c>
      <c r="D1733" s="205" t="s">
        <v>4868</v>
      </c>
      <c r="E1733" s="71" t="s">
        <v>2122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4869</v>
      </c>
      <c r="L1733" s="104">
        <f t="shared" si="459"/>
        <v>46297</v>
      </c>
      <c r="M1733" s="105">
        <f ca="1" t="shared" si="460"/>
        <v>-16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104">
        <f t="shared" si="455"/>
        <v>0</v>
      </c>
      <c r="Z1733" s="105">
        <f ca="1" t="shared" si="456"/>
        <v>-46313</v>
      </c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5"/>
      <c r="AO1733" s="115"/>
      <c r="AP1733" s="115"/>
      <c r="AQ1733" s="93"/>
      <c r="AR1733" s="93"/>
      <c r="AS1733" s="94"/>
      <c r="AT1733" s="95"/>
      <c r="AU1733" s="79"/>
      <c r="AV1733" s="117"/>
      <c r="AW1733" s="115"/>
      <c r="AX1733" s="106"/>
      <c r="AY1733" s="104"/>
      <c r="AZ1733" s="105"/>
    </row>
    <row r="1734" customHeight="1" spans="1:52">
      <c r="A1734" s="70">
        <v>1747</v>
      </c>
      <c r="B1734" s="204" t="s">
        <v>2120</v>
      </c>
      <c r="C1734" s="70" t="s">
        <v>38</v>
      </c>
      <c r="D1734" s="205" t="s">
        <v>4870</v>
      </c>
      <c r="E1734" s="71" t="s">
        <v>2122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4871</v>
      </c>
      <c r="L1734" s="104">
        <f t="shared" si="459"/>
        <v>46297</v>
      </c>
      <c r="M1734" s="105">
        <f ca="1" t="shared" si="460"/>
        <v>-16</v>
      </c>
      <c r="N1734" s="70"/>
      <c r="O1734" s="204" t="s">
        <v>2120</v>
      </c>
      <c r="P1734" s="70" t="s">
        <v>38</v>
      </c>
      <c r="Q1734" s="205" t="s">
        <v>4870</v>
      </c>
      <c r="R1734" s="71" t="s">
        <v>2122</v>
      </c>
      <c r="S1734" s="72"/>
      <c r="T1734" s="73"/>
      <c r="U1734" s="79" t="s">
        <v>16</v>
      </c>
      <c r="V1734" s="102">
        <v>46304</v>
      </c>
      <c r="W1734" s="70">
        <v>3</v>
      </c>
      <c r="X1734" s="103" t="s">
        <v>4872</v>
      </c>
      <c r="Y1734" s="104">
        <f t="shared" si="455"/>
        <v>46396</v>
      </c>
      <c r="Z1734" s="105">
        <f ca="1" t="shared" si="456"/>
        <v>83</v>
      </c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5"/>
      <c r="AO1734" s="115"/>
      <c r="AP1734" s="115"/>
      <c r="AQ1734" s="93"/>
      <c r="AR1734" s="93"/>
      <c r="AS1734" s="94"/>
      <c r="AT1734" s="95"/>
      <c r="AU1734" s="79"/>
      <c r="AV1734" s="117"/>
      <c r="AW1734" s="115"/>
      <c r="AX1734" s="106"/>
      <c r="AY1734" s="104"/>
      <c r="AZ1734" s="105"/>
    </row>
    <row r="1735" customHeight="1" spans="1:52">
      <c r="A1735" s="70">
        <v>1748</v>
      </c>
      <c r="B1735" s="204" t="s">
        <v>2120</v>
      </c>
      <c r="C1735" s="70" t="s">
        <v>38</v>
      </c>
      <c r="D1735" s="205" t="s">
        <v>4873</v>
      </c>
      <c r="E1735" s="71" t="s">
        <v>2122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4874</v>
      </c>
      <c r="L1735" s="104">
        <f t="shared" si="459"/>
        <v>46297</v>
      </c>
      <c r="M1735" s="105">
        <f ca="1" t="shared" si="460"/>
        <v>-16</v>
      </c>
      <c r="N1735" s="70"/>
      <c r="O1735" s="204" t="s">
        <v>2120</v>
      </c>
      <c r="P1735" s="70" t="s">
        <v>38</v>
      </c>
      <c r="Q1735" s="205" t="s">
        <v>4873</v>
      </c>
      <c r="R1735" s="71" t="s">
        <v>2122</v>
      </c>
      <c r="S1735" s="72"/>
      <c r="T1735" s="73"/>
      <c r="U1735" s="79" t="s">
        <v>16</v>
      </c>
      <c r="V1735" s="102">
        <v>46304</v>
      </c>
      <c r="W1735" s="70">
        <v>3</v>
      </c>
      <c r="X1735" s="103" t="s">
        <v>4875</v>
      </c>
      <c r="Y1735" s="104">
        <f t="shared" si="455"/>
        <v>46396</v>
      </c>
      <c r="Z1735" s="105">
        <f ca="1" t="shared" si="456"/>
        <v>83</v>
      </c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5"/>
      <c r="AO1735" s="115"/>
      <c r="AP1735" s="115"/>
      <c r="AQ1735" s="93"/>
      <c r="AR1735" s="93"/>
      <c r="AS1735" s="94"/>
      <c r="AT1735" s="95"/>
      <c r="AU1735" s="79"/>
      <c r="AV1735" s="117"/>
      <c r="AW1735" s="115"/>
      <c r="AX1735" s="106"/>
      <c r="AY1735" s="104"/>
      <c r="AZ1735" s="105"/>
    </row>
    <row r="1736" customHeight="1" spans="1:52">
      <c r="A1736" s="70">
        <v>1749</v>
      </c>
      <c r="B1736" s="204" t="s">
        <v>2120</v>
      </c>
      <c r="C1736" s="70" t="s">
        <v>38</v>
      </c>
      <c r="D1736" s="205" t="s">
        <v>4876</v>
      </c>
      <c r="E1736" s="71" t="s">
        <v>2122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4877</v>
      </c>
      <c r="L1736" s="104">
        <f t="shared" si="459"/>
        <v>46297</v>
      </c>
      <c r="M1736" s="105">
        <f ca="1" t="shared" si="460"/>
        <v>-16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04">
        <f t="shared" si="455"/>
        <v>0</v>
      </c>
      <c r="Z1736" s="105">
        <f ca="1" t="shared" si="456"/>
        <v>-46313</v>
      </c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5"/>
      <c r="AO1736" s="115"/>
      <c r="AP1736" s="115"/>
      <c r="AQ1736" s="93"/>
      <c r="AR1736" s="93"/>
      <c r="AS1736" s="94"/>
      <c r="AT1736" s="95"/>
      <c r="AU1736" s="79"/>
      <c r="AV1736" s="117"/>
      <c r="AW1736" s="115"/>
      <c r="AX1736" s="106"/>
      <c r="AY1736" s="104"/>
      <c r="AZ1736" s="105"/>
    </row>
    <row r="1737" customHeight="1" spans="1:52">
      <c r="A1737" s="70">
        <v>1750</v>
      </c>
      <c r="B1737" s="70" t="s">
        <v>134</v>
      </c>
      <c r="C1737" s="70" t="s">
        <v>38</v>
      </c>
      <c r="D1737" s="71" t="s">
        <v>4878</v>
      </c>
      <c r="E1737" s="71" t="s">
        <v>40</v>
      </c>
      <c r="F1737" s="72"/>
      <c r="G1737" s="73"/>
      <c r="H1737" s="75"/>
      <c r="I1737" s="102">
        <v>46205</v>
      </c>
      <c r="J1737" s="70">
        <v>3</v>
      </c>
      <c r="K1737" s="106" t="s">
        <v>4879</v>
      </c>
      <c r="L1737" s="104">
        <f t="shared" si="459"/>
        <v>46297</v>
      </c>
      <c r="M1737" s="105">
        <f ca="1" t="shared" si="460"/>
        <v>-16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04">
        <f t="shared" ref="Y1735:Y1744" si="461">EDATE(V1737,W1737)</f>
        <v>0</v>
      </c>
      <c r="Z1737" s="105">
        <f ca="1" t="shared" ref="Z1735:Z1744" si="462">Y1737-TODAY()</f>
        <v>-46313</v>
      </c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5"/>
      <c r="AO1737" s="115"/>
      <c r="AP1737" s="115"/>
      <c r="AQ1737" s="93"/>
      <c r="AR1737" s="93"/>
      <c r="AS1737" s="94"/>
      <c r="AT1737" s="95"/>
      <c r="AU1737" s="79"/>
      <c r="AV1737" s="117"/>
      <c r="AW1737" s="115"/>
      <c r="AX1737" s="106"/>
      <c r="AY1737" s="104"/>
      <c r="AZ1737" s="105"/>
    </row>
    <row r="1738" customHeight="1" spans="1:52">
      <c r="A1738" s="70">
        <v>1751</v>
      </c>
      <c r="B1738" s="70" t="s">
        <v>2054</v>
      </c>
      <c r="C1738" s="70" t="s">
        <v>13</v>
      </c>
      <c r="D1738" s="71" t="s">
        <v>4880</v>
      </c>
      <c r="E1738" s="71" t="s">
        <v>16</v>
      </c>
      <c r="F1738" s="72"/>
      <c r="G1738" s="73"/>
      <c r="H1738" s="74" t="s">
        <v>4881</v>
      </c>
      <c r="I1738" s="102">
        <v>46205</v>
      </c>
      <c r="J1738" s="70">
        <v>3</v>
      </c>
      <c r="K1738" s="106" t="s">
        <v>4882</v>
      </c>
      <c r="L1738" s="104">
        <f t="shared" si="459"/>
        <v>46297</v>
      </c>
      <c r="M1738" s="105">
        <f ca="1" t="shared" si="460"/>
        <v>-16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04">
        <f t="shared" si="461"/>
        <v>0</v>
      </c>
      <c r="Z1738" s="105">
        <f ca="1" t="shared" si="462"/>
        <v>-46313</v>
      </c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5"/>
      <c r="AO1738" s="115"/>
      <c r="AP1738" s="115"/>
      <c r="AQ1738" s="93"/>
      <c r="AR1738" s="93"/>
      <c r="AS1738" s="94"/>
      <c r="AT1738" s="95"/>
      <c r="AU1738" s="79"/>
      <c r="AV1738" s="117"/>
      <c r="AW1738" s="115"/>
      <c r="AX1738" s="106"/>
      <c r="AY1738" s="104"/>
      <c r="AZ1738" s="105"/>
    </row>
    <row r="1739" customHeight="1" spans="1:52">
      <c r="A1739" s="70">
        <v>1752</v>
      </c>
      <c r="B1739" s="70" t="s">
        <v>2662</v>
      </c>
      <c r="C1739" s="70" t="s">
        <v>374</v>
      </c>
      <c r="D1739" s="71" t="s">
        <v>4883</v>
      </c>
      <c r="E1739" s="71" t="s">
        <v>680</v>
      </c>
      <c r="F1739" s="72"/>
      <c r="G1739" s="73"/>
      <c r="H1739" s="74" t="s">
        <v>16</v>
      </c>
      <c r="I1739" s="102">
        <v>46205</v>
      </c>
      <c r="J1739" s="70">
        <v>3</v>
      </c>
      <c r="K1739" s="106" t="s">
        <v>4884</v>
      </c>
      <c r="L1739" s="104">
        <f t="shared" si="459"/>
        <v>46297</v>
      </c>
      <c r="M1739" s="105">
        <f ca="1" t="shared" si="460"/>
        <v>-16</v>
      </c>
      <c r="N1739" s="70"/>
      <c r="O1739" s="70" t="s">
        <v>2662</v>
      </c>
      <c r="P1739" s="70" t="s">
        <v>374</v>
      </c>
      <c r="Q1739" s="71" t="s">
        <v>4883</v>
      </c>
      <c r="R1739" s="71" t="s">
        <v>680</v>
      </c>
      <c r="S1739" s="72"/>
      <c r="T1739" s="73"/>
      <c r="U1739" s="74" t="s">
        <v>16</v>
      </c>
      <c r="V1739" s="102">
        <v>46308</v>
      </c>
      <c r="W1739" s="70">
        <v>3</v>
      </c>
      <c r="X1739" s="103"/>
      <c r="Y1739" s="104">
        <f t="shared" si="461"/>
        <v>46400</v>
      </c>
      <c r="Z1739" s="105">
        <f ca="1" t="shared" si="462"/>
        <v>87</v>
      </c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5"/>
      <c r="AO1739" s="115"/>
      <c r="AP1739" s="115"/>
      <c r="AQ1739" s="93"/>
      <c r="AR1739" s="93"/>
      <c r="AS1739" s="94"/>
      <c r="AT1739" s="95"/>
      <c r="AU1739" s="79"/>
      <c r="AV1739" s="117"/>
      <c r="AW1739" s="115"/>
      <c r="AX1739" s="106"/>
      <c r="AY1739" s="104"/>
      <c r="AZ1739" s="105"/>
    </row>
    <row r="1740" customHeight="1" spans="1:52">
      <c r="A1740" s="70">
        <v>1753</v>
      </c>
      <c r="B1740" s="70" t="s">
        <v>229</v>
      </c>
      <c r="C1740" s="70" t="s">
        <v>38</v>
      </c>
      <c r="D1740" s="71" t="s">
        <v>4885</v>
      </c>
      <c r="E1740" s="71" t="s">
        <v>28</v>
      </c>
      <c r="F1740" s="72"/>
      <c r="G1740" s="73"/>
      <c r="H1740" s="74" t="s">
        <v>16</v>
      </c>
      <c r="I1740" s="102">
        <v>46206</v>
      </c>
      <c r="J1740" s="70">
        <v>3</v>
      </c>
      <c r="K1740" s="106" t="s">
        <v>4886</v>
      </c>
      <c r="L1740" s="104">
        <f t="shared" ref="L1740:L1759" si="463">EDATE(I1740,J1740)</f>
        <v>46298</v>
      </c>
      <c r="M1740" s="105">
        <f ca="1" t="shared" ref="M1740:M1759" si="464">L1740-TODAY()</f>
        <v>-15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04">
        <f t="shared" si="461"/>
        <v>0</v>
      </c>
      <c r="Z1740" s="105">
        <f ca="1" t="shared" si="462"/>
        <v>-46313</v>
      </c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5"/>
      <c r="AO1740" s="115"/>
      <c r="AP1740" s="115"/>
      <c r="AQ1740" s="93"/>
      <c r="AR1740" s="93"/>
      <c r="AS1740" s="94"/>
      <c r="AT1740" s="95"/>
      <c r="AU1740" s="79"/>
      <c r="AV1740" s="117"/>
      <c r="AW1740" s="115"/>
      <c r="AX1740" s="106"/>
      <c r="AY1740" s="104"/>
      <c r="AZ1740" s="105"/>
    </row>
    <row r="1741" customHeight="1" spans="1:52">
      <c r="A1741" s="70">
        <v>1754</v>
      </c>
      <c r="B1741" s="70" t="s">
        <v>4887</v>
      </c>
      <c r="C1741" s="70" t="s">
        <v>13</v>
      </c>
      <c r="D1741" s="71" t="s">
        <v>4888</v>
      </c>
      <c r="E1741" s="71" t="s">
        <v>76</v>
      </c>
      <c r="F1741" s="72"/>
      <c r="G1741" s="73"/>
      <c r="H1741" s="75"/>
      <c r="I1741" s="102">
        <v>46206</v>
      </c>
      <c r="J1741" s="70">
        <v>3</v>
      </c>
      <c r="K1741" s="106" t="s">
        <v>4889</v>
      </c>
      <c r="L1741" s="104">
        <f t="shared" si="463"/>
        <v>46298</v>
      </c>
      <c r="M1741" s="105">
        <f ca="1" t="shared" si="464"/>
        <v>-15</v>
      </c>
      <c r="N1741" s="70"/>
      <c r="O1741" s="70" t="s">
        <v>4887</v>
      </c>
      <c r="P1741" s="70" t="s">
        <v>13</v>
      </c>
      <c r="Q1741" s="71" t="s">
        <v>4888</v>
      </c>
      <c r="R1741" s="71" t="s">
        <v>76</v>
      </c>
      <c r="S1741" s="72"/>
      <c r="T1741" s="73"/>
      <c r="U1741" s="75"/>
      <c r="V1741" s="102">
        <v>46309</v>
      </c>
      <c r="W1741" s="70">
        <v>3</v>
      </c>
      <c r="X1741" s="103"/>
      <c r="Y1741" s="104">
        <f t="shared" si="461"/>
        <v>46401</v>
      </c>
      <c r="Z1741" s="105">
        <f ca="1" t="shared" si="462"/>
        <v>88</v>
      </c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5"/>
      <c r="AO1741" s="115"/>
      <c r="AP1741" s="115"/>
      <c r="AQ1741" s="93"/>
      <c r="AR1741" s="93"/>
      <c r="AS1741" s="94"/>
      <c r="AT1741" s="95"/>
      <c r="AU1741" s="79"/>
      <c r="AV1741" s="117"/>
      <c r="AW1741" s="115"/>
      <c r="AX1741" s="106"/>
      <c r="AY1741" s="104"/>
      <c r="AZ1741" s="105"/>
    </row>
    <row r="1742" customHeight="1" spans="1:52">
      <c r="A1742" s="70">
        <v>1755</v>
      </c>
      <c r="B1742" s="70" t="s">
        <v>4887</v>
      </c>
      <c r="C1742" s="70" t="s">
        <v>38</v>
      </c>
      <c r="D1742" s="71" t="s">
        <v>4890</v>
      </c>
      <c r="E1742" s="71" t="s">
        <v>189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4891</v>
      </c>
      <c r="L1742" s="104">
        <f t="shared" si="463"/>
        <v>46298</v>
      </c>
      <c r="M1742" s="105">
        <f ca="1" t="shared" si="464"/>
        <v>-15</v>
      </c>
      <c r="N1742" s="70"/>
      <c r="O1742" s="70" t="s">
        <v>4887</v>
      </c>
      <c r="P1742" s="70" t="s">
        <v>38</v>
      </c>
      <c r="Q1742" s="71" t="s">
        <v>4890</v>
      </c>
      <c r="R1742" s="71" t="s">
        <v>189</v>
      </c>
      <c r="S1742" s="72"/>
      <c r="T1742" s="73"/>
      <c r="U1742" s="74" t="s">
        <v>16</v>
      </c>
      <c r="V1742" s="102">
        <v>46309</v>
      </c>
      <c r="W1742" s="70">
        <v>3</v>
      </c>
      <c r="X1742" s="103"/>
      <c r="Y1742" s="104">
        <f t="shared" si="461"/>
        <v>46401</v>
      </c>
      <c r="Z1742" s="105">
        <f ca="1" t="shared" si="462"/>
        <v>88</v>
      </c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5"/>
      <c r="AO1742" s="115"/>
      <c r="AP1742" s="115"/>
      <c r="AQ1742" s="93"/>
      <c r="AR1742" s="93"/>
      <c r="AS1742" s="94"/>
      <c r="AT1742" s="95"/>
      <c r="AU1742" s="79"/>
      <c r="AV1742" s="117"/>
      <c r="AW1742" s="115"/>
      <c r="AX1742" s="106"/>
      <c r="AY1742" s="104"/>
      <c r="AZ1742" s="105"/>
    </row>
    <row r="1743" customHeight="1" spans="1:52">
      <c r="A1743" s="70">
        <v>1756</v>
      </c>
      <c r="B1743" s="70" t="s">
        <v>1238</v>
      </c>
      <c r="C1743" s="70" t="s">
        <v>264</v>
      </c>
      <c r="D1743" s="71" t="s">
        <v>4892</v>
      </c>
      <c r="E1743" s="71" t="s">
        <v>4012</v>
      </c>
      <c r="F1743" s="72"/>
      <c r="G1743" s="73"/>
      <c r="H1743" s="75"/>
      <c r="I1743" s="102">
        <v>46206</v>
      </c>
      <c r="J1743" s="70">
        <v>3</v>
      </c>
      <c r="K1743" s="106" t="s">
        <v>4893</v>
      </c>
      <c r="L1743" s="104">
        <f t="shared" si="463"/>
        <v>46298</v>
      </c>
      <c r="M1743" s="105">
        <f ca="1" t="shared" si="464"/>
        <v>-15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04">
        <f t="shared" si="461"/>
        <v>0</v>
      </c>
      <c r="Z1743" s="105">
        <f ca="1" t="shared" si="462"/>
        <v>-46313</v>
      </c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5"/>
      <c r="AO1743" s="115"/>
      <c r="AP1743" s="115"/>
      <c r="AQ1743" s="93"/>
      <c r="AR1743" s="93"/>
      <c r="AS1743" s="94"/>
      <c r="AT1743" s="95"/>
      <c r="AU1743" s="79"/>
      <c r="AV1743" s="117"/>
      <c r="AW1743" s="115"/>
      <c r="AX1743" s="106"/>
      <c r="AY1743" s="104"/>
      <c r="AZ1743" s="105"/>
    </row>
    <row r="1744" customHeight="1" spans="1:52">
      <c r="A1744" s="70">
        <v>1757</v>
      </c>
      <c r="B1744" s="70" t="s">
        <v>1409</v>
      </c>
      <c r="C1744" s="70" t="s">
        <v>374</v>
      </c>
      <c r="D1744" s="71" t="s">
        <v>4894</v>
      </c>
      <c r="E1744" s="71" t="s">
        <v>548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4895</v>
      </c>
      <c r="L1744" s="104">
        <f t="shared" si="463"/>
        <v>46298</v>
      </c>
      <c r="M1744" s="105">
        <f ca="1" t="shared" si="464"/>
        <v>-15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04">
        <f t="shared" si="461"/>
        <v>0</v>
      </c>
      <c r="Z1744" s="105">
        <f ca="1" t="shared" si="462"/>
        <v>-46313</v>
      </c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5"/>
      <c r="AO1744" s="115"/>
      <c r="AP1744" s="115"/>
      <c r="AQ1744" s="93"/>
      <c r="AR1744" s="93"/>
      <c r="AS1744" s="94"/>
      <c r="AT1744" s="95"/>
      <c r="AU1744" s="79"/>
      <c r="AV1744" s="117"/>
      <c r="AW1744" s="115"/>
      <c r="AX1744" s="106"/>
      <c r="AY1744" s="104"/>
      <c r="AZ1744" s="105"/>
    </row>
    <row r="1745" customHeight="1" spans="1:52">
      <c r="A1745" s="70">
        <v>1758</v>
      </c>
      <c r="B1745" s="70" t="s">
        <v>1409</v>
      </c>
      <c r="C1745" s="70" t="s">
        <v>374</v>
      </c>
      <c r="D1745" s="71" t="s">
        <v>4896</v>
      </c>
      <c r="E1745" s="71" t="s">
        <v>548</v>
      </c>
      <c r="F1745" s="72"/>
      <c r="G1745" s="73"/>
      <c r="H1745" s="74" t="s">
        <v>16</v>
      </c>
      <c r="I1745" s="102">
        <v>46206</v>
      </c>
      <c r="J1745" s="70">
        <v>3</v>
      </c>
      <c r="K1745" s="106" t="s">
        <v>4897</v>
      </c>
      <c r="L1745" s="104">
        <f t="shared" si="463"/>
        <v>46298</v>
      </c>
      <c r="M1745" s="105">
        <f ca="1" t="shared" si="464"/>
        <v>-15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04">
        <f t="shared" ref="Y1736:Y1765" si="465">EDATE(V1745,W1745)</f>
        <v>0</v>
      </c>
      <c r="Z1745" s="105">
        <f ca="1" t="shared" ref="Z1736:Z1765" si="466">Y1745-TODAY()</f>
        <v>-46313</v>
      </c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5"/>
      <c r="AO1745" s="115"/>
      <c r="AP1745" s="115"/>
      <c r="AQ1745" s="93"/>
      <c r="AR1745" s="93"/>
      <c r="AS1745" s="94"/>
      <c r="AT1745" s="95"/>
      <c r="AU1745" s="79"/>
      <c r="AV1745" s="117"/>
      <c r="AW1745" s="115"/>
      <c r="AX1745" s="106"/>
      <c r="AY1745" s="104"/>
      <c r="AZ1745" s="105"/>
    </row>
    <row r="1746" customHeight="1" spans="1:52">
      <c r="A1746" s="70">
        <v>1759</v>
      </c>
      <c r="B1746" s="70" t="s">
        <v>4898</v>
      </c>
      <c r="C1746" s="70" t="s">
        <v>374</v>
      </c>
      <c r="D1746" s="71" t="s">
        <v>4899</v>
      </c>
      <c r="E1746" s="71" t="s">
        <v>568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4900</v>
      </c>
      <c r="L1746" s="104">
        <f t="shared" si="463"/>
        <v>46298</v>
      </c>
      <c r="M1746" s="105">
        <f ca="1" t="shared" si="464"/>
        <v>-15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04">
        <f t="shared" si="465"/>
        <v>0</v>
      </c>
      <c r="Z1746" s="105">
        <f ca="1" t="shared" si="466"/>
        <v>-46313</v>
      </c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5"/>
      <c r="AO1746" s="115"/>
      <c r="AP1746" s="115"/>
      <c r="AQ1746" s="93"/>
      <c r="AR1746" s="93"/>
      <c r="AS1746" s="94"/>
      <c r="AT1746" s="95"/>
      <c r="AU1746" s="79"/>
      <c r="AV1746" s="117"/>
      <c r="AW1746" s="115"/>
      <c r="AX1746" s="106"/>
      <c r="AY1746" s="104"/>
      <c r="AZ1746" s="105"/>
    </row>
    <row r="1747" customHeight="1" spans="1:52">
      <c r="A1747" s="70">
        <v>1760</v>
      </c>
      <c r="B1747" s="70" t="s">
        <v>4898</v>
      </c>
      <c r="C1747" s="70" t="s">
        <v>374</v>
      </c>
      <c r="D1747" s="71" t="s">
        <v>4901</v>
      </c>
      <c r="E1747" s="71" t="s">
        <v>568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4902</v>
      </c>
      <c r="L1747" s="104">
        <f t="shared" si="463"/>
        <v>46298</v>
      </c>
      <c r="M1747" s="105">
        <f ca="1" t="shared" si="464"/>
        <v>-15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04">
        <f t="shared" si="465"/>
        <v>0</v>
      </c>
      <c r="Z1747" s="105">
        <f ca="1" t="shared" si="466"/>
        <v>-46313</v>
      </c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5"/>
      <c r="AO1747" s="115"/>
      <c r="AP1747" s="115"/>
      <c r="AQ1747" s="93"/>
      <c r="AR1747" s="93"/>
      <c r="AS1747" s="94"/>
      <c r="AT1747" s="95"/>
      <c r="AU1747" s="79"/>
      <c r="AV1747" s="117"/>
      <c r="AW1747" s="115"/>
      <c r="AX1747" s="106"/>
      <c r="AY1747" s="104"/>
      <c r="AZ1747" s="105"/>
    </row>
    <row r="1748" customHeight="1" spans="1:52">
      <c r="A1748" s="70">
        <v>1761</v>
      </c>
      <c r="B1748" s="70" t="s">
        <v>782</v>
      </c>
      <c r="C1748" s="70" t="s">
        <v>374</v>
      </c>
      <c r="D1748" s="71" t="s">
        <v>4903</v>
      </c>
      <c r="E1748" s="71" t="s">
        <v>548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4904</v>
      </c>
      <c r="L1748" s="104">
        <f t="shared" si="463"/>
        <v>46298</v>
      </c>
      <c r="M1748" s="105">
        <f ca="1" t="shared" si="464"/>
        <v>-15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04">
        <f t="shared" si="465"/>
        <v>0</v>
      </c>
      <c r="Z1748" s="105">
        <f ca="1" t="shared" si="466"/>
        <v>-46313</v>
      </c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5"/>
      <c r="AO1748" s="115"/>
      <c r="AP1748" s="115"/>
      <c r="AQ1748" s="93"/>
      <c r="AR1748" s="93"/>
      <c r="AS1748" s="94"/>
      <c r="AT1748" s="95"/>
      <c r="AU1748" s="79"/>
      <c r="AV1748" s="117"/>
      <c r="AW1748" s="115"/>
      <c r="AX1748" s="106"/>
      <c r="AY1748" s="104"/>
      <c r="AZ1748" s="105"/>
    </row>
    <row r="1749" customHeight="1" spans="1:52">
      <c r="A1749" s="70">
        <v>1762</v>
      </c>
      <c r="B1749" s="70" t="s">
        <v>373</v>
      </c>
      <c r="C1749" s="70" t="s">
        <v>374</v>
      </c>
      <c r="D1749" s="71" t="s">
        <v>4905</v>
      </c>
      <c r="E1749" s="71" t="s">
        <v>4906</v>
      </c>
      <c r="F1749" s="72"/>
      <c r="G1749" s="73"/>
      <c r="H1749" s="75"/>
      <c r="I1749" s="102">
        <v>46206</v>
      </c>
      <c r="J1749" s="70">
        <v>3</v>
      </c>
      <c r="K1749" s="106" t="s">
        <v>4907</v>
      </c>
      <c r="L1749" s="104">
        <f t="shared" si="463"/>
        <v>46298</v>
      </c>
      <c r="M1749" s="105">
        <f ca="1" t="shared" si="464"/>
        <v>-15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04">
        <f t="shared" si="465"/>
        <v>0</v>
      </c>
      <c r="Z1749" s="105">
        <f ca="1" t="shared" si="466"/>
        <v>-46313</v>
      </c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5"/>
      <c r="AO1749" s="115"/>
      <c r="AP1749" s="115"/>
      <c r="AQ1749" s="93"/>
      <c r="AR1749" s="93"/>
      <c r="AS1749" s="94"/>
      <c r="AT1749" s="95"/>
      <c r="AU1749" s="79"/>
      <c r="AV1749" s="117"/>
      <c r="AW1749" s="115"/>
      <c r="AX1749" s="106"/>
      <c r="AY1749" s="104"/>
      <c r="AZ1749" s="105"/>
    </row>
    <row r="1750" customHeight="1" spans="1:52">
      <c r="A1750" s="70">
        <v>1763</v>
      </c>
      <c r="B1750" s="70" t="s">
        <v>1359</v>
      </c>
      <c r="C1750" s="70" t="s">
        <v>13</v>
      </c>
      <c r="D1750" s="71" t="s">
        <v>4908</v>
      </c>
      <c r="E1750" s="71" t="s">
        <v>4804</v>
      </c>
      <c r="F1750" s="72"/>
      <c r="G1750" s="73"/>
      <c r="H1750" s="75"/>
      <c r="I1750" s="102">
        <v>46207</v>
      </c>
      <c r="J1750" s="70">
        <v>3</v>
      </c>
      <c r="K1750" s="106" t="s">
        <v>4909</v>
      </c>
      <c r="L1750" s="104">
        <f t="shared" si="463"/>
        <v>46299</v>
      </c>
      <c r="M1750" s="105">
        <f ca="1" t="shared" si="464"/>
        <v>-14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04">
        <f t="shared" si="465"/>
        <v>0</v>
      </c>
      <c r="Z1750" s="105">
        <f ca="1" t="shared" si="466"/>
        <v>-46313</v>
      </c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5"/>
      <c r="AO1750" s="115"/>
      <c r="AP1750" s="115"/>
      <c r="AQ1750" s="93"/>
      <c r="AR1750" s="93"/>
      <c r="AS1750" s="94"/>
      <c r="AT1750" s="95"/>
      <c r="AU1750" s="79"/>
      <c r="AV1750" s="117"/>
      <c r="AW1750" s="115"/>
      <c r="AX1750" s="106"/>
      <c r="AY1750" s="104"/>
      <c r="AZ1750" s="105"/>
    </row>
    <row r="1751" customHeight="1" spans="1:52">
      <c r="A1751" s="70">
        <v>1764</v>
      </c>
      <c r="B1751" s="70" t="s">
        <v>1359</v>
      </c>
      <c r="C1751" s="70" t="s">
        <v>13</v>
      </c>
      <c r="D1751" s="71" t="s">
        <v>4910</v>
      </c>
      <c r="E1751" s="71" t="s">
        <v>1361</v>
      </c>
      <c r="F1751" s="72"/>
      <c r="G1751" s="73"/>
      <c r="H1751" s="75"/>
      <c r="I1751" s="102">
        <v>46207</v>
      </c>
      <c r="J1751" s="70">
        <v>3</v>
      </c>
      <c r="K1751" s="106" t="s">
        <v>4911</v>
      </c>
      <c r="L1751" s="104">
        <f t="shared" si="463"/>
        <v>46299</v>
      </c>
      <c r="M1751" s="105">
        <f ca="1" t="shared" si="464"/>
        <v>-14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04">
        <f t="shared" si="465"/>
        <v>0</v>
      </c>
      <c r="Z1751" s="105">
        <f ca="1" t="shared" si="466"/>
        <v>-46313</v>
      </c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5"/>
      <c r="AO1751" s="115"/>
      <c r="AP1751" s="115"/>
      <c r="AQ1751" s="93"/>
      <c r="AR1751" s="93"/>
      <c r="AS1751" s="94"/>
      <c r="AT1751" s="95"/>
      <c r="AU1751" s="79"/>
      <c r="AV1751" s="117"/>
      <c r="AW1751" s="115"/>
      <c r="AX1751" s="106"/>
      <c r="AY1751" s="104"/>
      <c r="AZ1751" s="105"/>
    </row>
    <row r="1752" customHeight="1" spans="1:52">
      <c r="A1752" s="70">
        <v>1765</v>
      </c>
      <c r="B1752" s="70" t="s">
        <v>281</v>
      </c>
      <c r="C1752" s="70" t="s">
        <v>264</v>
      </c>
      <c r="D1752" s="71" t="s">
        <v>4912</v>
      </c>
      <c r="E1752" s="71" t="s">
        <v>364</v>
      </c>
      <c r="F1752" s="72"/>
      <c r="G1752" s="73"/>
      <c r="H1752" s="75"/>
      <c r="I1752" s="102">
        <v>46207</v>
      </c>
      <c r="J1752" s="70">
        <v>3</v>
      </c>
      <c r="K1752" s="106" t="s">
        <v>4913</v>
      </c>
      <c r="L1752" s="104">
        <f t="shared" si="463"/>
        <v>46299</v>
      </c>
      <c r="M1752" s="105">
        <f ca="1" t="shared" si="464"/>
        <v>-14</v>
      </c>
      <c r="N1752" s="70"/>
      <c r="O1752" s="70" t="s">
        <v>281</v>
      </c>
      <c r="P1752" s="70" t="s">
        <v>264</v>
      </c>
      <c r="Q1752" s="71" t="s">
        <v>4912</v>
      </c>
      <c r="R1752" s="71" t="s">
        <v>364</v>
      </c>
      <c r="S1752" s="72"/>
      <c r="T1752" s="73"/>
      <c r="U1752" s="75"/>
      <c r="V1752" s="102">
        <v>46294</v>
      </c>
      <c r="W1752" s="70">
        <v>3</v>
      </c>
      <c r="X1752" s="103" t="s">
        <v>4914</v>
      </c>
      <c r="Y1752" s="104">
        <f t="shared" si="465"/>
        <v>46385</v>
      </c>
      <c r="Z1752" s="105">
        <f ca="1" t="shared" si="466"/>
        <v>72</v>
      </c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5"/>
      <c r="AO1752" s="115"/>
      <c r="AP1752" s="115"/>
      <c r="AQ1752" s="93"/>
      <c r="AR1752" s="93"/>
      <c r="AS1752" s="94"/>
      <c r="AT1752" s="95"/>
      <c r="AU1752" s="79"/>
      <c r="AV1752" s="117"/>
      <c r="AW1752" s="115"/>
      <c r="AX1752" s="106"/>
      <c r="AY1752" s="104"/>
      <c r="AZ1752" s="105"/>
    </row>
    <row r="1753" customHeight="1" spans="1:52">
      <c r="A1753" s="70">
        <v>1766</v>
      </c>
      <c r="B1753" s="70" t="s">
        <v>644</v>
      </c>
      <c r="C1753" s="70" t="s">
        <v>264</v>
      </c>
      <c r="D1753" s="71" t="s">
        <v>2433</v>
      </c>
      <c r="E1753" s="71" t="s">
        <v>753</v>
      </c>
      <c r="F1753" s="72"/>
      <c r="G1753" s="73"/>
      <c r="H1753" s="75"/>
      <c r="I1753" s="102">
        <v>46207</v>
      </c>
      <c r="J1753" s="70" t="s">
        <v>767</v>
      </c>
      <c r="K1753" s="106"/>
      <c r="L1753" s="104" t="e">
        <f t="shared" si="463"/>
        <v>#VALUE!</v>
      </c>
      <c r="M1753" s="105" t="e">
        <f ca="1" t="shared" si="464"/>
        <v>#VALUE!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04">
        <f t="shared" si="465"/>
        <v>0</v>
      </c>
      <c r="Z1753" s="105">
        <f ca="1" t="shared" si="466"/>
        <v>-46313</v>
      </c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5"/>
      <c r="AO1753" s="115"/>
      <c r="AP1753" s="115"/>
      <c r="AQ1753" s="93"/>
      <c r="AR1753" s="93"/>
      <c r="AS1753" s="94"/>
      <c r="AT1753" s="95"/>
      <c r="AU1753" s="79"/>
      <c r="AV1753" s="117"/>
      <c r="AW1753" s="115"/>
      <c r="AX1753" s="106"/>
      <c r="AY1753" s="104"/>
      <c r="AZ1753" s="105"/>
    </row>
    <row r="1754" customHeight="1" spans="1:52">
      <c r="A1754" s="70">
        <v>1767</v>
      </c>
      <c r="B1754" s="70" t="s">
        <v>263</v>
      </c>
      <c r="C1754" s="70" t="s">
        <v>264</v>
      </c>
      <c r="D1754" s="71" t="s">
        <v>2433</v>
      </c>
      <c r="E1754" s="71" t="s">
        <v>753</v>
      </c>
      <c r="F1754" s="72"/>
      <c r="G1754" s="73"/>
      <c r="H1754" s="75"/>
      <c r="I1754" s="102">
        <v>46207</v>
      </c>
      <c r="J1754" s="70" t="s">
        <v>767</v>
      </c>
      <c r="K1754" s="106"/>
      <c r="L1754" s="104" t="e">
        <f t="shared" si="463"/>
        <v>#VALUE!</v>
      </c>
      <c r="M1754" s="105" t="e">
        <f ca="1" t="shared" si="464"/>
        <v>#VALUE!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04">
        <f t="shared" si="465"/>
        <v>0</v>
      </c>
      <c r="Z1754" s="105">
        <f ca="1" t="shared" si="466"/>
        <v>-46313</v>
      </c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5"/>
      <c r="AO1754" s="115"/>
      <c r="AP1754" s="115"/>
      <c r="AQ1754" s="93"/>
      <c r="AR1754" s="93"/>
      <c r="AS1754" s="94"/>
      <c r="AT1754" s="95"/>
      <c r="AU1754" s="79"/>
      <c r="AV1754" s="117"/>
      <c r="AW1754" s="115"/>
      <c r="AX1754" s="106"/>
      <c r="AY1754" s="104"/>
      <c r="AZ1754" s="105"/>
    </row>
    <row r="1755" customHeight="1" spans="1:52">
      <c r="A1755" s="70">
        <v>1768</v>
      </c>
      <c r="B1755" s="70" t="s">
        <v>134</v>
      </c>
      <c r="C1755" s="70" t="s">
        <v>38</v>
      </c>
      <c r="D1755" s="71" t="s">
        <v>4145</v>
      </c>
      <c r="E1755" s="71" t="s">
        <v>3837</v>
      </c>
      <c r="F1755" s="72"/>
      <c r="G1755" s="73"/>
      <c r="H1755" s="75"/>
      <c r="I1755" s="102">
        <v>46207</v>
      </c>
      <c r="J1755" s="70" t="s">
        <v>434</v>
      </c>
      <c r="K1755" s="106"/>
      <c r="L1755" s="104" t="e">
        <f t="shared" si="463"/>
        <v>#VALUE!</v>
      </c>
      <c r="M1755" s="105" t="e">
        <f ca="1" t="shared" si="464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04">
        <f t="shared" si="465"/>
        <v>0</v>
      </c>
      <c r="Z1755" s="105">
        <f ca="1" t="shared" si="466"/>
        <v>-46313</v>
      </c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5"/>
      <c r="AO1755" s="115"/>
      <c r="AP1755" s="115"/>
      <c r="AQ1755" s="93"/>
      <c r="AR1755" s="93"/>
      <c r="AS1755" s="94"/>
      <c r="AT1755" s="95"/>
      <c r="AU1755" s="79"/>
      <c r="AV1755" s="117"/>
      <c r="AW1755" s="115"/>
      <c r="AX1755" s="106"/>
      <c r="AY1755" s="104"/>
      <c r="AZ1755" s="105"/>
    </row>
    <row r="1756" customHeight="1" spans="1:52">
      <c r="A1756" s="70">
        <v>1770</v>
      </c>
      <c r="B1756" s="70" t="s">
        <v>2058</v>
      </c>
      <c r="C1756" s="70" t="s">
        <v>264</v>
      </c>
      <c r="D1756" s="71" t="s">
        <v>4915</v>
      </c>
      <c r="E1756" s="71" t="s">
        <v>4916</v>
      </c>
      <c r="F1756" s="72"/>
      <c r="G1756" s="73"/>
      <c r="H1756" s="75"/>
      <c r="I1756" s="102">
        <v>46208</v>
      </c>
      <c r="J1756" s="70">
        <v>3</v>
      </c>
      <c r="K1756" s="106" t="s">
        <v>4917</v>
      </c>
      <c r="L1756" s="104">
        <f t="shared" si="463"/>
        <v>46300</v>
      </c>
      <c r="M1756" s="105">
        <f ca="1" t="shared" si="464"/>
        <v>-13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04">
        <f t="shared" si="465"/>
        <v>0</v>
      </c>
      <c r="Z1756" s="105">
        <f ca="1" t="shared" si="466"/>
        <v>-46313</v>
      </c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5"/>
      <c r="AO1756" s="115"/>
      <c r="AP1756" s="115"/>
      <c r="AQ1756" s="93"/>
      <c r="AR1756" s="93"/>
      <c r="AS1756" s="94"/>
      <c r="AT1756" s="95"/>
      <c r="AU1756" s="79"/>
      <c r="AV1756" s="117"/>
      <c r="AW1756" s="115"/>
      <c r="AX1756" s="106"/>
      <c r="AY1756" s="104"/>
      <c r="AZ1756" s="105"/>
    </row>
    <row r="1757" customHeight="1" spans="1:52">
      <c r="A1757" s="70">
        <v>1771</v>
      </c>
      <c r="B1757" s="70" t="s">
        <v>229</v>
      </c>
      <c r="C1757" s="70" t="s">
        <v>13</v>
      </c>
      <c r="D1757" s="71" t="s">
        <v>4918</v>
      </c>
      <c r="E1757" s="71" t="s">
        <v>820</v>
      </c>
      <c r="F1757" s="72"/>
      <c r="G1757" s="73"/>
      <c r="H1757" s="79" t="s">
        <v>16</v>
      </c>
      <c r="I1757" s="102">
        <v>46208</v>
      </c>
      <c r="J1757" s="70">
        <v>3</v>
      </c>
      <c r="K1757" s="106" t="s">
        <v>4919</v>
      </c>
      <c r="L1757" s="104">
        <f t="shared" si="463"/>
        <v>46300</v>
      </c>
      <c r="M1757" s="105">
        <f ca="1" t="shared" si="464"/>
        <v>-13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04">
        <f t="shared" si="465"/>
        <v>0</v>
      </c>
      <c r="Z1757" s="105">
        <f ca="1" t="shared" si="466"/>
        <v>-46313</v>
      </c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5"/>
      <c r="AO1757" s="115"/>
      <c r="AP1757" s="115"/>
      <c r="AQ1757" s="93"/>
      <c r="AR1757" s="93"/>
      <c r="AS1757" s="94"/>
      <c r="AT1757" s="95"/>
      <c r="AU1757" s="79"/>
      <c r="AV1757" s="117"/>
      <c r="AW1757" s="115"/>
      <c r="AX1757" s="106"/>
      <c r="AY1757" s="104"/>
      <c r="AZ1757" s="105"/>
    </row>
    <row r="1758" customHeight="1" spans="1:52">
      <c r="A1758" s="70">
        <v>1772</v>
      </c>
      <c r="B1758" s="70" t="s">
        <v>561</v>
      </c>
      <c r="C1758" s="70" t="s">
        <v>374</v>
      </c>
      <c r="D1758" s="71" t="s">
        <v>4920</v>
      </c>
      <c r="E1758" s="71" t="s">
        <v>4921</v>
      </c>
      <c r="F1758" s="72"/>
      <c r="G1758" s="73"/>
      <c r="H1758" s="79" t="s">
        <v>16</v>
      </c>
      <c r="I1758" s="102">
        <v>46209</v>
      </c>
      <c r="J1758" s="70">
        <v>3</v>
      </c>
      <c r="K1758" s="106" t="s">
        <v>4922</v>
      </c>
      <c r="L1758" s="104">
        <f t="shared" si="463"/>
        <v>46301</v>
      </c>
      <c r="M1758" s="105">
        <f ca="1" t="shared" si="464"/>
        <v>-12</v>
      </c>
      <c r="N1758" s="70"/>
      <c r="O1758" s="70" t="s">
        <v>561</v>
      </c>
      <c r="P1758" s="70" t="s">
        <v>374</v>
      </c>
      <c r="Q1758" s="71" t="s">
        <v>4920</v>
      </c>
      <c r="R1758" s="71" t="s">
        <v>4921</v>
      </c>
      <c r="S1758" s="72"/>
      <c r="T1758" s="73"/>
      <c r="U1758" s="79" t="s">
        <v>16</v>
      </c>
      <c r="V1758" s="102">
        <v>46284</v>
      </c>
      <c r="W1758" s="70">
        <v>3</v>
      </c>
      <c r="X1758" s="103" t="s">
        <v>4923</v>
      </c>
      <c r="Y1758" s="104">
        <f t="shared" si="465"/>
        <v>46375</v>
      </c>
      <c r="Z1758" s="105">
        <f ca="1" t="shared" si="466"/>
        <v>62</v>
      </c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5"/>
      <c r="AO1758" s="115"/>
      <c r="AP1758" s="115"/>
      <c r="AQ1758" s="93"/>
      <c r="AR1758" s="93"/>
      <c r="AS1758" s="94"/>
      <c r="AT1758" s="95"/>
      <c r="AU1758" s="79"/>
      <c r="AV1758" s="117"/>
      <c r="AW1758" s="115"/>
      <c r="AX1758" s="106"/>
      <c r="AY1758" s="104"/>
      <c r="AZ1758" s="105"/>
    </row>
    <row r="1759" customHeight="1" spans="1:52">
      <c r="A1759" s="70">
        <v>1773</v>
      </c>
      <c r="B1759" s="70" t="s">
        <v>263</v>
      </c>
      <c r="C1759" s="70" t="s">
        <v>264</v>
      </c>
      <c r="D1759" s="71" t="s">
        <v>2433</v>
      </c>
      <c r="E1759" s="71" t="s">
        <v>753</v>
      </c>
      <c r="F1759" s="72"/>
      <c r="G1759" s="73"/>
      <c r="H1759" s="75"/>
      <c r="I1759" s="102">
        <v>46209</v>
      </c>
      <c r="J1759" s="70" t="s">
        <v>767</v>
      </c>
      <c r="K1759" s="106"/>
      <c r="L1759" s="104" t="e">
        <f t="shared" ref="L1759:L1777" si="467">EDATE(I1759,J1759)</f>
        <v>#VALUE!</v>
      </c>
      <c r="M1759" s="105" t="e">
        <f ca="1" t="shared" ref="M1759:M1777" si="468">L1759-TODAY()</f>
        <v>#VALUE!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04">
        <f t="shared" si="465"/>
        <v>0</v>
      </c>
      <c r="Z1759" s="105">
        <f ca="1" t="shared" si="466"/>
        <v>-46313</v>
      </c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5"/>
      <c r="AO1759" s="115"/>
      <c r="AP1759" s="115"/>
      <c r="AQ1759" s="93"/>
      <c r="AR1759" s="93"/>
      <c r="AS1759" s="94"/>
      <c r="AT1759" s="95"/>
      <c r="AU1759" s="79"/>
      <c r="AV1759" s="117"/>
      <c r="AW1759" s="115"/>
      <c r="AX1759" s="106"/>
      <c r="AY1759" s="104"/>
      <c r="AZ1759" s="105"/>
    </row>
    <row r="1760" customHeight="1" spans="1:52">
      <c r="A1760" s="70">
        <v>1774</v>
      </c>
      <c r="B1760" s="70" t="s">
        <v>798</v>
      </c>
      <c r="C1760" s="70" t="s">
        <v>38</v>
      </c>
      <c r="D1760" s="71" t="s">
        <v>4924</v>
      </c>
      <c r="E1760" s="71" t="s">
        <v>4925</v>
      </c>
      <c r="F1760" s="72"/>
      <c r="G1760" s="73"/>
      <c r="H1760" s="75"/>
      <c r="I1760" s="102">
        <v>46210</v>
      </c>
      <c r="J1760" s="70">
        <v>3</v>
      </c>
      <c r="K1760" s="106" t="s">
        <v>4926</v>
      </c>
      <c r="L1760" s="104">
        <f t="shared" si="467"/>
        <v>46302</v>
      </c>
      <c r="M1760" s="105">
        <f ca="1" t="shared" si="468"/>
        <v>-11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104">
        <f t="shared" si="465"/>
        <v>0</v>
      </c>
      <c r="Z1760" s="105">
        <f ca="1" t="shared" si="466"/>
        <v>-46313</v>
      </c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5"/>
      <c r="AO1760" s="115"/>
      <c r="AP1760" s="115"/>
      <c r="AQ1760" s="93"/>
      <c r="AR1760" s="93"/>
      <c r="AS1760" s="94"/>
      <c r="AT1760" s="95"/>
      <c r="AU1760" s="79"/>
      <c r="AV1760" s="117"/>
      <c r="AW1760" s="115"/>
      <c r="AX1760" s="106"/>
      <c r="AY1760" s="104"/>
      <c r="AZ1760" s="105"/>
    </row>
    <row r="1761" customHeight="1" spans="1:52">
      <c r="A1761" s="70">
        <v>1775</v>
      </c>
      <c r="B1761" s="108" t="s">
        <v>4288</v>
      </c>
      <c r="C1761" s="70" t="s">
        <v>264</v>
      </c>
      <c r="D1761" s="205" t="s">
        <v>4927</v>
      </c>
      <c r="E1761" s="71" t="s">
        <v>4928</v>
      </c>
      <c r="F1761" s="72"/>
      <c r="G1761" s="73"/>
      <c r="H1761" s="75"/>
      <c r="I1761" s="102">
        <v>46210</v>
      </c>
      <c r="J1761" s="70">
        <v>3</v>
      </c>
      <c r="K1761" s="106" t="s">
        <v>4929</v>
      </c>
      <c r="L1761" s="104">
        <f t="shared" si="467"/>
        <v>46302</v>
      </c>
      <c r="M1761" s="105">
        <f ca="1" t="shared" si="468"/>
        <v>-11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04">
        <f t="shared" si="465"/>
        <v>0</v>
      </c>
      <c r="Z1761" s="105">
        <f ca="1" t="shared" si="466"/>
        <v>-46313</v>
      </c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5"/>
      <c r="AO1761" s="115"/>
      <c r="AP1761" s="115"/>
      <c r="AQ1761" s="93"/>
      <c r="AR1761" s="93"/>
      <c r="AS1761" s="94"/>
      <c r="AT1761" s="95"/>
      <c r="AU1761" s="79"/>
      <c r="AV1761" s="117"/>
      <c r="AW1761" s="115"/>
      <c r="AX1761" s="106"/>
      <c r="AY1761" s="104"/>
      <c r="AZ1761" s="105"/>
    </row>
    <row r="1762" customHeight="1" spans="1:52">
      <c r="A1762" s="70">
        <v>1776</v>
      </c>
      <c r="B1762" s="204" t="s">
        <v>281</v>
      </c>
      <c r="C1762" s="70" t="s">
        <v>264</v>
      </c>
      <c r="D1762" s="205" t="s">
        <v>4930</v>
      </c>
      <c r="E1762" s="71" t="s">
        <v>3187</v>
      </c>
      <c r="F1762" s="72"/>
      <c r="G1762" s="73"/>
      <c r="H1762" s="75"/>
      <c r="I1762" s="102">
        <v>46210</v>
      </c>
      <c r="J1762" s="70">
        <v>3</v>
      </c>
      <c r="K1762" s="106" t="s">
        <v>4931</v>
      </c>
      <c r="L1762" s="104">
        <f t="shared" si="467"/>
        <v>46302</v>
      </c>
      <c r="M1762" s="105">
        <f ca="1" t="shared" si="468"/>
        <v>-11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04">
        <f t="shared" si="465"/>
        <v>0</v>
      </c>
      <c r="Z1762" s="105">
        <f ca="1" t="shared" si="466"/>
        <v>-46313</v>
      </c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5"/>
      <c r="AO1762" s="115"/>
      <c r="AP1762" s="115"/>
      <c r="AQ1762" s="93"/>
      <c r="AR1762" s="93"/>
      <c r="AS1762" s="94"/>
      <c r="AT1762" s="95"/>
      <c r="AU1762" s="79"/>
      <c r="AV1762" s="117"/>
      <c r="AW1762" s="115"/>
      <c r="AX1762" s="106"/>
      <c r="AY1762" s="104"/>
      <c r="AZ1762" s="105"/>
    </row>
    <row r="1763" customHeight="1" spans="1:52">
      <c r="A1763" s="70">
        <v>1777</v>
      </c>
      <c r="B1763" s="204" t="s">
        <v>281</v>
      </c>
      <c r="C1763" s="70" t="s">
        <v>264</v>
      </c>
      <c r="D1763" s="205" t="s">
        <v>4932</v>
      </c>
      <c r="E1763" s="71" t="s">
        <v>2747</v>
      </c>
      <c r="F1763" s="72"/>
      <c r="G1763" s="73"/>
      <c r="H1763" s="75"/>
      <c r="I1763" s="102">
        <v>46210</v>
      </c>
      <c r="J1763" s="70">
        <v>3</v>
      </c>
      <c r="K1763" s="106" t="s">
        <v>4933</v>
      </c>
      <c r="L1763" s="104">
        <f t="shared" si="467"/>
        <v>46302</v>
      </c>
      <c r="M1763" s="105">
        <f ca="1" t="shared" si="468"/>
        <v>-11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104">
        <f t="shared" si="465"/>
        <v>0</v>
      </c>
      <c r="Z1763" s="105">
        <f ca="1" t="shared" si="466"/>
        <v>-46313</v>
      </c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5"/>
      <c r="AO1763" s="115"/>
      <c r="AP1763" s="115"/>
      <c r="AQ1763" s="93"/>
      <c r="AR1763" s="93"/>
      <c r="AS1763" s="94"/>
      <c r="AT1763" s="95"/>
      <c r="AU1763" s="79"/>
      <c r="AV1763" s="117"/>
      <c r="AW1763" s="115"/>
      <c r="AX1763" s="106"/>
      <c r="AY1763" s="104"/>
      <c r="AZ1763" s="105"/>
    </row>
    <row r="1764" customHeight="1" spans="1:52">
      <c r="A1764" s="70">
        <v>1778</v>
      </c>
      <c r="B1764" s="204" t="s">
        <v>281</v>
      </c>
      <c r="C1764" s="70" t="s">
        <v>264</v>
      </c>
      <c r="D1764" s="205" t="s">
        <v>2618</v>
      </c>
      <c r="E1764" s="71" t="s">
        <v>364</v>
      </c>
      <c r="F1764" s="72"/>
      <c r="G1764" s="73"/>
      <c r="H1764" s="75"/>
      <c r="I1764" s="102">
        <v>46210</v>
      </c>
      <c r="J1764" s="70" t="s">
        <v>767</v>
      </c>
      <c r="K1764" s="106"/>
      <c r="L1764" s="104" t="e">
        <f t="shared" si="467"/>
        <v>#VALUE!</v>
      </c>
      <c r="M1764" s="105" t="e">
        <f ca="1" t="shared" si="468"/>
        <v>#VALUE!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04">
        <f t="shared" si="465"/>
        <v>0</v>
      </c>
      <c r="Z1764" s="105">
        <f ca="1" t="shared" si="466"/>
        <v>-46313</v>
      </c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5"/>
      <c r="AO1764" s="115"/>
      <c r="AP1764" s="115"/>
      <c r="AQ1764" s="93"/>
      <c r="AR1764" s="93"/>
      <c r="AS1764" s="94"/>
      <c r="AT1764" s="95"/>
      <c r="AU1764" s="79"/>
      <c r="AV1764" s="117"/>
      <c r="AW1764" s="115"/>
      <c r="AX1764" s="106"/>
      <c r="AY1764" s="104"/>
      <c r="AZ1764" s="105"/>
    </row>
    <row r="1765" customHeight="1" spans="1:52">
      <c r="A1765" s="70">
        <v>1779</v>
      </c>
      <c r="B1765" s="204" t="s">
        <v>281</v>
      </c>
      <c r="C1765" s="70" t="s">
        <v>264</v>
      </c>
      <c r="D1765" s="205" t="s">
        <v>4912</v>
      </c>
      <c r="E1765" s="71" t="s">
        <v>364</v>
      </c>
      <c r="F1765" s="72"/>
      <c r="G1765" s="73"/>
      <c r="H1765" s="75"/>
      <c r="I1765" s="102">
        <v>46210</v>
      </c>
      <c r="J1765" s="70" t="s">
        <v>767</v>
      </c>
      <c r="K1765" s="106"/>
      <c r="L1765" s="104" t="e">
        <f t="shared" si="467"/>
        <v>#VALUE!</v>
      </c>
      <c r="M1765" s="105" t="e">
        <f ca="1" t="shared" si="468"/>
        <v>#VALUE!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104">
        <f t="shared" si="465"/>
        <v>0</v>
      </c>
      <c r="Z1765" s="105">
        <f ca="1" t="shared" si="466"/>
        <v>-46313</v>
      </c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5"/>
      <c r="AO1765" s="115"/>
      <c r="AP1765" s="115"/>
      <c r="AQ1765" s="93"/>
      <c r="AR1765" s="93"/>
      <c r="AS1765" s="94"/>
      <c r="AT1765" s="95"/>
      <c r="AU1765" s="79"/>
      <c r="AV1765" s="117"/>
      <c r="AW1765" s="115"/>
      <c r="AX1765" s="106"/>
      <c r="AY1765" s="104"/>
      <c r="AZ1765" s="105"/>
    </row>
    <row r="1766" customHeight="1" spans="1:52">
      <c r="A1766" s="70">
        <v>1780</v>
      </c>
      <c r="B1766" s="70" t="s">
        <v>1359</v>
      </c>
      <c r="C1766" s="70" t="s">
        <v>13</v>
      </c>
      <c r="D1766" s="205" t="s">
        <v>2626</v>
      </c>
      <c r="E1766" s="71" t="s">
        <v>2388</v>
      </c>
      <c r="F1766" s="72"/>
      <c r="G1766" s="73"/>
      <c r="H1766" s="75"/>
      <c r="I1766" s="102">
        <v>46210</v>
      </c>
      <c r="J1766" s="70" t="s">
        <v>767</v>
      </c>
      <c r="K1766" s="106"/>
      <c r="L1766" s="104" t="e">
        <f t="shared" si="467"/>
        <v>#VALUE!</v>
      </c>
      <c r="M1766" s="105" t="e">
        <f ca="1" t="shared" si="468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104">
        <f t="shared" ref="Y1766:Y1780" si="469">EDATE(V1766,W1766)</f>
        <v>0</v>
      </c>
      <c r="Z1766" s="105">
        <f ca="1" t="shared" ref="Z1766:Z1780" si="470">Y1766-TODAY()</f>
        <v>-46313</v>
      </c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5"/>
      <c r="AO1766" s="115"/>
      <c r="AP1766" s="115"/>
      <c r="AQ1766" s="93"/>
      <c r="AR1766" s="93"/>
      <c r="AS1766" s="94"/>
      <c r="AT1766" s="95"/>
      <c r="AU1766" s="79"/>
      <c r="AV1766" s="117"/>
      <c r="AW1766" s="115"/>
      <c r="AX1766" s="106"/>
      <c r="AY1766" s="104"/>
      <c r="AZ1766" s="105"/>
    </row>
    <row r="1767" customHeight="1" spans="1:52">
      <c r="A1767" s="70">
        <v>1781</v>
      </c>
      <c r="B1767" s="70" t="s">
        <v>1359</v>
      </c>
      <c r="C1767" s="70" t="s">
        <v>13</v>
      </c>
      <c r="D1767" s="205" t="s">
        <v>2858</v>
      </c>
      <c r="E1767" s="71" t="s">
        <v>4934</v>
      </c>
      <c r="F1767" s="72"/>
      <c r="G1767" s="73"/>
      <c r="H1767" s="75"/>
      <c r="I1767" s="102">
        <v>46210</v>
      </c>
      <c r="J1767" s="70" t="s">
        <v>767</v>
      </c>
      <c r="K1767" s="106"/>
      <c r="L1767" s="104" t="e">
        <f t="shared" si="467"/>
        <v>#VALUE!</v>
      </c>
      <c r="M1767" s="105" t="e">
        <f ca="1" t="shared" si="468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104">
        <f t="shared" si="469"/>
        <v>0</v>
      </c>
      <c r="Z1767" s="105">
        <f ca="1" t="shared" si="470"/>
        <v>-46313</v>
      </c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5"/>
      <c r="AO1767" s="115"/>
      <c r="AP1767" s="115"/>
      <c r="AQ1767" s="93"/>
      <c r="AR1767" s="93"/>
      <c r="AS1767" s="94"/>
      <c r="AT1767" s="95"/>
      <c r="AU1767" s="79"/>
      <c r="AV1767" s="117"/>
      <c r="AW1767" s="115"/>
      <c r="AX1767" s="106"/>
      <c r="AY1767" s="104"/>
      <c r="AZ1767" s="105"/>
    </row>
    <row r="1768" customHeight="1" spans="1:52">
      <c r="A1768" s="70">
        <v>1782</v>
      </c>
      <c r="B1768" s="70" t="s">
        <v>1359</v>
      </c>
      <c r="C1768" s="70" t="s">
        <v>13</v>
      </c>
      <c r="D1768" s="205" t="s">
        <v>2714</v>
      </c>
      <c r="E1768" s="71" t="s">
        <v>2715</v>
      </c>
      <c r="F1768" s="72"/>
      <c r="G1768" s="73"/>
      <c r="H1768" s="75"/>
      <c r="I1768" s="102">
        <v>46210</v>
      </c>
      <c r="J1768" s="70" t="s">
        <v>767</v>
      </c>
      <c r="K1768" s="106"/>
      <c r="L1768" s="104" t="e">
        <f t="shared" si="467"/>
        <v>#VALUE!</v>
      </c>
      <c r="M1768" s="105" t="e">
        <f ca="1" t="shared" si="468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104">
        <f t="shared" si="469"/>
        <v>0</v>
      </c>
      <c r="Z1768" s="105">
        <f ca="1" t="shared" si="470"/>
        <v>-46313</v>
      </c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5"/>
      <c r="AO1768" s="115"/>
      <c r="AP1768" s="115"/>
      <c r="AQ1768" s="93"/>
      <c r="AR1768" s="93"/>
      <c r="AS1768" s="94"/>
      <c r="AT1768" s="95"/>
      <c r="AU1768" s="79"/>
      <c r="AV1768" s="117"/>
      <c r="AW1768" s="115"/>
      <c r="AX1768" s="106"/>
      <c r="AY1768" s="104"/>
      <c r="AZ1768" s="105"/>
    </row>
    <row r="1769" customHeight="1" spans="1:52">
      <c r="A1769" s="70">
        <v>1783</v>
      </c>
      <c r="B1769" s="70" t="s">
        <v>1359</v>
      </c>
      <c r="C1769" s="70" t="s">
        <v>13</v>
      </c>
      <c r="D1769" s="205" t="s">
        <v>2622</v>
      </c>
      <c r="E1769" s="71" t="s">
        <v>2623</v>
      </c>
      <c r="F1769" s="72"/>
      <c r="G1769" s="73"/>
      <c r="H1769" s="75"/>
      <c r="I1769" s="102">
        <v>46210</v>
      </c>
      <c r="J1769" s="70" t="s">
        <v>767</v>
      </c>
      <c r="K1769" s="106"/>
      <c r="L1769" s="104" t="e">
        <f t="shared" si="467"/>
        <v>#VALUE!</v>
      </c>
      <c r="M1769" s="105" t="e">
        <f ca="1" t="shared" si="468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104">
        <f t="shared" si="469"/>
        <v>0</v>
      </c>
      <c r="Z1769" s="105">
        <f ca="1" t="shared" si="470"/>
        <v>-46313</v>
      </c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5"/>
      <c r="AO1769" s="115"/>
      <c r="AP1769" s="115"/>
      <c r="AQ1769" s="93"/>
      <c r="AR1769" s="93"/>
      <c r="AS1769" s="94"/>
      <c r="AT1769" s="95"/>
      <c r="AU1769" s="79"/>
      <c r="AV1769" s="117"/>
      <c r="AW1769" s="115"/>
      <c r="AX1769" s="106"/>
      <c r="AY1769" s="104"/>
      <c r="AZ1769" s="105"/>
    </row>
    <row r="1770" customHeight="1" spans="1:52">
      <c r="A1770" s="70">
        <v>1784</v>
      </c>
      <c r="B1770" s="70" t="s">
        <v>1908</v>
      </c>
      <c r="C1770" s="70" t="s">
        <v>13</v>
      </c>
      <c r="D1770" s="205" t="s">
        <v>4660</v>
      </c>
      <c r="E1770" s="71" t="s">
        <v>2846</v>
      </c>
      <c r="F1770" s="72"/>
      <c r="G1770" s="73"/>
      <c r="H1770" s="75"/>
      <c r="I1770" s="102">
        <v>46210</v>
      </c>
      <c r="J1770" s="70" t="s">
        <v>767</v>
      </c>
      <c r="K1770" s="106"/>
      <c r="L1770" s="104" t="e">
        <f t="shared" si="467"/>
        <v>#VALUE!</v>
      </c>
      <c r="M1770" s="105" t="e">
        <f ca="1" t="shared" si="468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104">
        <f t="shared" si="469"/>
        <v>0</v>
      </c>
      <c r="Z1770" s="105">
        <f ca="1" t="shared" si="470"/>
        <v>-46313</v>
      </c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5"/>
      <c r="AO1770" s="115"/>
      <c r="AP1770" s="115"/>
      <c r="AQ1770" s="93"/>
      <c r="AR1770" s="93"/>
      <c r="AS1770" s="94"/>
      <c r="AT1770" s="95"/>
      <c r="AU1770" s="79"/>
      <c r="AV1770" s="117"/>
      <c r="AW1770" s="115"/>
      <c r="AX1770" s="106"/>
      <c r="AY1770" s="104"/>
      <c r="AZ1770" s="105"/>
    </row>
    <row r="1771" customHeight="1" spans="1:52">
      <c r="A1771" s="70">
        <v>1785</v>
      </c>
      <c r="B1771" s="70" t="s">
        <v>782</v>
      </c>
      <c r="C1771" s="70" t="s">
        <v>374</v>
      </c>
      <c r="D1771" s="205" t="s">
        <v>4935</v>
      </c>
      <c r="E1771" s="71" t="s">
        <v>548</v>
      </c>
      <c r="F1771" s="72"/>
      <c r="G1771" s="73"/>
      <c r="H1771" s="74" t="s">
        <v>16</v>
      </c>
      <c r="I1771" s="102">
        <v>46211</v>
      </c>
      <c r="J1771" s="70">
        <v>3</v>
      </c>
      <c r="K1771" s="106" t="s">
        <v>4936</v>
      </c>
      <c r="L1771" s="104">
        <f t="shared" si="467"/>
        <v>46303</v>
      </c>
      <c r="M1771" s="105">
        <f ca="1" t="shared" si="468"/>
        <v>-10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104">
        <f t="shared" si="469"/>
        <v>0</v>
      </c>
      <c r="Z1771" s="105">
        <f ca="1" t="shared" si="470"/>
        <v>-46313</v>
      </c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5"/>
      <c r="AO1771" s="115"/>
      <c r="AP1771" s="115"/>
      <c r="AQ1771" s="93"/>
      <c r="AR1771" s="93"/>
      <c r="AS1771" s="94"/>
      <c r="AT1771" s="95"/>
      <c r="AU1771" s="79"/>
      <c r="AV1771" s="117"/>
      <c r="AW1771" s="115"/>
      <c r="AX1771" s="106"/>
      <c r="AY1771" s="104"/>
      <c r="AZ1771" s="105"/>
    </row>
    <row r="1772" customHeight="1" spans="1:52">
      <c r="A1772" s="70">
        <v>1786</v>
      </c>
      <c r="B1772" s="213" t="s">
        <v>644</v>
      </c>
      <c r="C1772" s="70" t="s">
        <v>264</v>
      </c>
      <c r="D1772" s="205" t="s">
        <v>2433</v>
      </c>
      <c r="E1772" s="71" t="s">
        <v>753</v>
      </c>
      <c r="F1772" s="72"/>
      <c r="G1772" s="73"/>
      <c r="H1772" s="75"/>
      <c r="I1772" s="102">
        <v>46211</v>
      </c>
      <c r="J1772" s="70" t="s">
        <v>767</v>
      </c>
      <c r="K1772" s="106"/>
      <c r="L1772" s="104" t="e">
        <f t="shared" si="467"/>
        <v>#VALUE!</v>
      </c>
      <c r="M1772" s="105" t="e">
        <f ca="1" t="shared" si="468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104">
        <f t="shared" si="469"/>
        <v>0</v>
      </c>
      <c r="Z1772" s="105">
        <f ca="1" t="shared" si="470"/>
        <v>-46313</v>
      </c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5"/>
      <c r="AO1772" s="115"/>
      <c r="AP1772" s="115"/>
      <c r="AQ1772" s="93"/>
      <c r="AR1772" s="93"/>
      <c r="AS1772" s="94"/>
      <c r="AT1772" s="95"/>
      <c r="AU1772" s="79"/>
      <c r="AV1772" s="117"/>
      <c r="AW1772" s="115"/>
      <c r="AX1772" s="106"/>
      <c r="AY1772" s="104"/>
      <c r="AZ1772" s="105"/>
    </row>
    <row r="1773" customHeight="1" spans="1:52">
      <c r="A1773" s="70">
        <v>1787</v>
      </c>
      <c r="B1773" s="213" t="s">
        <v>1918</v>
      </c>
      <c r="C1773" s="70" t="s">
        <v>264</v>
      </c>
      <c r="D1773" s="205" t="s">
        <v>955</v>
      </c>
      <c r="E1773" s="71" t="s">
        <v>753</v>
      </c>
      <c r="F1773" s="72"/>
      <c r="G1773" s="73"/>
      <c r="H1773" s="75"/>
      <c r="I1773" s="102">
        <v>46211</v>
      </c>
      <c r="J1773" s="70" t="s">
        <v>767</v>
      </c>
      <c r="K1773" s="106"/>
      <c r="L1773" s="104" t="e">
        <f t="shared" si="467"/>
        <v>#VALUE!</v>
      </c>
      <c r="M1773" s="105" t="e">
        <f ca="1" t="shared" si="468"/>
        <v>#VALUE!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104">
        <f t="shared" si="469"/>
        <v>0</v>
      </c>
      <c r="Z1773" s="105">
        <f ca="1" t="shared" si="470"/>
        <v>-46313</v>
      </c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5"/>
      <c r="AO1773" s="115"/>
      <c r="AP1773" s="115"/>
      <c r="AQ1773" s="93"/>
      <c r="AR1773" s="93"/>
      <c r="AS1773" s="94"/>
      <c r="AT1773" s="95"/>
      <c r="AU1773" s="79"/>
      <c r="AV1773" s="117"/>
      <c r="AW1773" s="115"/>
      <c r="AX1773" s="106"/>
      <c r="AY1773" s="104"/>
      <c r="AZ1773" s="105"/>
    </row>
    <row r="1774" customHeight="1" spans="1:52">
      <c r="A1774" s="70">
        <v>1788</v>
      </c>
      <c r="B1774" s="213" t="s">
        <v>366</v>
      </c>
      <c r="C1774" s="70" t="s">
        <v>264</v>
      </c>
      <c r="D1774" s="205" t="s">
        <v>367</v>
      </c>
      <c r="E1774" s="71" t="s">
        <v>368</v>
      </c>
      <c r="F1774" s="72"/>
      <c r="G1774" s="73"/>
      <c r="H1774" s="75"/>
      <c r="I1774" s="102">
        <v>46211</v>
      </c>
      <c r="J1774" s="70" t="s">
        <v>767</v>
      </c>
      <c r="K1774" s="106"/>
      <c r="L1774" s="104" t="e">
        <f t="shared" si="467"/>
        <v>#VALUE!</v>
      </c>
      <c r="M1774" s="105" t="e">
        <f ca="1" t="shared" si="468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104">
        <f t="shared" si="469"/>
        <v>0</v>
      </c>
      <c r="Z1774" s="105">
        <f ca="1" t="shared" si="470"/>
        <v>-46313</v>
      </c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5"/>
      <c r="AO1774" s="115"/>
      <c r="AP1774" s="115"/>
      <c r="AQ1774" s="93"/>
      <c r="AR1774" s="93"/>
      <c r="AS1774" s="94"/>
      <c r="AT1774" s="95"/>
      <c r="AU1774" s="79"/>
      <c r="AV1774" s="117"/>
      <c r="AW1774" s="115"/>
      <c r="AX1774" s="106"/>
      <c r="AY1774" s="104"/>
      <c r="AZ1774" s="105"/>
    </row>
    <row r="1775" customHeight="1" spans="1:52">
      <c r="A1775" s="70">
        <v>1789</v>
      </c>
      <c r="B1775" s="70" t="s">
        <v>4233</v>
      </c>
      <c r="C1775" s="70" t="s">
        <v>264</v>
      </c>
      <c r="D1775" s="71" t="s">
        <v>4937</v>
      </c>
      <c r="E1775" s="71" t="s">
        <v>264</v>
      </c>
      <c r="F1775" s="72"/>
      <c r="G1775" s="73"/>
      <c r="H1775" s="74" t="s">
        <v>16</v>
      </c>
      <c r="I1775" s="102">
        <v>46212</v>
      </c>
      <c r="J1775" s="70">
        <v>3</v>
      </c>
      <c r="K1775" s="106" t="s">
        <v>4938</v>
      </c>
      <c r="L1775" s="104">
        <f t="shared" si="467"/>
        <v>46304</v>
      </c>
      <c r="M1775" s="105">
        <f ca="1" t="shared" si="468"/>
        <v>-9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104">
        <f t="shared" si="469"/>
        <v>0</v>
      </c>
      <c r="Z1775" s="105">
        <f ca="1" t="shared" si="470"/>
        <v>-46313</v>
      </c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5"/>
      <c r="AO1775" s="115"/>
      <c r="AP1775" s="115"/>
      <c r="AQ1775" s="93"/>
      <c r="AR1775" s="93"/>
      <c r="AS1775" s="94"/>
      <c r="AT1775" s="95"/>
      <c r="AU1775" s="79"/>
      <c r="AV1775" s="117"/>
      <c r="AW1775" s="115"/>
      <c r="AX1775" s="106"/>
      <c r="AY1775" s="104"/>
      <c r="AZ1775" s="105"/>
    </row>
    <row r="1776" customHeight="1" spans="1:52">
      <c r="A1776" s="70">
        <v>1790</v>
      </c>
      <c r="B1776" s="70" t="s">
        <v>2662</v>
      </c>
      <c r="C1776" s="70" t="s">
        <v>374</v>
      </c>
      <c r="D1776" s="71" t="s">
        <v>4939</v>
      </c>
      <c r="E1776" s="71" t="s">
        <v>680</v>
      </c>
      <c r="F1776" s="72"/>
      <c r="G1776" s="73"/>
      <c r="H1776" s="74" t="s">
        <v>16</v>
      </c>
      <c r="I1776" s="102">
        <v>46212</v>
      </c>
      <c r="J1776" s="70">
        <v>3</v>
      </c>
      <c r="K1776" s="106" t="s">
        <v>4940</v>
      </c>
      <c r="L1776" s="104">
        <f t="shared" si="467"/>
        <v>46304</v>
      </c>
      <c r="M1776" s="105">
        <f ca="1" t="shared" si="468"/>
        <v>-9</v>
      </c>
      <c r="N1776" s="70"/>
      <c r="O1776" s="70" t="s">
        <v>2662</v>
      </c>
      <c r="P1776" s="70" t="s">
        <v>374</v>
      </c>
      <c r="Q1776" s="71" t="s">
        <v>4939</v>
      </c>
      <c r="R1776" s="71" t="s">
        <v>680</v>
      </c>
      <c r="S1776" s="72"/>
      <c r="T1776" s="73"/>
      <c r="U1776" s="74" t="s">
        <v>16</v>
      </c>
      <c r="V1776" s="102">
        <v>46281</v>
      </c>
      <c r="W1776" s="70">
        <v>3</v>
      </c>
      <c r="X1776" s="103" t="s">
        <v>4941</v>
      </c>
      <c r="Y1776" s="104">
        <f t="shared" si="469"/>
        <v>46372</v>
      </c>
      <c r="Z1776" s="105">
        <f ca="1" t="shared" si="470"/>
        <v>59</v>
      </c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5"/>
      <c r="AO1776" s="115"/>
      <c r="AP1776" s="115"/>
      <c r="AQ1776" s="93"/>
      <c r="AR1776" s="93"/>
      <c r="AS1776" s="94"/>
      <c r="AT1776" s="95"/>
      <c r="AU1776" s="79"/>
      <c r="AV1776" s="117"/>
      <c r="AW1776" s="115"/>
      <c r="AX1776" s="106"/>
      <c r="AY1776" s="104"/>
      <c r="AZ1776" s="105"/>
    </row>
    <row r="1777" customHeight="1" spans="1:52">
      <c r="A1777" s="70">
        <v>1791</v>
      </c>
      <c r="B1777" s="70" t="s">
        <v>1359</v>
      </c>
      <c r="C1777" s="70" t="s">
        <v>13</v>
      </c>
      <c r="D1777" s="71" t="s">
        <v>2858</v>
      </c>
      <c r="E1777" s="71" t="s">
        <v>2859</v>
      </c>
      <c r="F1777" s="72"/>
      <c r="G1777" s="73"/>
      <c r="H1777" s="75"/>
      <c r="I1777" s="102">
        <v>46212</v>
      </c>
      <c r="J1777" s="70" t="s">
        <v>767</v>
      </c>
      <c r="K1777" s="106" t="s">
        <v>4942</v>
      </c>
      <c r="L1777" s="104" t="e">
        <f t="shared" si="467"/>
        <v>#VALUE!</v>
      </c>
      <c r="M1777" s="105" t="e">
        <f ca="1" t="shared" si="468"/>
        <v>#VALUE!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104">
        <f t="shared" si="469"/>
        <v>0</v>
      </c>
      <c r="Z1777" s="105">
        <f ca="1" t="shared" si="470"/>
        <v>-46313</v>
      </c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5"/>
      <c r="AO1777" s="115"/>
      <c r="AP1777" s="115"/>
      <c r="AQ1777" s="93"/>
      <c r="AR1777" s="93"/>
      <c r="AS1777" s="94"/>
      <c r="AT1777" s="95"/>
      <c r="AU1777" s="79"/>
      <c r="AV1777" s="117"/>
      <c r="AW1777" s="115"/>
      <c r="AX1777" s="106"/>
      <c r="AY1777" s="104"/>
      <c r="AZ1777" s="105"/>
    </row>
    <row r="1778" customHeight="1" spans="1:52">
      <c r="A1778" s="70">
        <v>1792</v>
      </c>
      <c r="B1778" s="70" t="s">
        <v>644</v>
      </c>
      <c r="C1778" s="70" t="s">
        <v>264</v>
      </c>
      <c r="D1778" s="71" t="s">
        <v>2433</v>
      </c>
      <c r="E1778" s="71" t="s">
        <v>753</v>
      </c>
      <c r="F1778" s="72"/>
      <c r="G1778" s="73"/>
      <c r="H1778" s="75"/>
      <c r="I1778" s="102">
        <v>46213</v>
      </c>
      <c r="J1778" s="70" t="s">
        <v>767</v>
      </c>
      <c r="K1778" s="106"/>
      <c r="L1778" s="104" t="e">
        <f t="shared" ref="L1778:L1793" si="471">EDATE(I1778,J1778)</f>
        <v>#VALUE!</v>
      </c>
      <c r="M1778" s="105" t="e">
        <f ca="1" t="shared" ref="M1778:M1793" si="472">L1778-TODAY()</f>
        <v>#VALUE!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104">
        <f t="shared" si="469"/>
        <v>0</v>
      </c>
      <c r="Z1778" s="105">
        <f ca="1" t="shared" si="470"/>
        <v>-46313</v>
      </c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5"/>
      <c r="AO1778" s="115"/>
      <c r="AP1778" s="115"/>
      <c r="AQ1778" s="93"/>
      <c r="AR1778" s="93"/>
      <c r="AS1778" s="94"/>
      <c r="AT1778" s="95"/>
      <c r="AU1778" s="79"/>
      <c r="AV1778" s="117"/>
      <c r="AW1778" s="115"/>
      <c r="AX1778" s="106"/>
      <c r="AY1778" s="104"/>
      <c r="AZ1778" s="105"/>
    </row>
    <row r="1779" customHeight="1" spans="1:52">
      <c r="A1779" s="70">
        <v>1793</v>
      </c>
      <c r="B1779" s="70" t="s">
        <v>644</v>
      </c>
      <c r="C1779" s="70" t="s">
        <v>264</v>
      </c>
      <c r="D1779" s="71" t="s">
        <v>1922</v>
      </c>
      <c r="E1779" s="71" t="s">
        <v>753</v>
      </c>
      <c r="F1779" s="72"/>
      <c r="G1779" s="73"/>
      <c r="H1779" s="75"/>
      <c r="I1779" s="102">
        <v>46213</v>
      </c>
      <c r="J1779" s="70" t="s">
        <v>767</v>
      </c>
      <c r="K1779" s="106"/>
      <c r="L1779" s="104" t="e">
        <f t="shared" si="471"/>
        <v>#VALUE!</v>
      </c>
      <c r="M1779" s="105" t="e">
        <f ca="1" t="shared" si="472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104">
        <f t="shared" si="469"/>
        <v>0</v>
      </c>
      <c r="Z1779" s="105">
        <f ca="1" t="shared" si="470"/>
        <v>-46313</v>
      </c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5"/>
      <c r="AO1779" s="115"/>
      <c r="AP1779" s="115"/>
      <c r="AQ1779" s="93"/>
      <c r="AR1779" s="93"/>
      <c r="AS1779" s="94"/>
      <c r="AT1779" s="95"/>
      <c r="AU1779" s="79"/>
      <c r="AV1779" s="117"/>
      <c r="AW1779" s="115"/>
      <c r="AX1779" s="106"/>
      <c r="AY1779" s="104"/>
      <c r="AZ1779" s="105"/>
    </row>
    <row r="1780" customHeight="1" spans="1:52">
      <c r="A1780" s="70">
        <v>1794</v>
      </c>
      <c r="B1780" s="70" t="s">
        <v>1908</v>
      </c>
      <c r="C1780" s="70" t="s">
        <v>13</v>
      </c>
      <c r="D1780" s="71" t="s">
        <v>4660</v>
      </c>
      <c r="E1780" s="71" t="s">
        <v>2846</v>
      </c>
      <c r="F1780" s="72"/>
      <c r="G1780" s="73"/>
      <c r="H1780" s="75"/>
      <c r="I1780" s="102">
        <v>46213</v>
      </c>
      <c r="J1780" s="70" t="s">
        <v>767</v>
      </c>
      <c r="K1780" s="106"/>
      <c r="L1780" s="104" t="e">
        <f t="shared" si="471"/>
        <v>#VALUE!</v>
      </c>
      <c r="M1780" s="105" t="e">
        <f ca="1" t="shared" si="472"/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104">
        <f t="shared" si="469"/>
        <v>0</v>
      </c>
      <c r="Z1780" s="105">
        <f ca="1" t="shared" si="470"/>
        <v>-46313</v>
      </c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5"/>
      <c r="AO1780" s="115"/>
      <c r="AP1780" s="115"/>
      <c r="AQ1780" s="93"/>
      <c r="AR1780" s="93"/>
      <c r="AS1780" s="94"/>
      <c r="AT1780" s="95"/>
      <c r="AU1780" s="79"/>
      <c r="AV1780" s="117"/>
      <c r="AW1780" s="115"/>
      <c r="AX1780" s="106"/>
      <c r="AY1780" s="104"/>
      <c r="AZ1780" s="105"/>
    </row>
    <row r="1781" customHeight="1" spans="1:52">
      <c r="A1781" s="70">
        <v>1795</v>
      </c>
      <c r="B1781" s="204" t="s">
        <v>263</v>
      </c>
      <c r="C1781" s="70" t="s">
        <v>264</v>
      </c>
      <c r="D1781" s="205" t="s">
        <v>763</v>
      </c>
      <c r="E1781" s="71" t="s">
        <v>753</v>
      </c>
      <c r="F1781" s="72"/>
      <c r="G1781" s="73"/>
      <c r="H1781" s="75"/>
      <c r="I1781" s="102">
        <v>46214</v>
      </c>
      <c r="J1781" s="70" t="s">
        <v>767</v>
      </c>
      <c r="K1781" s="106"/>
      <c r="L1781" s="104" t="e">
        <f t="shared" si="471"/>
        <v>#VALUE!</v>
      </c>
      <c r="M1781" s="105" t="e">
        <f ca="1" t="shared" si="472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6"/>
      <c r="Z1781" s="13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5"/>
      <c r="AO1781" s="115"/>
      <c r="AP1781" s="115"/>
      <c r="AQ1781" s="93"/>
      <c r="AR1781" s="93"/>
      <c r="AS1781" s="94"/>
      <c r="AT1781" s="95"/>
      <c r="AU1781" s="79"/>
      <c r="AV1781" s="117"/>
      <c r="AW1781" s="115"/>
      <c r="AX1781" s="106"/>
      <c r="AY1781" s="104"/>
      <c r="AZ1781" s="105"/>
    </row>
    <row r="1782" customHeight="1" spans="1:52">
      <c r="A1782" s="70">
        <v>1796</v>
      </c>
      <c r="B1782" s="204" t="s">
        <v>263</v>
      </c>
      <c r="C1782" s="70" t="s">
        <v>264</v>
      </c>
      <c r="D1782" s="205" t="s">
        <v>1922</v>
      </c>
      <c r="E1782" s="71" t="s">
        <v>753</v>
      </c>
      <c r="F1782" s="72"/>
      <c r="G1782" s="73"/>
      <c r="H1782" s="75"/>
      <c r="I1782" s="102">
        <v>46214</v>
      </c>
      <c r="J1782" s="70" t="s">
        <v>767</v>
      </c>
      <c r="K1782" s="106"/>
      <c r="L1782" s="104" t="e">
        <f t="shared" si="471"/>
        <v>#VALUE!</v>
      </c>
      <c r="M1782" s="105" t="e">
        <f ca="1" t="shared" si="472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6"/>
      <c r="Z1782" s="13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5"/>
      <c r="AO1782" s="115"/>
      <c r="AP1782" s="115"/>
      <c r="AQ1782" s="93"/>
      <c r="AR1782" s="93"/>
      <c r="AS1782" s="94"/>
      <c r="AT1782" s="95"/>
      <c r="AU1782" s="79"/>
      <c r="AV1782" s="117"/>
      <c r="AW1782" s="115"/>
      <c r="AX1782" s="106"/>
      <c r="AY1782" s="104"/>
      <c r="AZ1782" s="105"/>
    </row>
    <row r="1783" customHeight="1" spans="1:52">
      <c r="A1783" s="70">
        <v>1797</v>
      </c>
      <c r="B1783" s="204" t="s">
        <v>3559</v>
      </c>
      <c r="C1783" s="70" t="s">
        <v>264</v>
      </c>
      <c r="D1783" s="205" t="s">
        <v>4695</v>
      </c>
      <c r="E1783" s="71" t="s">
        <v>4696</v>
      </c>
      <c r="F1783" s="72"/>
      <c r="G1783" s="73"/>
      <c r="H1783" s="75"/>
      <c r="I1783" s="102">
        <v>46214</v>
      </c>
      <c r="J1783" s="70" t="s">
        <v>767</v>
      </c>
      <c r="K1783" s="106"/>
      <c r="L1783" s="104" t="e">
        <f t="shared" si="471"/>
        <v>#VALUE!</v>
      </c>
      <c r="M1783" s="105" t="e">
        <f ca="1" t="shared" si="472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104">
        <f t="shared" ref="Y1783:Y1807" si="473">EDATE(V1783,W1783)</f>
        <v>0</v>
      </c>
      <c r="Z1783" s="105">
        <f ca="1" t="shared" ref="Z1783:Z1807" si="474">Y1783-TODAY()</f>
        <v>-46313</v>
      </c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5"/>
      <c r="AO1783" s="115"/>
      <c r="AP1783" s="115"/>
      <c r="AQ1783" s="93"/>
      <c r="AR1783" s="93"/>
      <c r="AS1783" s="94"/>
      <c r="AT1783" s="95"/>
      <c r="AU1783" s="79"/>
      <c r="AV1783" s="117"/>
      <c r="AW1783" s="115"/>
      <c r="AX1783" s="106"/>
      <c r="AY1783" s="104"/>
      <c r="AZ1783" s="105"/>
    </row>
    <row r="1784" customHeight="1" spans="1:52">
      <c r="A1784" s="70">
        <v>1798</v>
      </c>
      <c r="B1784" s="204" t="s">
        <v>1359</v>
      </c>
      <c r="C1784" s="70" t="s">
        <v>13</v>
      </c>
      <c r="D1784" s="205" t="s">
        <v>2848</v>
      </c>
      <c r="E1784" s="71" t="s">
        <v>2849</v>
      </c>
      <c r="F1784" s="72"/>
      <c r="G1784" s="73"/>
      <c r="H1784" s="75" t="s">
        <v>434</v>
      </c>
      <c r="I1784" s="102">
        <v>46214</v>
      </c>
      <c r="J1784" s="70" t="s">
        <v>767</v>
      </c>
      <c r="K1784" s="106"/>
      <c r="L1784" s="104" t="e">
        <f t="shared" si="471"/>
        <v>#VALUE!</v>
      </c>
      <c r="M1784" s="105" t="e">
        <f ca="1" t="shared" si="472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104">
        <f t="shared" si="473"/>
        <v>0</v>
      </c>
      <c r="Z1784" s="105">
        <f ca="1" t="shared" si="474"/>
        <v>-46313</v>
      </c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5"/>
      <c r="AO1784" s="115"/>
      <c r="AP1784" s="115"/>
      <c r="AQ1784" s="93"/>
      <c r="AR1784" s="93"/>
      <c r="AS1784" s="94"/>
      <c r="AT1784" s="95"/>
      <c r="AU1784" s="79"/>
      <c r="AV1784" s="117"/>
      <c r="AW1784" s="115"/>
      <c r="AX1784" s="106"/>
      <c r="AY1784" s="104"/>
      <c r="AZ1784" s="105"/>
    </row>
    <row r="1785" customHeight="1" spans="1:52">
      <c r="A1785" s="70">
        <v>1799</v>
      </c>
      <c r="B1785" s="204" t="s">
        <v>1359</v>
      </c>
      <c r="C1785" s="70" t="s">
        <v>13</v>
      </c>
      <c r="D1785" s="205" t="s">
        <v>2714</v>
      </c>
      <c r="E1785" s="71" t="s">
        <v>2715</v>
      </c>
      <c r="F1785" s="72"/>
      <c r="G1785" s="73"/>
      <c r="H1785" s="75"/>
      <c r="I1785" s="102">
        <v>46214</v>
      </c>
      <c r="J1785" s="70" t="s">
        <v>767</v>
      </c>
      <c r="K1785" s="106"/>
      <c r="L1785" s="104" t="e">
        <f t="shared" si="471"/>
        <v>#VALUE!</v>
      </c>
      <c r="M1785" s="105" t="e">
        <f ca="1" t="shared" si="472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104">
        <f t="shared" si="473"/>
        <v>0</v>
      </c>
      <c r="Z1785" s="105">
        <f ca="1" t="shared" si="474"/>
        <v>-46313</v>
      </c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5"/>
      <c r="AO1785" s="115"/>
      <c r="AP1785" s="115"/>
      <c r="AQ1785" s="93"/>
      <c r="AR1785" s="93"/>
      <c r="AS1785" s="94"/>
      <c r="AT1785" s="95"/>
      <c r="AU1785" s="79"/>
      <c r="AV1785" s="117"/>
      <c r="AW1785" s="115"/>
      <c r="AX1785" s="106"/>
      <c r="AY1785" s="104"/>
      <c r="AZ1785" s="105"/>
    </row>
    <row r="1786" customHeight="1" spans="1:52">
      <c r="A1786" s="70">
        <v>1800</v>
      </c>
      <c r="B1786" s="204" t="s">
        <v>1359</v>
      </c>
      <c r="C1786" s="70" t="s">
        <v>13</v>
      </c>
      <c r="D1786" s="205" t="s">
        <v>2718</v>
      </c>
      <c r="E1786" s="71" t="s">
        <v>2719</v>
      </c>
      <c r="F1786" s="72"/>
      <c r="G1786" s="73"/>
      <c r="H1786" s="75"/>
      <c r="I1786" s="102">
        <v>46214</v>
      </c>
      <c r="J1786" s="70" t="s">
        <v>767</v>
      </c>
      <c r="K1786" s="106"/>
      <c r="L1786" s="104" t="e">
        <f t="shared" si="471"/>
        <v>#VALUE!</v>
      </c>
      <c r="M1786" s="105" t="e">
        <f ca="1" t="shared" si="472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104">
        <f t="shared" si="473"/>
        <v>0</v>
      </c>
      <c r="Z1786" s="105">
        <f ca="1" t="shared" si="474"/>
        <v>-46313</v>
      </c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5"/>
      <c r="AO1786" s="115"/>
      <c r="AP1786" s="115"/>
      <c r="AQ1786" s="93"/>
      <c r="AR1786" s="93"/>
      <c r="AS1786" s="94"/>
      <c r="AT1786" s="95"/>
      <c r="AU1786" s="79"/>
      <c r="AV1786" s="117"/>
      <c r="AW1786" s="115"/>
      <c r="AX1786" s="106"/>
      <c r="AY1786" s="104"/>
      <c r="AZ1786" s="105"/>
    </row>
    <row r="1787" customHeight="1" spans="1:52">
      <c r="A1787" s="70">
        <v>1801</v>
      </c>
      <c r="B1787" s="204" t="s">
        <v>1359</v>
      </c>
      <c r="C1787" s="70" t="s">
        <v>13</v>
      </c>
      <c r="D1787" s="205" t="s">
        <v>2858</v>
      </c>
      <c r="E1787" s="71" t="s">
        <v>2859</v>
      </c>
      <c r="F1787" s="72"/>
      <c r="G1787" s="73"/>
      <c r="H1787" s="75"/>
      <c r="I1787" s="102">
        <v>46214</v>
      </c>
      <c r="J1787" s="70" t="s">
        <v>767</v>
      </c>
      <c r="K1787" s="106"/>
      <c r="L1787" s="104" t="e">
        <f t="shared" si="471"/>
        <v>#VALUE!</v>
      </c>
      <c r="M1787" s="105" t="e">
        <f ca="1" t="shared" si="472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104">
        <f t="shared" si="473"/>
        <v>0</v>
      </c>
      <c r="Z1787" s="105">
        <f ca="1" t="shared" si="474"/>
        <v>-46313</v>
      </c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5"/>
      <c r="AO1787" s="115"/>
      <c r="AP1787" s="115"/>
      <c r="AQ1787" s="93"/>
      <c r="AR1787" s="93"/>
      <c r="AS1787" s="94"/>
      <c r="AT1787" s="95"/>
      <c r="AU1787" s="79"/>
      <c r="AV1787" s="117"/>
      <c r="AW1787" s="115"/>
      <c r="AX1787" s="106"/>
      <c r="AY1787" s="104"/>
      <c r="AZ1787" s="105"/>
    </row>
    <row r="1788" customHeight="1" spans="1:52">
      <c r="A1788" s="70">
        <v>1802</v>
      </c>
      <c r="B1788" s="70" t="s">
        <v>4162</v>
      </c>
      <c r="C1788" s="70" t="s">
        <v>374</v>
      </c>
      <c r="D1788" s="71" t="s">
        <v>375</v>
      </c>
      <c r="E1788" s="71" t="s">
        <v>376</v>
      </c>
      <c r="F1788" s="72"/>
      <c r="G1788" s="73"/>
      <c r="H1788" s="75"/>
      <c r="I1788" s="102">
        <v>46214</v>
      </c>
      <c r="J1788" s="70" t="s">
        <v>434</v>
      </c>
      <c r="K1788" s="106"/>
      <c r="L1788" s="104" t="e">
        <f t="shared" si="471"/>
        <v>#VALUE!</v>
      </c>
      <c r="M1788" s="105" t="e">
        <f ca="1" t="shared" si="472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104">
        <f t="shared" si="473"/>
        <v>0</v>
      </c>
      <c r="Z1788" s="105">
        <f ca="1" t="shared" si="474"/>
        <v>-46313</v>
      </c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5"/>
      <c r="AO1788" s="115"/>
      <c r="AP1788" s="115"/>
      <c r="AQ1788" s="93"/>
      <c r="AR1788" s="93"/>
      <c r="AS1788" s="94"/>
      <c r="AT1788" s="95"/>
      <c r="AU1788" s="79"/>
      <c r="AV1788" s="117"/>
      <c r="AW1788" s="115"/>
      <c r="AX1788" s="106"/>
      <c r="AY1788" s="104"/>
      <c r="AZ1788" s="105"/>
    </row>
    <row r="1789" customHeight="1" spans="1:52">
      <c r="A1789" s="70">
        <v>1803</v>
      </c>
      <c r="B1789" s="105" t="s">
        <v>886</v>
      </c>
      <c r="C1789" s="70" t="s">
        <v>374</v>
      </c>
      <c r="D1789" s="217" t="s">
        <v>4943</v>
      </c>
      <c r="E1789" s="71" t="s">
        <v>4944</v>
      </c>
      <c r="F1789" s="72"/>
      <c r="G1789" s="73"/>
      <c r="H1789" s="75"/>
      <c r="I1789" s="102">
        <v>46216</v>
      </c>
      <c r="J1789" s="70">
        <v>3</v>
      </c>
      <c r="K1789" s="106" t="s">
        <v>4945</v>
      </c>
      <c r="L1789" s="104">
        <f t="shared" si="471"/>
        <v>46308</v>
      </c>
      <c r="M1789" s="105">
        <f ca="1" t="shared" si="472"/>
        <v>-5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104">
        <f t="shared" si="473"/>
        <v>0</v>
      </c>
      <c r="Z1789" s="105">
        <f ca="1" t="shared" si="474"/>
        <v>-46313</v>
      </c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5"/>
      <c r="AO1789" s="115"/>
      <c r="AP1789" s="115"/>
      <c r="AQ1789" s="93"/>
      <c r="AR1789" s="93"/>
      <c r="AS1789" s="94"/>
      <c r="AT1789" s="95"/>
      <c r="AU1789" s="79"/>
      <c r="AV1789" s="117"/>
      <c r="AW1789" s="115"/>
      <c r="AX1789" s="106"/>
      <c r="AY1789" s="104"/>
      <c r="AZ1789" s="105"/>
    </row>
    <row r="1790" customHeight="1" spans="1:52">
      <c r="A1790" s="70">
        <v>1804</v>
      </c>
      <c r="B1790" s="204" t="s">
        <v>1359</v>
      </c>
      <c r="C1790" s="70" t="s">
        <v>13</v>
      </c>
      <c r="D1790" s="205" t="s">
        <v>2714</v>
      </c>
      <c r="E1790" s="71" t="s">
        <v>2715</v>
      </c>
      <c r="F1790" s="72"/>
      <c r="G1790" s="73"/>
      <c r="H1790" s="75"/>
      <c r="I1790" s="102">
        <v>46216</v>
      </c>
      <c r="J1790" s="70" t="s">
        <v>767</v>
      </c>
      <c r="K1790" s="106"/>
      <c r="L1790" s="104" t="e">
        <f t="shared" ref="L1790:L1803" si="475">EDATE(I1790,J1790)</f>
        <v>#VALUE!</v>
      </c>
      <c r="M1790" s="105" t="e">
        <f ca="1" t="shared" ref="M1790:M1803" si="476">L1790-TODAY()</f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104">
        <f t="shared" si="473"/>
        <v>0</v>
      </c>
      <c r="Z1790" s="105">
        <f ca="1" t="shared" si="474"/>
        <v>-46313</v>
      </c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5"/>
      <c r="AO1790" s="115"/>
      <c r="AP1790" s="115"/>
      <c r="AQ1790" s="93"/>
      <c r="AR1790" s="93"/>
      <c r="AS1790" s="94"/>
      <c r="AT1790" s="95"/>
      <c r="AU1790" s="79"/>
      <c r="AV1790" s="117"/>
      <c r="AW1790" s="115"/>
      <c r="AX1790" s="106"/>
      <c r="AY1790" s="104"/>
      <c r="AZ1790" s="105"/>
    </row>
    <row r="1791" customHeight="1" spans="1:52">
      <c r="A1791" s="70">
        <v>1805</v>
      </c>
      <c r="B1791" s="204" t="s">
        <v>1359</v>
      </c>
      <c r="C1791" s="70" t="s">
        <v>13</v>
      </c>
      <c r="D1791" s="205" t="s">
        <v>2848</v>
      </c>
      <c r="E1791" s="71" t="s">
        <v>2849</v>
      </c>
      <c r="F1791" s="72"/>
      <c r="G1791" s="73"/>
      <c r="H1791" s="75"/>
      <c r="I1791" s="102">
        <v>46216</v>
      </c>
      <c r="J1791" s="70" t="s">
        <v>767</v>
      </c>
      <c r="K1791" s="106"/>
      <c r="L1791" s="104" t="e">
        <f t="shared" si="475"/>
        <v>#VALUE!</v>
      </c>
      <c r="M1791" s="105" t="e">
        <f ca="1" t="shared" si="476"/>
        <v>#VALUE!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104">
        <f t="shared" si="473"/>
        <v>0</v>
      </c>
      <c r="Z1791" s="105">
        <f ca="1" t="shared" si="474"/>
        <v>-46313</v>
      </c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5"/>
      <c r="AO1791" s="115"/>
      <c r="AP1791" s="115"/>
      <c r="AQ1791" s="93"/>
      <c r="AR1791" s="93"/>
      <c r="AS1791" s="94"/>
      <c r="AT1791" s="95"/>
      <c r="AU1791" s="79"/>
      <c r="AV1791" s="117"/>
      <c r="AW1791" s="115"/>
      <c r="AX1791" s="106"/>
      <c r="AY1791" s="104"/>
      <c r="AZ1791" s="105"/>
    </row>
    <row r="1792" customHeight="1" spans="1:52">
      <c r="A1792" s="70">
        <v>1806</v>
      </c>
      <c r="B1792" s="204" t="s">
        <v>1359</v>
      </c>
      <c r="C1792" s="70" t="s">
        <v>13</v>
      </c>
      <c r="D1792" s="205" t="s">
        <v>2718</v>
      </c>
      <c r="E1792" s="71" t="s">
        <v>2719</v>
      </c>
      <c r="F1792" s="72"/>
      <c r="G1792" s="73"/>
      <c r="H1792" s="75"/>
      <c r="I1792" s="102">
        <v>46216</v>
      </c>
      <c r="J1792" s="70" t="s">
        <v>767</v>
      </c>
      <c r="K1792" s="106"/>
      <c r="L1792" s="104" t="e">
        <f t="shared" si="475"/>
        <v>#VALUE!</v>
      </c>
      <c r="M1792" s="105" t="e">
        <f ca="1" t="shared" si="476"/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104">
        <f t="shared" si="473"/>
        <v>0</v>
      </c>
      <c r="Z1792" s="105">
        <f ca="1" t="shared" si="474"/>
        <v>-46313</v>
      </c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5"/>
      <c r="AO1792" s="115"/>
      <c r="AP1792" s="115"/>
      <c r="AQ1792" s="93"/>
      <c r="AR1792" s="93"/>
      <c r="AS1792" s="94"/>
      <c r="AT1792" s="95"/>
      <c r="AU1792" s="79"/>
      <c r="AV1792" s="117"/>
      <c r="AW1792" s="115"/>
      <c r="AX1792" s="106"/>
      <c r="AY1792" s="104"/>
      <c r="AZ1792" s="105"/>
    </row>
    <row r="1793" customHeight="1" spans="1:52">
      <c r="A1793" s="70">
        <v>1807</v>
      </c>
      <c r="B1793" s="204" t="s">
        <v>1359</v>
      </c>
      <c r="C1793" s="70" t="s">
        <v>13</v>
      </c>
      <c r="D1793" s="205" t="s">
        <v>2858</v>
      </c>
      <c r="E1793" s="71" t="s">
        <v>2859</v>
      </c>
      <c r="F1793" s="72"/>
      <c r="G1793" s="73"/>
      <c r="H1793" s="75"/>
      <c r="I1793" s="102">
        <v>46216</v>
      </c>
      <c r="J1793" s="70" t="s">
        <v>767</v>
      </c>
      <c r="K1793" s="106"/>
      <c r="L1793" s="104" t="e">
        <f t="shared" si="475"/>
        <v>#VALUE!</v>
      </c>
      <c r="M1793" s="105" t="e">
        <f ca="1" t="shared" si="476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104">
        <f t="shared" si="473"/>
        <v>0</v>
      </c>
      <c r="Z1793" s="105">
        <f ca="1" t="shared" si="474"/>
        <v>-46313</v>
      </c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5"/>
      <c r="AO1793" s="115"/>
      <c r="AP1793" s="115"/>
      <c r="AQ1793" s="93"/>
      <c r="AR1793" s="93"/>
      <c r="AS1793" s="94"/>
      <c r="AT1793" s="95"/>
      <c r="AU1793" s="79"/>
      <c r="AV1793" s="117"/>
      <c r="AW1793" s="115"/>
      <c r="AX1793" s="106"/>
      <c r="AY1793" s="104"/>
      <c r="AZ1793" s="105"/>
    </row>
    <row r="1794" customHeight="1" spans="1:52">
      <c r="A1794" s="70">
        <v>1808</v>
      </c>
      <c r="B1794" s="70" t="s">
        <v>1393</v>
      </c>
      <c r="C1794" s="70" t="s">
        <v>38</v>
      </c>
      <c r="D1794" s="71" t="s">
        <v>4946</v>
      </c>
      <c r="E1794" s="71" t="s">
        <v>4947</v>
      </c>
      <c r="F1794" s="72"/>
      <c r="G1794" s="73"/>
      <c r="H1794" s="75"/>
      <c r="I1794" s="102">
        <v>46217</v>
      </c>
      <c r="J1794" s="70">
        <v>3</v>
      </c>
      <c r="K1794" s="106" t="s">
        <v>4948</v>
      </c>
      <c r="L1794" s="104">
        <f t="shared" si="475"/>
        <v>46309</v>
      </c>
      <c r="M1794" s="105">
        <f ca="1" t="shared" si="476"/>
        <v>-4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104">
        <f t="shared" si="473"/>
        <v>0</v>
      </c>
      <c r="Z1794" s="105">
        <f ca="1" t="shared" si="474"/>
        <v>-46313</v>
      </c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5"/>
      <c r="AO1794" s="115"/>
      <c r="AP1794" s="115"/>
      <c r="AQ1794" s="93"/>
      <c r="AR1794" s="93"/>
      <c r="AS1794" s="94"/>
      <c r="AT1794" s="95"/>
      <c r="AU1794" s="79"/>
      <c r="AV1794" s="117"/>
      <c r="AW1794" s="115"/>
      <c r="AX1794" s="106"/>
      <c r="AY1794" s="104"/>
      <c r="AZ1794" s="105"/>
    </row>
    <row r="1795" customHeight="1" spans="1:52">
      <c r="A1795" s="70">
        <v>1809</v>
      </c>
      <c r="B1795" s="70" t="s">
        <v>1393</v>
      </c>
      <c r="C1795" s="70" t="s">
        <v>13</v>
      </c>
      <c r="D1795" s="71" t="s">
        <v>4949</v>
      </c>
      <c r="E1795" s="71" t="s">
        <v>4950</v>
      </c>
      <c r="F1795" s="72"/>
      <c r="G1795" s="73"/>
      <c r="H1795" s="74" t="s">
        <v>16</v>
      </c>
      <c r="I1795" s="102">
        <v>46217</v>
      </c>
      <c r="J1795" s="70">
        <v>3</v>
      </c>
      <c r="K1795" s="106" t="s">
        <v>4951</v>
      </c>
      <c r="L1795" s="104">
        <f t="shared" si="475"/>
        <v>46309</v>
      </c>
      <c r="M1795" s="105">
        <f ca="1" t="shared" si="476"/>
        <v>-4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104">
        <f t="shared" si="473"/>
        <v>0</v>
      </c>
      <c r="Z1795" s="105">
        <f ca="1" t="shared" si="474"/>
        <v>-46313</v>
      </c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5"/>
      <c r="AO1795" s="115"/>
      <c r="AP1795" s="115"/>
      <c r="AQ1795" s="93"/>
      <c r="AR1795" s="93"/>
      <c r="AS1795" s="94"/>
      <c r="AT1795" s="95"/>
      <c r="AU1795" s="79"/>
      <c r="AV1795" s="117"/>
      <c r="AW1795" s="115"/>
      <c r="AX1795" s="106"/>
      <c r="AY1795" s="104"/>
      <c r="AZ1795" s="105"/>
    </row>
    <row r="1796" customHeight="1" spans="1:52">
      <c r="A1796" s="70">
        <v>1810</v>
      </c>
      <c r="B1796" s="70" t="s">
        <v>12</v>
      </c>
      <c r="C1796" s="70" t="s">
        <v>13</v>
      </c>
      <c r="D1796" s="71" t="s">
        <v>4952</v>
      </c>
      <c r="E1796" s="71" t="s">
        <v>604</v>
      </c>
      <c r="F1796" s="72"/>
      <c r="G1796" s="73"/>
      <c r="H1796" s="74" t="s">
        <v>16</v>
      </c>
      <c r="I1796" s="102">
        <v>46217</v>
      </c>
      <c r="J1796" s="70">
        <v>3</v>
      </c>
      <c r="K1796" s="106" t="s">
        <v>4953</v>
      </c>
      <c r="L1796" s="104">
        <f t="shared" si="475"/>
        <v>46309</v>
      </c>
      <c r="M1796" s="105">
        <f ca="1" t="shared" si="476"/>
        <v>-4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104">
        <f t="shared" si="473"/>
        <v>0</v>
      </c>
      <c r="Z1796" s="105">
        <f ca="1" t="shared" si="474"/>
        <v>-46313</v>
      </c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5"/>
      <c r="AO1796" s="115"/>
      <c r="AP1796" s="115"/>
      <c r="AQ1796" s="93"/>
      <c r="AR1796" s="93"/>
      <c r="AS1796" s="94"/>
      <c r="AT1796" s="95"/>
      <c r="AU1796" s="79"/>
      <c r="AV1796" s="117"/>
      <c r="AW1796" s="115"/>
      <c r="AX1796" s="106"/>
      <c r="AY1796" s="104"/>
      <c r="AZ1796" s="105"/>
    </row>
    <row r="1797" customHeight="1" spans="1:52">
      <c r="A1797" s="70">
        <v>1811</v>
      </c>
      <c r="B1797" s="70" t="s">
        <v>3462</v>
      </c>
      <c r="C1797" s="70" t="s">
        <v>13</v>
      </c>
      <c r="D1797" s="71" t="s">
        <v>4954</v>
      </c>
      <c r="E1797" s="71" t="s">
        <v>4955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4956</v>
      </c>
      <c r="L1797" s="104">
        <f t="shared" si="475"/>
        <v>46309</v>
      </c>
      <c r="M1797" s="105">
        <f ca="1" t="shared" si="476"/>
        <v>-4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104">
        <f t="shared" si="473"/>
        <v>0</v>
      </c>
      <c r="Z1797" s="105">
        <f ca="1" t="shared" si="474"/>
        <v>-46313</v>
      </c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5"/>
      <c r="AO1797" s="115"/>
      <c r="AP1797" s="115"/>
      <c r="AQ1797" s="93"/>
      <c r="AR1797" s="93"/>
      <c r="AS1797" s="94"/>
      <c r="AT1797" s="95"/>
      <c r="AU1797" s="79"/>
      <c r="AV1797" s="117"/>
      <c r="AW1797" s="115"/>
      <c r="AX1797" s="106"/>
      <c r="AY1797" s="104"/>
      <c r="AZ1797" s="105"/>
    </row>
    <row r="1798" customHeight="1" spans="1:52">
      <c r="A1798" s="70">
        <v>1812</v>
      </c>
      <c r="B1798" s="70" t="s">
        <v>3462</v>
      </c>
      <c r="C1798" s="70" t="s">
        <v>13</v>
      </c>
      <c r="D1798" s="71" t="s">
        <v>4957</v>
      </c>
      <c r="E1798" s="71" t="s">
        <v>45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4958</v>
      </c>
      <c r="L1798" s="104">
        <f t="shared" si="475"/>
        <v>46309</v>
      </c>
      <c r="M1798" s="105">
        <f ca="1" t="shared" si="476"/>
        <v>-4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104">
        <f t="shared" si="473"/>
        <v>0</v>
      </c>
      <c r="Z1798" s="105">
        <f ca="1" t="shared" si="474"/>
        <v>-46313</v>
      </c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5"/>
      <c r="AO1798" s="115"/>
      <c r="AP1798" s="115"/>
      <c r="AQ1798" s="93"/>
      <c r="AR1798" s="93"/>
      <c r="AS1798" s="94"/>
      <c r="AT1798" s="95"/>
      <c r="AU1798" s="79"/>
      <c r="AV1798" s="117"/>
      <c r="AW1798" s="115"/>
      <c r="AX1798" s="106"/>
      <c r="AY1798" s="104"/>
      <c r="AZ1798" s="105"/>
    </row>
    <row r="1799" customHeight="1" spans="1:52">
      <c r="A1799" s="70">
        <v>1813</v>
      </c>
      <c r="B1799" s="70" t="s">
        <v>3462</v>
      </c>
      <c r="C1799" s="70" t="s">
        <v>13</v>
      </c>
      <c r="D1799" s="71" t="s">
        <v>4959</v>
      </c>
      <c r="E1799" s="71" t="s">
        <v>1688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4960</v>
      </c>
      <c r="L1799" s="104">
        <f t="shared" si="475"/>
        <v>46309</v>
      </c>
      <c r="M1799" s="105">
        <f ca="1" t="shared" si="476"/>
        <v>-4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104">
        <f t="shared" si="473"/>
        <v>0</v>
      </c>
      <c r="Z1799" s="105">
        <f ca="1" t="shared" si="474"/>
        <v>-46313</v>
      </c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5"/>
      <c r="AO1799" s="115"/>
      <c r="AP1799" s="115"/>
      <c r="AQ1799" s="93"/>
      <c r="AR1799" s="93"/>
      <c r="AS1799" s="94"/>
      <c r="AT1799" s="95"/>
      <c r="AU1799" s="79"/>
      <c r="AV1799" s="117"/>
      <c r="AW1799" s="115"/>
      <c r="AX1799" s="106"/>
      <c r="AY1799" s="104"/>
      <c r="AZ1799" s="105"/>
    </row>
    <row r="1800" customHeight="1" spans="1:52">
      <c r="A1800" s="70">
        <v>1814</v>
      </c>
      <c r="B1800" s="204" t="s">
        <v>644</v>
      </c>
      <c r="C1800" s="70" t="s">
        <v>264</v>
      </c>
      <c r="D1800" s="71" t="s">
        <v>2433</v>
      </c>
      <c r="E1800" s="71" t="s">
        <v>753</v>
      </c>
      <c r="F1800" s="72"/>
      <c r="G1800" s="73"/>
      <c r="H1800" s="75"/>
      <c r="I1800" s="102">
        <v>46217</v>
      </c>
      <c r="J1800" s="70" t="s">
        <v>767</v>
      </c>
      <c r="K1800" s="106"/>
      <c r="L1800" s="104" t="e">
        <f t="shared" si="475"/>
        <v>#VALUE!</v>
      </c>
      <c r="M1800" s="105" t="e">
        <f ca="1" t="shared" si="476"/>
        <v>#VALUE!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104">
        <f t="shared" si="473"/>
        <v>0</v>
      </c>
      <c r="Z1800" s="105">
        <f ca="1" t="shared" si="474"/>
        <v>-46313</v>
      </c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5"/>
      <c r="AO1800" s="115"/>
      <c r="AP1800" s="115"/>
      <c r="AQ1800" s="93"/>
      <c r="AR1800" s="93"/>
      <c r="AS1800" s="94"/>
      <c r="AT1800" s="95"/>
      <c r="AU1800" s="79"/>
      <c r="AV1800" s="117"/>
      <c r="AW1800" s="115"/>
      <c r="AX1800" s="106"/>
      <c r="AY1800" s="104"/>
      <c r="AZ1800" s="105"/>
    </row>
    <row r="1801" customHeight="1" spans="1:52">
      <c r="A1801" s="70">
        <v>1815</v>
      </c>
      <c r="B1801" s="204" t="s">
        <v>295</v>
      </c>
      <c r="C1801" s="70" t="s">
        <v>264</v>
      </c>
      <c r="D1801" s="205" t="s">
        <v>3020</v>
      </c>
      <c r="E1801" s="71" t="s">
        <v>3021</v>
      </c>
      <c r="F1801" s="72"/>
      <c r="G1801" s="73"/>
      <c r="H1801" s="75"/>
      <c r="I1801" s="102">
        <v>46217</v>
      </c>
      <c r="J1801" s="70" t="s">
        <v>767</v>
      </c>
      <c r="K1801" s="106"/>
      <c r="L1801" s="104" t="e">
        <f t="shared" si="475"/>
        <v>#VALUE!</v>
      </c>
      <c r="M1801" s="105" t="e">
        <f ca="1" t="shared" si="476"/>
        <v>#VALUE!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104">
        <f t="shared" si="473"/>
        <v>0</v>
      </c>
      <c r="Z1801" s="105">
        <f ca="1" t="shared" si="474"/>
        <v>-46313</v>
      </c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5"/>
      <c r="AO1801" s="115"/>
      <c r="AP1801" s="115"/>
      <c r="AQ1801" s="93"/>
      <c r="AR1801" s="93"/>
      <c r="AS1801" s="94"/>
      <c r="AT1801" s="95"/>
      <c r="AU1801" s="79"/>
      <c r="AV1801" s="117"/>
      <c r="AW1801" s="115"/>
      <c r="AX1801" s="106"/>
      <c r="AY1801" s="104"/>
      <c r="AZ1801" s="105"/>
    </row>
    <row r="1802" customHeight="1" spans="1:52">
      <c r="A1802" s="70">
        <v>1817</v>
      </c>
      <c r="B1802" s="204" t="s">
        <v>3559</v>
      </c>
      <c r="C1802" s="70" t="s">
        <v>264</v>
      </c>
      <c r="D1802" s="205" t="s">
        <v>2709</v>
      </c>
      <c r="E1802" s="71" t="s">
        <v>2707</v>
      </c>
      <c r="F1802" s="72"/>
      <c r="G1802" s="73"/>
      <c r="H1802" s="75"/>
      <c r="I1802" s="102">
        <v>46217</v>
      </c>
      <c r="J1802" s="70" t="s">
        <v>767</v>
      </c>
      <c r="K1802" s="106"/>
      <c r="L1802" s="104" t="e">
        <f t="shared" si="475"/>
        <v>#VALUE!</v>
      </c>
      <c r="M1802" s="105" t="e">
        <f ca="1" t="shared" si="476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104">
        <f t="shared" si="473"/>
        <v>0</v>
      </c>
      <c r="Z1802" s="105">
        <f ca="1" t="shared" si="474"/>
        <v>-46313</v>
      </c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5"/>
      <c r="AO1802" s="115"/>
      <c r="AP1802" s="115"/>
      <c r="AQ1802" s="93"/>
      <c r="AR1802" s="93"/>
      <c r="AS1802" s="94"/>
      <c r="AT1802" s="95"/>
      <c r="AU1802" s="79"/>
      <c r="AV1802" s="117"/>
      <c r="AW1802" s="115"/>
      <c r="AX1802" s="106"/>
      <c r="AY1802" s="104"/>
      <c r="AZ1802" s="105"/>
    </row>
    <row r="1803" customHeight="1" spans="1:52">
      <c r="A1803" s="70">
        <v>1818</v>
      </c>
      <c r="B1803" s="70" t="s">
        <v>4961</v>
      </c>
      <c r="C1803" s="70" t="s">
        <v>13</v>
      </c>
      <c r="D1803" s="71" t="s">
        <v>4962</v>
      </c>
      <c r="E1803" s="71" t="s">
        <v>2075</v>
      </c>
      <c r="F1803" s="72"/>
      <c r="G1803" s="73"/>
      <c r="H1803" s="75"/>
      <c r="I1803" s="102">
        <v>46218</v>
      </c>
      <c r="J1803" s="70">
        <v>3</v>
      </c>
      <c r="K1803" s="106" t="s">
        <v>4963</v>
      </c>
      <c r="L1803" s="104">
        <f t="shared" si="475"/>
        <v>46310</v>
      </c>
      <c r="M1803" s="105">
        <f ca="1" t="shared" si="476"/>
        <v>-3</v>
      </c>
      <c r="N1803" s="70"/>
      <c r="O1803" s="70" t="s">
        <v>4961</v>
      </c>
      <c r="P1803" s="70" t="s">
        <v>13</v>
      </c>
      <c r="Q1803" s="71" t="s">
        <v>4962</v>
      </c>
      <c r="R1803" s="71" t="s">
        <v>2075</v>
      </c>
      <c r="S1803" s="72"/>
      <c r="T1803" s="73"/>
      <c r="U1803" s="75"/>
      <c r="V1803" s="102">
        <v>46306</v>
      </c>
      <c r="W1803" s="70">
        <v>3</v>
      </c>
      <c r="X1803" s="103"/>
      <c r="Y1803" s="104">
        <f t="shared" si="473"/>
        <v>46398</v>
      </c>
      <c r="Z1803" s="105">
        <f ca="1" t="shared" si="474"/>
        <v>85</v>
      </c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5"/>
      <c r="AO1803" s="115"/>
      <c r="AP1803" s="115"/>
      <c r="AQ1803" s="93"/>
      <c r="AR1803" s="93"/>
      <c r="AS1803" s="94"/>
      <c r="AT1803" s="95"/>
      <c r="AU1803" s="79"/>
      <c r="AV1803" s="117"/>
      <c r="AW1803" s="115"/>
      <c r="AX1803" s="106"/>
      <c r="AY1803" s="104"/>
      <c r="AZ1803" s="105"/>
    </row>
    <row r="1804" customHeight="1" spans="1:52">
      <c r="A1804" s="70">
        <v>1819</v>
      </c>
      <c r="B1804" s="70" t="s">
        <v>1409</v>
      </c>
      <c r="C1804" s="70" t="s">
        <v>374</v>
      </c>
      <c r="D1804" s="71" t="s">
        <v>4964</v>
      </c>
      <c r="E1804" s="71" t="s">
        <v>1249</v>
      </c>
      <c r="F1804" s="72"/>
      <c r="G1804" s="73"/>
      <c r="H1804" s="74" t="s">
        <v>16</v>
      </c>
      <c r="I1804" s="102">
        <v>46218</v>
      </c>
      <c r="J1804" s="70">
        <v>3</v>
      </c>
      <c r="K1804" s="106" t="s">
        <v>4965</v>
      </c>
      <c r="L1804" s="104">
        <f t="shared" ref="L1804:L1813" si="477">EDATE(I1804,J1804)</f>
        <v>46310</v>
      </c>
      <c r="M1804" s="105">
        <f ca="1" t="shared" ref="M1804:M1813" si="478">L1804-TODAY()</f>
        <v>-3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104">
        <f t="shared" si="473"/>
        <v>0</v>
      </c>
      <c r="Z1804" s="105">
        <f ca="1" t="shared" si="474"/>
        <v>-46313</v>
      </c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5"/>
      <c r="AO1804" s="115"/>
      <c r="AP1804" s="115"/>
      <c r="AQ1804" s="93"/>
      <c r="AR1804" s="93"/>
      <c r="AS1804" s="94"/>
      <c r="AT1804" s="95"/>
      <c r="AU1804" s="79"/>
      <c r="AV1804" s="117"/>
      <c r="AW1804" s="115"/>
      <c r="AX1804" s="106"/>
      <c r="AY1804" s="104"/>
      <c r="AZ1804" s="105"/>
    </row>
    <row r="1805" customHeight="1" spans="1:52">
      <c r="A1805" s="70">
        <v>1820</v>
      </c>
      <c r="B1805" s="70" t="s">
        <v>555</v>
      </c>
      <c r="C1805" s="70" t="s">
        <v>374</v>
      </c>
      <c r="D1805" s="71" t="s">
        <v>4966</v>
      </c>
      <c r="E1805" s="71" t="s">
        <v>4967</v>
      </c>
      <c r="F1805" s="72"/>
      <c r="G1805" s="73"/>
      <c r="H1805" s="75"/>
      <c r="I1805" s="102">
        <v>46218</v>
      </c>
      <c r="J1805" s="70">
        <v>3</v>
      </c>
      <c r="K1805" s="106" t="s">
        <v>4968</v>
      </c>
      <c r="L1805" s="104">
        <f t="shared" si="477"/>
        <v>46310</v>
      </c>
      <c r="M1805" s="105">
        <f ca="1" t="shared" si="478"/>
        <v>-3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104">
        <f t="shared" si="473"/>
        <v>0</v>
      </c>
      <c r="Z1805" s="105">
        <f ca="1" t="shared" si="474"/>
        <v>-46313</v>
      </c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5"/>
      <c r="AO1805" s="115"/>
      <c r="AP1805" s="115"/>
      <c r="AQ1805" s="93"/>
      <c r="AR1805" s="93"/>
      <c r="AS1805" s="94"/>
      <c r="AT1805" s="95"/>
      <c r="AU1805" s="79"/>
      <c r="AV1805" s="117"/>
      <c r="AW1805" s="115"/>
      <c r="AX1805" s="106"/>
      <c r="AY1805" s="104"/>
      <c r="AZ1805" s="105"/>
    </row>
    <row r="1806" customHeight="1" spans="1:52">
      <c r="A1806" s="70">
        <v>1821</v>
      </c>
      <c r="B1806" s="70" t="s">
        <v>555</v>
      </c>
      <c r="C1806" s="70" t="s">
        <v>374</v>
      </c>
      <c r="D1806" s="71" t="s">
        <v>4969</v>
      </c>
      <c r="E1806" s="71" t="s">
        <v>664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4970</v>
      </c>
      <c r="L1806" s="104">
        <f t="shared" si="477"/>
        <v>46310</v>
      </c>
      <c r="M1806" s="105">
        <f ca="1" t="shared" si="478"/>
        <v>-3</v>
      </c>
      <c r="N1806" s="70"/>
      <c r="O1806" s="70" t="s">
        <v>555</v>
      </c>
      <c r="P1806" s="70" t="s">
        <v>374</v>
      </c>
      <c r="Q1806" s="71" t="s">
        <v>4969</v>
      </c>
      <c r="R1806" s="71" t="s">
        <v>664</v>
      </c>
      <c r="S1806" s="72"/>
      <c r="T1806" s="73"/>
      <c r="U1806" s="74" t="s">
        <v>16</v>
      </c>
      <c r="V1806" s="102">
        <v>46302</v>
      </c>
      <c r="W1806" s="70">
        <v>3</v>
      </c>
      <c r="X1806" s="103" t="s">
        <v>4971</v>
      </c>
      <c r="Y1806" s="104">
        <f t="shared" si="473"/>
        <v>46394</v>
      </c>
      <c r="Z1806" s="105">
        <f ca="1" t="shared" si="474"/>
        <v>81</v>
      </c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5"/>
      <c r="AO1806" s="115"/>
      <c r="AP1806" s="115"/>
      <c r="AQ1806" s="93"/>
      <c r="AR1806" s="93"/>
      <c r="AS1806" s="94"/>
      <c r="AT1806" s="95"/>
      <c r="AU1806" s="79"/>
      <c r="AV1806" s="117"/>
      <c r="AW1806" s="115"/>
      <c r="AX1806" s="106"/>
      <c r="AY1806" s="104"/>
      <c r="AZ1806" s="105"/>
    </row>
    <row r="1807" customHeight="1" spans="1:52">
      <c r="A1807" s="70">
        <v>1822</v>
      </c>
      <c r="B1807" s="70" t="s">
        <v>782</v>
      </c>
      <c r="C1807" s="70" t="s">
        <v>374</v>
      </c>
      <c r="D1807" s="71" t="s">
        <v>4972</v>
      </c>
      <c r="E1807" s="71" t="s">
        <v>4779</v>
      </c>
      <c r="F1807" s="72"/>
      <c r="G1807" s="72"/>
      <c r="H1807" s="74" t="s">
        <v>16</v>
      </c>
      <c r="I1807" s="102">
        <v>46218</v>
      </c>
      <c r="J1807" s="70">
        <v>3</v>
      </c>
      <c r="K1807" s="106" t="s">
        <v>4973</v>
      </c>
      <c r="L1807" s="104">
        <f t="shared" si="477"/>
        <v>46310</v>
      </c>
      <c r="M1807" s="105">
        <f ca="1" t="shared" si="478"/>
        <v>-3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104">
        <f t="shared" si="473"/>
        <v>0</v>
      </c>
      <c r="Z1807" s="105">
        <f ca="1" t="shared" si="474"/>
        <v>-46313</v>
      </c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5"/>
      <c r="AO1807" s="115"/>
      <c r="AP1807" s="115"/>
      <c r="AQ1807" s="93"/>
      <c r="AR1807" s="93"/>
      <c r="AS1807" s="94"/>
      <c r="AT1807" s="95"/>
      <c r="AU1807" s="79"/>
      <c r="AV1807" s="117"/>
      <c r="AW1807" s="115"/>
      <c r="AX1807" s="106"/>
      <c r="AY1807" s="104"/>
      <c r="AZ1807" s="105"/>
    </row>
    <row r="1808" customHeight="1" spans="1:52">
      <c r="A1808" s="70">
        <v>1823</v>
      </c>
      <c r="B1808" s="204" t="s">
        <v>1359</v>
      </c>
      <c r="C1808" s="70" t="s">
        <v>13</v>
      </c>
      <c r="D1808" s="205" t="s">
        <v>2848</v>
      </c>
      <c r="E1808" s="71" t="s">
        <v>2849</v>
      </c>
      <c r="F1808" s="72"/>
      <c r="G1808" s="72"/>
      <c r="H1808" s="75" t="s">
        <v>434</v>
      </c>
      <c r="I1808" s="102">
        <v>46218</v>
      </c>
      <c r="J1808" s="70" t="s">
        <v>767</v>
      </c>
      <c r="K1808" s="227"/>
      <c r="L1808" s="104" t="e">
        <f t="shared" si="477"/>
        <v>#VALUE!</v>
      </c>
      <c r="M1808" s="105" t="e">
        <f ca="1" t="shared" si="478"/>
        <v>#VALUE!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104">
        <f t="shared" ref="Y1808:Y1826" si="479">EDATE(V1808,W1808)</f>
        <v>0</v>
      </c>
      <c r="Z1808" s="105">
        <f ca="1" t="shared" ref="Z1808:Z1826" si="480">Y1808-TODAY()</f>
        <v>-46313</v>
      </c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5"/>
      <c r="AO1808" s="115"/>
      <c r="AP1808" s="115"/>
      <c r="AQ1808" s="93"/>
      <c r="AR1808" s="93"/>
      <c r="AS1808" s="94"/>
      <c r="AT1808" s="95"/>
      <c r="AU1808" s="79"/>
      <c r="AV1808" s="117"/>
      <c r="AW1808" s="115"/>
      <c r="AX1808" s="106"/>
      <c r="AY1808" s="104"/>
      <c r="AZ1808" s="105"/>
    </row>
    <row r="1809" customHeight="1" spans="1:52">
      <c r="A1809" s="70">
        <v>1824</v>
      </c>
      <c r="B1809" s="204" t="s">
        <v>1359</v>
      </c>
      <c r="C1809" s="70" t="s">
        <v>13</v>
      </c>
      <c r="D1809" s="205" t="s">
        <v>4543</v>
      </c>
      <c r="E1809" s="71" t="s">
        <v>1364</v>
      </c>
      <c r="F1809" s="72"/>
      <c r="G1809" s="72"/>
      <c r="H1809" s="75"/>
      <c r="I1809" s="102">
        <v>46218</v>
      </c>
      <c r="J1809" s="70" t="s">
        <v>767</v>
      </c>
      <c r="K1809" s="106"/>
      <c r="L1809" s="104" t="e">
        <f t="shared" si="477"/>
        <v>#VALUE!</v>
      </c>
      <c r="M1809" s="105" t="e">
        <f ca="1" t="shared" si="478"/>
        <v>#VALUE!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104">
        <f t="shared" si="479"/>
        <v>0</v>
      </c>
      <c r="Z1809" s="105">
        <f ca="1" t="shared" si="480"/>
        <v>-46313</v>
      </c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5"/>
      <c r="AO1809" s="115"/>
      <c r="AP1809" s="115"/>
      <c r="AQ1809" s="93"/>
      <c r="AR1809" s="93"/>
      <c r="AS1809" s="94"/>
      <c r="AT1809" s="95"/>
      <c r="AU1809" s="79"/>
      <c r="AV1809" s="117"/>
      <c r="AW1809" s="115"/>
      <c r="AX1809" s="106"/>
      <c r="AY1809" s="104"/>
      <c r="AZ1809" s="105"/>
    </row>
    <row r="1810" customHeight="1" spans="1:52">
      <c r="A1810" s="70">
        <v>1825</v>
      </c>
      <c r="B1810" s="204" t="s">
        <v>1359</v>
      </c>
      <c r="C1810" s="70" t="s">
        <v>13</v>
      </c>
      <c r="D1810" s="205" t="s">
        <v>4537</v>
      </c>
      <c r="E1810" s="71" t="s">
        <v>4538</v>
      </c>
      <c r="F1810" s="72"/>
      <c r="G1810" s="72"/>
      <c r="H1810" s="75"/>
      <c r="I1810" s="102">
        <v>46218</v>
      </c>
      <c r="J1810" s="70" t="s">
        <v>767</v>
      </c>
      <c r="K1810" s="106"/>
      <c r="L1810" s="104" t="e">
        <f t="shared" si="477"/>
        <v>#VALUE!</v>
      </c>
      <c r="M1810" s="105" t="e">
        <f ca="1" t="shared" si="478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104">
        <f t="shared" si="479"/>
        <v>0</v>
      </c>
      <c r="Z1810" s="105">
        <f ca="1" t="shared" si="480"/>
        <v>-46313</v>
      </c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5"/>
      <c r="AO1810" s="115"/>
      <c r="AP1810" s="115"/>
      <c r="AQ1810" s="93"/>
      <c r="AR1810" s="93"/>
      <c r="AS1810" s="94"/>
      <c r="AT1810" s="95"/>
      <c r="AU1810" s="79"/>
      <c r="AV1810" s="117"/>
      <c r="AW1810" s="115"/>
      <c r="AX1810" s="106"/>
      <c r="AY1810" s="104"/>
      <c r="AZ1810" s="105"/>
    </row>
    <row r="1811" customHeight="1" spans="1:52">
      <c r="A1811" s="70">
        <v>1826</v>
      </c>
      <c r="B1811" s="204" t="s">
        <v>1359</v>
      </c>
      <c r="C1811" s="70" t="s">
        <v>13</v>
      </c>
      <c r="D1811" s="205" t="s">
        <v>2718</v>
      </c>
      <c r="E1811" s="71" t="s">
        <v>4974</v>
      </c>
      <c r="F1811" s="72"/>
      <c r="G1811" s="73"/>
      <c r="H1811" s="75"/>
      <c r="I1811" s="102">
        <v>46218</v>
      </c>
      <c r="J1811" s="70" t="s">
        <v>767</v>
      </c>
      <c r="K1811" s="106"/>
      <c r="L1811" s="104" t="e">
        <f t="shared" si="477"/>
        <v>#VALUE!</v>
      </c>
      <c r="M1811" s="105" t="e">
        <f ca="1" t="shared" si="478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104">
        <f t="shared" si="479"/>
        <v>0</v>
      </c>
      <c r="Z1811" s="105">
        <f ca="1" t="shared" si="480"/>
        <v>-46313</v>
      </c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5"/>
      <c r="AO1811" s="115"/>
      <c r="AP1811" s="115"/>
      <c r="AQ1811" s="93"/>
      <c r="AR1811" s="93"/>
      <c r="AS1811" s="94"/>
      <c r="AT1811" s="95"/>
      <c r="AU1811" s="79"/>
      <c r="AV1811" s="117"/>
      <c r="AW1811" s="115"/>
      <c r="AX1811" s="106"/>
      <c r="AY1811" s="104"/>
      <c r="AZ1811" s="105"/>
    </row>
    <row r="1812" customHeight="1" spans="1:52">
      <c r="A1812" s="70">
        <v>1827</v>
      </c>
      <c r="B1812" s="204" t="s">
        <v>1359</v>
      </c>
      <c r="C1812" s="70" t="s">
        <v>13</v>
      </c>
      <c r="D1812" s="205" t="s">
        <v>2858</v>
      </c>
      <c r="E1812" s="71" t="s">
        <v>2859</v>
      </c>
      <c r="F1812" s="72"/>
      <c r="G1812" s="73"/>
      <c r="H1812" s="75"/>
      <c r="I1812" s="102">
        <v>46218</v>
      </c>
      <c r="J1812" s="70" t="s">
        <v>767</v>
      </c>
      <c r="K1812" s="106"/>
      <c r="L1812" s="104" t="e">
        <f t="shared" si="477"/>
        <v>#VALUE!</v>
      </c>
      <c r="M1812" s="105" t="e">
        <f ca="1" t="shared" si="478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104">
        <f t="shared" si="479"/>
        <v>0</v>
      </c>
      <c r="Z1812" s="105">
        <f ca="1" t="shared" si="480"/>
        <v>-46313</v>
      </c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5"/>
      <c r="AO1812" s="115"/>
      <c r="AP1812" s="115"/>
      <c r="AQ1812" s="93"/>
      <c r="AR1812" s="93"/>
      <c r="AS1812" s="94"/>
      <c r="AT1812" s="95"/>
      <c r="AU1812" s="79"/>
      <c r="AV1812" s="117"/>
      <c r="AW1812" s="115"/>
      <c r="AX1812" s="106"/>
      <c r="AY1812" s="104"/>
      <c r="AZ1812" s="105"/>
    </row>
    <row r="1813" customHeight="1" spans="1:52">
      <c r="A1813" s="70">
        <v>1828</v>
      </c>
      <c r="B1813" s="70" t="s">
        <v>263</v>
      </c>
      <c r="C1813" s="70" t="s">
        <v>264</v>
      </c>
      <c r="D1813" s="71" t="s">
        <v>2433</v>
      </c>
      <c r="E1813" s="71" t="s">
        <v>753</v>
      </c>
      <c r="F1813" s="72"/>
      <c r="G1813" s="73"/>
      <c r="H1813" s="75"/>
      <c r="I1813" s="102">
        <v>46218</v>
      </c>
      <c r="J1813" s="70" t="s">
        <v>767</v>
      </c>
      <c r="K1813" s="106"/>
      <c r="L1813" s="104" t="e">
        <f t="shared" si="477"/>
        <v>#VALUE!</v>
      </c>
      <c r="M1813" s="105" t="e">
        <f ca="1" t="shared" si="478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104">
        <f t="shared" si="479"/>
        <v>0</v>
      </c>
      <c r="Z1813" s="105">
        <f ca="1" t="shared" si="480"/>
        <v>-46313</v>
      </c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5"/>
      <c r="AO1813" s="115"/>
      <c r="AP1813" s="115"/>
      <c r="AQ1813" s="93"/>
      <c r="AR1813" s="93"/>
      <c r="AS1813" s="94"/>
      <c r="AT1813" s="95"/>
      <c r="AU1813" s="79"/>
      <c r="AV1813" s="117"/>
      <c r="AW1813" s="115"/>
      <c r="AX1813" s="106"/>
      <c r="AY1813" s="104"/>
      <c r="AZ1813" s="105"/>
    </row>
    <row r="1814" customHeight="1" spans="1:52">
      <c r="A1814" s="70">
        <v>1829</v>
      </c>
      <c r="B1814" s="204" t="s">
        <v>4128</v>
      </c>
      <c r="C1814" s="70" t="s">
        <v>13</v>
      </c>
      <c r="D1814" s="205" t="s">
        <v>4975</v>
      </c>
      <c r="E1814" s="71" t="s">
        <v>76</v>
      </c>
      <c r="F1814" s="72"/>
      <c r="G1814" s="73"/>
      <c r="H1814" s="75"/>
      <c r="I1814" s="102">
        <v>46219</v>
      </c>
      <c r="J1814" s="70">
        <v>3</v>
      </c>
      <c r="K1814" s="106" t="s">
        <v>4976</v>
      </c>
      <c r="L1814" s="104">
        <f t="shared" ref="L1814:L1825" si="481">EDATE(I1814,J1814)</f>
        <v>46311</v>
      </c>
      <c r="M1814" s="105">
        <f ca="1" t="shared" ref="M1814:M1825" si="482">L1814-TODAY()</f>
        <v>-2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104">
        <f t="shared" si="479"/>
        <v>0</v>
      </c>
      <c r="Z1814" s="105">
        <f ca="1" t="shared" si="480"/>
        <v>-46313</v>
      </c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5"/>
      <c r="AO1814" s="115"/>
      <c r="AP1814" s="115"/>
      <c r="AQ1814" s="93"/>
      <c r="AR1814" s="93"/>
      <c r="AS1814" s="94"/>
      <c r="AT1814" s="95"/>
      <c r="AU1814" s="79"/>
      <c r="AV1814" s="117"/>
      <c r="AW1814" s="115"/>
      <c r="AX1814" s="106"/>
      <c r="AY1814" s="104"/>
      <c r="AZ1814" s="105"/>
    </row>
    <row r="1815" customHeight="1" spans="1:52">
      <c r="A1815" s="70">
        <v>1830</v>
      </c>
      <c r="B1815" s="204" t="s">
        <v>4128</v>
      </c>
      <c r="C1815" s="70" t="s">
        <v>38</v>
      </c>
      <c r="D1815" s="205" t="s">
        <v>4977</v>
      </c>
      <c r="E1815" s="71" t="s">
        <v>189</v>
      </c>
      <c r="F1815" s="72"/>
      <c r="G1815" s="73"/>
      <c r="H1815" s="74" t="s">
        <v>16</v>
      </c>
      <c r="I1815" s="102">
        <v>46219</v>
      </c>
      <c r="J1815" s="70">
        <v>3</v>
      </c>
      <c r="K1815" s="106" t="s">
        <v>4978</v>
      </c>
      <c r="L1815" s="104">
        <f t="shared" si="481"/>
        <v>46311</v>
      </c>
      <c r="M1815" s="105">
        <f ca="1" t="shared" si="482"/>
        <v>-2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104">
        <f t="shared" si="479"/>
        <v>0</v>
      </c>
      <c r="Z1815" s="105">
        <f ca="1" t="shared" si="480"/>
        <v>-46313</v>
      </c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5"/>
      <c r="AO1815" s="115"/>
      <c r="AP1815" s="115"/>
      <c r="AQ1815" s="93"/>
      <c r="AR1815" s="93"/>
      <c r="AS1815" s="94"/>
      <c r="AT1815" s="95"/>
      <c r="AU1815" s="79"/>
      <c r="AV1815" s="117"/>
      <c r="AW1815" s="115"/>
      <c r="AX1815" s="106"/>
      <c r="AY1815" s="104"/>
      <c r="AZ1815" s="105"/>
    </row>
    <row r="1816" customHeight="1" spans="1:52">
      <c r="A1816" s="70">
        <v>1831</v>
      </c>
      <c r="B1816" s="204" t="s">
        <v>798</v>
      </c>
      <c r="C1816" s="70" t="s">
        <v>38</v>
      </c>
      <c r="D1816" s="205" t="s">
        <v>4979</v>
      </c>
      <c r="E1816" s="71" t="s">
        <v>3387</v>
      </c>
      <c r="F1816" s="72"/>
      <c r="G1816" s="73"/>
      <c r="H1816" s="74" t="s">
        <v>16</v>
      </c>
      <c r="I1816" s="102">
        <v>46219</v>
      </c>
      <c r="J1816" s="70">
        <v>3</v>
      </c>
      <c r="K1816" s="106" t="s">
        <v>4980</v>
      </c>
      <c r="L1816" s="104">
        <f t="shared" si="481"/>
        <v>46311</v>
      </c>
      <c r="M1816" s="105">
        <f ca="1" t="shared" si="482"/>
        <v>-2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104">
        <f t="shared" si="479"/>
        <v>0</v>
      </c>
      <c r="Z1816" s="105">
        <f ca="1" t="shared" si="480"/>
        <v>-46313</v>
      </c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5"/>
      <c r="AO1816" s="115"/>
      <c r="AP1816" s="115"/>
      <c r="AQ1816" s="93"/>
      <c r="AR1816" s="93"/>
      <c r="AS1816" s="94"/>
      <c r="AT1816" s="95"/>
      <c r="AU1816" s="79"/>
      <c r="AV1816" s="117"/>
      <c r="AW1816" s="115"/>
      <c r="AX1816" s="106"/>
      <c r="AY1816" s="104"/>
      <c r="AZ1816" s="105"/>
    </row>
    <row r="1817" customHeight="1" spans="1:52">
      <c r="A1817" s="70">
        <v>1832</v>
      </c>
      <c r="B1817" s="204" t="s">
        <v>798</v>
      </c>
      <c r="C1817" s="70" t="s">
        <v>38</v>
      </c>
      <c r="D1817" s="205" t="s">
        <v>4981</v>
      </c>
      <c r="E1817" s="71" t="s">
        <v>3936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4982</v>
      </c>
      <c r="L1817" s="104">
        <f t="shared" si="481"/>
        <v>46311</v>
      </c>
      <c r="M1817" s="105">
        <f ca="1" t="shared" si="482"/>
        <v>-2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104">
        <f t="shared" si="479"/>
        <v>0</v>
      </c>
      <c r="Z1817" s="105">
        <f ca="1" t="shared" si="480"/>
        <v>-46313</v>
      </c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5"/>
      <c r="AO1817" s="115"/>
      <c r="AP1817" s="115"/>
      <c r="AQ1817" s="93"/>
      <c r="AR1817" s="93"/>
      <c r="AS1817" s="94"/>
      <c r="AT1817" s="95"/>
      <c r="AU1817" s="79"/>
      <c r="AV1817" s="117"/>
      <c r="AW1817" s="115"/>
      <c r="AX1817" s="106"/>
      <c r="AY1817" s="104"/>
      <c r="AZ1817" s="105"/>
    </row>
    <row r="1818" customHeight="1" spans="1:52">
      <c r="A1818" s="70">
        <v>1833</v>
      </c>
      <c r="B1818" s="70" t="s">
        <v>4983</v>
      </c>
      <c r="C1818" s="70" t="s">
        <v>38</v>
      </c>
      <c r="D1818" s="71" t="s">
        <v>4984</v>
      </c>
      <c r="E1818" s="71" t="s">
        <v>332</v>
      </c>
      <c r="F1818" s="72"/>
      <c r="G1818" s="73"/>
      <c r="H1818" s="75"/>
      <c r="I1818" s="102">
        <v>46219</v>
      </c>
      <c r="J1818" s="70">
        <v>3</v>
      </c>
      <c r="K1818" s="106" t="s">
        <v>4985</v>
      </c>
      <c r="L1818" s="104">
        <f t="shared" si="481"/>
        <v>46311</v>
      </c>
      <c r="M1818" s="105">
        <f ca="1" t="shared" si="482"/>
        <v>-2</v>
      </c>
      <c r="N1818" s="70"/>
      <c r="O1818" s="70" t="s">
        <v>4983</v>
      </c>
      <c r="P1818" s="70" t="s">
        <v>38</v>
      </c>
      <c r="Q1818" s="71" t="s">
        <v>4984</v>
      </c>
      <c r="R1818" s="71" t="s">
        <v>332</v>
      </c>
      <c r="S1818" s="72"/>
      <c r="T1818" s="73"/>
      <c r="U1818" s="75"/>
      <c r="V1818" s="102">
        <v>46300</v>
      </c>
      <c r="W1818" s="70">
        <v>3</v>
      </c>
      <c r="X1818" s="103" t="s">
        <v>4986</v>
      </c>
      <c r="Y1818" s="104">
        <f t="shared" si="479"/>
        <v>46392</v>
      </c>
      <c r="Z1818" s="105">
        <f ca="1" t="shared" si="480"/>
        <v>79</v>
      </c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5"/>
      <c r="AO1818" s="115"/>
      <c r="AP1818" s="115"/>
      <c r="AQ1818" s="93"/>
      <c r="AR1818" s="93"/>
      <c r="AS1818" s="94"/>
      <c r="AT1818" s="95"/>
      <c r="AU1818" s="79"/>
      <c r="AV1818" s="117"/>
      <c r="AW1818" s="115"/>
      <c r="AX1818" s="106"/>
      <c r="AY1818" s="104"/>
      <c r="AZ1818" s="105"/>
    </row>
    <row r="1819" customHeight="1" spans="1:52">
      <c r="A1819" s="70">
        <v>1834</v>
      </c>
      <c r="B1819" s="70" t="s">
        <v>1399</v>
      </c>
      <c r="C1819" s="70" t="s">
        <v>374</v>
      </c>
      <c r="D1819" s="71" t="s">
        <v>4987</v>
      </c>
      <c r="E1819" s="71" t="s">
        <v>883</v>
      </c>
      <c r="F1819" s="72"/>
      <c r="G1819" s="73"/>
      <c r="H1819" s="75"/>
      <c r="I1819" s="102">
        <v>46219</v>
      </c>
      <c r="J1819" s="70">
        <v>3</v>
      </c>
      <c r="K1819" s="106" t="s">
        <v>4988</v>
      </c>
      <c r="L1819" s="104">
        <f t="shared" si="481"/>
        <v>46311</v>
      </c>
      <c r="M1819" s="105">
        <f ca="1" t="shared" si="482"/>
        <v>-2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104">
        <f t="shared" si="479"/>
        <v>0</v>
      </c>
      <c r="Z1819" s="105">
        <f ca="1" t="shared" si="480"/>
        <v>-46313</v>
      </c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5"/>
      <c r="AO1819" s="115"/>
      <c r="AP1819" s="115"/>
      <c r="AQ1819" s="93"/>
      <c r="AR1819" s="93"/>
      <c r="AS1819" s="94"/>
      <c r="AT1819" s="95"/>
      <c r="AU1819" s="79"/>
      <c r="AV1819" s="117"/>
      <c r="AW1819" s="115"/>
      <c r="AX1819" s="106"/>
      <c r="AY1819" s="104"/>
      <c r="AZ1819" s="105"/>
    </row>
    <row r="1820" customHeight="1" spans="1:52">
      <c r="A1820" s="70">
        <v>1835</v>
      </c>
      <c r="B1820" s="204" t="s">
        <v>366</v>
      </c>
      <c r="C1820" s="70" t="s">
        <v>264</v>
      </c>
      <c r="D1820" s="205" t="s">
        <v>367</v>
      </c>
      <c r="E1820" s="71" t="s">
        <v>368</v>
      </c>
      <c r="F1820" s="72"/>
      <c r="G1820" s="73"/>
      <c r="H1820" s="75"/>
      <c r="I1820" s="102">
        <v>46219</v>
      </c>
      <c r="J1820" s="70" t="s">
        <v>767</v>
      </c>
      <c r="K1820" s="106"/>
      <c r="L1820" s="104" t="e">
        <f t="shared" si="481"/>
        <v>#VALUE!</v>
      </c>
      <c r="M1820" s="105" t="e">
        <f ca="1" t="shared" si="482"/>
        <v>#VALUE!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104">
        <f t="shared" si="479"/>
        <v>0</v>
      </c>
      <c r="Z1820" s="105">
        <f ca="1" t="shared" si="480"/>
        <v>-46313</v>
      </c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5"/>
      <c r="AO1820" s="115"/>
      <c r="AP1820" s="115"/>
      <c r="AQ1820" s="93"/>
      <c r="AR1820" s="93"/>
      <c r="AS1820" s="94"/>
      <c r="AT1820" s="95"/>
      <c r="AU1820" s="79"/>
      <c r="AV1820" s="117"/>
      <c r="AW1820" s="115"/>
      <c r="AX1820" s="106"/>
      <c r="AY1820" s="104"/>
      <c r="AZ1820" s="105"/>
    </row>
    <row r="1821" customHeight="1" spans="1:52">
      <c r="A1821" s="70">
        <v>1836</v>
      </c>
      <c r="B1821" s="204" t="s">
        <v>263</v>
      </c>
      <c r="C1821" s="70" t="s">
        <v>264</v>
      </c>
      <c r="D1821" s="205" t="s">
        <v>2433</v>
      </c>
      <c r="E1821" s="71" t="s">
        <v>753</v>
      </c>
      <c r="F1821" s="72"/>
      <c r="G1821" s="73"/>
      <c r="H1821" s="75"/>
      <c r="I1821" s="102">
        <v>46219</v>
      </c>
      <c r="J1821" s="70" t="s">
        <v>767</v>
      </c>
      <c r="K1821" s="106"/>
      <c r="L1821" s="104" t="e">
        <f t="shared" si="481"/>
        <v>#VALUE!</v>
      </c>
      <c r="M1821" s="105" t="e">
        <f ca="1" t="shared" si="482"/>
        <v>#VALUE!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104">
        <f t="shared" si="479"/>
        <v>0</v>
      </c>
      <c r="Z1821" s="105">
        <f ca="1" t="shared" si="480"/>
        <v>-46313</v>
      </c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5"/>
      <c r="AO1821" s="115"/>
      <c r="AP1821" s="115"/>
      <c r="AQ1821" s="93"/>
      <c r="AR1821" s="93"/>
      <c r="AS1821" s="94"/>
      <c r="AT1821" s="95"/>
      <c r="AU1821" s="79"/>
      <c r="AV1821" s="117"/>
      <c r="AW1821" s="115"/>
      <c r="AX1821" s="106"/>
      <c r="AY1821" s="104"/>
      <c r="AZ1821" s="105"/>
    </row>
    <row r="1822" customHeight="1" spans="1:52">
      <c r="A1822" s="70">
        <v>1837</v>
      </c>
      <c r="B1822" s="204" t="s">
        <v>1359</v>
      </c>
      <c r="C1822" s="70" t="s">
        <v>13</v>
      </c>
      <c r="D1822" s="205" t="s">
        <v>2848</v>
      </c>
      <c r="E1822" s="71" t="s">
        <v>2849</v>
      </c>
      <c r="F1822" s="72"/>
      <c r="G1822" s="73"/>
      <c r="H1822" s="75"/>
      <c r="I1822" s="102">
        <v>46219</v>
      </c>
      <c r="J1822" s="70" t="s">
        <v>767</v>
      </c>
      <c r="K1822" s="106"/>
      <c r="L1822" s="104" t="e">
        <f t="shared" si="481"/>
        <v>#VALUE!</v>
      </c>
      <c r="M1822" s="105" t="e">
        <f ca="1" t="shared" si="482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104">
        <f t="shared" si="479"/>
        <v>0</v>
      </c>
      <c r="Z1822" s="105">
        <f ca="1" t="shared" si="480"/>
        <v>-46313</v>
      </c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5"/>
      <c r="AO1822" s="115"/>
      <c r="AP1822" s="115"/>
      <c r="AQ1822" s="93"/>
      <c r="AR1822" s="93"/>
      <c r="AS1822" s="94"/>
      <c r="AT1822" s="95"/>
      <c r="AU1822" s="79"/>
      <c r="AV1822" s="117"/>
      <c r="AW1822" s="115"/>
      <c r="AX1822" s="106"/>
      <c r="AY1822" s="104"/>
      <c r="AZ1822" s="105"/>
    </row>
    <row r="1823" customHeight="1" spans="1:52">
      <c r="A1823" s="70">
        <v>1838</v>
      </c>
      <c r="B1823" s="204" t="s">
        <v>1359</v>
      </c>
      <c r="C1823" s="70" t="s">
        <v>13</v>
      </c>
      <c r="D1823" s="205" t="s">
        <v>2775</v>
      </c>
      <c r="E1823" s="71" t="s">
        <v>2776</v>
      </c>
      <c r="F1823" s="72"/>
      <c r="G1823" s="73"/>
      <c r="H1823" s="75"/>
      <c r="I1823" s="102">
        <v>46219</v>
      </c>
      <c r="J1823" s="70" t="s">
        <v>767</v>
      </c>
      <c r="K1823" s="106"/>
      <c r="L1823" s="104" t="e">
        <f t="shared" si="481"/>
        <v>#VALUE!</v>
      </c>
      <c r="M1823" s="105" t="e">
        <f ca="1" t="shared" si="482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104">
        <f t="shared" si="479"/>
        <v>0</v>
      </c>
      <c r="Z1823" s="105">
        <f ca="1" t="shared" si="480"/>
        <v>-46313</v>
      </c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5"/>
      <c r="AO1823" s="115"/>
      <c r="AP1823" s="115"/>
      <c r="AQ1823" s="93"/>
      <c r="AR1823" s="93"/>
      <c r="AS1823" s="94"/>
      <c r="AT1823" s="95"/>
      <c r="AU1823" s="79"/>
      <c r="AV1823" s="117"/>
      <c r="AW1823" s="115"/>
      <c r="AX1823" s="106"/>
      <c r="AY1823" s="104"/>
      <c r="AZ1823" s="105"/>
    </row>
    <row r="1824" customHeight="1" spans="1:52">
      <c r="A1824" s="70">
        <v>1839</v>
      </c>
      <c r="B1824" s="204" t="s">
        <v>1359</v>
      </c>
      <c r="C1824" s="70" t="s">
        <v>13</v>
      </c>
      <c r="D1824" s="205" t="s">
        <v>2779</v>
      </c>
      <c r="E1824" s="71" t="s">
        <v>2780</v>
      </c>
      <c r="F1824" s="72"/>
      <c r="G1824" s="73"/>
      <c r="H1824" s="75"/>
      <c r="I1824" s="102">
        <v>46219</v>
      </c>
      <c r="J1824" s="70" t="s">
        <v>767</v>
      </c>
      <c r="K1824" s="106"/>
      <c r="L1824" s="104" t="e">
        <f t="shared" si="481"/>
        <v>#VALUE!</v>
      </c>
      <c r="M1824" s="105" t="e">
        <f ca="1" t="shared" si="482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104">
        <f t="shared" si="479"/>
        <v>0</v>
      </c>
      <c r="Z1824" s="105">
        <f ca="1" t="shared" si="480"/>
        <v>-46313</v>
      </c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5"/>
      <c r="AO1824" s="115"/>
      <c r="AP1824" s="115"/>
      <c r="AQ1824" s="93"/>
      <c r="AR1824" s="93"/>
      <c r="AS1824" s="94"/>
      <c r="AT1824" s="95"/>
      <c r="AU1824" s="79"/>
      <c r="AV1824" s="117"/>
      <c r="AW1824" s="115"/>
      <c r="AX1824" s="106"/>
      <c r="AY1824" s="104"/>
      <c r="AZ1824" s="105"/>
    </row>
    <row r="1825" customHeight="1" spans="1:52">
      <c r="A1825" s="70">
        <v>1840</v>
      </c>
      <c r="B1825" s="204" t="s">
        <v>1359</v>
      </c>
      <c r="C1825" s="70" t="s">
        <v>13</v>
      </c>
      <c r="D1825" s="205" t="s">
        <v>2622</v>
      </c>
      <c r="E1825" s="71" t="s">
        <v>2813</v>
      </c>
      <c r="F1825" s="72"/>
      <c r="G1825" s="73"/>
      <c r="H1825" s="75"/>
      <c r="I1825" s="102">
        <v>46219</v>
      </c>
      <c r="J1825" s="70" t="s">
        <v>767</v>
      </c>
      <c r="K1825" s="106"/>
      <c r="L1825" s="104" t="e">
        <f t="shared" ref="L1825:L1839" si="483">EDATE(I1825,J1825)</f>
        <v>#VALUE!</v>
      </c>
      <c r="M1825" s="105" t="e">
        <f ca="1" t="shared" ref="M1825:M1839" si="484">L1825-TODAY()</f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104">
        <f t="shared" si="479"/>
        <v>0</v>
      </c>
      <c r="Z1825" s="105">
        <f ca="1" t="shared" si="480"/>
        <v>-46313</v>
      </c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5"/>
      <c r="AO1825" s="115"/>
      <c r="AP1825" s="115"/>
      <c r="AQ1825" s="93"/>
      <c r="AR1825" s="93"/>
      <c r="AS1825" s="94"/>
      <c r="AT1825" s="95"/>
      <c r="AU1825" s="79"/>
      <c r="AV1825" s="117"/>
      <c r="AW1825" s="115"/>
      <c r="AX1825" s="106"/>
      <c r="AY1825" s="104"/>
      <c r="AZ1825" s="105"/>
    </row>
    <row r="1826" customHeight="1" spans="1:52">
      <c r="A1826" s="70">
        <v>1841</v>
      </c>
      <c r="B1826" s="204" t="s">
        <v>4989</v>
      </c>
      <c r="C1826" s="70" t="s">
        <v>374</v>
      </c>
      <c r="D1826" s="205" t="s">
        <v>375</v>
      </c>
      <c r="E1826" s="71" t="s">
        <v>376</v>
      </c>
      <c r="F1826" s="72"/>
      <c r="G1826" s="73"/>
      <c r="H1826" s="75"/>
      <c r="I1826" s="102">
        <v>46220</v>
      </c>
      <c r="J1826" s="70">
        <v>3</v>
      </c>
      <c r="K1826" s="106" t="s">
        <v>4990</v>
      </c>
      <c r="L1826" s="104">
        <f t="shared" si="483"/>
        <v>46312</v>
      </c>
      <c r="M1826" s="105">
        <f ca="1" t="shared" si="484"/>
        <v>-1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104">
        <f t="shared" si="479"/>
        <v>0</v>
      </c>
      <c r="Z1826" s="105">
        <f ca="1" t="shared" si="480"/>
        <v>-46313</v>
      </c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5"/>
      <c r="AO1826" s="115"/>
      <c r="AP1826" s="115"/>
      <c r="AQ1826" s="93"/>
      <c r="AR1826" s="93"/>
      <c r="AS1826" s="94"/>
      <c r="AT1826" s="95"/>
      <c r="AU1826" s="79"/>
      <c r="AV1826" s="117"/>
      <c r="AW1826" s="115"/>
      <c r="AX1826" s="106"/>
      <c r="AY1826" s="104"/>
      <c r="AZ1826" s="105"/>
    </row>
    <row r="1827" customHeight="1" spans="1:52">
      <c r="A1827" s="70">
        <v>1842</v>
      </c>
      <c r="B1827" s="204" t="s">
        <v>4989</v>
      </c>
      <c r="C1827" s="70" t="s">
        <v>374</v>
      </c>
      <c r="D1827" s="205" t="s">
        <v>383</v>
      </c>
      <c r="E1827" s="71" t="s">
        <v>381</v>
      </c>
      <c r="F1827" s="72"/>
      <c r="G1827" s="73"/>
      <c r="H1827" s="75"/>
      <c r="I1827" s="102">
        <v>46220</v>
      </c>
      <c r="J1827" s="70">
        <v>3</v>
      </c>
      <c r="K1827" s="106" t="s">
        <v>4991</v>
      </c>
      <c r="L1827" s="104">
        <f t="shared" si="483"/>
        <v>46312</v>
      </c>
      <c r="M1827" s="105">
        <f ca="1" t="shared" si="484"/>
        <v>-1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6"/>
      <c r="Z1827" s="13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5"/>
      <c r="AO1827" s="115"/>
      <c r="AP1827" s="115"/>
      <c r="AQ1827" s="93"/>
      <c r="AR1827" s="93"/>
      <c r="AS1827" s="94"/>
      <c r="AT1827" s="95"/>
      <c r="AU1827" s="79"/>
      <c r="AV1827" s="117"/>
      <c r="AW1827" s="115"/>
      <c r="AX1827" s="106"/>
      <c r="AY1827" s="104"/>
      <c r="AZ1827" s="105"/>
    </row>
    <row r="1828" customHeight="1" spans="1:52">
      <c r="A1828" s="70">
        <v>1843</v>
      </c>
      <c r="B1828" s="204" t="s">
        <v>1359</v>
      </c>
      <c r="C1828" s="70" t="s">
        <v>13</v>
      </c>
      <c r="D1828" s="205" t="s">
        <v>2718</v>
      </c>
      <c r="E1828" s="71" t="s">
        <v>2719</v>
      </c>
      <c r="F1828" s="72"/>
      <c r="G1828" s="73"/>
      <c r="H1828" s="75"/>
      <c r="I1828" s="102">
        <v>46220</v>
      </c>
      <c r="J1828" s="70" t="s">
        <v>767</v>
      </c>
      <c r="K1828" s="106"/>
      <c r="L1828" s="104" t="e">
        <f t="shared" si="483"/>
        <v>#VALUE!</v>
      </c>
      <c r="M1828" s="105" t="e">
        <f ca="1" t="shared" si="484"/>
        <v>#VALUE!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6"/>
      <c r="Z1828" s="13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5"/>
      <c r="AO1828" s="115"/>
      <c r="AP1828" s="115"/>
      <c r="AQ1828" s="93"/>
      <c r="AR1828" s="93"/>
      <c r="AS1828" s="94"/>
      <c r="AT1828" s="95"/>
      <c r="AU1828" s="79"/>
      <c r="AV1828" s="117"/>
      <c r="AW1828" s="115"/>
      <c r="AX1828" s="106"/>
      <c r="AY1828" s="104"/>
      <c r="AZ1828" s="105"/>
    </row>
    <row r="1829" customHeight="1" spans="1:52">
      <c r="A1829" s="70">
        <v>1844</v>
      </c>
      <c r="B1829" s="204" t="s">
        <v>1359</v>
      </c>
      <c r="C1829" s="70" t="s">
        <v>13</v>
      </c>
      <c r="D1829" s="205" t="s">
        <v>2714</v>
      </c>
      <c r="E1829" s="71" t="s">
        <v>2715</v>
      </c>
      <c r="F1829" s="72"/>
      <c r="G1829" s="73"/>
      <c r="H1829" s="75"/>
      <c r="I1829" s="102">
        <v>46220</v>
      </c>
      <c r="J1829" s="70" t="s">
        <v>767</v>
      </c>
      <c r="K1829" s="106"/>
      <c r="L1829" s="104" t="e">
        <f t="shared" si="483"/>
        <v>#VALUE!</v>
      </c>
      <c r="M1829" s="105" t="e">
        <f ca="1" t="shared" si="484"/>
        <v>#VALUE!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6"/>
      <c r="Z1829" s="13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5"/>
      <c r="AO1829" s="115"/>
      <c r="AP1829" s="115"/>
      <c r="AQ1829" s="93"/>
      <c r="AR1829" s="93"/>
      <c r="AS1829" s="94"/>
      <c r="AT1829" s="95"/>
      <c r="AU1829" s="79"/>
      <c r="AV1829" s="117"/>
      <c r="AW1829" s="115"/>
      <c r="AX1829" s="106"/>
      <c r="AY1829" s="104"/>
      <c r="AZ1829" s="105"/>
    </row>
    <row r="1830" customHeight="1" spans="1:52">
      <c r="A1830" s="70">
        <v>1845</v>
      </c>
      <c r="B1830" s="204" t="s">
        <v>1359</v>
      </c>
      <c r="C1830" s="70" t="s">
        <v>13</v>
      </c>
      <c r="D1830" s="205" t="s">
        <v>2858</v>
      </c>
      <c r="E1830" s="71" t="s">
        <v>2859</v>
      </c>
      <c r="F1830" s="72"/>
      <c r="G1830" s="73"/>
      <c r="H1830" s="75"/>
      <c r="I1830" s="102">
        <v>46220</v>
      </c>
      <c r="J1830" s="70" t="s">
        <v>767</v>
      </c>
      <c r="K1830" s="106"/>
      <c r="L1830" s="104" t="e">
        <f t="shared" si="483"/>
        <v>#VALUE!</v>
      </c>
      <c r="M1830" s="105" t="e">
        <f ca="1" t="shared" si="484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6"/>
      <c r="Z1830" s="13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5"/>
      <c r="AO1830" s="115"/>
      <c r="AP1830" s="115"/>
      <c r="AQ1830" s="93"/>
      <c r="AR1830" s="93"/>
      <c r="AS1830" s="94"/>
      <c r="AT1830" s="95"/>
      <c r="AU1830" s="79"/>
      <c r="AV1830" s="117"/>
      <c r="AW1830" s="115"/>
      <c r="AX1830" s="106"/>
      <c r="AY1830" s="104"/>
      <c r="AZ1830" s="105"/>
    </row>
    <row r="1831" customHeight="1" spans="1:52">
      <c r="A1831" s="70">
        <v>1846</v>
      </c>
      <c r="B1831" s="204" t="s">
        <v>2120</v>
      </c>
      <c r="C1831" s="70" t="s">
        <v>38</v>
      </c>
      <c r="D1831" s="222" t="s">
        <v>4866</v>
      </c>
      <c r="E1831" s="71" t="s">
        <v>2122</v>
      </c>
      <c r="F1831" s="72"/>
      <c r="G1831" s="73"/>
      <c r="H1831" s="75"/>
      <c r="I1831" s="102">
        <v>46220</v>
      </c>
      <c r="J1831" s="70" t="s">
        <v>434</v>
      </c>
      <c r="K1831" s="106" t="s">
        <v>4992</v>
      </c>
      <c r="L1831" s="104" t="e">
        <f t="shared" si="483"/>
        <v>#VALUE!</v>
      </c>
      <c r="M1831" s="105" t="e">
        <f ca="1" t="shared" si="484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6"/>
      <c r="Z1831" s="13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5"/>
      <c r="AO1831" s="115"/>
      <c r="AP1831" s="115"/>
      <c r="AQ1831" s="93"/>
      <c r="AR1831" s="93"/>
      <c r="AS1831" s="94"/>
      <c r="AT1831" s="95"/>
      <c r="AU1831" s="79"/>
      <c r="AV1831" s="117"/>
      <c r="AW1831" s="115"/>
      <c r="AX1831" s="106"/>
      <c r="AY1831" s="104"/>
      <c r="AZ1831" s="105"/>
    </row>
    <row r="1832" customHeight="1" spans="1:52">
      <c r="A1832" s="70">
        <v>1847</v>
      </c>
      <c r="B1832" s="204" t="s">
        <v>4961</v>
      </c>
      <c r="C1832" s="70" t="s">
        <v>13</v>
      </c>
      <c r="D1832" s="205" t="s">
        <v>4993</v>
      </c>
      <c r="E1832" s="71" t="s">
        <v>4994</v>
      </c>
      <c r="F1832" s="72"/>
      <c r="G1832" s="73"/>
      <c r="H1832" s="75"/>
      <c r="I1832" s="102">
        <v>46221</v>
      </c>
      <c r="J1832" s="70">
        <v>3</v>
      </c>
      <c r="K1832" s="106" t="s">
        <v>4995</v>
      </c>
      <c r="L1832" s="104">
        <f t="shared" si="483"/>
        <v>46313</v>
      </c>
      <c r="M1832" s="105">
        <f ca="1" t="shared" si="484"/>
        <v>0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6"/>
      <c r="Z1832" s="13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5"/>
      <c r="AO1832" s="115"/>
      <c r="AP1832" s="115"/>
      <c r="AQ1832" s="93"/>
      <c r="AR1832" s="93"/>
      <c r="AS1832" s="94"/>
      <c r="AT1832" s="95"/>
      <c r="AU1832" s="79"/>
      <c r="AV1832" s="117"/>
      <c r="AW1832" s="115"/>
      <c r="AX1832" s="106"/>
      <c r="AY1832" s="104"/>
      <c r="AZ1832" s="105"/>
    </row>
    <row r="1833" customHeight="1" spans="1:52">
      <c r="A1833" s="70">
        <v>1848</v>
      </c>
      <c r="B1833" s="204" t="s">
        <v>881</v>
      </c>
      <c r="C1833" s="70" t="s">
        <v>374</v>
      </c>
      <c r="D1833" s="205" t="s">
        <v>4996</v>
      </c>
      <c r="E1833" s="71" t="s">
        <v>883</v>
      </c>
      <c r="F1833" s="72"/>
      <c r="G1833" s="73"/>
      <c r="H1833" s="74" t="s">
        <v>16</v>
      </c>
      <c r="I1833" s="102">
        <v>46221</v>
      </c>
      <c r="J1833" s="70">
        <v>3</v>
      </c>
      <c r="K1833" s="106" t="s">
        <v>4997</v>
      </c>
      <c r="L1833" s="104">
        <f t="shared" si="483"/>
        <v>46313</v>
      </c>
      <c r="M1833" s="105">
        <f ca="1" t="shared" si="484"/>
        <v>0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6"/>
      <c r="Z1833" s="13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5"/>
      <c r="AO1833" s="115"/>
      <c r="AP1833" s="115"/>
      <c r="AQ1833" s="93"/>
      <c r="AR1833" s="93"/>
      <c r="AS1833" s="94"/>
      <c r="AT1833" s="95"/>
      <c r="AU1833" s="79"/>
      <c r="AV1833" s="117"/>
      <c r="AW1833" s="115"/>
      <c r="AX1833" s="106"/>
      <c r="AY1833" s="104"/>
      <c r="AZ1833" s="105"/>
    </row>
    <row r="1834" customHeight="1" spans="1:52">
      <c r="A1834" s="70">
        <v>1849</v>
      </c>
      <c r="B1834" s="70" t="s">
        <v>1752</v>
      </c>
      <c r="C1834" s="70" t="s">
        <v>374</v>
      </c>
      <c r="D1834" s="71" t="s">
        <v>4998</v>
      </c>
      <c r="E1834" s="71" t="s">
        <v>4999</v>
      </c>
      <c r="F1834" s="72"/>
      <c r="G1834" s="73"/>
      <c r="H1834" s="74" t="s">
        <v>16</v>
      </c>
      <c r="I1834" s="102">
        <v>46221</v>
      </c>
      <c r="J1834" s="70">
        <v>3</v>
      </c>
      <c r="K1834" s="106" t="s">
        <v>5000</v>
      </c>
      <c r="L1834" s="104">
        <f t="shared" si="483"/>
        <v>46313</v>
      </c>
      <c r="M1834" s="105">
        <f ca="1" t="shared" si="484"/>
        <v>0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6"/>
      <c r="Z1834" s="13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5"/>
      <c r="AO1834" s="115"/>
      <c r="AP1834" s="115"/>
      <c r="AQ1834" s="93"/>
      <c r="AR1834" s="93"/>
      <c r="AS1834" s="94"/>
      <c r="AT1834" s="95"/>
      <c r="AU1834" s="79"/>
      <c r="AV1834" s="117"/>
      <c r="AW1834" s="115"/>
      <c r="AX1834" s="106"/>
      <c r="AY1834" s="104"/>
      <c r="AZ1834" s="105"/>
    </row>
    <row r="1835" customHeight="1" spans="1:52">
      <c r="A1835" s="70">
        <v>1850</v>
      </c>
      <c r="B1835" s="204" t="s">
        <v>1359</v>
      </c>
      <c r="C1835" s="70" t="s">
        <v>13</v>
      </c>
      <c r="D1835" s="205" t="s">
        <v>2848</v>
      </c>
      <c r="E1835" s="71" t="s">
        <v>2849</v>
      </c>
      <c r="F1835" s="72"/>
      <c r="G1835" s="73"/>
      <c r="H1835" s="75"/>
      <c r="I1835" s="102">
        <v>46221</v>
      </c>
      <c r="J1835" s="70" t="s">
        <v>767</v>
      </c>
      <c r="K1835" s="106" t="s">
        <v>5001</v>
      </c>
      <c r="L1835" s="104" t="e">
        <f t="shared" si="483"/>
        <v>#VALUE!</v>
      </c>
      <c r="M1835" s="105" t="e">
        <f ca="1" t="shared" si="484"/>
        <v>#VALUE!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6"/>
      <c r="Z1835" s="13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5"/>
      <c r="AO1835" s="115"/>
      <c r="AP1835" s="115"/>
      <c r="AQ1835" s="93"/>
      <c r="AR1835" s="93"/>
      <c r="AS1835" s="94"/>
      <c r="AT1835" s="95"/>
      <c r="AU1835" s="79"/>
      <c r="AV1835" s="117"/>
      <c r="AW1835" s="115"/>
      <c r="AX1835" s="106"/>
      <c r="AY1835" s="104"/>
      <c r="AZ1835" s="105"/>
    </row>
    <row r="1836" customHeight="1" spans="1:52">
      <c r="A1836" s="70">
        <v>1851</v>
      </c>
      <c r="B1836" s="204" t="s">
        <v>1359</v>
      </c>
      <c r="C1836" s="70" t="s">
        <v>13</v>
      </c>
      <c r="D1836" s="205" t="s">
        <v>2718</v>
      </c>
      <c r="E1836" s="71" t="s">
        <v>2719</v>
      </c>
      <c r="F1836" s="72"/>
      <c r="G1836" s="73"/>
      <c r="H1836" s="75"/>
      <c r="I1836" s="102">
        <v>46221</v>
      </c>
      <c r="J1836" s="70" t="s">
        <v>767</v>
      </c>
      <c r="K1836" s="106" t="s">
        <v>5002</v>
      </c>
      <c r="L1836" s="104" t="e">
        <f t="shared" si="483"/>
        <v>#VALUE!</v>
      </c>
      <c r="M1836" s="105" t="e">
        <f ca="1" t="shared" si="484"/>
        <v>#VALUE!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6"/>
      <c r="Z1836" s="13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5"/>
      <c r="AO1836" s="115"/>
      <c r="AP1836" s="115"/>
      <c r="AQ1836" s="93"/>
      <c r="AR1836" s="93"/>
      <c r="AS1836" s="94"/>
      <c r="AT1836" s="95"/>
      <c r="AU1836" s="79"/>
      <c r="AV1836" s="117"/>
      <c r="AW1836" s="115"/>
      <c r="AX1836" s="106"/>
      <c r="AY1836" s="104"/>
      <c r="AZ1836" s="105"/>
    </row>
    <row r="1837" customHeight="1" spans="1:52">
      <c r="A1837" s="70">
        <v>1852</v>
      </c>
      <c r="B1837" s="204" t="s">
        <v>1359</v>
      </c>
      <c r="C1837" s="70" t="s">
        <v>13</v>
      </c>
      <c r="D1837" s="205" t="s">
        <v>2714</v>
      </c>
      <c r="E1837" s="71" t="s">
        <v>2715</v>
      </c>
      <c r="F1837" s="72"/>
      <c r="G1837" s="73"/>
      <c r="H1837" s="75"/>
      <c r="I1837" s="102">
        <v>46221</v>
      </c>
      <c r="J1837" s="70" t="s">
        <v>767</v>
      </c>
      <c r="K1837" s="106" t="s">
        <v>5003</v>
      </c>
      <c r="L1837" s="104" t="e">
        <f t="shared" si="483"/>
        <v>#VALUE!</v>
      </c>
      <c r="M1837" s="105" t="e">
        <f ca="1" t="shared" si="484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6"/>
      <c r="Z1837" s="13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5"/>
      <c r="AO1837" s="115"/>
      <c r="AP1837" s="115"/>
      <c r="AQ1837" s="93"/>
      <c r="AR1837" s="93"/>
      <c r="AS1837" s="94"/>
      <c r="AT1837" s="95"/>
      <c r="AU1837" s="79"/>
      <c r="AV1837" s="117"/>
      <c r="AW1837" s="115"/>
      <c r="AX1837" s="106"/>
      <c r="AY1837" s="104"/>
      <c r="AZ1837" s="105"/>
    </row>
    <row r="1838" customHeight="1" spans="1:52">
      <c r="A1838" s="70">
        <v>1853</v>
      </c>
      <c r="B1838" s="70" t="s">
        <v>12</v>
      </c>
      <c r="C1838" s="70" t="s">
        <v>13</v>
      </c>
      <c r="D1838" s="71" t="s">
        <v>5004</v>
      </c>
      <c r="E1838" s="71" t="s">
        <v>126</v>
      </c>
      <c r="F1838" s="72"/>
      <c r="G1838" s="73"/>
      <c r="H1838" s="79" t="s">
        <v>16</v>
      </c>
      <c r="I1838" s="102">
        <v>46223</v>
      </c>
      <c r="J1838" s="70">
        <v>3</v>
      </c>
      <c r="K1838" s="106" t="s">
        <v>5005</v>
      </c>
      <c r="L1838" s="104">
        <f t="shared" si="483"/>
        <v>46315</v>
      </c>
      <c r="M1838" s="105">
        <f ca="1" t="shared" si="484"/>
        <v>2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104">
        <f t="shared" ref="Y1838:Y1852" si="485">EDATE(V1838,W1838)</f>
        <v>0</v>
      </c>
      <c r="Z1838" s="105">
        <f ca="1" t="shared" ref="Z1838:Z1852" si="486">Y1838-TODAY()</f>
        <v>-46313</v>
      </c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5"/>
      <c r="AO1838" s="115"/>
      <c r="AP1838" s="115"/>
      <c r="AQ1838" s="93"/>
      <c r="AR1838" s="93"/>
      <c r="AS1838" s="94"/>
      <c r="AT1838" s="95"/>
      <c r="AU1838" s="79"/>
      <c r="AV1838" s="117"/>
      <c r="AW1838" s="115"/>
      <c r="AX1838" s="106"/>
      <c r="AY1838" s="104"/>
      <c r="AZ1838" s="105"/>
    </row>
    <row r="1839" customHeight="1" spans="1:52">
      <c r="A1839" s="70">
        <v>1854</v>
      </c>
      <c r="B1839" s="70" t="s">
        <v>55</v>
      </c>
      <c r="C1839" s="70" t="s">
        <v>13</v>
      </c>
      <c r="D1839" s="71" t="s">
        <v>5006</v>
      </c>
      <c r="E1839" s="71" t="s">
        <v>3538</v>
      </c>
      <c r="F1839" s="72"/>
      <c r="G1839" s="73"/>
      <c r="H1839" s="74" t="s">
        <v>16</v>
      </c>
      <c r="I1839" s="102">
        <v>46223</v>
      </c>
      <c r="J1839" s="70">
        <v>3</v>
      </c>
      <c r="K1839" s="106" t="s">
        <v>5007</v>
      </c>
      <c r="L1839" s="104">
        <f t="shared" si="483"/>
        <v>46315</v>
      </c>
      <c r="M1839" s="105">
        <f ca="1" t="shared" si="484"/>
        <v>2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104">
        <f t="shared" si="485"/>
        <v>0</v>
      </c>
      <c r="Z1839" s="105">
        <f ca="1" t="shared" si="486"/>
        <v>-46313</v>
      </c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5"/>
      <c r="AO1839" s="115"/>
      <c r="AP1839" s="115"/>
      <c r="AQ1839" s="93"/>
      <c r="AR1839" s="93"/>
      <c r="AS1839" s="94"/>
      <c r="AT1839" s="95"/>
      <c r="AU1839" s="79"/>
      <c r="AV1839" s="117"/>
      <c r="AW1839" s="115"/>
      <c r="AX1839" s="106"/>
      <c r="AY1839" s="104"/>
      <c r="AZ1839" s="105"/>
    </row>
    <row r="1840" customHeight="1" spans="1:52">
      <c r="A1840" s="70">
        <v>1855</v>
      </c>
      <c r="B1840" s="70" t="s">
        <v>546</v>
      </c>
      <c r="C1840" s="70" t="s">
        <v>374</v>
      </c>
      <c r="D1840" s="71" t="s">
        <v>5008</v>
      </c>
      <c r="E1840" s="71" t="s">
        <v>3027</v>
      </c>
      <c r="F1840" s="72"/>
      <c r="G1840" s="73"/>
      <c r="H1840" s="74" t="s">
        <v>16</v>
      </c>
      <c r="I1840" s="102">
        <v>46223</v>
      </c>
      <c r="J1840" s="70">
        <v>3</v>
      </c>
      <c r="K1840" s="106" t="s">
        <v>5009</v>
      </c>
      <c r="L1840" s="104">
        <f t="shared" ref="L1840:L1858" si="487">EDATE(I1840,J1840)</f>
        <v>46315</v>
      </c>
      <c r="M1840" s="105">
        <f ca="1" t="shared" ref="M1840:M1858" si="488">L1840-TODAY()</f>
        <v>2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104">
        <f t="shared" si="485"/>
        <v>0</v>
      </c>
      <c r="Z1840" s="105">
        <f ca="1" t="shared" si="486"/>
        <v>-46313</v>
      </c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5"/>
      <c r="AO1840" s="115"/>
      <c r="AP1840" s="115"/>
      <c r="AQ1840" s="93"/>
      <c r="AR1840" s="93"/>
      <c r="AS1840" s="94"/>
      <c r="AT1840" s="95"/>
      <c r="AU1840" s="79"/>
      <c r="AV1840" s="117"/>
      <c r="AW1840" s="115"/>
      <c r="AX1840" s="106"/>
      <c r="AY1840" s="104"/>
      <c r="AZ1840" s="105"/>
    </row>
    <row r="1841" customHeight="1" spans="1:52">
      <c r="A1841" s="70">
        <v>1856</v>
      </c>
      <c r="B1841" s="204" t="s">
        <v>263</v>
      </c>
      <c r="C1841" s="70" t="s">
        <v>264</v>
      </c>
      <c r="D1841" s="205" t="s">
        <v>2433</v>
      </c>
      <c r="E1841" s="71" t="s">
        <v>753</v>
      </c>
      <c r="F1841" s="72"/>
      <c r="G1841" s="73"/>
      <c r="H1841" s="75"/>
      <c r="I1841" s="102">
        <v>46223</v>
      </c>
      <c r="J1841" s="70" t="s">
        <v>767</v>
      </c>
      <c r="K1841" s="106"/>
      <c r="L1841" s="104" t="e">
        <f t="shared" si="487"/>
        <v>#VALUE!</v>
      </c>
      <c r="M1841" s="105" t="e">
        <f ca="1" t="shared" si="488"/>
        <v>#VALUE!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104">
        <f t="shared" si="485"/>
        <v>0</v>
      </c>
      <c r="Z1841" s="105">
        <f ca="1" t="shared" si="486"/>
        <v>-46313</v>
      </c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5"/>
      <c r="AO1841" s="115"/>
      <c r="AP1841" s="115"/>
      <c r="AQ1841" s="93"/>
      <c r="AR1841" s="93"/>
      <c r="AS1841" s="94"/>
      <c r="AT1841" s="95"/>
      <c r="AU1841" s="79"/>
      <c r="AV1841" s="117"/>
      <c r="AW1841" s="115"/>
      <c r="AX1841" s="106"/>
      <c r="AY1841" s="104"/>
      <c r="AZ1841" s="105"/>
    </row>
    <row r="1842" customHeight="1" spans="1:52">
      <c r="A1842" s="70">
        <v>1857</v>
      </c>
      <c r="B1842" s="204" t="s">
        <v>263</v>
      </c>
      <c r="C1842" s="70" t="s">
        <v>264</v>
      </c>
      <c r="D1842" s="205" t="s">
        <v>265</v>
      </c>
      <c r="E1842" s="71" t="s">
        <v>753</v>
      </c>
      <c r="F1842" s="72"/>
      <c r="G1842" s="73"/>
      <c r="H1842" s="75"/>
      <c r="I1842" s="102">
        <v>46223</v>
      </c>
      <c r="J1842" s="70" t="s">
        <v>767</v>
      </c>
      <c r="K1842" s="106"/>
      <c r="L1842" s="104" t="e">
        <f t="shared" si="487"/>
        <v>#VALUE!</v>
      </c>
      <c r="M1842" s="105" t="e">
        <f ca="1" t="shared" si="488"/>
        <v>#VALUE!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104">
        <f t="shared" si="485"/>
        <v>0</v>
      </c>
      <c r="Z1842" s="105">
        <f ca="1" t="shared" si="486"/>
        <v>-46313</v>
      </c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5"/>
      <c r="AO1842" s="115"/>
      <c r="AP1842" s="115"/>
      <c r="AQ1842" s="93"/>
      <c r="AR1842" s="93"/>
      <c r="AS1842" s="94"/>
      <c r="AT1842" s="95"/>
      <c r="AU1842" s="79"/>
      <c r="AV1842" s="117"/>
      <c r="AW1842" s="115"/>
      <c r="AX1842" s="106"/>
      <c r="AY1842" s="104"/>
      <c r="AZ1842" s="105"/>
    </row>
    <row r="1843" customHeight="1" spans="1:52">
      <c r="A1843" s="70">
        <v>1858</v>
      </c>
      <c r="B1843" s="108" t="s">
        <v>366</v>
      </c>
      <c r="C1843" s="70" t="s">
        <v>264</v>
      </c>
      <c r="D1843" s="205" t="s">
        <v>367</v>
      </c>
      <c r="E1843" s="71" t="s">
        <v>368</v>
      </c>
      <c r="F1843" s="72"/>
      <c r="G1843" s="73"/>
      <c r="H1843" s="75"/>
      <c r="I1843" s="102">
        <v>46223</v>
      </c>
      <c r="J1843" s="70" t="s">
        <v>767</v>
      </c>
      <c r="K1843" s="106"/>
      <c r="L1843" s="104" t="e">
        <f t="shared" si="487"/>
        <v>#VALUE!</v>
      </c>
      <c r="M1843" s="105" t="e">
        <f ca="1" t="shared" si="488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104">
        <f t="shared" si="485"/>
        <v>0</v>
      </c>
      <c r="Z1843" s="105">
        <f ca="1" t="shared" si="486"/>
        <v>-46313</v>
      </c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5"/>
      <c r="AO1843" s="115"/>
      <c r="AP1843" s="115"/>
      <c r="AQ1843" s="93"/>
      <c r="AR1843" s="93"/>
      <c r="AS1843" s="94"/>
      <c r="AT1843" s="95"/>
      <c r="AU1843" s="79"/>
      <c r="AV1843" s="117"/>
      <c r="AW1843" s="115"/>
      <c r="AX1843" s="106"/>
      <c r="AY1843" s="104"/>
      <c r="AZ1843" s="105"/>
    </row>
    <row r="1844" customHeight="1" spans="1:52">
      <c r="A1844" s="70">
        <v>1859</v>
      </c>
      <c r="B1844" s="204" t="s">
        <v>2546</v>
      </c>
      <c r="C1844" s="70" t="s">
        <v>264</v>
      </c>
      <c r="D1844" s="205" t="s">
        <v>2547</v>
      </c>
      <c r="E1844" s="71" t="s">
        <v>5010</v>
      </c>
      <c r="F1844" s="72"/>
      <c r="G1844" s="73"/>
      <c r="H1844" s="75"/>
      <c r="I1844" s="102">
        <v>46223</v>
      </c>
      <c r="J1844" s="70" t="s">
        <v>767</v>
      </c>
      <c r="K1844" s="106"/>
      <c r="L1844" s="104" t="e">
        <f t="shared" si="487"/>
        <v>#VALUE!</v>
      </c>
      <c r="M1844" s="105" t="e">
        <f ca="1" t="shared" si="488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104">
        <f t="shared" si="485"/>
        <v>0</v>
      </c>
      <c r="Z1844" s="105">
        <f ca="1" t="shared" si="486"/>
        <v>-46313</v>
      </c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5"/>
      <c r="AO1844" s="115"/>
      <c r="AP1844" s="115"/>
      <c r="AQ1844" s="93"/>
      <c r="AR1844" s="93"/>
      <c r="AS1844" s="94"/>
      <c r="AT1844" s="95"/>
      <c r="AU1844" s="79"/>
      <c r="AV1844" s="117"/>
      <c r="AW1844" s="115"/>
      <c r="AX1844" s="106"/>
      <c r="AY1844" s="104"/>
      <c r="AZ1844" s="105"/>
    </row>
    <row r="1845" customHeight="1" spans="1:52">
      <c r="A1845" s="70">
        <v>1860</v>
      </c>
      <c r="B1845" s="204" t="s">
        <v>1359</v>
      </c>
      <c r="C1845" s="70" t="s">
        <v>13</v>
      </c>
      <c r="D1845" s="205" t="s">
        <v>2848</v>
      </c>
      <c r="E1845" s="71" t="s">
        <v>2849</v>
      </c>
      <c r="F1845" s="72"/>
      <c r="G1845" s="73"/>
      <c r="H1845" s="75" t="s">
        <v>434</v>
      </c>
      <c r="I1845" s="102">
        <v>46223</v>
      </c>
      <c r="J1845" s="70" t="s">
        <v>767</v>
      </c>
      <c r="K1845" s="106"/>
      <c r="L1845" s="104" t="e">
        <f t="shared" si="487"/>
        <v>#VALUE!</v>
      </c>
      <c r="M1845" s="105" t="e">
        <f ca="1" t="shared" si="488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104">
        <f t="shared" si="485"/>
        <v>0</v>
      </c>
      <c r="Z1845" s="105">
        <f ca="1" t="shared" si="486"/>
        <v>-46313</v>
      </c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5"/>
      <c r="AO1845" s="115"/>
      <c r="AP1845" s="115"/>
      <c r="AQ1845" s="93"/>
      <c r="AR1845" s="93"/>
      <c r="AS1845" s="94"/>
      <c r="AT1845" s="95"/>
      <c r="AU1845" s="79"/>
      <c r="AV1845" s="117"/>
      <c r="AW1845" s="115"/>
      <c r="AX1845" s="106"/>
      <c r="AY1845" s="104"/>
      <c r="AZ1845" s="105"/>
    </row>
    <row r="1846" customHeight="1" spans="1:52">
      <c r="A1846" s="70">
        <v>1861</v>
      </c>
      <c r="B1846" s="204" t="s">
        <v>1359</v>
      </c>
      <c r="C1846" s="70" t="s">
        <v>13</v>
      </c>
      <c r="D1846" s="205" t="s">
        <v>2718</v>
      </c>
      <c r="E1846" s="71" t="s">
        <v>4974</v>
      </c>
      <c r="F1846" s="72"/>
      <c r="G1846" s="73"/>
      <c r="H1846" s="75"/>
      <c r="I1846" s="102">
        <v>46223</v>
      </c>
      <c r="J1846" s="70" t="s">
        <v>767</v>
      </c>
      <c r="K1846" s="106"/>
      <c r="L1846" s="104" t="e">
        <f t="shared" si="487"/>
        <v>#VALUE!</v>
      </c>
      <c r="M1846" s="105" t="e">
        <f ca="1" t="shared" si="488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104">
        <f t="shared" si="485"/>
        <v>0</v>
      </c>
      <c r="Z1846" s="105">
        <f ca="1" t="shared" si="486"/>
        <v>-46313</v>
      </c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5"/>
      <c r="AO1846" s="115"/>
      <c r="AP1846" s="115"/>
      <c r="AQ1846" s="93"/>
      <c r="AR1846" s="93"/>
      <c r="AS1846" s="94"/>
      <c r="AT1846" s="95"/>
      <c r="AU1846" s="79"/>
      <c r="AV1846" s="117"/>
      <c r="AW1846" s="115"/>
      <c r="AX1846" s="106"/>
      <c r="AY1846" s="104"/>
      <c r="AZ1846" s="105"/>
    </row>
    <row r="1847" customHeight="1" spans="1:52">
      <c r="A1847" s="70">
        <v>1862</v>
      </c>
      <c r="B1847" s="204" t="s">
        <v>1359</v>
      </c>
      <c r="C1847" s="70" t="s">
        <v>13</v>
      </c>
      <c r="D1847" s="205" t="s">
        <v>2714</v>
      </c>
      <c r="E1847" s="71" t="s">
        <v>3792</v>
      </c>
      <c r="F1847" s="72"/>
      <c r="G1847" s="73"/>
      <c r="H1847" s="75"/>
      <c r="I1847" s="102">
        <v>46223</v>
      </c>
      <c r="J1847" s="70" t="s">
        <v>767</v>
      </c>
      <c r="K1847" s="106"/>
      <c r="L1847" s="104" t="e">
        <f t="shared" si="487"/>
        <v>#VALUE!</v>
      </c>
      <c r="M1847" s="105" t="e">
        <f ca="1" t="shared" si="488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104">
        <f t="shared" si="485"/>
        <v>0</v>
      </c>
      <c r="Z1847" s="105">
        <f ca="1" t="shared" si="486"/>
        <v>-46313</v>
      </c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5"/>
      <c r="AO1847" s="115"/>
      <c r="AP1847" s="115"/>
      <c r="AQ1847" s="93"/>
      <c r="AR1847" s="93"/>
      <c r="AS1847" s="94"/>
      <c r="AT1847" s="95"/>
      <c r="AU1847" s="79"/>
      <c r="AV1847" s="117"/>
      <c r="AW1847" s="115"/>
      <c r="AX1847" s="106"/>
      <c r="AY1847" s="104"/>
      <c r="AZ1847" s="105"/>
    </row>
    <row r="1848" customHeight="1" spans="1:52">
      <c r="A1848" s="70">
        <v>1863</v>
      </c>
      <c r="B1848" s="204" t="s">
        <v>1359</v>
      </c>
      <c r="C1848" s="70" t="s">
        <v>13</v>
      </c>
      <c r="D1848" s="205" t="s">
        <v>2858</v>
      </c>
      <c r="E1848" s="71" t="s">
        <v>2859</v>
      </c>
      <c r="F1848" s="72"/>
      <c r="G1848" s="73"/>
      <c r="H1848" s="75"/>
      <c r="I1848" s="102">
        <v>46223</v>
      </c>
      <c r="J1848" s="70" t="s">
        <v>767</v>
      </c>
      <c r="K1848" s="106" t="s">
        <v>5011</v>
      </c>
      <c r="L1848" s="104" t="e">
        <f t="shared" si="487"/>
        <v>#VALUE!</v>
      </c>
      <c r="M1848" s="105" t="e">
        <f ca="1" t="shared" si="488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104">
        <f t="shared" si="485"/>
        <v>0</v>
      </c>
      <c r="Z1848" s="105">
        <f ca="1" t="shared" si="486"/>
        <v>-46313</v>
      </c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5"/>
      <c r="AO1848" s="115"/>
      <c r="AP1848" s="115"/>
      <c r="AQ1848" s="93"/>
      <c r="AR1848" s="93"/>
      <c r="AS1848" s="94"/>
      <c r="AT1848" s="95"/>
      <c r="AU1848" s="79"/>
      <c r="AV1848" s="117"/>
      <c r="AW1848" s="115"/>
      <c r="AX1848" s="106"/>
      <c r="AY1848" s="104"/>
      <c r="AZ1848" s="105"/>
    </row>
    <row r="1849" customHeight="1" spans="1:52">
      <c r="A1849" s="70">
        <v>1865</v>
      </c>
      <c r="B1849" s="70" t="s">
        <v>12</v>
      </c>
      <c r="C1849" s="70" t="s">
        <v>13</v>
      </c>
      <c r="D1849" s="71" t="s">
        <v>5012</v>
      </c>
      <c r="E1849" s="71" t="s">
        <v>45</v>
      </c>
      <c r="F1849" s="72"/>
      <c r="G1849" s="73"/>
      <c r="H1849" s="74" t="s">
        <v>16</v>
      </c>
      <c r="I1849" s="102">
        <v>46224</v>
      </c>
      <c r="J1849" s="70">
        <v>3</v>
      </c>
      <c r="K1849" s="106" t="s">
        <v>5013</v>
      </c>
      <c r="L1849" s="104">
        <f t="shared" si="487"/>
        <v>46316</v>
      </c>
      <c r="M1849" s="105">
        <f ca="1" t="shared" si="488"/>
        <v>3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104">
        <f t="shared" si="485"/>
        <v>0</v>
      </c>
      <c r="Z1849" s="105">
        <f ca="1" t="shared" si="486"/>
        <v>-46313</v>
      </c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5"/>
      <c r="AO1849" s="115"/>
      <c r="AP1849" s="115"/>
      <c r="AQ1849" s="93"/>
      <c r="AR1849" s="93"/>
      <c r="AS1849" s="94"/>
      <c r="AT1849" s="95"/>
      <c r="AU1849" s="79"/>
      <c r="AV1849" s="117"/>
      <c r="AW1849" s="115"/>
      <c r="AX1849" s="106"/>
      <c r="AY1849" s="104"/>
      <c r="AZ1849" s="105"/>
    </row>
    <row r="1850" customHeight="1" spans="1:52">
      <c r="A1850" s="70">
        <v>1866</v>
      </c>
      <c r="B1850" s="70" t="s">
        <v>12</v>
      </c>
      <c r="C1850" s="70" t="s">
        <v>13</v>
      </c>
      <c r="D1850" s="71" t="s">
        <v>5014</v>
      </c>
      <c r="E1850" s="71" t="s">
        <v>604</v>
      </c>
      <c r="F1850" s="72"/>
      <c r="G1850" s="73"/>
      <c r="H1850" s="74" t="s">
        <v>16</v>
      </c>
      <c r="I1850" s="102">
        <v>46224</v>
      </c>
      <c r="J1850" s="70">
        <v>3</v>
      </c>
      <c r="K1850" s="106" t="s">
        <v>5015</v>
      </c>
      <c r="L1850" s="104">
        <f t="shared" si="487"/>
        <v>46316</v>
      </c>
      <c r="M1850" s="105">
        <f ca="1" t="shared" si="488"/>
        <v>3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104">
        <f t="shared" si="485"/>
        <v>0</v>
      </c>
      <c r="Z1850" s="105">
        <f ca="1" t="shared" si="486"/>
        <v>-46313</v>
      </c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5"/>
      <c r="AO1850" s="115"/>
      <c r="AP1850" s="115"/>
      <c r="AQ1850" s="93"/>
      <c r="AR1850" s="93"/>
      <c r="AS1850" s="94"/>
      <c r="AT1850" s="95"/>
      <c r="AU1850" s="79"/>
      <c r="AV1850" s="117"/>
      <c r="AW1850" s="115"/>
      <c r="AX1850" s="106"/>
      <c r="AY1850" s="104"/>
      <c r="AZ1850" s="105"/>
    </row>
    <row r="1851" customHeight="1" spans="1:52">
      <c r="A1851" s="70">
        <v>1867</v>
      </c>
      <c r="B1851" s="70" t="s">
        <v>5016</v>
      </c>
      <c r="C1851" s="70" t="s">
        <v>264</v>
      </c>
      <c r="D1851" s="71" t="s">
        <v>5017</v>
      </c>
      <c r="E1851" s="71" t="s">
        <v>272</v>
      </c>
      <c r="F1851" s="72"/>
      <c r="G1851" s="73"/>
      <c r="H1851" s="75"/>
      <c r="I1851" s="102">
        <v>46224</v>
      </c>
      <c r="J1851" s="70">
        <v>3</v>
      </c>
      <c r="K1851" s="106" t="s">
        <v>5018</v>
      </c>
      <c r="L1851" s="104">
        <f t="shared" si="487"/>
        <v>46316</v>
      </c>
      <c r="M1851" s="105">
        <f ca="1" t="shared" si="488"/>
        <v>3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104">
        <f t="shared" si="485"/>
        <v>0</v>
      </c>
      <c r="Z1851" s="105">
        <f ca="1" t="shared" si="486"/>
        <v>-46313</v>
      </c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5"/>
      <c r="AO1851" s="115"/>
      <c r="AP1851" s="115"/>
      <c r="AQ1851" s="93"/>
      <c r="AR1851" s="93"/>
      <c r="AS1851" s="94"/>
      <c r="AT1851" s="95"/>
      <c r="AU1851" s="79"/>
      <c r="AV1851" s="117"/>
      <c r="AW1851" s="115"/>
      <c r="AX1851" s="106"/>
      <c r="AY1851" s="104"/>
      <c r="AZ1851" s="105"/>
    </row>
    <row r="1852" customHeight="1" spans="1:52">
      <c r="A1852" s="70">
        <v>1868</v>
      </c>
      <c r="B1852" s="70" t="s">
        <v>2894</v>
      </c>
      <c r="C1852" s="70" t="s">
        <v>374</v>
      </c>
      <c r="D1852" s="71" t="s">
        <v>5019</v>
      </c>
      <c r="E1852" s="71" t="s">
        <v>5020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5021</v>
      </c>
      <c r="L1852" s="104">
        <f t="shared" si="487"/>
        <v>46316</v>
      </c>
      <c r="M1852" s="105">
        <f ca="1" t="shared" si="488"/>
        <v>3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104">
        <f t="shared" si="485"/>
        <v>0</v>
      </c>
      <c r="Z1852" s="105">
        <f ca="1" t="shared" si="486"/>
        <v>-46313</v>
      </c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5"/>
      <c r="AO1852" s="115"/>
      <c r="AP1852" s="115"/>
      <c r="AQ1852" s="93"/>
      <c r="AR1852" s="93"/>
      <c r="AS1852" s="94"/>
      <c r="AT1852" s="95"/>
      <c r="AU1852" s="79"/>
      <c r="AV1852" s="117"/>
      <c r="AW1852" s="115"/>
      <c r="AX1852" s="106"/>
      <c r="AY1852" s="104"/>
      <c r="AZ1852" s="105"/>
    </row>
    <row r="1853" customHeight="1" spans="1:52">
      <c r="A1853" s="70">
        <v>1869</v>
      </c>
      <c r="B1853" s="70" t="s">
        <v>1036</v>
      </c>
      <c r="C1853" s="70" t="s">
        <v>374</v>
      </c>
      <c r="D1853" s="71" t="s">
        <v>5022</v>
      </c>
      <c r="E1853" s="71" t="s">
        <v>1312</v>
      </c>
      <c r="F1853" s="72"/>
      <c r="G1853" s="73"/>
      <c r="H1853" s="74" t="s">
        <v>16</v>
      </c>
      <c r="I1853" s="102">
        <v>46224</v>
      </c>
      <c r="J1853" s="70">
        <v>3</v>
      </c>
      <c r="K1853" s="106" t="s">
        <v>5023</v>
      </c>
      <c r="L1853" s="104">
        <f t="shared" si="487"/>
        <v>46316</v>
      </c>
      <c r="M1853" s="105">
        <f ca="1" t="shared" si="488"/>
        <v>3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104">
        <f t="shared" ref="Y1853:Y1903" si="489">EDATE(V1853,W1853)</f>
        <v>0</v>
      </c>
      <c r="Z1853" s="105">
        <f ca="1" t="shared" ref="Z1853:Z1903" si="490">Y1853-TODAY()</f>
        <v>-46313</v>
      </c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5"/>
      <c r="AO1853" s="115"/>
      <c r="AP1853" s="115"/>
      <c r="AQ1853" s="93"/>
      <c r="AR1853" s="93"/>
      <c r="AS1853" s="94"/>
      <c r="AT1853" s="95"/>
      <c r="AU1853" s="79"/>
      <c r="AV1853" s="117"/>
      <c r="AW1853" s="115"/>
      <c r="AX1853" s="106"/>
      <c r="AY1853" s="104"/>
      <c r="AZ1853" s="105"/>
    </row>
    <row r="1854" customHeight="1" spans="1:52">
      <c r="A1854" s="70">
        <v>1870</v>
      </c>
      <c r="B1854" s="70" t="s">
        <v>2894</v>
      </c>
      <c r="C1854" s="70" t="s">
        <v>374</v>
      </c>
      <c r="D1854" s="71" t="s">
        <v>5024</v>
      </c>
      <c r="E1854" s="71" t="s">
        <v>5025</v>
      </c>
      <c r="F1854" s="72"/>
      <c r="G1854" s="73"/>
      <c r="H1854" s="74" t="s">
        <v>16</v>
      </c>
      <c r="I1854" s="102">
        <v>46225</v>
      </c>
      <c r="J1854" s="70">
        <v>3</v>
      </c>
      <c r="K1854" s="106" t="s">
        <v>5026</v>
      </c>
      <c r="L1854" s="104">
        <f t="shared" si="487"/>
        <v>46317</v>
      </c>
      <c r="M1854" s="105">
        <f ca="1" t="shared" si="488"/>
        <v>4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104">
        <f t="shared" si="489"/>
        <v>0</v>
      </c>
      <c r="Z1854" s="105">
        <f ca="1" t="shared" si="490"/>
        <v>-46313</v>
      </c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5"/>
      <c r="AO1854" s="115"/>
      <c r="AP1854" s="115"/>
      <c r="AQ1854" s="93"/>
      <c r="AR1854" s="93"/>
      <c r="AS1854" s="94"/>
      <c r="AT1854" s="95"/>
      <c r="AU1854" s="79"/>
      <c r="AV1854" s="117"/>
      <c r="AW1854" s="115"/>
      <c r="AX1854" s="106"/>
      <c r="AY1854" s="104"/>
      <c r="AZ1854" s="105"/>
    </row>
    <row r="1855" customHeight="1" spans="1:52">
      <c r="A1855" s="70">
        <v>1871</v>
      </c>
      <c r="B1855" s="108" t="s">
        <v>1359</v>
      </c>
      <c r="C1855" s="70" t="s">
        <v>13</v>
      </c>
      <c r="D1855" s="205" t="s">
        <v>2848</v>
      </c>
      <c r="E1855" s="71" t="s">
        <v>2849</v>
      </c>
      <c r="F1855" s="72"/>
      <c r="G1855" s="73"/>
      <c r="H1855" s="75" t="s">
        <v>434</v>
      </c>
      <c r="I1855" s="102">
        <v>46225</v>
      </c>
      <c r="J1855" s="70" t="s">
        <v>767</v>
      </c>
      <c r="K1855" s="106" t="s">
        <v>5027</v>
      </c>
      <c r="L1855" s="104" t="e">
        <f t="shared" si="487"/>
        <v>#VALUE!</v>
      </c>
      <c r="M1855" s="105" t="e">
        <f ca="1" t="shared" si="488"/>
        <v>#VALUE!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104">
        <f t="shared" si="489"/>
        <v>0</v>
      </c>
      <c r="Z1855" s="105">
        <f ca="1" t="shared" si="490"/>
        <v>-46313</v>
      </c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5"/>
      <c r="AO1855" s="115"/>
      <c r="AP1855" s="115"/>
      <c r="AQ1855" s="93"/>
      <c r="AR1855" s="93"/>
      <c r="AS1855" s="94"/>
      <c r="AT1855" s="95"/>
      <c r="AU1855" s="79"/>
      <c r="AV1855" s="117"/>
      <c r="AW1855" s="115"/>
      <c r="AX1855" s="106"/>
      <c r="AY1855" s="104"/>
      <c r="AZ1855" s="105"/>
    </row>
    <row r="1856" customHeight="1" spans="1:52">
      <c r="A1856" s="70">
        <v>1872</v>
      </c>
      <c r="B1856" s="108" t="s">
        <v>1359</v>
      </c>
      <c r="C1856" s="70" t="s">
        <v>13</v>
      </c>
      <c r="D1856" s="205" t="s">
        <v>2718</v>
      </c>
      <c r="E1856" s="71" t="s">
        <v>2719</v>
      </c>
      <c r="F1856" s="72"/>
      <c r="G1856" s="73"/>
      <c r="H1856" s="75" t="s">
        <v>434</v>
      </c>
      <c r="I1856" s="102">
        <v>46225</v>
      </c>
      <c r="J1856" s="70" t="s">
        <v>767</v>
      </c>
      <c r="K1856" s="106" t="s">
        <v>5028</v>
      </c>
      <c r="L1856" s="104" t="e">
        <f t="shared" si="487"/>
        <v>#VALUE!</v>
      </c>
      <c r="M1856" s="105" t="e">
        <f ca="1" t="shared" si="488"/>
        <v>#VALUE!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104">
        <f t="shared" si="489"/>
        <v>0</v>
      </c>
      <c r="Z1856" s="105">
        <f ca="1" t="shared" si="490"/>
        <v>-46313</v>
      </c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5"/>
      <c r="AO1856" s="115"/>
      <c r="AP1856" s="115"/>
      <c r="AQ1856" s="93"/>
      <c r="AR1856" s="93"/>
      <c r="AS1856" s="94"/>
      <c r="AT1856" s="95"/>
      <c r="AU1856" s="79"/>
      <c r="AV1856" s="117"/>
      <c r="AW1856" s="115"/>
      <c r="AX1856" s="106"/>
      <c r="AY1856" s="104"/>
      <c r="AZ1856" s="105"/>
    </row>
    <row r="1857" customHeight="1" spans="1:52">
      <c r="A1857" s="70">
        <v>1874</v>
      </c>
      <c r="B1857" s="70" t="s">
        <v>1944</v>
      </c>
      <c r="C1857" s="70" t="s">
        <v>374</v>
      </c>
      <c r="D1857" s="71" t="s">
        <v>5029</v>
      </c>
      <c r="E1857" s="71" t="s">
        <v>1684</v>
      </c>
      <c r="F1857" s="72"/>
      <c r="G1857" s="73"/>
      <c r="H1857" s="74" t="s">
        <v>16</v>
      </c>
      <c r="I1857" s="102">
        <v>46226</v>
      </c>
      <c r="J1857" s="70">
        <v>3</v>
      </c>
      <c r="K1857" s="106" t="s">
        <v>5030</v>
      </c>
      <c r="L1857" s="104">
        <f t="shared" si="487"/>
        <v>46318</v>
      </c>
      <c r="M1857" s="105">
        <f ca="1" t="shared" si="488"/>
        <v>5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104">
        <f t="shared" si="489"/>
        <v>0</v>
      </c>
      <c r="Z1857" s="105">
        <f ca="1" t="shared" si="490"/>
        <v>-46313</v>
      </c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5"/>
      <c r="AO1857" s="115"/>
      <c r="AP1857" s="115"/>
      <c r="AQ1857" s="93"/>
      <c r="AR1857" s="93"/>
      <c r="AS1857" s="94"/>
      <c r="AT1857" s="95"/>
      <c r="AU1857" s="79"/>
      <c r="AV1857" s="117"/>
      <c r="AW1857" s="115"/>
      <c r="AX1857" s="106"/>
      <c r="AY1857" s="104"/>
      <c r="AZ1857" s="105"/>
    </row>
    <row r="1858" customHeight="1" spans="1:52">
      <c r="A1858" s="70">
        <v>1875</v>
      </c>
      <c r="B1858" s="70" t="s">
        <v>1944</v>
      </c>
      <c r="C1858" s="70" t="s">
        <v>374</v>
      </c>
      <c r="D1858" s="71" t="s">
        <v>5031</v>
      </c>
      <c r="E1858" s="71" t="s">
        <v>1684</v>
      </c>
      <c r="F1858" s="72"/>
      <c r="G1858" s="73"/>
      <c r="H1858" s="74" t="s">
        <v>16</v>
      </c>
      <c r="I1858" s="102">
        <v>46226</v>
      </c>
      <c r="J1858" s="70">
        <v>3</v>
      </c>
      <c r="K1858" s="106" t="s">
        <v>5032</v>
      </c>
      <c r="L1858" s="104">
        <f t="shared" si="487"/>
        <v>46318</v>
      </c>
      <c r="M1858" s="105">
        <f ca="1" t="shared" si="488"/>
        <v>5</v>
      </c>
      <c r="N1858" s="70"/>
      <c r="O1858" s="70"/>
      <c r="P1858" s="70"/>
      <c r="Q1858" s="71"/>
      <c r="R1858" s="71"/>
      <c r="S1858" s="72"/>
      <c r="T1858" s="73"/>
      <c r="U1858" s="74"/>
      <c r="V1858" s="102"/>
      <c r="W1858" s="70"/>
      <c r="X1858" s="103"/>
      <c r="Y1858" s="104">
        <f t="shared" si="489"/>
        <v>0</v>
      </c>
      <c r="Z1858" s="105">
        <f ca="1" t="shared" si="490"/>
        <v>-46313</v>
      </c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5"/>
      <c r="AO1858" s="115"/>
      <c r="AP1858" s="115"/>
      <c r="AQ1858" s="93"/>
      <c r="AR1858" s="93"/>
      <c r="AS1858" s="94"/>
      <c r="AT1858" s="95"/>
      <c r="AU1858" s="79"/>
      <c r="AV1858" s="117"/>
      <c r="AW1858" s="115"/>
      <c r="AX1858" s="106"/>
      <c r="AY1858" s="104"/>
      <c r="AZ1858" s="105"/>
    </row>
    <row r="1859" customHeight="1" spans="1:52">
      <c r="A1859" s="70">
        <v>1876</v>
      </c>
      <c r="B1859" s="204" t="s">
        <v>2552</v>
      </c>
      <c r="C1859" s="70" t="s">
        <v>264</v>
      </c>
      <c r="D1859" s="205" t="s">
        <v>5033</v>
      </c>
      <c r="E1859" s="71" t="s">
        <v>277</v>
      </c>
      <c r="F1859" s="72"/>
      <c r="G1859" s="73"/>
      <c r="H1859" s="75"/>
      <c r="I1859" s="102">
        <v>46226</v>
      </c>
      <c r="J1859" s="70">
        <v>3</v>
      </c>
      <c r="K1859" s="106" t="s">
        <v>5034</v>
      </c>
      <c r="L1859" s="104">
        <f t="shared" ref="L1859:L1870" si="491">EDATE(I1859,J1859)</f>
        <v>46318</v>
      </c>
      <c r="M1859" s="105">
        <f ca="1" t="shared" ref="M1859:M1870" si="492">L1859-TODAY()</f>
        <v>5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104">
        <f t="shared" si="489"/>
        <v>0</v>
      </c>
      <c r="Z1859" s="105">
        <f ca="1" t="shared" si="490"/>
        <v>-46313</v>
      </c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5"/>
      <c r="AO1859" s="115"/>
      <c r="AP1859" s="115"/>
      <c r="AQ1859" s="93"/>
      <c r="AR1859" s="93"/>
      <c r="AS1859" s="94"/>
      <c r="AT1859" s="95"/>
      <c r="AU1859" s="79"/>
      <c r="AV1859" s="117"/>
      <c r="AW1859" s="115"/>
      <c r="AX1859" s="106"/>
      <c r="AY1859" s="104"/>
      <c r="AZ1859" s="105"/>
    </row>
    <row r="1860" customHeight="1" spans="1:52">
      <c r="A1860" s="70">
        <v>1877</v>
      </c>
      <c r="B1860" s="204" t="s">
        <v>2552</v>
      </c>
      <c r="C1860" s="70" t="s">
        <v>264</v>
      </c>
      <c r="D1860" s="205" t="s">
        <v>5035</v>
      </c>
      <c r="E1860" s="71" t="s">
        <v>364</v>
      </c>
      <c r="F1860" s="72"/>
      <c r="G1860" s="73"/>
      <c r="H1860" s="75"/>
      <c r="I1860" s="102">
        <v>46226</v>
      </c>
      <c r="J1860" s="70">
        <v>3</v>
      </c>
      <c r="K1860" s="106" t="s">
        <v>5036</v>
      </c>
      <c r="L1860" s="104">
        <f t="shared" si="491"/>
        <v>46318</v>
      </c>
      <c r="M1860" s="105">
        <f ca="1" t="shared" si="492"/>
        <v>5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104">
        <f t="shared" si="489"/>
        <v>0</v>
      </c>
      <c r="Z1860" s="105">
        <f ca="1" t="shared" si="490"/>
        <v>-46313</v>
      </c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5"/>
      <c r="AO1860" s="115"/>
      <c r="AP1860" s="115"/>
      <c r="AQ1860" s="93"/>
      <c r="AR1860" s="93"/>
      <c r="AS1860" s="94"/>
      <c r="AT1860" s="95"/>
      <c r="AU1860" s="79"/>
      <c r="AV1860" s="117"/>
      <c r="AW1860" s="115"/>
      <c r="AX1860" s="106"/>
      <c r="AY1860" s="104"/>
      <c r="AZ1860" s="105"/>
    </row>
    <row r="1861" customHeight="1" spans="1:52">
      <c r="A1861" s="70">
        <v>1878</v>
      </c>
      <c r="B1861" s="204" t="s">
        <v>648</v>
      </c>
      <c r="C1861" s="70" t="s">
        <v>264</v>
      </c>
      <c r="D1861" s="205" t="s">
        <v>5037</v>
      </c>
      <c r="E1861" s="71" t="s">
        <v>5038</v>
      </c>
      <c r="F1861" s="72"/>
      <c r="G1861" s="73"/>
      <c r="H1861" s="75"/>
      <c r="I1861" s="102">
        <v>46226</v>
      </c>
      <c r="J1861" s="70">
        <v>3</v>
      </c>
      <c r="K1861" s="106" t="s">
        <v>5039</v>
      </c>
      <c r="L1861" s="104">
        <f t="shared" si="491"/>
        <v>46318</v>
      </c>
      <c r="M1861" s="105">
        <f ca="1" t="shared" si="492"/>
        <v>5</v>
      </c>
      <c r="N1861" s="70"/>
      <c r="O1861" s="204" t="s">
        <v>648</v>
      </c>
      <c r="P1861" s="70" t="s">
        <v>264</v>
      </c>
      <c r="Q1861" s="205" t="s">
        <v>5037</v>
      </c>
      <c r="R1861" s="71" t="s">
        <v>5038</v>
      </c>
      <c r="S1861" s="72"/>
      <c r="T1861" s="73"/>
      <c r="U1861" s="75"/>
      <c r="V1861" s="102">
        <v>46310</v>
      </c>
      <c r="W1861" s="70">
        <v>3</v>
      </c>
      <c r="X1861" s="103"/>
      <c r="Y1861" s="104">
        <f t="shared" si="489"/>
        <v>46402</v>
      </c>
      <c r="Z1861" s="105">
        <f ca="1" t="shared" si="490"/>
        <v>89</v>
      </c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5"/>
      <c r="AO1861" s="115"/>
      <c r="AP1861" s="115"/>
      <c r="AQ1861" s="93"/>
      <c r="AR1861" s="93"/>
      <c r="AS1861" s="94"/>
      <c r="AT1861" s="95"/>
      <c r="AU1861" s="79"/>
      <c r="AV1861" s="117"/>
      <c r="AW1861" s="115"/>
      <c r="AX1861" s="106"/>
      <c r="AY1861" s="104"/>
      <c r="AZ1861" s="105"/>
    </row>
    <row r="1862" customHeight="1" spans="1:52">
      <c r="A1862" s="70">
        <v>1879</v>
      </c>
      <c r="B1862" s="204" t="s">
        <v>644</v>
      </c>
      <c r="C1862" s="70" t="s">
        <v>264</v>
      </c>
      <c r="D1862" s="205" t="s">
        <v>2433</v>
      </c>
      <c r="E1862" s="71" t="s">
        <v>753</v>
      </c>
      <c r="F1862" s="72"/>
      <c r="G1862" s="73"/>
      <c r="H1862" s="75"/>
      <c r="I1862" s="102">
        <v>46226</v>
      </c>
      <c r="J1862" s="70" t="s">
        <v>767</v>
      </c>
      <c r="K1862" s="106"/>
      <c r="L1862" s="104" t="e">
        <f t="shared" si="491"/>
        <v>#VALUE!</v>
      </c>
      <c r="M1862" s="105" t="e">
        <f ca="1" t="shared" si="492"/>
        <v>#VALUE!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104">
        <f t="shared" si="489"/>
        <v>0</v>
      </c>
      <c r="Z1862" s="105">
        <f ca="1" t="shared" si="490"/>
        <v>-46313</v>
      </c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5"/>
      <c r="AO1862" s="115"/>
      <c r="AP1862" s="115"/>
      <c r="AQ1862" s="93"/>
      <c r="AR1862" s="93"/>
      <c r="AS1862" s="94"/>
      <c r="AT1862" s="95"/>
      <c r="AU1862" s="79"/>
      <c r="AV1862" s="117"/>
      <c r="AW1862" s="115"/>
      <c r="AX1862" s="106"/>
      <c r="AY1862" s="104"/>
      <c r="AZ1862" s="105"/>
    </row>
    <row r="1863" customHeight="1" spans="1:52">
      <c r="A1863" s="70">
        <v>1880</v>
      </c>
      <c r="B1863" s="204" t="s">
        <v>644</v>
      </c>
      <c r="C1863" s="70" t="s">
        <v>264</v>
      </c>
      <c r="D1863" s="205" t="s">
        <v>265</v>
      </c>
      <c r="E1863" s="71" t="s">
        <v>753</v>
      </c>
      <c r="F1863" s="72"/>
      <c r="G1863" s="73"/>
      <c r="H1863" s="75"/>
      <c r="I1863" s="102">
        <v>46226</v>
      </c>
      <c r="J1863" s="70" t="s">
        <v>767</v>
      </c>
      <c r="K1863" s="106"/>
      <c r="L1863" s="104" t="e">
        <f t="shared" si="491"/>
        <v>#VALUE!</v>
      </c>
      <c r="M1863" s="105" t="e">
        <f ca="1" t="shared" si="492"/>
        <v>#VALUE!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104">
        <f t="shared" si="489"/>
        <v>0</v>
      </c>
      <c r="Z1863" s="105">
        <f ca="1" t="shared" si="490"/>
        <v>-46313</v>
      </c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5"/>
      <c r="AO1863" s="115"/>
      <c r="AP1863" s="115"/>
      <c r="AQ1863" s="93"/>
      <c r="AR1863" s="93"/>
      <c r="AS1863" s="94"/>
      <c r="AT1863" s="95"/>
      <c r="AU1863" s="79"/>
      <c r="AV1863" s="117"/>
      <c r="AW1863" s="115"/>
      <c r="AX1863" s="106"/>
      <c r="AY1863" s="104"/>
      <c r="AZ1863" s="105"/>
    </row>
    <row r="1864" customHeight="1" spans="1:52">
      <c r="A1864" s="70">
        <v>1881</v>
      </c>
      <c r="B1864" s="204" t="s">
        <v>4233</v>
      </c>
      <c r="C1864" s="70" t="s">
        <v>264</v>
      </c>
      <c r="D1864" s="205" t="s">
        <v>4571</v>
      </c>
      <c r="E1864" s="71" t="s">
        <v>753</v>
      </c>
      <c r="F1864" s="72"/>
      <c r="G1864" s="73"/>
      <c r="H1864" s="75"/>
      <c r="I1864" s="102">
        <v>46226</v>
      </c>
      <c r="J1864" s="70" t="s">
        <v>767</v>
      </c>
      <c r="K1864" s="106"/>
      <c r="L1864" s="104" t="e">
        <f t="shared" si="491"/>
        <v>#VALUE!</v>
      </c>
      <c r="M1864" s="105" t="e">
        <f ca="1" t="shared" si="492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104">
        <f t="shared" si="489"/>
        <v>0</v>
      </c>
      <c r="Z1864" s="105">
        <f ca="1" t="shared" si="490"/>
        <v>-46313</v>
      </c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5"/>
      <c r="AO1864" s="115"/>
      <c r="AP1864" s="115"/>
      <c r="AQ1864" s="93"/>
      <c r="AR1864" s="93"/>
      <c r="AS1864" s="94"/>
      <c r="AT1864" s="95"/>
      <c r="AU1864" s="79"/>
      <c r="AV1864" s="117"/>
      <c r="AW1864" s="115"/>
      <c r="AX1864" s="106"/>
      <c r="AY1864" s="104"/>
      <c r="AZ1864" s="105"/>
    </row>
    <row r="1865" customHeight="1" spans="1:52">
      <c r="A1865" s="70">
        <v>1882</v>
      </c>
      <c r="B1865" s="204" t="s">
        <v>2191</v>
      </c>
      <c r="C1865" s="70" t="s">
        <v>38</v>
      </c>
      <c r="D1865" s="205" t="s">
        <v>5040</v>
      </c>
      <c r="E1865" s="71" t="s">
        <v>189</v>
      </c>
      <c r="F1865" s="72"/>
      <c r="G1865" s="73"/>
      <c r="H1865" s="79" t="s">
        <v>16</v>
      </c>
      <c r="I1865" s="102">
        <v>46227</v>
      </c>
      <c r="J1865" s="70">
        <v>3</v>
      </c>
      <c r="K1865" s="106" t="s">
        <v>5041</v>
      </c>
      <c r="L1865" s="104">
        <f t="shared" si="491"/>
        <v>46319</v>
      </c>
      <c r="M1865" s="105">
        <f ca="1" t="shared" si="492"/>
        <v>6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104">
        <f t="shared" si="489"/>
        <v>0</v>
      </c>
      <c r="Z1865" s="105">
        <f ca="1" t="shared" si="490"/>
        <v>-46313</v>
      </c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5"/>
      <c r="AO1865" s="115"/>
      <c r="AP1865" s="115"/>
      <c r="AQ1865" s="93"/>
      <c r="AR1865" s="93"/>
      <c r="AS1865" s="94"/>
      <c r="AT1865" s="95"/>
      <c r="AU1865" s="79"/>
      <c r="AV1865" s="117"/>
      <c r="AW1865" s="115"/>
      <c r="AX1865" s="106"/>
      <c r="AY1865" s="104"/>
      <c r="AZ1865" s="105"/>
    </row>
    <row r="1866" customHeight="1" spans="1:52">
      <c r="A1866" s="70">
        <v>1883</v>
      </c>
      <c r="B1866" s="70" t="s">
        <v>4252</v>
      </c>
      <c r="C1866" s="70" t="s">
        <v>38</v>
      </c>
      <c r="D1866" s="71" t="s">
        <v>5042</v>
      </c>
      <c r="E1866" s="71" t="s">
        <v>5043</v>
      </c>
      <c r="F1866" s="72"/>
      <c r="G1866" s="73"/>
      <c r="H1866" s="75"/>
      <c r="I1866" s="102">
        <v>46227</v>
      </c>
      <c r="J1866" s="70">
        <v>3</v>
      </c>
      <c r="K1866" s="106" t="s">
        <v>5044</v>
      </c>
      <c r="L1866" s="104">
        <f t="shared" si="491"/>
        <v>46319</v>
      </c>
      <c r="M1866" s="105">
        <f ca="1" t="shared" si="492"/>
        <v>6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104">
        <f t="shared" si="489"/>
        <v>0</v>
      </c>
      <c r="Z1866" s="105">
        <f ca="1" t="shared" si="490"/>
        <v>-46313</v>
      </c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5"/>
      <c r="AO1866" s="115"/>
      <c r="AP1866" s="115"/>
      <c r="AQ1866" s="93"/>
      <c r="AR1866" s="93"/>
      <c r="AS1866" s="94"/>
      <c r="AT1866" s="95"/>
      <c r="AU1866" s="79"/>
      <c r="AV1866" s="117"/>
      <c r="AW1866" s="115"/>
      <c r="AX1866" s="106"/>
      <c r="AY1866" s="104"/>
      <c r="AZ1866" s="105"/>
    </row>
    <row r="1867" customHeight="1" spans="1:52">
      <c r="A1867" s="70">
        <v>1884</v>
      </c>
      <c r="B1867" s="70" t="s">
        <v>1944</v>
      </c>
      <c r="C1867" s="70" t="s">
        <v>374</v>
      </c>
      <c r="D1867" s="71" t="s">
        <v>3935</v>
      </c>
      <c r="E1867" s="71" t="s">
        <v>3936</v>
      </c>
      <c r="F1867" s="72"/>
      <c r="G1867" s="73"/>
      <c r="H1867" s="75"/>
      <c r="I1867" s="102">
        <v>46227</v>
      </c>
      <c r="J1867" s="70">
        <v>3</v>
      </c>
      <c r="K1867" s="106" t="s">
        <v>5045</v>
      </c>
      <c r="L1867" s="104">
        <f t="shared" si="491"/>
        <v>46319</v>
      </c>
      <c r="M1867" s="105">
        <f ca="1" t="shared" si="492"/>
        <v>6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104">
        <f t="shared" si="489"/>
        <v>0</v>
      </c>
      <c r="Z1867" s="105">
        <f ca="1" t="shared" si="490"/>
        <v>-46313</v>
      </c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5"/>
      <c r="AO1867" s="115"/>
      <c r="AP1867" s="115"/>
      <c r="AQ1867" s="93"/>
      <c r="AR1867" s="93"/>
      <c r="AS1867" s="94"/>
      <c r="AT1867" s="95"/>
      <c r="AU1867" s="79"/>
      <c r="AV1867" s="117"/>
      <c r="AW1867" s="115"/>
      <c r="AX1867" s="106"/>
      <c r="AY1867" s="104"/>
      <c r="AZ1867" s="105"/>
    </row>
    <row r="1868" customHeight="1" spans="1:52">
      <c r="A1868" s="70">
        <v>1885</v>
      </c>
      <c r="B1868" s="70" t="s">
        <v>1359</v>
      </c>
      <c r="C1868" s="70" t="s">
        <v>13</v>
      </c>
      <c r="D1868" s="205" t="s">
        <v>2848</v>
      </c>
      <c r="E1868" s="71" t="s">
        <v>2849</v>
      </c>
      <c r="F1868" s="72"/>
      <c r="G1868" s="73"/>
      <c r="H1868" s="75" t="s">
        <v>434</v>
      </c>
      <c r="I1868" s="102">
        <v>46227</v>
      </c>
      <c r="J1868" s="70" t="s">
        <v>767</v>
      </c>
      <c r="K1868" s="106"/>
      <c r="L1868" s="104" t="e">
        <f t="shared" si="491"/>
        <v>#VALUE!</v>
      </c>
      <c r="M1868" s="105" t="e">
        <f ca="1" t="shared" si="492"/>
        <v>#VALUE!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104">
        <f t="shared" si="489"/>
        <v>0</v>
      </c>
      <c r="Z1868" s="105">
        <f ca="1" t="shared" si="490"/>
        <v>-46313</v>
      </c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5"/>
      <c r="AO1868" s="115"/>
      <c r="AP1868" s="115"/>
      <c r="AQ1868" s="93"/>
      <c r="AR1868" s="93"/>
      <c r="AS1868" s="94"/>
      <c r="AT1868" s="95"/>
      <c r="AU1868" s="79"/>
      <c r="AV1868" s="117"/>
      <c r="AW1868" s="115"/>
      <c r="AX1868" s="106"/>
      <c r="AY1868" s="104"/>
      <c r="AZ1868" s="105"/>
    </row>
    <row r="1869" customHeight="1" spans="1:52">
      <c r="A1869" s="70">
        <v>1886</v>
      </c>
      <c r="B1869" s="70" t="s">
        <v>1359</v>
      </c>
      <c r="C1869" s="70" t="s">
        <v>13</v>
      </c>
      <c r="D1869" s="205" t="s">
        <v>2718</v>
      </c>
      <c r="E1869" s="71" t="s">
        <v>2719</v>
      </c>
      <c r="F1869" s="72"/>
      <c r="G1869" s="73"/>
      <c r="H1869" s="75"/>
      <c r="I1869" s="102">
        <v>46227</v>
      </c>
      <c r="J1869" s="70" t="s">
        <v>767</v>
      </c>
      <c r="K1869" s="106"/>
      <c r="L1869" s="104" t="e">
        <f t="shared" si="491"/>
        <v>#VALUE!</v>
      </c>
      <c r="M1869" s="105" t="e">
        <f ca="1" t="shared" si="492"/>
        <v>#VALUE!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104">
        <f t="shared" si="489"/>
        <v>0</v>
      </c>
      <c r="Z1869" s="105">
        <f ca="1" t="shared" si="490"/>
        <v>-46313</v>
      </c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5"/>
      <c r="AO1869" s="115"/>
      <c r="AP1869" s="115"/>
      <c r="AQ1869" s="93"/>
      <c r="AR1869" s="93"/>
      <c r="AS1869" s="94"/>
      <c r="AT1869" s="95"/>
      <c r="AU1869" s="79"/>
      <c r="AV1869" s="117"/>
      <c r="AW1869" s="115"/>
      <c r="AX1869" s="106"/>
      <c r="AY1869" s="104"/>
      <c r="AZ1869" s="105"/>
    </row>
    <row r="1870" customHeight="1" spans="1:52">
      <c r="A1870" s="70">
        <v>1887</v>
      </c>
      <c r="B1870" s="70" t="s">
        <v>1359</v>
      </c>
      <c r="C1870" s="70" t="s">
        <v>13</v>
      </c>
      <c r="D1870" s="205" t="s">
        <v>2714</v>
      </c>
      <c r="E1870" s="71" t="s">
        <v>3792</v>
      </c>
      <c r="F1870" s="72"/>
      <c r="G1870" s="73"/>
      <c r="H1870" s="75"/>
      <c r="I1870" s="102">
        <v>46227</v>
      </c>
      <c r="J1870" s="70" t="s">
        <v>767</v>
      </c>
      <c r="K1870" s="106"/>
      <c r="L1870" s="104" t="e">
        <f t="shared" si="491"/>
        <v>#VALUE!</v>
      </c>
      <c r="M1870" s="105" t="e">
        <f ca="1" t="shared" si="492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104">
        <f t="shared" si="489"/>
        <v>0</v>
      </c>
      <c r="Z1870" s="105">
        <f ca="1" t="shared" si="490"/>
        <v>-46313</v>
      </c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5"/>
      <c r="AO1870" s="115"/>
      <c r="AP1870" s="115"/>
      <c r="AQ1870" s="93"/>
      <c r="AR1870" s="93"/>
      <c r="AS1870" s="94"/>
      <c r="AT1870" s="95"/>
      <c r="AU1870" s="79"/>
      <c r="AV1870" s="117"/>
      <c r="AW1870" s="115"/>
      <c r="AX1870" s="106"/>
      <c r="AY1870" s="104"/>
      <c r="AZ1870" s="105"/>
    </row>
    <row r="1871" customHeight="1" spans="1:52">
      <c r="A1871" s="70">
        <v>1888</v>
      </c>
      <c r="B1871" s="70" t="s">
        <v>1220</v>
      </c>
      <c r="C1871" s="70" t="s">
        <v>38</v>
      </c>
      <c r="D1871" s="205" t="s">
        <v>5046</v>
      </c>
      <c r="E1871" s="71" t="s">
        <v>735</v>
      </c>
      <c r="F1871" s="72"/>
      <c r="G1871" s="73"/>
      <c r="H1871" s="75"/>
      <c r="I1871" s="102">
        <v>46228</v>
      </c>
      <c r="J1871" s="70">
        <v>3</v>
      </c>
      <c r="K1871" s="106" t="s">
        <v>5047</v>
      </c>
      <c r="L1871" s="104">
        <f t="shared" ref="L1871:L1881" si="493">EDATE(I1871,J1871)</f>
        <v>46320</v>
      </c>
      <c r="M1871" s="105">
        <f ca="1" t="shared" ref="M1871:M1881" si="494">L1871-TODAY()</f>
        <v>7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104">
        <f t="shared" si="489"/>
        <v>0</v>
      </c>
      <c r="Z1871" s="105">
        <f ca="1" t="shared" si="490"/>
        <v>-46313</v>
      </c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5"/>
      <c r="AO1871" s="115"/>
      <c r="AP1871" s="115"/>
      <c r="AQ1871" s="93"/>
      <c r="AR1871" s="93"/>
      <c r="AS1871" s="94"/>
      <c r="AT1871" s="95"/>
      <c r="AU1871" s="79"/>
      <c r="AV1871" s="117"/>
      <c r="AW1871" s="115"/>
      <c r="AX1871" s="106"/>
      <c r="AY1871" s="104"/>
      <c r="AZ1871" s="105"/>
    </row>
    <row r="1872" customHeight="1" spans="1:52">
      <c r="A1872" s="70">
        <v>1889</v>
      </c>
      <c r="B1872" s="70" t="s">
        <v>1220</v>
      </c>
      <c r="C1872" s="70" t="s">
        <v>38</v>
      </c>
      <c r="D1872" s="205" t="s">
        <v>5048</v>
      </c>
      <c r="E1872" s="71" t="s">
        <v>735</v>
      </c>
      <c r="F1872" s="72"/>
      <c r="G1872" s="73"/>
      <c r="H1872" s="75"/>
      <c r="I1872" s="102">
        <v>46228</v>
      </c>
      <c r="J1872" s="70">
        <v>3</v>
      </c>
      <c r="K1872" s="106" t="s">
        <v>5049</v>
      </c>
      <c r="L1872" s="104">
        <f t="shared" si="493"/>
        <v>46320</v>
      </c>
      <c r="M1872" s="105">
        <f ca="1" t="shared" si="494"/>
        <v>7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104">
        <f t="shared" si="489"/>
        <v>0</v>
      </c>
      <c r="Z1872" s="105">
        <f ca="1" t="shared" si="490"/>
        <v>-46313</v>
      </c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5"/>
      <c r="AO1872" s="115"/>
      <c r="AP1872" s="115"/>
      <c r="AQ1872" s="93"/>
      <c r="AR1872" s="93"/>
      <c r="AS1872" s="94"/>
      <c r="AT1872" s="95"/>
      <c r="AU1872" s="79"/>
      <c r="AV1872" s="117"/>
      <c r="AW1872" s="115"/>
      <c r="AX1872" s="106"/>
      <c r="AY1872" s="104"/>
      <c r="AZ1872" s="105"/>
    </row>
    <row r="1873" customHeight="1" spans="1:52">
      <c r="A1873" s="70">
        <v>1890</v>
      </c>
      <c r="B1873" s="108" t="s">
        <v>2130</v>
      </c>
      <c r="C1873" s="70" t="s">
        <v>13</v>
      </c>
      <c r="D1873" s="205" t="s">
        <v>5050</v>
      </c>
      <c r="E1873" s="71" t="s">
        <v>5051</v>
      </c>
      <c r="F1873" s="72"/>
      <c r="G1873" s="73"/>
      <c r="H1873" s="75"/>
      <c r="I1873" s="102">
        <v>46228</v>
      </c>
      <c r="J1873" s="70">
        <v>3</v>
      </c>
      <c r="K1873" s="106" t="s">
        <v>5052</v>
      </c>
      <c r="L1873" s="104">
        <f t="shared" si="493"/>
        <v>46320</v>
      </c>
      <c r="M1873" s="105">
        <f ca="1" t="shared" si="494"/>
        <v>7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104">
        <f t="shared" si="489"/>
        <v>0</v>
      </c>
      <c r="Z1873" s="105">
        <f ca="1" t="shared" si="490"/>
        <v>-46313</v>
      </c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5"/>
      <c r="AO1873" s="115"/>
      <c r="AP1873" s="115"/>
      <c r="AQ1873" s="93"/>
      <c r="AR1873" s="93"/>
      <c r="AS1873" s="94"/>
      <c r="AT1873" s="95"/>
      <c r="AU1873" s="79"/>
      <c r="AV1873" s="117"/>
      <c r="AW1873" s="115"/>
      <c r="AX1873" s="106"/>
      <c r="AY1873" s="104"/>
      <c r="AZ1873" s="105"/>
    </row>
    <row r="1874" customHeight="1" spans="1:52">
      <c r="A1874" s="70">
        <v>1891</v>
      </c>
      <c r="B1874" s="204" t="s">
        <v>782</v>
      </c>
      <c r="C1874" s="70" t="s">
        <v>374</v>
      </c>
      <c r="D1874" s="205" t="s">
        <v>5053</v>
      </c>
      <c r="E1874" s="71" t="s">
        <v>5054</v>
      </c>
      <c r="F1874" s="72"/>
      <c r="G1874" s="73"/>
      <c r="H1874" s="75"/>
      <c r="I1874" s="102">
        <v>46228</v>
      </c>
      <c r="J1874" s="70">
        <v>3</v>
      </c>
      <c r="K1874" s="106" t="s">
        <v>5055</v>
      </c>
      <c r="L1874" s="104">
        <f t="shared" si="493"/>
        <v>46320</v>
      </c>
      <c r="M1874" s="105">
        <f ca="1" t="shared" si="494"/>
        <v>7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104">
        <f t="shared" si="489"/>
        <v>0</v>
      </c>
      <c r="Z1874" s="105">
        <f ca="1" t="shared" si="490"/>
        <v>-46313</v>
      </c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5"/>
      <c r="AO1874" s="115"/>
      <c r="AP1874" s="115"/>
      <c r="AQ1874" s="93"/>
      <c r="AR1874" s="93"/>
      <c r="AS1874" s="94"/>
      <c r="AT1874" s="95"/>
      <c r="AU1874" s="79"/>
      <c r="AV1874" s="117"/>
      <c r="AW1874" s="115"/>
      <c r="AX1874" s="106"/>
      <c r="AY1874" s="104"/>
      <c r="AZ1874" s="105"/>
    </row>
    <row r="1875" customHeight="1" spans="1:52">
      <c r="A1875" s="70">
        <v>1892</v>
      </c>
      <c r="B1875" s="204" t="s">
        <v>5056</v>
      </c>
      <c r="C1875" s="70" t="s">
        <v>13</v>
      </c>
      <c r="D1875" s="205" t="s">
        <v>5057</v>
      </c>
      <c r="E1875" s="71" t="s">
        <v>45</v>
      </c>
      <c r="F1875" s="72"/>
      <c r="G1875" s="73"/>
      <c r="H1875" s="75"/>
      <c r="I1875" s="102">
        <v>46228</v>
      </c>
      <c r="J1875" s="70">
        <v>3</v>
      </c>
      <c r="K1875" s="106" t="s">
        <v>5058</v>
      </c>
      <c r="L1875" s="104">
        <f t="shared" si="493"/>
        <v>46320</v>
      </c>
      <c r="M1875" s="105">
        <f ca="1" t="shared" si="494"/>
        <v>7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104">
        <f t="shared" si="489"/>
        <v>0</v>
      </c>
      <c r="Z1875" s="105">
        <f ca="1" t="shared" si="490"/>
        <v>-46313</v>
      </c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5"/>
      <c r="AO1875" s="115"/>
      <c r="AP1875" s="115"/>
      <c r="AQ1875" s="93"/>
      <c r="AR1875" s="93"/>
      <c r="AS1875" s="94"/>
      <c r="AT1875" s="95"/>
      <c r="AU1875" s="79"/>
      <c r="AV1875" s="117"/>
      <c r="AW1875" s="115"/>
      <c r="AX1875" s="106"/>
      <c r="AY1875" s="104"/>
      <c r="AZ1875" s="105"/>
    </row>
    <row r="1876" customHeight="1" spans="1:52">
      <c r="A1876" s="70">
        <v>1893</v>
      </c>
      <c r="B1876" s="204" t="s">
        <v>5056</v>
      </c>
      <c r="C1876" s="70" t="s">
        <v>38</v>
      </c>
      <c r="D1876" s="205" t="s">
        <v>5059</v>
      </c>
      <c r="E1876" s="71" t="s">
        <v>189</v>
      </c>
      <c r="F1876" s="72"/>
      <c r="G1876" s="73"/>
      <c r="H1876" s="79" t="s">
        <v>16</v>
      </c>
      <c r="I1876" s="102">
        <v>46228</v>
      </c>
      <c r="J1876" s="70">
        <v>3</v>
      </c>
      <c r="K1876" s="106" t="s">
        <v>5060</v>
      </c>
      <c r="L1876" s="104">
        <f t="shared" si="493"/>
        <v>46320</v>
      </c>
      <c r="M1876" s="105">
        <f ca="1" t="shared" si="494"/>
        <v>7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104">
        <f t="shared" si="489"/>
        <v>0</v>
      </c>
      <c r="Z1876" s="105">
        <f ca="1" t="shared" si="490"/>
        <v>-46313</v>
      </c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5"/>
      <c r="AO1876" s="115"/>
      <c r="AP1876" s="115"/>
      <c r="AQ1876" s="93"/>
      <c r="AR1876" s="93"/>
      <c r="AS1876" s="94"/>
      <c r="AT1876" s="95"/>
      <c r="AU1876" s="79"/>
      <c r="AV1876" s="117"/>
      <c r="AW1876" s="115"/>
      <c r="AX1876" s="106"/>
      <c r="AY1876" s="104"/>
      <c r="AZ1876" s="105"/>
    </row>
    <row r="1877" customHeight="1" spans="1:52">
      <c r="A1877" s="70">
        <v>1894</v>
      </c>
      <c r="B1877" s="204" t="s">
        <v>5056</v>
      </c>
      <c r="C1877" s="70" t="s">
        <v>13</v>
      </c>
      <c r="D1877" s="205" t="s">
        <v>5061</v>
      </c>
      <c r="E1877" s="71" t="s">
        <v>28</v>
      </c>
      <c r="F1877" s="72"/>
      <c r="G1877" s="73"/>
      <c r="H1877" s="79" t="s">
        <v>16</v>
      </c>
      <c r="I1877" s="102">
        <v>46228</v>
      </c>
      <c r="J1877" s="70">
        <v>3</v>
      </c>
      <c r="K1877" s="106" t="s">
        <v>5062</v>
      </c>
      <c r="L1877" s="104">
        <f t="shared" si="493"/>
        <v>46320</v>
      </c>
      <c r="M1877" s="105">
        <f ca="1" t="shared" si="494"/>
        <v>7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104">
        <f t="shared" si="489"/>
        <v>0</v>
      </c>
      <c r="Z1877" s="105">
        <f ca="1" t="shared" si="490"/>
        <v>-46313</v>
      </c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5"/>
      <c r="AO1877" s="115"/>
      <c r="AP1877" s="115"/>
      <c r="AQ1877" s="93"/>
      <c r="AR1877" s="93"/>
      <c r="AS1877" s="94"/>
      <c r="AT1877" s="95"/>
      <c r="AU1877" s="79"/>
      <c r="AV1877" s="117"/>
      <c r="AW1877" s="115"/>
      <c r="AX1877" s="106"/>
      <c r="AY1877" s="104"/>
      <c r="AZ1877" s="105"/>
    </row>
    <row r="1878" customHeight="1" spans="1:52">
      <c r="A1878" s="70">
        <v>1895</v>
      </c>
      <c r="B1878" s="204" t="s">
        <v>1359</v>
      </c>
      <c r="C1878" s="70" t="s">
        <v>13</v>
      </c>
      <c r="D1878" s="205" t="s">
        <v>2718</v>
      </c>
      <c r="E1878" s="71" t="s">
        <v>2719</v>
      </c>
      <c r="F1878" s="72"/>
      <c r="G1878" s="73"/>
      <c r="H1878" s="75"/>
      <c r="I1878" s="102">
        <v>46228</v>
      </c>
      <c r="J1878" s="70" t="s">
        <v>767</v>
      </c>
      <c r="K1878" s="106"/>
      <c r="L1878" s="104" t="e">
        <f t="shared" si="493"/>
        <v>#VALUE!</v>
      </c>
      <c r="M1878" s="105" t="e">
        <f ca="1" t="shared" si="494"/>
        <v>#VALUE!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104">
        <f t="shared" si="489"/>
        <v>0</v>
      </c>
      <c r="Z1878" s="105">
        <f ca="1" t="shared" si="490"/>
        <v>-46313</v>
      </c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5"/>
      <c r="AO1878" s="115"/>
      <c r="AP1878" s="115"/>
      <c r="AQ1878" s="93"/>
      <c r="AR1878" s="93"/>
      <c r="AS1878" s="94"/>
      <c r="AT1878" s="95"/>
      <c r="AU1878" s="79"/>
      <c r="AV1878" s="117"/>
      <c r="AW1878" s="115"/>
      <c r="AX1878" s="106"/>
      <c r="AY1878" s="104"/>
      <c r="AZ1878" s="105"/>
    </row>
    <row r="1879" customHeight="1" spans="1:52">
      <c r="A1879" s="70">
        <v>1896</v>
      </c>
      <c r="B1879" s="204" t="s">
        <v>1359</v>
      </c>
      <c r="C1879" s="70" t="s">
        <v>13</v>
      </c>
      <c r="D1879" s="205" t="s">
        <v>2858</v>
      </c>
      <c r="E1879" s="71" t="s">
        <v>2859</v>
      </c>
      <c r="F1879" s="72"/>
      <c r="G1879" s="73"/>
      <c r="H1879" s="75"/>
      <c r="I1879" s="102">
        <v>46228</v>
      </c>
      <c r="J1879" s="70" t="s">
        <v>767</v>
      </c>
      <c r="K1879" s="106"/>
      <c r="L1879" s="104" t="e">
        <f t="shared" si="493"/>
        <v>#VALUE!</v>
      </c>
      <c r="M1879" s="105" t="e">
        <f ca="1" t="shared" si="494"/>
        <v>#VALUE!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104">
        <f t="shared" si="489"/>
        <v>0</v>
      </c>
      <c r="Z1879" s="105">
        <f ca="1" t="shared" si="490"/>
        <v>-46313</v>
      </c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5"/>
      <c r="AO1879" s="115"/>
      <c r="AP1879" s="115"/>
      <c r="AQ1879" s="93"/>
      <c r="AR1879" s="93"/>
      <c r="AS1879" s="94"/>
      <c r="AT1879" s="95"/>
      <c r="AU1879" s="79"/>
      <c r="AV1879" s="117"/>
      <c r="AW1879" s="115"/>
      <c r="AX1879" s="106"/>
      <c r="AY1879" s="104"/>
      <c r="AZ1879" s="105"/>
    </row>
    <row r="1880" customHeight="1" spans="1:52">
      <c r="A1880" s="70">
        <v>1897</v>
      </c>
      <c r="B1880" s="204" t="s">
        <v>1359</v>
      </c>
      <c r="C1880" s="70" t="s">
        <v>13</v>
      </c>
      <c r="D1880" s="205" t="s">
        <v>2714</v>
      </c>
      <c r="E1880" s="71" t="s">
        <v>2715</v>
      </c>
      <c r="F1880" s="72"/>
      <c r="G1880" s="73"/>
      <c r="H1880" s="75"/>
      <c r="I1880" s="102">
        <v>46228</v>
      </c>
      <c r="J1880" s="70" t="s">
        <v>767</v>
      </c>
      <c r="K1880" s="106"/>
      <c r="L1880" s="104" t="e">
        <f t="shared" si="493"/>
        <v>#VALUE!</v>
      </c>
      <c r="M1880" s="105" t="e">
        <f ca="1" t="shared" si="494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104">
        <f t="shared" si="489"/>
        <v>0</v>
      </c>
      <c r="Z1880" s="105">
        <f ca="1" t="shared" si="490"/>
        <v>-46313</v>
      </c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5"/>
      <c r="AO1880" s="115"/>
      <c r="AP1880" s="115"/>
      <c r="AQ1880" s="93"/>
      <c r="AR1880" s="93"/>
      <c r="AS1880" s="94"/>
      <c r="AT1880" s="95"/>
      <c r="AU1880" s="79"/>
      <c r="AV1880" s="117"/>
      <c r="AW1880" s="115"/>
      <c r="AX1880" s="106"/>
      <c r="AY1880" s="104"/>
      <c r="AZ1880" s="105"/>
    </row>
    <row r="1881" customHeight="1" spans="1:52">
      <c r="A1881" s="70">
        <v>1898</v>
      </c>
      <c r="B1881" s="70" t="s">
        <v>12</v>
      </c>
      <c r="C1881" s="70" t="s">
        <v>13</v>
      </c>
      <c r="D1881" s="71" t="s">
        <v>5063</v>
      </c>
      <c r="E1881" s="71" t="s">
        <v>45</v>
      </c>
      <c r="F1881" s="72"/>
      <c r="G1881" s="73"/>
      <c r="H1881" s="74" t="s">
        <v>16</v>
      </c>
      <c r="I1881" s="102">
        <v>46230</v>
      </c>
      <c r="J1881" s="70">
        <v>3</v>
      </c>
      <c r="K1881" s="106" t="s">
        <v>5064</v>
      </c>
      <c r="L1881" s="104">
        <f t="shared" si="493"/>
        <v>46322</v>
      </c>
      <c r="M1881" s="105">
        <f ca="1" t="shared" si="494"/>
        <v>9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104">
        <f t="shared" si="489"/>
        <v>0</v>
      </c>
      <c r="Z1881" s="105">
        <f ca="1" t="shared" si="490"/>
        <v>-46313</v>
      </c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5"/>
      <c r="AO1881" s="115"/>
      <c r="AP1881" s="115"/>
      <c r="AQ1881" s="93"/>
      <c r="AR1881" s="93"/>
      <c r="AS1881" s="94"/>
      <c r="AT1881" s="95"/>
      <c r="AU1881" s="79"/>
      <c r="AV1881" s="117"/>
      <c r="AW1881" s="115"/>
      <c r="AX1881" s="106"/>
      <c r="AY1881" s="104"/>
      <c r="AZ1881" s="105"/>
    </row>
    <row r="1882" customHeight="1" spans="1:52">
      <c r="A1882" s="70">
        <v>1899</v>
      </c>
      <c r="B1882" s="228" t="s">
        <v>751</v>
      </c>
      <c r="C1882" s="229" t="s">
        <v>264</v>
      </c>
      <c r="D1882" s="230" t="s">
        <v>3176</v>
      </c>
      <c r="E1882" s="71" t="s">
        <v>2734</v>
      </c>
      <c r="F1882" s="72"/>
      <c r="G1882" s="73"/>
      <c r="H1882" s="75"/>
      <c r="I1882" s="102">
        <v>46230</v>
      </c>
      <c r="J1882" s="70" t="s">
        <v>767</v>
      </c>
      <c r="K1882" s="106"/>
      <c r="L1882" s="104" t="e">
        <f t="shared" ref="L1882:L1895" si="495">EDATE(I1882,J1882)</f>
        <v>#VALUE!</v>
      </c>
      <c r="M1882" s="105" t="e">
        <f ca="1" t="shared" ref="M1882:M1895" si="496">L1882-TODAY()</f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104">
        <f t="shared" si="489"/>
        <v>0</v>
      </c>
      <c r="Z1882" s="105">
        <f ca="1" t="shared" si="490"/>
        <v>-46313</v>
      </c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5"/>
      <c r="AO1882" s="115"/>
      <c r="AP1882" s="115"/>
      <c r="AQ1882" s="93"/>
      <c r="AR1882" s="93"/>
      <c r="AS1882" s="94"/>
      <c r="AT1882" s="95"/>
      <c r="AU1882" s="79"/>
      <c r="AV1882" s="117"/>
      <c r="AW1882" s="115"/>
      <c r="AX1882" s="106"/>
      <c r="AY1882" s="104"/>
      <c r="AZ1882" s="105"/>
    </row>
    <row r="1883" customHeight="1" spans="1:52">
      <c r="A1883" s="70">
        <v>1900</v>
      </c>
      <c r="B1883" s="228" t="s">
        <v>751</v>
      </c>
      <c r="C1883" s="229" t="s">
        <v>264</v>
      </c>
      <c r="D1883" s="230" t="s">
        <v>3236</v>
      </c>
      <c r="E1883" s="71" t="s">
        <v>2738</v>
      </c>
      <c r="F1883" s="72"/>
      <c r="G1883" s="73"/>
      <c r="H1883" s="75"/>
      <c r="I1883" s="102">
        <v>46230</v>
      </c>
      <c r="J1883" s="70" t="s">
        <v>767</v>
      </c>
      <c r="K1883" s="106"/>
      <c r="L1883" s="104" t="e">
        <f t="shared" si="495"/>
        <v>#VALUE!</v>
      </c>
      <c r="M1883" s="105" t="e">
        <f ca="1" t="shared" si="496"/>
        <v>#VALUE!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104">
        <f t="shared" si="489"/>
        <v>0</v>
      </c>
      <c r="Z1883" s="105">
        <f ca="1" t="shared" si="490"/>
        <v>-46313</v>
      </c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5"/>
      <c r="AO1883" s="115"/>
      <c r="AP1883" s="115"/>
      <c r="AQ1883" s="93"/>
      <c r="AR1883" s="93"/>
      <c r="AS1883" s="94"/>
      <c r="AT1883" s="95"/>
      <c r="AU1883" s="79"/>
      <c r="AV1883" s="117"/>
      <c r="AW1883" s="115"/>
      <c r="AX1883" s="106"/>
      <c r="AY1883" s="104"/>
      <c r="AZ1883" s="105"/>
    </row>
    <row r="1884" customHeight="1" spans="1:52">
      <c r="A1884" s="70">
        <v>1901</v>
      </c>
      <c r="B1884" s="228" t="s">
        <v>751</v>
      </c>
      <c r="C1884" s="229" t="s">
        <v>264</v>
      </c>
      <c r="D1884" s="230" t="s">
        <v>3239</v>
      </c>
      <c r="E1884" s="71" t="s">
        <v>3240</v>
      </c>
      <c r="F1884" s="72"/>
      <c r="G1884" s="73"/>
      <c r="H1884" s="75"/>
      <c r="I1884" s="102">
        <v>46230</v>
      </c>
      <c r="J1884" s="70" t="s">
        <v>767</v>
      </c>
      <c r="K1884" s="106"/>
      <c r="L1884" s="104" t="e">
        <f t="shared" si="495"/>
        <v>#VALUE!</v>
      </c>
      <c r="M1884" s="105" t="e">
        <f ca="1" t="shared" si="496"/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104">
        <f t="shared" si="489"/>
        <v>0</v>
      </c>
      <c r="Z1884" s="105">
        <f ca="1" t="shared" si="490"/>
        <v>-46313</v>
      </c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5"/>
      <c r="AO1884" s="115"/>
      <c r="AP1884" s="115"/>
      <c r="AQ1884" s="93"/>
      <c r="AR1884" s="93"/>
      <c r="AS1884" s="94"/>
      <c r="AT1884" s="95"/>
      <c r="AU1884" s="79"/>
      <c r="AV1884" s="117"/>
      <c r="AW1884" s="115"/>
      <c r="AX1884" s="106"/>
      <c r="AY1884" s="104"/>
      <c r="AZ1884" s="105"/>
    </row>
    <row r="1885" customHeight="1" spans="1:52">
      <c r="A1885" s="70">
        <v>1902</v>
      </c>
      <c r="B1885" s="228" t="s">
        <v>751</v>
      </c>
      <c r="C1885" s="229" t="s">
        <v>264</v>
      </c>
      <c r="D1885" s="230" t="s">
        <v>4719</v>
      </c>
      <c r="E1885" s="71" t="s">
        <v>2744</v>
      </c>
      <c r="F1885" s="72"/>
      <c r="G1885" s="73"/>
      <c r="H1885" s="75"/>
      <c r="I1885" s="102">
        <v>46230</v>
      </c>
      <c r="J1885" s="70" t="s">
        <v>767</v>
      </c>
      <c r="K1885" s="106"/>
      <c r="L1885" s="104" t="e">
        <f t="shared" si="495"/>
        <v>#VALUE!</v>
      </c>
      <c r="M1885" s="105" t="e">
        <f ca="1" t="shared" si="496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104">
        <f t="shared" si="489"/>
        <v>0</v>
      </c>
      <c r="Z1885" s="105">
        <f ca="1" t="shared" si="490"/>
        <v>-46313</v>
      </c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5"/>
      <c r="AO1885" s="115"/>
      <c r="AP1885" s="115"/>
      <c r="AQ1885" s="93"/>
      <c r="AR1885" s="93"/>
      <c r="AS1885" s="94"/>
      <c r="AT1885" s="95"/>
      <c r="AU1885" s="79"/>
      <c r="AV1885" s="117"/>
      <c r="AW1885" s="115"/>
      <c r="AX1885" s="106"/>
      <c r="AY1885" s="104"/>
      <c r="AZ1885" s="105"/>
    </row>
    <row r="1886" customHeight="1" spans="1:52">
      <c r="A1886" s="70">
        <v>1903</v>
      </c>
      <c r="B1886" s="204" t="s">
        <v>751</v>
      </c>
      <c r="C1886" s="70" t="s">
        <v>264</v>
      </c>
      <c r="D1886" s="205" t="s">
        <v>4713</v>
      </c>
      <c r="E1886" s="71" t="s">
        <v>3187</v>
      </c>
      <c r="F1886" s="72"/>
      <c r="G1886" s="73"/>
      <c r="H1886" s="75"/>
      <c r="I1886" s="102">
        <v>46230</v>
      </c>
      <c r="J1886" s="70" t="s">
        <v>767</v>
      </c>
      <c r="K1886" s="106"/>
      <c r="L1886" s="104" t="e">
        <f t="shared" si="495"/>
        <v>#VALUE!</v>
      </c>
      <c r="M1886" s="105" t="e">
        <f ca="1" t="shared" si="496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104">
        <f t="shared" si="489"/>
        <v>0</v>
      </c>
      <c r="Z1886" s="105">
        <f ca="1" t="shared" si="490"/>
        <v>-46313</v>
      </c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5"/>
      <c r="AO1886" s="115"/>
      <c r="AP1886" s="115"/>
      <c r="AQ1886" s="93"/>
      <c r="AR1886" s="93"/>
      <c r="AS1886" s="94"/>
      <c r="AT1886" s="95"/>
      <c r="AU1886" s="79"/>
      <c r="AV1886" s="117"/>
      <c r="AW1886" s="115"/>
      <c r="AX1886" s="106"/>
      <c r="AY1886" s="104"/>
      <c r="AZ1886" s="105"/>
    </row>
    <row r="1887" customHeight="1" spans="1:52">
      <c r="A1887" s="70">
        <v>1904</v>
      </c>
      <c r="B1887" s="204" t="s">
        <v>751</v>
      </c>
      <c r="C1887" s="70" t="s">
        <v>264</v>
      </c>
      <c r="D1887" s="205" t="s">
        <v>3233</v>
      </c>
      <c r="E1887" s="71" t="s">
        <v>2741</v>
      </c>
      <c r="F1887" s="72"/>
      <c r="G1887" s="73"/>
      <c r="H1887" s="75"/>
      <c r="I1887" s="102">
        <v>46230</v>
      </c>
      <c r="J1887" s="70" t="s">
        <v>767</v>
      </c>
      <c r="K1887" s="106"/>
      <c r="L1887" s="104" t="e">
        <f t="shared" si="495"/>
        <v>#VALUE!</v>
      </c>
      <c r="M1887" s="105" t="e">
        <f ca="1" t="shared" si="496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104">
        <f t="shared" si="489"/>
        <v>0</v>
      </c>
      <c r="Z1887" s="105">
        <f ca="1" t="shared" si="490"/>
        <v>-46313</v>
      </c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5"/>
      <c r="AO1887" s="115"/>
      <c r="AP1887" s="115"/>
      <c r="AQ1887" s="93"/>
      <c r="AR1887" s="93"/>
      <c r="AS1887" s="94"/>
      <c r="AT1887" s="95"/>
      <c r="AU1887" s="79"/>
      <c r="AV1887" s="117"/>
      <c r="AW1887" s="115"/>
      <c r="AX1887" s="106"/>
      <c r="AY1887" s="104"/>
      <c r="AZ1887" s="105"/>
    </row>
    <row r="1888" customHeight="1" spans="1:52">
      <c r="A1888" s="70">
        <v>1905</v>
      </c>
      <c r="B1888" s="204" t="s">
        <v>751</v>
      </c>
      <c r="C1888" s="70" t="s">
        <v>264</v>
      </c>
      <c r="D1888" s="205" t="s">
        <v>4717</v>
      </c>
      <c r="E1888" s="71" t="s">
        <v>2734</v>
      </c>
      <c r="F1888" s="72"/>
      <c r="G1888" s="73"/>
      <c r="H1888" s="75"/>
      <c r="I1888" s="102">
        <v>46230</v>
      </c>
      <c r="J1888" s="70" t="s">
        <v>767</v>
      </c>
      <c r="K1888" s="106"/>
      <c r="L1888" s="104" t="e">
        <f t="shared" si="495"/>
        <v>#VALUE!</v>
      </c>
      <c r="M1888" s="105" t="e">
        <f ca="1" t="shared" si="496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104">
        <f t="shared" si="489"/>
        <v>0</v>
      </c>
      <c r="Z1888" s="105">
        <f ca="1" t="shared" si="490"/>
        <v>-46313</v>
      </c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5"/>
      <c r="AO1888" s="115"/>
      <c r="AP1888" s="115"/>
      <c r="AQ1888" s="93"/>
      <c r="AR1888" s="93"/>
      <c r="AS1888" s="94"/>
      <c r="AT1888" s="95"/>
      <c r="AU1888" s="79"/>
      <c r="AV1888" s="117"/>
      <c r="AW1888" s="115"/>
      <c r="AX1888" s="106"/>
      <c r="AY1888" s="104"/>
      <c r="AZ1888" s="105"/>
    </row>
    <row r="1889" customHeight="1" spans="1:52">
      <c r="A1889" s="70">
        <v>1906</v>
      </c>
      <c r="B1889" s="204" t="s">
        <v>751</v>
      </c>
      <c r="C1889" s="70" t="s">
        <v>264</v>
      </c>
      <c r="D1889" s="205" t="s">
        <v>4723</v>
      </c>
      <c r="E1889" s="71" t="s">
        <v>2734</v>
      </c>
      <c r="F1889" s="72"/>
      <c r="G1889" s="73"/>
      <c r="H1889" s="75"/>
      <c r="I1889" s="102">
        <v>46230</v>
      </c>
      <c r="J1889" s="70" t="s">
        <v>767</v>
      </c>
      <c r="K1889" s="106"/>
      <c r="L1889" s="104" t="e">
        <f t="shared" si="495"/>
        <v>#VALUE!</v>
      </c>
      <c r="M1889" s="105" t="e">
        <f ca="1" t="shared" si="496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104">
        <f t="shared" si="489"/>
        <v>0</v>
      </c>
      <c r="Z1889" s="105">
        <f ca="1" t="shared" si="490"/>
        <v>-46313</v>
      </c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5"/>
      <c r="AO1889" s="115"/>
      <c r="AP1889" s="115"/>
      <c r="AQ1889" s="93"/>
      <c r="AR1889" s="93"/>
      <c r="AS1889" s="94"/>
      <c r="AT1889" s="95"/>
      <c r="AU1889" s="79"/>
      <c r="AV1889" s="117"/>
      <c r="AW1889" s="115"/>
      <c r="AX1889" s="106"/>
      <c r="AY1889" s="104"/>
      <c r="AZ1889" s="105"/>
    </row>
    <row r="1890" customHeight="1" spans="1:52">
      <c r="A1890" s="70">
        <v>1907</v>
      </c>
      <c r="B1890" s="204" t="s">
        <v>263</v>
      </c>
      <c r="C1890" s="70" t="s">
        <v>264</v>
      </c>
      <c r="D1890" s="205" t="s">
        <v>955</v>
      </c>
      <c r="E1890" s="71" t="s">
        <v>753</v>
      </c>
      <c r="F1890" s="72"/>
      <c r="G1890" s="73"/>
      <c r="H1890" s="75"/>
      <c r="I1890" s="102">
        <v>46230</v>
      </c>
      <c r="J1890" s="70" t="s">
        <v>767</v>
      </c>
      <c r="K1890" s="106"/>
      <c r="L1890" s="104" t="e">
        <f t="shared" si="495"/>
        <v>#VALUE!</v>
      </c>
      <c r="M1890" s="105" t="e">
        <f ca="1" t="shared" si="496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104">
        <f t="shared" si="489"/>
        <v>0</v>
      </c>
      <c r="Z1890" s="105">
        <f ca="1" t="shared" si="490"/>
        <v>-46313</v>
      </c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5"/>
      <c r="AO1890" s="115"/>
      <c r="AP1890" s="115"/>
      <c r="AQ1890" s="93"/>
      <c r="AR1890" s="93"/>
      <c r="AS1890" s="94"/>
      <c r="AT1890" s="95"/>
      <c r="AU1890" s="79"/>
      <c r="AV1890" s="117"/>
      <c r="AW1890" s="115"/>
      <c r="AX1890" s="106"/>
      <c r="AY1890" s="104"/>
      <c r="AZ1890" s="105"/>
    </row>
    <row r="1891" customHeight="1" spans="1:52">
      <c r="A1891" s="70">
        <v>1908</v>
      </c>
      <c r="B1891" s="204" t="s">
        <v>263</v>
      </c>
      <c r="C1891" s="70" t="s">
        <v>264</v>
      </c>
      <c r="D1891" s="205" t="s">
        <v>265</v>
      </c>
      <c r="E1891" s="71" t="s">
        <v>753</v>
      </c>
      <c r="F1891" s="72"/>
      <c r="G1891" s="73"/>
      <c r="H1891" s="75"/>
      <c r="I1891" s="102">
        <v>46230</v>
      </c>
      <c r="J1891" s="70" t="s">
        <v>767</v>
      </c>
      <c r="K1891" s="106"/>
      <c r="L1891" s="104" t="e">
        <f t="shared" si="495"/>
        <v>#VALUE!</v>
      </c>
      <c r="M1891" s="105" t="e">
        <f ca="1" t="shared" si="496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104">
        <f t="shared" si="489"/>
        <v>0</v>
      </c>
      <c r="Z1891" s="105">
        <f ca="1" t="shared" si="490"/>
        <v>-46313</v>
      </c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5"/>
      <c r="AO1891" s="115"/>
      <c r="AP1891" s="115"/>
      <c r="AQ1891" s="93"/>
      <c r="AR1891" s="93"/>
      <c r="AS1891" s="94"/>
      <c r="AT1891" s="95"/>
      <c r="AU1891" s="79"/>
      <c r="AV1891" s="117"/>
      <c r="AW1891" s="115"/>
      <c r="AX1891" s="106"/>
      <c r="AY1891" s="104"/>
      <c r="AZ1891" s="105"/>
    </row>
    <row r="1892" customHeight="1" spans="1:52">
      <c r="A1892" s="70">
        <v>1909</v>
      </c>
      <c r="B1892" s="204" t="s">
        <v>263</v>
      </c>
      <c r="C1892" s="70" t="s">
        <v>264</v>
      </c>
      <c r="D1892" s="205" t="s">
        <v>1922</v>
      </c>
      <c r="E1892" s="71" t="s">
        <v>753</v>
      </c>
      <c r="F1892" s="72"/>
      <c r="G1892" s="73"/>
      <c r="H1892" s="75"/>
      <c r="I1892" s="102">
        <v>46230</v>
      </c>
      <c r="J1892" s="70" t="s">
        <v>767</v>
      </c>
      <c r="K1892" s="106"/>
      <c r="L1892" s="104" t="e">
        <f t="shared" si="495"/>
        <v>#VALUE!</v>
      </c>
      <c r="M1892" s="105" t="e">
        <f ca="1" t="shared" si="496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104">
        <f t="shared" si="489"/>
        <v>0</v>
      </c>
      <c r="Z1892" s="105">
        <f ca="1" t="shared" si="490"/>
        <v>-46313</v>
      </c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5"/>
      <c r="AO1892" s="115"/>
      <c r="AP1892" s="115"/>
      <c r="AQ1892" s="93"/>
      <c r="AR1892" s="93"/>
      <c r="AS1892" s="94"/>
      <c r="AT1892" s="95"/>
      <c r="AU1892" s="79"/>
      <c r="AV1892" s="117"/>
      <c r="AW1892" s="115"/>
      <c r="AX1892" s="106"/>
      <c r="AY1892" s="104"/>
      <c r="AZ1892" s="105"/>
    </row>
    <row r="1893" customHeight="1" spans="1:52">
      <c r="A1893" s="70">
        <v>1910</v>
      </c>
      <c r="B1893" s="204" t="s">
        <v>263</v>
      </c>
      <c r="C1893" s="70" t="s">
        <v>264</v>
      </c>
      <c r="D1893" s="205" t="s">
        <v>2433</v>
      </c>
      <c r="E1893" s="71" t="s">
        <v>753</v>
      </c>
      <c r="F1893" s="72"/>
      <c r="G1893" s="73"/>
      <c r="H1893" s="75"/>
      <c r="I1893" s="102">
        <v>46230</v>
      </c>
      <c r="J1893" s="70" t="s">
        <v>767</v>
      </c>
      <c r="K1893" s="106"/>
      <c r="L1893" s="104" t="e">
        <f t="shared" si="495"/>
        <v>#VALUE!</v>
      </c>
      <c r="M1893" s="105" t="e">
        <f ca="1" t="shared" si="496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104">
        <f t="shared" si="489"/>
        <v>0</v>
      </c>
      <c r="Z1893" s="105">
        <f ca="1" t="shared" si="490"/>
        <v>-46313</v>
      </c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5"/>
      <c r="AO1893" s="115"/>
      <c r="AP1893" s="115"/>
      <c r="AQ1893" s="93"/>
      <c r="AR1893" s="93"/>
      <c r="AS1893" s="94"/>
      <c r="AT1893" s="95"/>
      <c r="AU1893" s="79"/>
      <c r="AV1893" s="117"/>
      <c r="AW1893" s="115"/>
      <c r="AX1893" s="106"/>
      <c r="AY1893" s="104"/>
      <c r="AZ1893" s="105"/>
    </row>
    <row r="1894" customHeight="1" spans="1:52">
      <c r="A1894" s="70">
        <v>1911</v>
      </c>
      <c r="B1894" s="204" t="s">
        <v>1359</v>
      </c>
      <c r="C1894" s="70" t="s">
        <v>13</v>
      </c>
      <c r="D1894" s="205" t="s">
        <v>2848</v>
      </c>
      <c r="E1894" s="71" t="s">
        <v>2849</v>
      </c>
      <c r="F1894" s="72"/>
      <c r="G1894" s="73"/>
      <c r="H1894" s="75"/>
      <c r="I1894" s="102">
        <v>46230</v>
      </c>
      <c r="J1894" s="70" t="s">
        <v>767</v>
      </c>
      <c r="K1894" s="106"/>
      <c r="L1894" s="104" t="e">
        <f t="shared" si="495"/>
        <v>#VALUE!</v>
      </c>
      <c r="M1894" s="105" t="e">
        <f ca="1" t="shared" si="496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104">
        <f t="shared" si="489"/>
        <v>0</v>
      </c>
      <c r="Z1894" s="105">
        <f ca="1" t="shared" si="490"/>
        <v>-46313</v>
      </c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5"/>
      <c r="AO1894" s="115"/>
      <c r="AP1894" s="115"/>
      <c r="AQ1894" s="93"/>
      <c r="AR1894" s="93"/>
      <c r="AS1894" s="94"/>
      <c r="AT1894" s="95"/>
      <c r="AU1894" s="79"/>
      <c r="AV1894" s="117"/>
      <c r="AW1894" s="115"/>
      <c r="AX1894" s="106"/>
      <c r="AY1894" s="104"/>
      <c r="AZ1894" s="105"/>
    </row>
    <row r="1895" customHeight="1" spans="1:52">
      <c r="A1895" s="70">
        <v>1912</v>
      </c>
      <c r="B1895" s="204" t="s">
        <v>1359</v>
      </c>
      <c r="C1895" s="70" t="s">
        <v>13</v>
      </c>
      <c r="D1895" s="205" t="s">
        <v>2858</v>
      </c>
      <c r="E1895" s="71" t="s">
        <v>4934</v>
      </c>
      <c r="F1895" s="72"/>
      <c r="G1895" s="73"/>
      <c r="H1895" s="75"/>
      <c r="I1895" s="102">
        <v>46230</v>
      </c>
      <c r="J1895" s="70" t="s">
        <v>767</v>
      </c>
      <c r="K1895" s="106"/>
      <c r="L1895" s="104" t="e">
        <f t="shared" si="495"/>
        <v>#VALUE!</v>
      </c>
      <c r="M1895" s="105" t="e">
        <f ca="1" t="shared" si="496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104">
        <f t="shared" si="489"/>
        <v>0</v>
      </c>
      <c r="Z1895" s="105">
        <f ca="1" t="shared" si="490"/>
        <v>-46313</v>
      </c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5"/>
      <c r="AO1895" s="115"/>
      <c r="AP1895" s="115"/>
      <c r="AQ1895" s="93"/>
      <c r="AR1895" s="93"/>
      <c r="AS1895" s="94"/>
      <c r="AT1895" s="95"/>
      <c r="AU1895" s="79"/>
      <c r="AV1895" s="117"/>
      <c r="AW1895" s="115"/>
      <c r="AX1895" s="106"/>
      <c r="AY1895" s="104"/>
      <c r="AZ1895" s="105"/>
    </row>
    <row r="1896" customHeight="1" spans="1:52">
      <c r="A1896" s="70">
        <v>1913</v>
      </c>
      <c r="B1896" s="70" t="s">
        <v>731</v>
      </c>
      <c r="C1896" s="70" t="s">
        <v>38</v>
      </c>
      <c r="D1896" s="71" t="s">
        <v>5065</v>
      </c>
      <c r="E1896" s="71" t="s">
        <v>145</v>
      </c>
      <c r="F1896" s="72"/>
      <c r="G1896" s="73"/>
      <c r="H1896" s="75"/>
      <c r="I1896" s="102">
        <v>46231</v>
      </c>
      <c r="J1896" s="70">
        <v>3</v>
      </c>
      <c r="K1896" s="106" t="s">
        <v>5066</v>
      </c>
      <c r="L1896" s="104">
        <f t="shared" ref="L1896:L1917" si="497">EDATE(I1896,J1896)</f>
        <v>46323</v>
      </c>
      <c r="M1896" s="105">
        <f ca="1" t="shared" ref="M1896:M1917" si="498">L1896-TODAY()</f>
        <v>10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104">
        <f t="shared" si="489"/>
        <v>0</v>
      </c>
      <c r="Z1896" s="105">
        <f ca="1" t="shared" si="490"/>
        <v>-46313</v>
      </c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5"/>
      <c r="AO1896" s="115"/>
      <c r="AP1896" s="115"/>
      <c r="AQ1896" s="93"/>
      <c r="AR1896" s="93"/>
      <c r="AS1896" s="94"/>
      <c r="AT1896" s="95"/>
      <c r="AU1896" s="79"/>
      <c r="AV1896" s="117"/>
      <c r="AW1896" s="115"/>
      <c r="AX1896" s="106"/>
      <c r="AY1896" s="104"/>
      <c r="AZ1896" s="105"/>
    </row>
    <row r="1897" customHeight="1" spans="1:52">
      <c r="A1897" s="70">
        <v>1914</v>
      </c>
      <c r="B1897" s="70" t="s">
        <v>731</v>
      </c>
      <c r="C1897" s="70" t="s">
        <v>38</v>
      </c>
      <c r="D1897" s="71" t="s">
        <v>5067</v>
      </c>
      <c r="E1897" s="71" t="s">
        <v>145</v>
      </c>
      <c r="F1897" s="72"/>
      <c r="G1897" s="73"/>
      <c r="H1897" s="75"/>
      <c r="I1897" s="102">
        <v>46231</v>
      </c>
      <c r="J1897" s="70">
        <v>3</v>
      </c>
      <c r="K1897" s="106" t="s">
        <v>5068</v>
      </c>
      <c r="L1897" s="104">
        <f t="shared" si="497"/>
        <v>46323</v>
      </c>
      <c r="M1897" s="105">
        <f ca="1" t="shared" si="498"/>
        <v>10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104">
        <f t="shared" si="489"/>
        <v>0</v>
      </c>
      <c r="Z1897" s="105">
        <f ca="1" t="shared" si="490"/>
        <v>-46313</v>
      </c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5"/>
      <c r="AO1897" s="115"/>
      <c r="AP1897" s="115"/>
      <c r="AQ1897" s="93"/>
      <c r="AR1897" s="93"/>
      <c r="AS1897" s="94"/>
      <c r="AT1897" s="95"/>
      <c r="AU1897" s="79"/>
      <c r="AV1897" s="117"/>
      <c r="AW1897" s="115"/>
      <c r="AX1897" s="106"/>
      <c r="AY1897" s="104"/>
      <c r="AZ1897" s="105"/>
    </row>
    <row r="1898" customHeight="1" spans="1:52">
      <c r="A1898" s="70">
        <v>1915</v>
      </c>
      <c r="B1898" s="70" t="s">
        <v>12</v>
      </c>
      <c r="C1898" s="70" t="s">
        <v>13</v>
      </c>
      <c r="D1898" s="71" t="s">
        <v>5069</v>
      </c>
      <c r="E1898" s="71" t="s">
        <v>45</v>
      </c>
      <c r="F1898" s="72"/>
      <c r="G1898" s="73"/>
      <c r="H1898" s="74" t="s">
        <v>16</v>
      </c>
      <c r="I1898" s="102">
        <v>46231</v>
      </c>
      <c r="J1898" s="70">
        <v>3</v>
      </c>
      <c r="K1898" s="106" t="s">
        <v>5070</v>
      </c>
      <c r="L1898" s="104">
        <f t="shared" si="497"/>
        <v>46323</v>
      </c>
      <c r="M1898" s="105">
        <f ca="1" t="shared" si="498"/>
        <v>10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104">
        <f t="shared" si="489"/>
        <v>0</v>
      </c>
      <c r="Z1898" s="105">
        <f ca="1" t="shared" si="490"/>
        <v>-46313</v>
      </c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5"/>
      <c r="AO1898" s="115"/>
      <c r="AP1898" s="115"/>
      <c r="AQ1898" s="93"/>
      <c r="AR1898" s="93"/>
      <c r="AS1898" s="94"/>
      <c r="AT1898" s="95"/>
      <c r="AU1898" s="79"/>
      <c r="AV1898" s="117"/>
      <c r="AW1898" s="115"/>
      <c r="AX1898" s="106"/>
      <c r="AY1898" s="104"/>
      <c r="AZ1898" s="105"/>
    </row>
    <row r="1899" customHeight="1" spans="1:52">
      <c r="A1899" s="70">
        <v>1916</v>
      </c>
      <c r="B1899" s="70" t="s">
        <v>281</v>
      </c>
      <c r="C1899" s="70" t="s">
        <v>264</v>
      </c>
      <c r="D1899" s="71" t="s">
        <v>5071</v>
      </c>
      <c r="E1899" s="71" t="s">
        <v>5072</v>
      </c>
      <c r="F1899" s="72"/>
      <c r="G1899" s="73"/>
      <c r="H1899" s="75"/>
      <c r="I1899" s="102">
        <v>46231</v>
      </c>
      <c r="J1899" s="70">
        <v>3</v>
      </c>
      <c r="K1899" s="106" t="s">
        <v>5073</v>
      </c>
      <c r="L1899" s="104">
        <f t="shared" si="497"/>
        <v>46323</v>
      </c>
      <c r="M1899" s="105">
        <f ca="1" t="shared" si="498"/>
        <v>10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104">
        <f t="shared" si="489"/>
        <v>0</v>
      </c>
      <c r="Z1899" s="105">
        <f ca="1" t="shared" si="490"/>
        <v>-46313</v>
      </c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5"/>
      <c r="AO1899" s="115"/>
      <c r="AP1899" s="115"/>
      <c r="AQ1899" s="93"/>
      <c r="AR1899" s="93"/>
      <c r="AS1899" s="94"/>
      <c r="AT1899" s="95"/>
      <c r="AU1899" s="79"/>
      <c r="AV1899" s="117"/>
      <c r="AW1899" s="115"/>
      <c r="AX1899" s="106"/>
      <c r="AY1899" s="104"/>
      <c r="AZ1899" s="105"/>
    </row>
    <row r="1900" customHeight="1" spans="1:52">
      <c r="A1900" s="70">
        <v>1917</v>
      </c>
      <c r="B1900" s="204" t="s">
        <v>366</v>
      </c>
      <c r="C1900" s="70" t="s">
        <v>264</v>
      </c>
      <c r="D1900" s="205" t="s">
        <v>367</v>
      </c>
      <c r="E1900" s="71" t="s">
        <v>368</v>
      </c>
      <c r="F1900" s="72"/>
      <c r="G1900" s="73"/>
      <c r="H1900" s="75"/>
      <c r="I1900" s="102">
        <v>46231</v>
      </c>
      <c r="J1900" s="70" t="s">
        <v>767</v>
      </c>
      <c r="K1900" s="106"/>
      <c r="L1900" s="104" t="e">
        <f t="shared" si="497"/>
        <v>#VALUE!</v>
      </c>
      <c r="M1900" s="105" t="e">
        <f ca="1" t="shared" si="498"/>
        <v>#VALUE!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104">
        <f t="shared" si="489"/>
        <v>0</v>
      </c>
      <c r="Z1900" s="105">
        <f ca="1" t="shared" si="490"/>
        <v>-46313</v>
      </c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5"/>
      <c r="AO1900" s="115"/>
      <c r="AP1900" s="115"/>
      <c r="AQ1900" s="93"/>
      <c r="AR1900" s="93"/>
      <c r="AS1900" s="94"/>
      <c r="AT1900" s="95"/>
      <c r="AU1900" s="79"/>
      <c r="AV1900" s="117"/>
      <c r="AW1900" s="115"/>
      <c r="AX1900" s="106"/>
      <c r="AY1900" s="104"/>
      <c r="AZ1900" s="105"/>
    </row>
    <row r="1901" customHeight="1" spans="1:52">
      <c r="A1901" s="70">
        <v>1918</v>
      </c>
      <c r="B1901" s="204" t="s">
        <v>4233</v>
      </c>
      <c r="C1901" s="70" t="s">
        <v>264</v>
      </c>
      <c r="D1901" s="205" t="s">
        <v>4517</v>
      </c>
      <c r="E1901" s="71" t="s">
        <v>753</v>
      </c>
      <c r="F1901" s="72"/>
      <c r="G1901" s="73"/>
      <c r="H1901" s="75"/>
      <c r="I1901" s="102">
        <v>46231</v>
      </c>
      <c r="J1901" s="70" t="s">
        <v>767</v>
      </c>
      <c r="K1901" s="106"/>
      <c r="L1901" s="104" t="e">
        <f t="shared" si="497"/>
        <v>#VALUE!</v>
      </c>
      <c r="M1901" s="105" t="e">
        <f ca="1" t="shared" si="498"/>
        <v>#VALUE!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104">
        <f t="shared" si="489"/>
        <v>0</v>
      </c>
      <c r="Z1901" s="105">
        <f ca="1" t="shared" si="490"/>
        <v>-46313</v>
      </c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5"/>
      <c r="AO1901" s="115"/>
      <c r="AP1901" s="115"/>
      <c r="AQ1901" s="93"/>
      <c r="AR1901" s="93"/>
      <c r="AS1901" s="94"/>
      <c r="AT1901" s="95"/>
      <c r="AU1901" s="79"/>
      <c r="AV1901" s="117"/>
      <c r="AW1901" s="115"/>
      <c r="AX1901" s="106"/>
      <c r="AY1901" s="104"/>
      <c r="AZ1901" s="105"/>
    </row>
    <row r="1902" customHeight="1" spans="1:52">
      <c r="A1902" s="70">
        <v>1919</v>
      </c>
      <c r="B1902" s="70" t="s">
        <v>1908</v>
      </c>
      <c r="C1902" s="70" t="s">
        <v>38</v>
      </c>
      <c r="D1902" s="71" t="s">
        <v>4660</v>
      </c>
      <c r="E1902" s="71" t="s">
        <v>2846</v>
      </c>
      <c r="F1902" s="72"/>
      <c r="G1902" s="73"/>
      <c r="H1902" s="75"/>
      <c r="I1902" s="102">
        <v>46231</v>
      </c>
      <c r="J1902" s="70" t="s">
        <v>767</v>
      </c>
      <c r="K1902" s="106"/>
      <c r="L1902" s="104" t="e">
        <f t="shared" si="497"/>
        <v>#VALUE!</v>
      </c>
      <c r="M1902" s="105" t="e">
        <f ca="1" t="shared" si="498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104">
        <f t="shared" si="489"/>
        <v>0</v>
      </c>
      <c r="Z1902" s="105">
        <f ca="1" t="shared" si="490"/>
        <v>-46313</v>
      </c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5"/>
      <c r="AO1902" s="115"/>
      <c r="AP1902" s="115"/>
      <c r="AQ1902" s="93"/>
      <c r="AR1902" s="93"/>
      <c r="AS1902" s="94"/>
      <c r="AT1902" s="95"/>
      <c r="AU1902" s="79"/>
      <c r="AV1902" s="117"/>
      <c r="AW1902" s="115"/>
      <c r="AX1902" s="106"/>
      <c r="AY1902" s="104"/>
      <c r="AZ1902" s="105"/>
    </row>
    <row r="1903" customHeight="1" spans="1:52">
      <c r="A1903" s="70">
        <v>1920</v>
      </c>
      <c r="B1903" s="70" t="s">
        <v>134</v>
      </c>
      <c r="C1903" s="70" t="s">
        <v>13</v>
      </c>
      <c r="D1903" s="71" t="s">
        <v>5074</v>
      </c>
      <c r="E1903" s="71" t="s">
        <v>34</v>
      </c>
      <c r="F1903" s="72"/>
      <c r="G1903" s="73"/>
      <c r="H1903" s="74" t="s">
        <v>16</v>
      </c>
      <c r="I1903" s="102">
        <v>46232</v>
      </c>
      <c r="J1903" s="70">
        <v>3</v>
      </c>
      <c r="K1903" s="106" t="s">
        <v>5075</v>
      </c>
      <c r="L1903" s="104">
        <f t="shared" si="497"/>
        <v>46324</v>
      </c>
      <c r="M1903" s="105">
        <f ca="1" t="shared" si="498"/>
        <v>11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104">
        <f t="shared" si="489"/>
        <v>0</v>
      </c>
      <c r="Z1903" s="105">
        <f ca="1" t="shared" si="490"/>
        <v>-46313</v>
      </c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5"/>
      <c r="AO1903" s="115"/>
      <c r="AP1903" s="115"/>
      <c r="AQ1903" s="93"/>
      <c r="AR1903" s="93"/>
      <c r="AS1903" s="94"/>
      <c r="AT1903" s="95"/>
      <c r="AU1903" s="79"/>
      <c r="AV1903" s="117"/>
      <c r="AW1903" s="115"/>
      <c r="AX1903" s="106"/>
      <c r="AY1903" s="104"/>
      <c r="AZ1903" s="105"/>
    </row>
    <row r="1904" customHeight="1" spans="1:52">
      <c r="A1904" s="70">
        <v>1921</v>
      </c>
      <c r="B1904" s="70" t="s">
        <v>229</v>
      </c>
      <c r="C1904" s="70" t="s">
        <v>13</v>
      </c>
      <c r="D1904" s="71" t="s">
        <v>5076</v>
      </c>
      <c r="E1904" s="71" t="s">
        <v>5077</v>
      </c>
      <c r="F1904" s="72"/>
      <c r="G1904" s="73"/>
      <c r="H1904" s="75"/>
      <c r="I1904" s="102">
        <v>46232</v>
      </c>
      <c r="J1904" s="70">
        <v>3</v>
      </c>
      <c r="K1904" s="106" t="s">
        <v>5078</v>
      </c>
      <c r="L1904" s="104">
        <f t="shared" si="497"/>
        <v>46324</v>
      </c>
      <c r="M1904" s="105">
        <f ca="1" t="shared" si="498"/>
        <v>11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6"/>
      <c r="Z1904" s="13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5"/>
      <c r="AO1904" s="115"/>
      <c r="AP1904" s="115"/>
      <c r="AQ1904" s="93"/>
      <c r="AR1904" s="93"/>
      <c r="AS1904" s="94"/>
      <c r="AT1904" s="95"/>
      <c r="AU1904" s="79"/>
      <c r="AV1904" s="117"/>
      <c r="AW1904" s="115"/>
      <c r="AX1904" s="106"/>
      <c r="AY1904" s="104"/>
      <c r="AZ1904" s="105"/>
    </row>
    <row r="1905" customHeight="1" spans="1:52">
      <c r="A1905" s="70">
        <v>1922</v>
      </c>
      <c r="B1905" s="204" t="s">
        <v>5056</v>
      </c>
      <c r="C1905" s="70" t="s">
        <v>13</v>
      </c>
      <c r="D1905" s="205" t="s">
        <v>5079</v>
      </c>
      <c r="E1905" s="71" t="s">
        <v>45</v>
      </c>
      <c r="F1905" s="72"/>
      <c r="G1905" s="73"/>
      <c r="H1905" s="75"/>
      <c r="I1905" s="102">
        <v>46232</v>
      </c>
      <c r="J1905" s="70">
        <v>3</v>
      </c>
      <c r="K1905" s="106" t="s">
        <v>5080</v>
      </c>
      <c r="L1905" s="104">
        <f t="shared" si="497"/>
        <v>46324</v>
      </c>
      <c r="M1905" s="105">
        <f ca="1" t="shared" si="498"/>
        <v>11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6"/>
      <c r="Z1905" s="13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5"/>
      <c r="AO1905" s="115"/>
      <c r="AP1905" s="115"/>
      <c r="AQ1905" s="93"/>
      <c r="AR1905" s="93"/>
      <c r="AS1905" s="94"/>
      <c r="AT1905" s="95"/>
      <c r="AU1905" s="79"/>
      <c r="AV1905" s="117"/>
      <c r="AW1905" s="115"/>
      <c r="AX1905" s="106"/>
      <c r="AY1905" s="104"/>
      <c r="AZ1905" s="105"/>
    </row>
    <row r="1906" customHeight="1" spans="1:52">
      <c r="A1906" s="70">
        <v>1923</v>
      </c>
      <c r="B1906" s="204" t="s">
        <v>5056</v>
      </c>
      <c r="C1906" s="70" t="s">
        <v>38</v>
      </c>
      <c r="D1906" s="205" t="s">
        <v>5081</v>
      </c>
      <c r="E1906" s="71" t="s">
        <v>189</v>
      </c>
      <c r="F1906" s="72"/>
      <c r="G1906" s="73"/>
      <c r="H1906" s="74" t="s">
        <v>16</v>
      </c>
      <c r="I1906" s="102">
        <v>46232</v>
      </c>
      <c r="J1906" s="70">
        <v>3</v>
      </c>
      <c r="K1906" s="106" t="s">
        <v>5082</v>
      </c>
      <c r="L1906" s="104">
        <f t="shared" si="497"/>
        <v>46324</v>
      </c>
      <c r="M1906" s="105">
        <f ca="1" t="shared" si="498"/>
        <v>11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6"/>
      <c r="Z1906" s="13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5"/>
      <c r="AO1906" s="115"/>
      <c r="AP1906" s="115"/>
      <c r="AQ1906" s="93"/>
      <c r="AR1906" s="93"/>
      <c r="AS1906" s="94"/>
      <c r="AT1906" s="95"/>
      <c r="AU1906" s="79"/>
      <c r="AV1906" s="117"/>
      <c r="AW1906" s="115"/>
      <c r="AX1906" s="106"/>
      <c r="AY1906" s="104"/>
      <c r="AZ1906" s="105"/>
    </row>
    <row r="1907" customHeight="1" spans="1:52">
      <c r="A1907" s="70">
        <v>1924</v>
      </c>
      <c r="B1907" s="204" t="s">
        <v>798</v>
      </c>
      <c r="C1907" s="70" t="s">
        <v>264</v>
      </c>
      <c r="D1907" s="205" t="s">
        <v>5083</v>
      </c>
      <c r="E1907" s="71" t="s">
        <v>5084</v>
      </c>
      <c r="F1907" s="72"/>
      <c r="G1907" s="73"/>
      <c r="H1907" s="75"/>
      <c r="I1907" s="102">
        <v>46232</v>
      </c>
      <c r="J1907" s="70">
        <v>3</v>
      </c>
      <c r="K1907" s="106" t="s">
        <v>5085</v>
      </c>
      <c r="L1907" s="104">
        <f t="shared" si="497"/>
        <v>46324</v>
      </c>
      <c r="M1907" s="105">
        <f ca="1" t="shared" si="498"/>
        <v>11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6"/>
      <c r="Z1907" s="13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5"/>
      <c r="AO1907" s="115"/>
      <c r="AP1907" s="115"/>
      <c r="AQ1907" s="93"/>
      <c r="AR1907" s="93"/>
      <c r="AS1907" s="94"/>
      <c r="AT1907" s="95"/>
      <c r="AU1907" s="79"/>
      <c r="AV1907" s="117"/>
      <c r="AW1907" s="115"/>
      <c r="AX1907" s="106"/>
      <c r="AY1907" s="104"/>
      <c r="AZ1907" s="105"/>
    </row>
    <row r="1908" customHeight="1" spans="1:52">
      <c r="A1908" s="70">
        <v>1925</v>
      </c>
      <c r="B1908" s="204" t="s">
        <v>798</v>
      </c>
      <c r="C1908" s="70" t="s">
        <v>264</v>
      </c>
      <c r="D1908" s="205" t="s">
        <v>5086</v>
      </c>
      <c r="E1908" s="71" t="s">
        <v>5084</v>
      </c>
      <c r="F1908" s="72"/>
      <c r="G1908" s="73"/>
      <c r="H1908" s="75"/>
      <c r="I1908" s="102">
        <v>46232</v>
      </c>
      <c r="J1908" s="70">
        <v>3</v>
      </c>
      <c r="K1908" s="106" t="s">
        <v>5087</v>
      </c>
      <c r="L1908" s="104">
        <f t="shared" si="497"/>
        <v>46324</v>
      </c>
      <c r="M1908" s="105">
        <f ca="1" t="shared" si="498"/>
        <v>11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6"/>
      <c r="Z1908" s="13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5"/>
      <c r="AO1908" s="115"/>
      <c r="AP1908" s="115"/>
      <c r="AQ1908" s="93"/>
      <c r="AR1908" s="93"/>
      <c r="AS1908" s="94"/>
      <c r="AT1908" s="95"/>
      <c r="AU1908" s="79"/>
      <c r="AV1908" s="117"/>
      <c r="AW1908" s="115"/>
      <c r="AX1908" s="106"/>
      <c r="AY1908" s="104"/>
      <c r="AZ1908" s="105"/>
    </row>
    <row r="1909" customHeight="1" spans="1:52">
      <c r="A1909" s="70">
        <v>1926</v>
      </c>
      <c r="B1909" s="204" t="s">
        <v>5088</v>
      </c>
      <c r="C1909" s="70" t="s">
        <v>264</v>
      </c>
      <c r="D1909" s="205" t="s">
        <v>5089</v>
      </c>
      <c r="E1909" s="71" t="s">
        <v>264</v>
      </c>
      <c r="F1909" s="72"/>
      <c r="G1909" s="73"/>
      <c r="H1909" s="75"/>
      <c r="I1909" s="102">
        <v>46232</v>
      </c>
      <c r="J1909" s="70">
        <v>3</v>
      </c>
      <c r="K1909" s="106" t="s">
        <v>5090</v>
      </c>
      <c r="L1909" s="104">
        <f t="shared" si="497"/>
        <v>46324</v>
      </c>
      <c r="M1909" s="105">
        <f ca="1" t="shared" si="498"/>
        <v>11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6"/>
      <c r="Z1909" s="13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5"/>
      <c r="AO1909" s="115"/>
      <c r="AP1909" s="115"/>
      <c r="AQ1909" s="93"/>
      <c r="AR1909" s="93"/>
      <c r="AS1909" s="94"/>
      <c r="AT1909" s="95"/>
      <c r="AU1909" s="79"/>
      <c r="AV1909" s="117"/>
      <c r="AW1909" s="115"/>
      <c r="AX1909" s="106"/>
      <c r="AY1909" s="104"/>
      <c r="AZ1909" s="105"/>
    </row>
    <row r="1910" customHeight="1" spans="1:52">
      <c r="A1910" s="70">
        <v>1927</v>
      </c>
      <c r="B1910" s="204" t="s">
        <v>648</v>
      </c>
      <c r="C1910" s="70" t="s">
        <v>264</v>
      </c>
      <c r="D1910" s="205" t="s">
        <v>5091</v>
      </c>
      <c r="E1910" s="71" t="s">
        <v>5092</v>
      </c>
      <c r="F1910" s="72"/>
      <c r="G1910" s="73"/>
      <c r="H1910" s="75"/>
      <c r="I1910" s="102">
        <v>46232</v>
      </c>
      <c r="J1910" s="70">
        <v>3</v>
      </c>
      <c r="K1910" s="106" t="s">
        <v>5093</v>
      </c>
      <c r="L1910" s="104">
        <f t="shared" si="497"/>
        <v>46324</v>
      </c>
      <c r="M1910" s="105">
        <f ca="1" t="shared" si="498"/>
        <v>11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6"/>
      <c r="Z1910" s="13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5"/>
      <c r="AO1910" s="115"/>
      <c r="AP1910" s="115"/>
      <c r="AQ1910" s="93"/>
      <c r="AR1910" s="93"/>
      <c r="AS1910" s="94"/>
      <c r="AT1910" s="95"/>
      <c r="AU1910" s="79"/>
      <c r="AV1910" s="117"/>
      <c r="AW1910" s="115"/>
      <c r="AX1910" s="106"/>
      <c r="AY1910" s="104"/>
      <c r="AZ1910" s="105"/>
    </row>
    <row r="1911" customHeight="1" spans="1:52">
      <c r="A1911" s="70">
        <v>1928</v>
      </c>
      <c r="B1911" s="204" t="s">
        <v>757</v>
      </c>
      <c r="C1911" s="70" t="s">
        <v>264</v>
      </c>
      <c r="D1911" s="205" t="s">
        <v>1678</v>
      </c>
      <c r="E1911" s="71" t="s">
        <v>951</v>
      </c>
      <c r="F1911" s="72"/>
      <c r="G1911" s="73"/>
      <c r="H1911" s="75"/>
      <c r="I1911" s="102">
        <v>46232</v>
      </c>
      <c r="J1911" s="70" t="s">
        <v>767</v>
      </c>
      <c r="K1911" s="106" t="s">
        <v>5094</v>
      </c>
      <c r="L1911" s="104" t="e">
        <f t="shared" si="497"/>
        <v>#VALUE!</v>
      </c>
      <c r="M1911" s="105" t="e">
        <f ca="1" t="shared" si="498"/>
        <v>#VALUE!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6"/>
      <c r="Z1911" s="13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5"/>
      <c r="AO1911" s="115"/>
      <c r="AP1911" s="115"/>
      <c r="AQ1911" s="93"/>
      <c r="AR1911" s="93"/>
      <c r="AS1911" s="94"/>
      <c r="AT1911" s="95"/>
      <c r="AU1911" s="79"/>
      <c r="AV1911" s="117"/>
      <c r="AW1911" s="115"/>
      <c r="AX1911" s="106"/>
      <c r="AY1911" s="104"/>
      <c r="AZ1911" s="105"/>
    </row>
    <row r="1912" customHeight="1" spans="1:52">
      <c r="A1912" s="70">
        <v>1929</v>
      </c>
      <c r="B1912" s="204" t="s">
        <v>1359</v>
      </c>
      <c r="C1912" s="70" t="s">
        <v>13</v>
      </c>
      <c r="D1912" s="205" t="s">
        <v>2858</v>
      </c>
      <c r="E1912" s="71" t="s">
        <v>2859</v>
      </c>
      <c r="F1912" s="72"/>
      <c r="G1912" s="73"/>
      <c r="H1912" s="75"/>
      <c r="I1912" s="102">
        <v>46232</v>
      </c>
      <c r="J1912" s="70" t="s">
        <v>767</v>
      </c>
      <c r="K1912" s="106"/>
      <c r="L1912" s="104" t="e">
        <f t="shared" si="497"/>
        <v>#VALUE!</v>
      </c>
      <c r="M1912" s="105" t="e">
        <f ca="1" t="shared" si="498"/>
        <v>#VALUE!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6"/>
      <c r="Z1912" s="13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5"/>
      <c r="AO1912" s="115"/>
      <c r="AP1912" s="115"/>
      <c r="AQ1912" s="93"/>
      <c r="AR1912" s="93"/>
      <c r="AS1912" s="94"/>
      <c r="AT1912" s="95"/>
      <c r="AU1912" s="79"/>
      <c r="AV1912" s="117"/>
      <c r="AW1912" s="115"/>
      <c r="AX1912" s="106"/>
      <c r="AY1912" s="104"/>
      <c r="AZ1912" s="105"/>
    </row>
    <row r="1913" customHeight="1" spans="1:52">
      <c r="A1913" s="70">
        <v>1930</v>
      </c>
      <c r="B1913" s="70" t="s">
        <v>4162</v>
      </c>
      <c r="C1913" s="70" t="s">
        <v>374</v>
      </c>
      <c r="D1913" s="71" t="s">
        <v>375</v>
      </c>
      <c r="E1913" s="71" t="s">
        <v>376</v>
      </c>
      <c r="F1913" s="72"/>
      <c r="G1913" s="73"/>
      <c r="H1913" s="75"/>
      <c r="I1913" s="102">
        <v>46232</v>
      </c>
      <c r="J1913" s="70" t="s">
        <v>434</v>
      </c>
      <c r="K1913" s="106"/>
      <c r="L1913" s="104" t="e">
        <f t="shared" si="497"/>
        <v>#VALUE!</v>
      </c>
      <c r="M1913" s="105" t="e">
        <f ca="1" t="shared" si="498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6"/>
      <c r="Z1913" s="13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5"/>
      <c r="AO1913" s="115"/>
      <c r="AP1913" s="115"/>
      <c r="AQ1913" s="93"/>
      <c r="AR1913" s="93"/>
      <c r="AS1913" s="94"/>
      <c r="AT1913" s="95"/>
      <c r="AU1913" s="79"/>
      <c r="AV1913" s="117"/>
      <c r="AW1913" s="115"/>
      <c r="AX1913" s="106"/>
      <c r="AY1913" s="104"/>
      <c r="AZ1913" s="105"/>
    </row>
    <row r="1914" customHeight="1" spans="1:52">
      <c r="A1914" s="70">
        <v>1931</v>
      </c>
      <c r="B1914" s="70" t="s">
        <v>4128</v>
      </c>
      <c r="C1914" s="70" t="s">
        <v>38</v>
      </c>
      <c r="D1914" s="71" t="s">
        <v>5095</v>
      </c>
      <c r="E1914" s="71" t="s">
        <v>189</v>
      </c>
      <c r="F1914" s="72"/>
      <c r="G1914" s="73"/>
      <c r="H1914" s="74" t="s">
        <v>16</v>
      </c>
      <c r="I1914" s="102">
        <v>46233</v>
      </c>
      <c r="J1914" s="70">
        <v>3</v>
      </c>
      <c r="K1914" s="106" t="s">
        <v>5096</v>
      </c>
      <c r="L1914" s="104">
        <f t="shared" si="497"/>
        <v>46325</v>
      </c>
      <c r="M1914" s="105">
        <f ca="1" t="shared" si="498"/>
        <v>12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6"/>
      <c r="Z1914" s="13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5"/>
      <c r="AO1914" s="115"/>
      <c r="AP1914" s="115"/>
      <c r="AQ1914" s="93"/>
      <c r="AR1914" s="93"/>
      <c r="AS1914" s="94"/>
      <c r="AT1914" s="95"/>
      <c r="AU1914" s="79"/>
      <c r="AV1914" s="117"/>
      <c r="AW1914" s="115"/>
      <c r="AX1914" s="106"/>
      <c r="AY1914" s="104"/>
      <c r="AZ1914" s="105"/>
    </row>
    <row r="1915" customHeight="1" spans="1:52">
      <c r="A1915" s="70">
        <v>1932</v>
      </c>
      <c r="B1915" s="70" t="s">
        <v>1238</v>
      </c>
      <c r="C1915" s="70" t="s">
        <v>264</v>
      </c>
      <c r="D1915" s="71" t="s">
        <v>5097</v>
      </c>
      <c r="E1915" s="71" t="s">
        <v>364</v>
      </c>
      <c r="F1915" s="72"/>
      <c r="G1915" s="73"/>
      <c r="H1915" s="75"/>
      <c r="I1915" s="102">
        <v>46233</v>
      </c>
      <c r="J1915" s="70">
        <v>3</v>
      </c>
      <c r="K1915" s="106" t="s">
        <v>5098</v>
      </c>
      <c r="L1915" s="104">
        <f t="shared" si="497"/>
        <v>46325</v>
      </c>
      <c r="M1915" s="105">
        <f ca="1" t="shared" si="498"/>
        <v>12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6"/>
      <c r="Z1915" s="13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5"/>
      <c r="AO1915" s="115"/>
      <c r="AP1915" s="115"/>
      <c r="AQ1915" s="93"/>
      <c r="AR1915" s="93"/>
      <c r="AS1915" s="94"/>
      <c r="AT1915" s="95"/>
      <c r="AU1915" s="79"/>
      <c r="AV1915" s="117"/>
      <c r="AW1915" s="115"/>
      <c r="AX1915" s="106"/>
      <c r="AY1915" s="104"/>
      <c r="AZ1915" s="105"/>
    </row>
    <row r="1916" customHeight="1" spans="1:52">
      <c r="A1916" s="70">
        <v>1933</v>
      </c>
      <c r="B1916" s="70" t="s">
        <v>1359</v>
      </c>
      <c r="C1916" s="70" t="s">
        <v>13</v>
      </c>
      <c r="D1916" s="71" t="s">
        <v>2858</v>
      </c>
      <c r="E1916" s="71" t="s">
        <v>2859</v>
      </c>
      <c r="F1916" s="72"/>
      <c r="G1916" s="73"/>
      <c r="H1916" s="75"/>
      <c r="I1916" s="102">
        <v>46233</v>
      </c>
      <c r="J1916" s="70" t="s">
        <v>767</v>
      </c>
      <c r="K1916" s="106"/>
      <c r="L1916" s="104" t="e">
        <f t="shared" si="497"/>
        <v>#VALUE!</v>
      </c>
      <c r="M1916" s="105" t="e">
        <f ca="1" t="shared" si="498"/>
        <v>#VALUE!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6"/>
      <c r="Z1916" s="13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5"/>
      <c r="AO1916" s="115"/>
      <c r="AP1916" s="115"/>
      <c r="AQ1916" s="93"/>
      <c r="AR1916" s="93"/>
      <c r="AS1916" s="94"/>
      <c r="AT1916" s="95"/>
      <c r="AU1916" s="79"/>
      <c r="AV1916" s="117"/>
      <c r="AW1916" s="115"/>
      <c r="AX1916" s="106"/>
      <c r="AY1916" s="104"/>
      <c r="AZ1916" s="105"/>
    </row>
    <row r="1917" customHeight="1" spans="1:52">
      <c r="A1917" s="70">
        <v>1934</v>
      </c>
      <c r="B1917" s="70" t="s">
        <v>1359</v>
      </c>
      <c r="C1917" s="70" t="s">
        <v>13</v>
      </c>
      <c r="D1917" s="71" t="s">
        <v>2718</v>
      </c>
      <c r="E1917" s="71" t="s">
        <v>2719</v>
      </c>
      <c r="F1917" s="72"/>
      <c r="G1917" s="73"/>
      <c r="H1917" s="75"/>
      <c r="I1917" s="102">
        <v>46233</v>
      </c>
      <c r="J1917" s="70" t="s">
        <v>767</v>
      </c>
      <c r="K1917" s="106"/>
      <c r="L1917" s="104" t="e">
        <f t="shared" si="497"/>
        <v>#VALUE!</v>
      </c>
      <c r="M1917" s="105" t="e">
        <f ca="1" t="shared" si="498"/>
        <v>#VALUE!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6"/>
      <c r="Z1917" s="13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5"/>
      <c r="AO1917" s="115"/>
      <c r="AP1917" s="115"/>
      <c r="AQ1917" s="93"/>
      <c r="AR1917" s="93"/>
      <c r="AS1917" s="94"/>
      <c r="AT1917" s="95"/>
      <c r="AU1917" s="79"/>
      <c r="AV1917" s="117"/>
      <c r="AW1917" s="115"/>
      <c r="AX1917" s="106"/>
      <c r="AY1917" s="104"/>
      <c r="AZ1917" s="105"/>
    </row>
    <row r="1918" customHeight="1" spans="1:52">
      <c r="A1918" s="70">
        <v>1935</v>
      </c>
      <c r="B1918" s="213" t="s">
        <v>3549</v>
      </c>
      <c r="C1918" s="70" t="s">
        <v>13</v>
      </c>
      <c r="D1918" s="205" t="s">
        <v>5099</v>
      </c>
      <c r="E1918" s="71" t="s">
        <v>126</v>
      </c>
      <c r="F1918" s="72"/>
      <c r="G1918" s="73"/>
      <c r="H1918" s="75"/>
      <c r="I1918" s="102">
        <v>46234</v>
      </c>
      <c r="J1918" s="70">
        <v>3</v>
      </c>
      <c r="K1918" s="106" t="s">
        <v>5100</v>
      </c>
      <c r="L1918" s="104">
        <f t="shared" ref="L1918:L1960" si="499">EDATE(I1918,J1918)</f>
        <v>46326</v>
      </c>
      <c r="M1918" s="105">
        <f ca="1" t="shared" ref="M1918:M1960" si="500">L1918-TODAY()</f>
        <v>13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6"/>
      <c r="Z1918" s="13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5"/>
      <c r="AO1918" s="115"/>
      <c r="AP1918" s="115"/>
      <c r="AQ1918" s="93"/>
      <c r="AR1918" s="93"/>
      <c r="AS1918" s="94"/>
      <c r="AT1918" s="95"/>
      <c r="AU1918" s="79"/>
      <c r="AV1918" s="117"/>
      <c r="AW1918" s="115"/>
      <c r="AX1918" s="106"/>
      <c r="AY1918" s="104"/>
      <c r="AZ1918" s="105"/>
    </row>
    <row r="1919" customHeight="1" spans="1:52">
      <c r="A1919" s="70">
        <v>1936</v>
      </c>
      <c r="B1919" s="213" t="s">
        <v>3549</v>
      </c>
      <c r="C1919" s="70" t="s">
        <v>13</v>
      </c>
      <c r="D1919" s="205" t="s">
        <v>5101</v>
      </c>
      <c r="E1919" s="71" t="s">
        <v>126</v>
      </c>
      <c r="F1919" s="72"/>
      <c r="G1919" s="73"/>
      <c r="H1919" s="74" t="s">
        <v>16</v>
      </c>
      <c r="I1919" s="102">
        <v>46234</v>
      </c>
      <c r="J1919" s="70">
        <v>3</v>
      </c>
      <c r="K1919" s="106" t="s">
        <v>5102</v>
      </c>
      <c r="L1919" s="104">
        <f t="shared" si="499"/>
        <v>46326</v>
      </c>
      <c r="M1919" s="105">
        <f ca="1" t="shared" si="500"/>
        <v>13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6"/>
      <c r="Z1919" s="13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5"/>
      <c r="AO1919" s="115"/>
      <c r="AP1919" s="115"/>
      <c r="AQ1919" s="93"/>
      <c r="AR1919" s="93"/>
      <c r="AS1919" s="94"/>
      <c r="AT1919" s="95"/>
      <c r="AU1919" s="79"/>
      <c r="AV1919" s="117"/>
      <c r="AW1919" s="115"/>
      <c r="AX1919" s="106"/>
      <c r="AY1919" s="104"/>
      <c r="AZ1919" s="105"/>
    </row>
    <row r="1920" customHeight="1" spans="1:52">
      <c r="A1920" s="70">
        <v>1937</v>
      </c>
      <c r="B1920" s="213" t="s">
        <v>3549</v>
      </c>
      <c r="C1920" s="70" t="s">
        <v>13</v>
      </c>
      <c r="D1920" s="205" t="s">
        <v>5103</v>
      </c>
      <c r="E1920" s="71" t="s">
        <v>126</v>
      </c>
      <c r="F1920" s="72"/>
      <c r="G1920" s="73"/>
      <c r="H1920" s="74" t="s">
        <v>16</v>
      </c>
      <c r="I1920" s="102">
        <v>46234</v>
      </c>
      <c r="J1920" s="70">
        <v>3</v>
      </c>
      <c r="K1920" s="106" t="s">
        <v>5104</v>
      </c>
      <c r="L1920" s="104">
        <f t="shared" si="499"/>
        <v>46326</v>
      </c>
      <c r="M1920" s="105">
        <f ca="1" t="shared" si="500"/>
        <v>13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6"/>
      <c r="Z1920" s="13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5"/>
      <c r="AO1920" s="115"/>
      <c r="AP1920" s="115"/>
      <c r="AQ1920" s="93"/>
      <c r="AR1920" s="93"/>
      <c r="AS1920" s="94"/>
      <c r="AT1920" s="95"/>
      <c r="AU1920" s="79"/>
      <c r="AV1920" s="117"/>
      <c r="AW1920" s="115"/>
      <c r="AX1920" s="106"/>
      <c r="AY1920" s="104"/>
      <c r="AZ1920" s="105"/>
    </row>
    <row r="1921" customHeight="1" spans="1:52">
      <c r="A1921" s="70">
        <v>1938</v>
      </c>
      <c r="B1921" s="213" t="s">
        <v>3549</v>
      </c>
      <c r="C1921" s="70" t="s">
        <v>13</v>
      </c>
      <c r="D1921" s="205" t="s">
        <v>5105</v>
      </c>
      <c r="E1921" s="71" t="s">
        <v>126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5106</v>
      </c>
      <c r="L1921" s="104">
        <f t="shared" si="499"/>
        <v>46326</v>
      </c>
      <c r="M1921" s="105">
        <f ca="1" t="shared" si="500"/>
        <v>13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6"/>
      <c r="Z1921" s="13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5"/>
      <c r="AO1921" s="115"/>
      <c r="AP1921" s="115"/>
      <c r="AQ1921" s="93"/>
      <c r="AR1921" s="93"/>
      <c r="AS1921" s="94"/>
      <c r="AT1921" s="95"/>
      <c r="AU1921" s="79"/>
      <c r="AV1921" s="117"/>
      <c r="AW1921" s="115"/>
      <c r="AX1921" s="106"/>
      <c r="AY1921" s="104"/>
      <c r="AZ1921" s="105"/>
    </row>
    <row r="1922" customHeight="1" spans="1:52">
      <c r="A1922" s="70">
        <v>1939</v>
      </c>
      <c r="B1922" s="213" t="s">
        <v>4128</v>
      </c>
      <c r="C1922" s="70" t="s">
        <v>13</v>
      </c>
      <c r="D1922" s="205" t="s">
        <v>5107</v>
      </c>
      <c r="E1922" s="71" t="s">
        <v>189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5108</v>
      </c>
      <c r="L1922" s="104">
        <f t="shared" si="499"/>
        <v>46326</v>
      </c>
      <c r="M1922" s="105">
        <f ca="1" t="shared" si="500"/>
        <v>13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6"/>
      <c r="Z1922" s="13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5"/>
      <c r="AO1922" s="115"/>
      <c r="AP1922" s="115"/>
      <c r="AQ1922" s="93"/>
      <c r="AR1922" s="93"/>
      <c r="AS1922" s="94"/>
      <c r="AT1922" s="95"/>
      <c r="AU1922" s="79"/>
      <c r="AV1922" s="117"/>
      <c r="AW1922" s="115"/>
      <c r="AX1922" s="106"/>
      <c r="AY1922" s="104"/>
      <c r="AZ1922" s="105"/>
    </row>
    <row r="1923" customHeight="1" spans="1:52">
      <c r="A1923" s="70">
        <v>1940</v>
      </c>
      <c r="B1923" s="213" t="s">
        <v>4128</v>
      </c>
      <c r="C1923" s="70" t="s">
        <v>13</v>
      </c>
      <c r="D1923" s="205" t="s">
        <v>5109</v>
      </c>
      <c r="E1923" s="71" t="s">
        <v>45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5110</v>
      </c>
      <c r="L1923" s="104">
        <f t="shared" si="499"/>
        <v>46326</v>
      </c>
      <c r="M1923" s="105">
        <f ca="1" t="shared" si="500"/>
        <v>13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6"/>
      <c r="Z1923" s="13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5"/>
      <c r="AO1923" s="115"/>
      <c r="AP1923" s="115"/>
      <c r="AQ1923" s="93"/>
      <c r="AR1923" s="93"/>
      <c r="AS1923" s="94"/>
      <c r="AT1923" s="95"/>
      <c r="AU1923" s="79"/>
      <c r="AV1923" s="117"/>
      <c r="AW1923" s="115"/>
      <c r="AX1923" s="106"/>
      <c r="AY1923" s="104"/>
      <c r="AZ1923" s="105"/>
    </row>
    <row r="1924" customHeight="1" spans="1:52">
      <c r="A1924" s="70">
        <v>1941</v>
      </c>
      <c r="B1924" s="213" t="s">
        <v>4128</v>
      </c>
      <c r="C1924" s="70" t="s">
        <v>13</v>
      </c>
      <c r="D1924" s="205" t="s">
        <v>5111</v>
      </c>
      <c r="E1924" s="71" t="s">
        <v>189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5112</v>
      </c>
      <c r="L1924" s="104">
        <f t="shared" si="499"/>
        <v>46326</v>
      </c>
      <c r="M1924" s="105">
        <f ca="1" t="shared" si="500"/>
        <v>13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6"/>
      <c r="Z1924" s="13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5"/>
      <c r="AO1924" s="115"/>
      <c r="AP1924" s="115"/>
      <c r="AQ1924" s="93"/>
      <c r="AR1924" s="93"/>
      <c r="AS1924" s="94"/>
      <c r="AT1924" s="95"/>
      <c r="AU1924" s="79"/>
      <c r="AV1924" s="117"/>
      <c r="AW1924" s="115"/>
      <c r="AX1924" s="106"/>
      <c r="AY1924" s="104"/>
      <c r="AZ1924" s="105"/>
    </row>
    <row r="1925" customHeight="1" spans="1:52">
      <c r="A1925" s="70">
        <v>1942</v>
      </c>
      <c r="B1925" s="70" t="s">
        <v>1275</v>
      </c>
      <c r="C1925" s="70" t="s">
        <v>13</v>
      </c>
      <c r="D1925" s="205" t="s">
        <v>5113</v>
      </c>
      <c r="E1925" s="71" t="s">
        <v>45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5114</v>
      </c>
      <c r="L1925" s="104">
        <f t="shared" si="499"/>
        <v>46326</v>
      </c>
      <c r="M1925" s="105">
        <f ca="1" t="shared" si="500"/>
        <v>13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6"/>
      <c r="Z1925" s="13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5"/>
      <c r="AO1925" s="115"/>
      <c r="AP1925" s="115"/>
      <c r="AQ1925" s="93"/>
      <c r="AR1925" s="93"/>
      <c r="AS1925" s="94"/>
      <c r="AT1925" s="95"/>
      <c r="AU1925" s="79"/>
      <c r="AV1925" s="117"/>
      <c r="AW1925" s="115"/>
      <c r="AX1925" s="106"/>
      <c r="AY1925" s="104"/>
      <c r="AZ1925" s="105"/>
    </row>
    <row r="1926" customHeight="1" spans="1:52">
      <c r="A1926" s="70">
        <v>1943</v>
      </c>
      <c r="B1926" s="70" t="s">
        <v>798</v>
      </c>
      <c r="C1926" s="70" t="s">
        <v>13</v>
      </c>
      <c r="D1926" s="71" t="s">
        <v>5115</v>
      </c>
      <c r="E1926" s="71" t="s">
        <v>5116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5117</v>
      </c>
      <c r="L1926" s="104">
        <f t="shared" si="499"/>
        <v>46326</v>
      </c>
      <c r="M1926" s="105">
        <f ca="1" t="shared" si="500"/>
        <v>13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6"/>
      <c r="Z1926" s="13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5"/>
      <c r="AO1926" s="115"/>
      <c r="AP1926" s="115"/>
      <c r="AQ1926" s="93"/>
      <c r="AR1926" s="93"/>
      <c r="AS1926" s="94"/>
      <c r="AT1926" s="95"/>
      <c r="AU1926" s="79"/>
      <c r="AV1926" s="117"/>
      <c r="AW1926" s="115"/>
      <c r="AX1926" s="106"/>
      <c r="AY1926" s="104"/>
      <c r="AZ1926" s="105"/>
    </row>
    <row r="1927" customHeight="1" spans="1:52">
      <c r="A1927" s="70">
        <v>1944</v>
      </c>
      <c r="B1927" s="70" t="s">
        <v>12</v>
      </c>
      <c r="C1927" s="70" t="s">
        <v>13</v>
      </c>
      <c r="D1927" s="71" t="s">
        <v>5118</v>
      </c>
      <c r="E1927" s="71" t="s">
        <v>45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5119</v>
      </c>
      <c r="L1927" s="104">
        <f t="shared" si="499"/>
        <v>46326</v>
      </c>
      <c r="M1927" s="105">
        <f ca="1" t="shared" si="500"/>
        <v>13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6"/>
      <c r="Z1927" s="13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5"/>
      <c r="AO1927" s="115"/>
      <c r="AP1927" s="115"/>
      <c r="AQ1927" s="93"/>
      <c r="AR1927" s="93"/>
      <c r="AS1927" s="94"/>
      <c r="AT1927" s="95"/>
      <c r="AU1927" s="79"/>
      <c r="AV1927" s="117"/>
      <c r="AW1927" s="115"/>
      <c r="AX1927" s="106"/>
      <c r="AY1927" s="104"/>
      <c r="AZ1927" s="105"/>
    </row>
    <row r="1928" customHeight="1" spans="1:52">
      <c r="A1928" s="70">
        <v>1945</v>
      </c>
      <c r="B1928" s="70" t="s">
        <v>12</v>
      </c>
      <c r="C1928" s="70" t="s">
        <v>13</v>
      </c>
      <c r="D1928" s="71" t="s">
        <v>5120</v>
      </c>
      <c r="E1928" s="71" t="s">
        <v>45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5121</v>
      </c>
      <c r="L1928" s="104">
        <f t="shared" si="499"/>
        <v>46326</v>
      </c>
      <c r="M1928" s="105">
        <f ca="1" t="shared" si="500"/>
        <v>13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6"/>
      <c r="Z1928" s="13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5"/>
      <c r="AO1928" s="115"/>
      <c r="AP1928" s="115"/>
      <c r="AQ1928" s="93"/>
      <c r="AR1928" s="93"/>
      <c r="AS1928" s="94"/>
      <c r="AT1928" s="95"/>
      <c r="AU1928" s="79"/>
      <c r="AV1928" s="117"/>
      <c r="AW1928" s="115"/>
      <c r="AX1928" s="106"/>
      <c r="AY1928" s="104"/>
      <c r="AZ1928" s="105"/>
    </row>
    <row r="1929" customHeight="1" spans="1:52">
      <c r="A1929" s="70">
        <v>1946</v>
      </c>
      <c r="B1929" s="70" t="s">
        <v>134</v>
      </c>
      <c r="C1929" s="70" t="s">
        <v>13</v>
      </c>
      <c r="D1929" s="71" t="s">
        <v>5122</v>
      </c>
      <c r="E1929" s="71" t="s">
        <v>5123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5124</v>
      </c>
      <c r="L1929" s="104">
        <f t="shared" si="499"/>
        <v>46326</v>
      </c>
      <c r="M1929" s="105">
        <f ca="1" t="shared" si="500"/>
        <v>13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6"/>
      <c r="Z1929" s="13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5"/>
      <c r="AO1929" s="115"/>
      <c r="AP1929" s="115"/>
      <c r="AQ1929" s="93"/>
      <c r="AR1929" s="93"/>
      <c r="AS1929" s="94"/>
      <c r="AT1929" s="95"/>
      <c r="AU1929" s="79"/>
      <c r="AV1929" s="117"/>
      <c r="AW1929" s="115"/>
      <c r="AX1929" s="106"/>
      <c r="AY1929" s="104"/>
      <c r="AZ1929" s="105"/>
    </row>
    <row r="1930" customHeight="1" spans="1:52">
      <c r="A1930" s="70">
        <v>1947</v>
      </c>
      <c r="B1930" s="70" t="s">
        <v>886</v>
      </c>
      <c r="C1930" s="70" t="s">
        <v>374</v>
      </c>
      <c r="D1930" s="71" t="s">
        <v>5125</v>
      </c>
      <c r="E1930" s="71" t="s">
        <v>5126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5127</v>
      </c>
      <c r="L1930" s="104">
        <f t="shared" si="499"/>
        <v>46326</v>
      </c>
      <c r="M1930" s="105">
        <f ca="1" t="shared" si="500"/>
        <v>13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6"/>
      <c r="Z1930" s="13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5"/>
      <c r="AO1930" s="115"/>
      <c r="AP1930" s="115"/>
      <c r="AQ1930" s="93"/>
      <c r="AR1930" s="93"/>
      <c r="AS1930" s="94"/>
      <c r="AT1930" s="95"/>
      <c r="AU1930" s="79"/>
      <c r="AV1930" s="117"/>
      <c r="AW1930" s="115"/>
      <c r="AX1930" s="106"/>
      <c r="AY1930" s="104"/>
      <c r="AZ1930" s="105"/>
    </row>
    <row r="1931" customHeight="1" spans="1:52">
      <c r="A1931" s="70">
        <v>1948</v>
      </c>
      <c r="B1931" s="70" t="s">
        <v>5128</v>
      </c>
      <c r="C1931" s="70" t="s">
        <v>264</v>
      </c>
      <c r="D1931" s="71" t="s">
        <v>5129</v>
      </c>
      <c r="E1931" s="71" t="s">
        <v>5130</v>
      </c>
      <c r="F1931" s="72"/>
      <c r="G1931" s="73"/>
      <c r="H1931" s="75"/>
      <c r="I1931" s="102">
        <v>46234</v>
      </c>
      <c r="J1931" s="70">
        <v>3</v>
      </c>
      <c r="K1931" s="106" t="s">
        <v>5131</v>
      </c>
      <c r="L1931" s="104">
        <f t="shared" si="499"/>
        <v>46326</v>
      </c>
      <c r="M1931" s="105">
        <f ca="1" t="shared" si="500"/>
        <v>13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6"/>
      <c r="Z1931" s="13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5"/>
      <c r="AO1931" s="115"/>
      <c r="AP1931" s="115"/>
      <c r="AQ1931" s="93"/>
      <c r="AR1931" s="93"/>
      <c r="AS1931" s="94"/>
      <c r="AT1931" s="95"/>
      <c r="AU1931" s="79"/>
      <c r="AV1931" s="117"/>
      <c r="AW1931" s="115"/>
      <c r="AX1931" s="106"/>
      <c r="AY1931" s="104"/>
      <c r="AZ1931" s="105"/>
    </row>
    <row r="1932" customHeight="1" spans="1:52">
      <c r="A1932" s="70">
        <v>1949</v>
      </c>
      <c r="B1932" s="204" t="s">
        <v>2751</v>
      </c>
      <c r="C1932" s="70" t="s">
        <v>264</v>
      </c>
      <c r="D1932" s="205" t="s">
        <v>2752</v>
      </c>
      <c r="E1932" s="71" t="s">
        <v>2753</v>
      </c>
      <c r="F1932" s="72"/>
      <c r="G1932" s="73"/>
      <c r="H1932" s="75"/>
      <c r="I1932" s="102">
        <v>46234</v>
      </c>
      <c r="J1932" s="70" t="s">
        <v>767</v>
      </c>
      <c r="K1932" s="106"/>
      <c r="L1932" s="104" t="e">
        <f t="shared" si="499"/>
        <v>#VALUE!</v>
      </c>
      <c r="M1932" s="105" t="e">
        <f ca="1" t="shared" si="500"/>
        <v>#VALUE!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6"/>
      <c r="Z1932" s="13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5"/>
      <c r="AO1932" s="115"/>
      <c r="AP1932" s="115"/>
      <c r="AQ1932" s="93"/>
      <c r="AR1932" s="93"/>
      <c r="AS1932" s="94"/>
      <c r="AT1932" s="95"/>
      <c r="AU1932" s="79"/>
      <c r="AV1932" s="117"/>
      <c r="AW1932" s="115"/>
      <c r="AX1932" s="106"/>
      <c r="AY1932" s="104"/>
      <c r="AZ1932" s="105"/>
    </row>
    <row r="1933" customHeight="1" spans="1:52">
      <c r="A1933" s="70">
        <v>1950</v>
      </c>
      <c r="B1933" s="204" t="s">
        <v>2751</v>
      </c>
      <c r="C1933" s="70" t="s">
        <v>264</v>
      </c>
      <c r="D1933" s="205" t="s">
        <v>3442</v>
      </c>
      <c r="E1933" s="71" t="s">
        <v>3443</v>
      </c>
      <c r="F1933" s="72"/>
      <c r="G1933" s="73"/>
      <c r="H1933" s="75"/>
      <c r="I1933" s="102">
        <v>46234</v>
      </c>
      <c r="J1933" s="70" t="s">
        <v>767</v>
      </c>
      <c r="K1933" s="106"/>
      <c r="L1933" s="104" t="e">
        <f t="shared" si="499"/>
        <v>#VALUE!</v>
      </c>
      <c r="M1933" s="105" t="e">
        <f ca="1" t="shared" si="500"/>
        <v>#VALUE!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6"/>
      <c r="Z1933" s="13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5"/>
      <c r="AO1933" s="115"/>
      <c r="AP1933" s="115"/>
      <c r="AQ1933" s="93"/>
      <c r="AR1933" s="93"/>
      <c r="AS1933" s="94"/>
      <c r="AT1933" s="95"/>
      <c r="AU1933" s="79"/>
      <c r="AV1933" s="117"/>
      <c r="AW1933" s="115"/>
      <c r="AX1933" s="106"/>
      <c r="AY1933" s="104"/>
      <c r="AZ1933" s="105"/>
    </row>
    <row r="1934" customHeight="1" spans="1:52">
      <c r="A1934" s="70">
        <v>1951</v>
      </c>
      <c r="B1934" s="70" t="s">
        <v>1908</v>
      </c>
      <c r="C1934" s="70" t="s">
        <v>13</v>
      </c>
      <c r="D1934" s="71" t="s">
        <v>4660</v>
      </c>
      <c r="E1934" s="71" t="s">
        <v>2846</v>
      </c>
      <c r="F1934" s="72"/>
      <c r="G1934" s="73"/>
      <c r="H1934" s="75"/>
      <c r="I1934" s="102">
        <v>46234</v>
      </c>
      <c r="J1934" s="70" t="s">
        <v>767</v>
      </c>
      <c r="K1934" s="106"/>
      <c r="L1934" s="104" t="e">
        <f t="shared" si="499"/>
        <v>#VALUE!</v>
      </c>
      <c r="M1934" s="105" t="e">
        <f ca="1" t="shared" si="500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6"/>
      <c r="Z1934" s="13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5"/>
      <c r="AO1934" s="115"/>
      <c r="AP1934" s="115"/>
      <c r="AQ1934" s="93"/>
      <c r="AR1934" s="93"/>
      <c r="AS1934" s="94"/>
      <c r="AT1934" s="95"/>
      <c r="AU1934" s="79"/>
      <c r="AV1934" s="117"/>
      <c r="AW1934" s="115"/>
      <c r="AX1934" s="106"/>
      <c r="AY1934" s="104"/>
      <c r="AZ1934" s="105"/>
    </row>
    <row r="1935" customHeight="1" spans="1:52">
      <c r="A1935" s="70">
        <v>1952</v>
      </c>
      <c r="B1935" s="70" t="s">
        <v>5132</v>
      </c>
      <c r="C1935" s="70" t="s">
        <v>38</v>
      </c>
      <c r="D1935" s="71" t="s">
        <v>5133</v>
      </c>
      <c r="E1935" s="71" t="s">
        <v>189</v>
      </c>
      <c r="F1935" s="72"/>
      <c r="G1935" s="73"/>
      <c r="H1935" s="74" t="s">
        <v>16</v>
      </c>
      <c r="I1935" s="102">
        <v>46235</v>
      </c>
      <c r="J1935" s="70">
        <v>3</v>
      </c>
      <c r="K1935" s="106" t="s">
        <v>5134</v>
      </c>
      <c r="L1935" s="104">
        <f t="shared" si="499"/>
        <v>46327</v>
      </c>
      <c r="M1935" s="105">
        <f ca="1" t="shared" si="500"/>
        <v>14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6"/>
      <c r="Z1935" s="13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5"/>
      <c r="AO1935" s="115"/>
      <c r="AP1935" s="115"/>
      <c r="AQ1935" s="93"/>
      <c r="AR1935" s="93"/>
      <c r="AS1935" s="94"/>
      <c r="AT1935" s="95"/>
      <c r="AU1935" s="79"/>
      <c r="AV1935" s="117"/>
      <c r="AW1935" s="115"/>
      <c r="AX1935" s="106"/>
      <c r="AY1935" s="104"/>
      <c r="AZ1935" s="105"/>
    </row>
    <row r="1936" customHeight="1" spans="1:52">
      <c r="A1936" s="70">
        <v>1953</v>
      </c>
      <c r="B1936" s="70" t="s">
        <v>4128</v>
      </c>
      <c r="C1936" s="70" t="s">
        <v>13</v>
      </c>
      <c r="D1936" s="71" t="s">
        <v>5135</v>
      </c>
      <c r="E1936" s="71" t="s">
        <v>45</v>
      </c>
      <c r="F1936" s="72"/>
      <c r="G1936" s="73"/>
      <c r="H1936" s="75"/>
      <c r="I1936" s="102">
        <v>46235</v>
      </c>
      <c r="J1936" s="70">
        <v>3</v>
      </c>
      <c r="K1936" s="106" t="s">
        <v>5136</v>
      </c>
      <c r="L1936" s="104">
        <f t="shared" si="499"/>
        <v>46327</v>
      </c>
      <c r="M1936" s="105">
        <f ca="1" t="shared" si="500"/>
        <v>14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6"/>
      <c r="Z1936" s="13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5"/>
      <c r="AO1936" s="115"/>
      <c r="AP1936" s="115"/>
      <c r="AQ1936" s="93"/>
      <c r="AR1936" s="93"/>
      <c r="AS1936" s="94"/>
      <c r="AT1936" s="95"/>
      <c r="AU1936" s="79"/>
      <c r="AV1936" s="117"/>
      <c r="AW1936" s="115"/>
      <c r="AX1936" s="106"/>
      <c r="AY1936" s="104"/>
      <c r="AZ1936" s="105"/>
    </row>
    <row r="1937" customHeight="1" spans="1:52">
      <c r="A1937" s="70">
        <v>1954</v>
      </c>
      <c r="B1937" s="70" t="s">
        <v>798</v>
      </c>
      <c r="C1937" s="70" t="s">
        <v>13</v>
      </c>
      <c r="D1937" s="71" t="s">
        <v>5137</v>
      </c>
      <c r="E1937" s="71" t="s">
        <v>45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5138</v>
      </c>
      <c r="L1937" s="104">
        <f t="shared" si="499"/>
        <v>46327</v>
      </c>
      <c r="M1937" s="105">
        <f ca="1" t="shared" si="500"/>
        <v>14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6"/>
      <c r="Z1937" s="13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5"/>
      <c r="AO1937" s="115"/>
      <c r="AP1937" s="115"/>
      <c r="AQ1937" s="93"/>
      <c r="AR1937" s="93"/>
      <c r="AS1937" s="94"/>
      <c r="AT1937" s="95"/>
      <c r="AU1937" s="79"/>
      <c r="AV1937" s="117"/>
      <c r="AW1937" s="115"/>
      <c r="AX1937" s="106"/>
      <c r="AY1937" s="104"/>
      <c r="AZ1937" s="105"/>
    </row>
    <row r="1938" customHeight="1" spans="1:52">
      <c r="A1938" s="70">
        <v>1955</v>
      </c>
      <c r="B1938" s="70" t="s">
        <v>5139</v>
      </c>
      <c r="C1938" s="70" t="s">
        <v>13</v>
      </c>
      <c r="D1938" s="71" t="s">
        <v>5140</v>
      </c>
      <c r="E1938" s="71" t="s">
        <v>4077</v>
      </c>
      <c r="F1938" s="72"/>
      <c r="G1938" s="73"/>
      <c r="H1938" s="74" t="s">
        <v>16</v>
      </c>
      <c r="I1938" s="102">
        <v>46235</v>
      </c>
      <c r="J1938" s="70">
        <v>3</v>
      </c>
      <c r="K1938" s="106" t="s">
        <v>5141</v>
      </c>
      <c r="L1938" s="104">
        <f t="shared" si="499"/>
        <v>46327</v>
      </c>
      <c r="M1938" s="105">
        <f ca="1" t="shared" si="500"/>
        <v>14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6"/>
      <c r="Z1938" s="13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5"/>
      <c r="AO1938" s="115"/>
      <c r="AP1938" s="115"/>
      <c r="AQ1938" s="93"/>
      <c r="AR1938" s="93"/>
      <c r="AS1938" s="94"/>
      <c r="AT1938" s="95"/>
      <c r="AU1938" s="79"/>
      <c r="AV1938" s="117"/>
      <c r="AW1938" s="115"/>
      <c r="AX1938" s="106"/>
      <c r="AY1938" s="104"/>
      <c r="AZ1938" s="105"/>
    </row>
    <row r="1939" customHeight="1" spans="1:52">
      <c r="A1939" s="70">
        <v>1956</v>
      </c>
      <c r="B1939" s="70" t="s">
        <v>5139</v>
      </c>
      <c r="C1939" s="70" t="s">
        <v>13</v>
      </c>
      <c r="D1939" s="71" t="s">
        <v>5142</v>
      </c>
      <c r="E1939" s="71" t="s">
        <v>15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5143</v>
      </c>
      <c r="L1939" s="104">
        <f t="shared" si="499"/>
        <v>46327</v>
      </c>
      <c r="M1939" s="105">
        <f ca="1" t="shared" si="500"/>
        <v>14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6"/>
      <c r="Z1939" s="13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5"/>
      <c r="AO1939" s="115"/>
      <c r="AP1939" s="115"/>
      <c r="AQ1939" s="93"/>
      <c r="AR1939" s="93"/>
      <c r="AS1939" s="94"/>
      <c r="AT1939" s="95"/>
      <c r="AU1939" s="79"/>
      <c r="AV1939" s="117"/>
      <c r="AW1939" s="115"/>
      <c r="AX1939" s="106"/>
      <c r="AY1939" s="104"/>
      <c r="AZ1939" s="105"/>
    </row>
    <row r="1940" customHeight="1" spans="1:52">
      <c r="A1940" s="70">
        <v>1957</v>
      </c>
      <c r="B1940" s="70" t="s">
        <v>1359</v>
      </c>
      <c r="C1940" s="70" t="s">
        <v>13</v>
      </c>
      <c r="D1940" s="71" t="s">
        <v>2858</v>
      </c>
      <c r="E1940" s="71" t="s">
        <v>2859</v>
      </c>
      <c r="F1940" s="72"/>
      <c r="G1940" s="73"/>
      <c r="H1940" s="75"/>
      <c r="I1940" s="102">
        <v>46235</v>
      </c>
      <c r="J1940" s="70" t="s">
        <v>767</v>
      </c>
      <c r="K1940" s="106"/>
      <c r="L1940" s="104" t="e">
        <f t="shared" si="499"/>
        <v>#VALUE!</v>
      </c>
      <c r="M1940" s="105" t="e">
        <f ca="1" t="shared" si="500"/>
        <v>#VALUE!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6"/>
      <c r="Z1940" s="13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5"/>
      <c r="AO1940" s="115"/>
      <c r="AP1940" s="115"/>
      <c r="AQ1940" s="93"/>
      <c r="AR1940" s="93"/>
      <c r="AS1940" s="94"/>
      <c r="AT1940" s="95"/>
      <c r="AU1940" s="79"/>
      <c r="AV1940" s="117"/>
      <c r="AW1940" s="115"/>
      <c r="AX1940" s="106"/>
      <c r="AY1940" s="104"/>
      <c r="AZ1940" s="105"/>
    </row>
    <row r="1941" customHeight="1" spans="1:52">
      <c r="A1941" s="70">
        <v>1958</v>
      </c>
      <c r="B1941" s="70" t="s">
        <v>1359</v>
      </c>
      <c r="C1941" s="70" t="s">
        <v>13</v>
      </c>
      <c r="D1941" s="71" t="s">
        <v>2718</v>
      </c>
      <c r="E1941" s="71" t="s">
        <v>2719</v>
      </c>
      <c r="F1941" s="72"/>
      <c r="G1941" s="73"/>
      <c r="H1941" s="75"/>
      <c r="I1941" s="102">
        <v>46235</v>
      </c>
      <c r="J1941" s="70" t="s">
        <v>767</v>
      </c>
      <c r="K1941" s="106"/>
      <c r="L1941" s="104" t="e">
        <f t="shared" si="499"/>
        <v>#VALUE!</v>
      </c>
      <c r="M1941" s="105" t="e">
        <f ca="1" t="shared" si="500"/>
        <v>#VALUE!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6"/>
      <c r="Z1941" s="13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5"/>
      <c r="AO1941" s="115"/>
      <c r="AP1941" s="115"/>
      <c r="AQ1941" s="93"/>
      <c r="AR1941" s="93"/>
      <c r="AS1941" s="94"/>
      <c r="AT1941" s="95"/>
      <c r="AU1941" s="79"/>
      <c r="AV1941" s="117"/>
      <c r="AW1941" s="115"/>
      <c r="AX1941" s="106"/>
      <c r="AY1941" s="104"/>
      <c r="AZ1941" s="105"/>
    </row>
    <row r="1942" customHeight="1" spans="1:52">
      <c r="A1942" s="70">
        <v>1959</v>
      </c>
      <c r="B1942" s="70" t="s">
        <v>1359</v>
      </c>
      <c r="C1942" s="70" t="s">
        <v>13</v>
      </c>
      <c r="D1942" s="71" t="s">
        <v>2848</v>
      </c>
      <c r="E1942" s="71" t="s">
        <v>2849</v>
      </c>
      <c r="F1942" s="72"/>
      <c r="G1942" s="73"/>
      <c r="H1942" s="75"/>
      <c r="I1942" s="102">
        <v>46235</v>
      </c>
      <c r="J1942" s="70" t="s">
        <v>767</v>
      </c>
      <c r="K1942" s="106"/>
      <c r="L1942" s="104" t="e">
        <f t="shared" si="499"/>
        <v>#VALUE!</v>
      </c>
      <c r="M1942" s="105" t="e">
        <f ca="1" t="shared" si="500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6"/>
      <c r="Z1942" s="13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5"/>
      <c r="AO1942" s="115"/>
      <c r="AP1942" s="115"/>
      <c r="AQ1942" s="93"/>
      <c r="AR1942" s="93"/>
      <c r="AS1942" s="94"/>
      <c r="AT1942" s="95"/>
      <c r="AU1942" s="79"/>
      <c r="AV1942" s="117"/>
      <c r="AW1942" s="115"/>
      <c r="AX1942" s="106"/>
      <c r="AY1942" s="104"/>
      <c r="AZ1942" s="105"/>
    </row>
    <row r="1943" customHeight="1" spans="1:52">
      <c r="A1943" s="70">
        <v>1960</v>
      </c>
      <c r="B1943" s="70" t="s">
        <v>1359</v>
      </c>
      <c r="C1943" s="70" t="s">
        <v>13</v>
      </c>
      <c r="D1943" s="71" t="s">
        <v>2858</v>
      </c>
      <c r="E1943" s="71" t="s">
        <v>2859</v>
      </c>
      <c r="F1943" s="72"/>
      <c r="G1943" s="73"/>
      <c r="H1943" s="75"/>
      <c r="I1943" s="102">
        <v>46235</v>
      </c>
      <c r="J1943" s="70" t="s">
        <v>767</v>
      </c>
      <c r="K1943" s="106"/>
      <c r="L1943" s="104" t="e">
        <f t="shared" si="499"/>
        <v>#VALUE!</v>
      </c>
      <c r="M1943" s="105" t="e">
        <f ca="1" t="shared" si="500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6"/>
      <c r="Z1943" s="13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5"/>
      <c r="AO1943" s="115"/>
      <c r="AP1943" s="115"/>
      <c r="AQ1943" s="93"/>
      <c r="AR1943" s="93"/>
      <c r="AS1943" s="94"/>
      <c r="AT1943" s="95"/>
      <c r="AU1943" s="79"/>
      <c r="AV1943" s="117"/>
      <c r="AW1943" s="115"/>
      <c r="AX1943" s="106"/>
      <c r="AY1943" s="104"/>
      <c r="AZ1943" s="105"/>
    </row>
    <row r="1944" customHeight="1" spans="1:52">
      <c r="A1944" s="70">
        <v>1961</v>
      </c>
      <c r="B1944" s="70" t="s">
        <v>5139</v>
      </c>
      <c r="C1944" s="70" t="s">
        <v>13</v>
      </c>
      <c r="D1944" s="71" t="s">
        <v>5144</v>
      </c>
      <c r="E1944" s="71" t="s">
        <v>4077</v>
      </c>
      <c r="F1944" s="72"/>
      <c r="G1944" s="73"/>
      <c r="H1944" s="74" t="s">
        <v>16</v>
      </c>
      <c r="I1944" s="102">
        <v>46236</v>
      </c>
      <c r="J1944" s="70">
        <v>3</v>
      </c>
      <c r="K1944" s="106" t="s">
        <v>5145</v>
      </c>
      <c r="L1944" s="104">
        <f t="shared" si="499"/>
        <v>46328</v>
      </c>
      <c r="M1944" s="105">
        <f ca="1" t="shared" si="500"/>
        <v>15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6"/>
      <c r="Z1944" s="13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5"/>
      <c r="AO1944" s="115"/>
      <c r="AP1944" s="115"/>
      <c r="AQ1944" s="93"/>
      <c r="AR1944" s="93"/>
      <c r="AS1944" s="94"/>
      <c r="AT1944" s="95"/>
      <c r="AU1944" s="79"/>
      <c r="AV1944" s="117"/>
      <c r="AW1944" s="115"/>
      <c r="AX1944" s="106"/>
      <c r="AY1944" s="104"/>
      <c r="AZ1944" s="105"/>
    </row>
    <row r="1945" customHeight="1" spans="1:52">
      <c r="A1945" s="70">
        <v>1962</v>
      </c>
      <c r="B1945" s="70" t="s">
        <v>5139</v>
      </c>
      <c r="C1945" s="70" t="s">
        <v>13</v>
      </c>
      <c r="D1945" s="71" t="s">
        <v>5146</v>
      </c>
      <c r="E1945" s="71" t="s">
        <v>4077</v>
      </c>
      <c r="F1945" s="72"/>
      <c r="G1945" s="73"/>
      <c r="H1945" s="74" t="s">
        <v>16</v>
      </c>
      <c r="I1945" s="102">
        <v>46236</v>
      </c>
      <c r="J1945" s="70">
        <v>3</v>
      </c>
      <c r="K1945" s="106" t="s">
        <v>5147</v>
      </c>
      <c r="L1945" s="104">
        <f t="shared" si="499"/>
        <v>46328</v>
      </c>
      <c r="M1945" s="105">
        <f ca="1" t="shared" si="500"/>
        <v>15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6"/>
      <c r="Z1945" s="13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5"/>
      <c r="AO1945" s="115"/>
      <c r="AP1945" s="115"/>
      <c r="AQ1945" s="93"/>
      <c r="AR1945" s="93"/>
      <c r="AS1945" s="94"/>
      <c r="AT1945" s="95"/>
      <c r="AU1945" s="79"/>
      <c r="AV1945" s="117"/>
      <c r="AW1945" s="115"/>
      <c r="AX1945" s="106"/>
      <c r="AY1945" s="104"/>
      <c r="AZ1945" s="105"/>
    </row>
    <row r="1946" customHeight="1" spans="1:52">
      <c r="A1946" s="70">
        <v>1963</v>
      </c>
      <c r="B1946" s="70" t="s">
        <v>263</v>
      </c>
      <c r="C1946" s="70" t="s">
        <v>264</v>
      </c>
      <c r="D1946" s="71" t="s">
        <v>265</v>
      </c>
      <c r="E1946" s="71" t="s">
        <v>753</v>
      </c>
      <c r="F1946" s="72"/>
      <c r="G1946" s="73"/>
      <c r="H1946" s="75"/>
      <c r="I1946" s="102">
        <v>46236</v>
      </c>
      <c r="J1946" s="70" t="s">
        <v>767</v>
      </c>
      <c r="K1946" s="106"/>
      <c r="L1946" s="104" t="e">
        <f t="shared" si="499"/>
        <v>#VALUE!</v>
      </c>
      <c r="M1946" s="105" t="e">
        <f ca="1" t="shared" si="500"/>
        <v>#VALUE!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6"/>
      <c r="Z1946" s="13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5"/>
      <c r="AO1946" s="115"/>
      <c r="AP1946" s="115"/>
      <c r="AQ1946" s="93"/>
      <c r="AR1946" s="93"/>
      <c r="AS1946" s="94"/>
      <c r="AT1946" s="95"/>
      <c r="AU1946" s="79"/>
      <c r="AV1946" s="117"/>
      <c r="AW1946" s="115"/>
      <c r="AX1946" s="106"/>
      <c r="AY1946" s="104"/>
      <c r="AZ1946" s="105"/>
    </row>
    <row r="1947" customHeight="1" spans="1:52">
      <c r="A1947" s="70">
        <v>1964</v>
      </c>
      <c r="B1947" s="70" t="s">
        <v>4045</v>
      </c>
      <c r="C1947" s="70" t="s">
        <v>264</v>
      </c>
      <c r="D1947" s="71" t="s">
        <v>5148</v>
      </c>
      <c r="E1947" s="71" t="s">
        <v>2741</v>
      </c>
      <c r="F1947" s="72"/>
      <c r="G1947" s="73"/>
      <c r="H1947" s="75"/>
      <c r="I1947" s="102">
        <v>46237</v>
      </c>
      <c r="J1947" s="70">
        <v>3</v>
      </c>
      <c r="K1947" s="106" t="s">
        <v>5149</v>
      </c>
      <c r="L1947" s="104">
        <f t="shared" si="499"/>
        <v>46329</v>
      </c>
      <c r="M1947" s="105">
        <f ca="1" t="shared" si="500"/>
        <v>16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6"/>
      <c r="Z1947" s="13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5"/>
      <c r="AO1947" s="115"/>
      <c r="AP1947" s="115"/>
      <c r="AQ1947" s="93"/>
      <c r="AR1947" s="93"/>
      <c r="AS1947" s="94"/>
      <c r="AT1947" s="95"/>
      <c r="AU1947" s="79"/>
      <c r="AV1947" s="117"/>
      <c r="AW1947" s="115"/>
      <c r="AX1947" s="106"/>
      <c r="AY1947" s="104"/>
      <c r="AZ1947" s="105"/>
    </row>
    <row r="1948" customHeight="1" spans="1:52">
      <c r="A1948" s="70">
        <v>1965</v>
      </c>
      <c r="B1948" s="108" t="s">
        <v>263</v>
      </c>
      <c r="C1948" s="70" t="s">
        <v>264</v>
      </c>
      <c r="D1948" s="205" t="s">
        <v>1922</v>
      </c>
      <c r="E1948" s="71" t="s">
        <v>753</v>
      </c>
      <c r="F1948" s="72"/>
      <c r="G1948" s="73"/>
      <c r="H1948" s="75"/>
      <c r="I1948" s="102">
        <v>46237</v>
      </c>
      <c r="J1948" s="70" t="s">
        <v>767</v>
      </c>
      <c r="K1948" s="106"/>
      <c r="L1948" s="104" t="e">
        <f t="shared" si="499"/>
        <v>#VALUE!</v>
      </c>
      <c r="M1948" s="105" t="e">
        <f ca="1" t="shared" si="500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6"/>
      <c r="Z1948" s="13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5"/>
      <c r="AO1948" s="115"/>
      <c r="AP1948" s="115"/>
      <c r="AQ1948" s="93"/>
      <c r="AR1948" s="93"/>
      <c r="AS1948" s="94"/>
      <c r="AT1948" s="95"/>
      <c r="AU1948" s="79"/>
      <c r="AV1948" s="117"/>
      <c r="AW1948" s="115"/>
      <c r="AX1948" s="106"/>
      <c r="AY1948" s="104"/>
      <c r="AZ1948" s="105"/>
    </row>
    <row r="1949" customHeight="1" spans="1:52">
      <c r="A1949" s="70">
        <v>1966</v>
      </c>
      <c r="B1949" s="108" t="s">
        <v>366</v>
      </c>
      <c r="C1949" s="70" t="s">
        <v>264</v>
      </c>
      <c r="D1949" s="205" t="s">
        <v>367</v>
      </c>
      <c r="E1949" s="71" t="s">
        <v>753</v>
      </c>
      <c r="F1949" s="72"/>
      <c r="G1949" s="73"/>
      <c r="H1949" s="75"/>
      <c r="I1949" s="102">
        <v>46237</v>
      </c>
      <c r="J1949" s="70" t="s">
        <v>767</v>
      </c>
      <c r="K1949" s="106"/>
      <c r="L1949" s="104" t="e">
        <f t="shared" si="499"/>
        <v>#VALUE!</v>
      </c>
      <c r="M1949" s="105" t="e">
        <f ca="1" t="shared" si="500"/>
        <v>#VALUE!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6"/>
      <c r="Z1949" s="13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5"/>
      <c r="AO1949" s="115"/>
      <c r="AP1949" s="115"/>
      <c r="AQ1949" s="93"/>
      <c r="AR1949" s="93"/>
      <c r="AS1949" s="94"/>
      <c r="AT1949" s="95"/>
      <c r="AU1949" s="79"/>
      <c r="AV1949" s="117"/>
      <c r="AW1949" s="115"/>
      <c r="AX1949" s="106"/>
      <c r="AY1949" s="104"/>
      <c r="AZ1949" s="105"/>
    </row>
    <row r="1950" customHeight="1" spans="1:52">
      <c r="A1950" s="70">
        <v>1967</v>
      </c>
      <c r="B1950" s="204" t="s">
        <v>1359</v>
      </c>
      <c r="C1950" s="70" t="s">
        <v>13</v>
      </c>
      <c r="D1950" s="205" t="s">
        <v>2718</v>
      </c>
      <c r="E1950" s="71" t="s">
        <v>2719</v>
      </c>
      <c r="F1950" s="72"/>
      <c r="G1950" s="73"/>
      <c r="H1950" s="75"/>
      <c r="I1950" s="102">
        <v>46237</v>
      </c>
      <c r="J1950" s="70" t="s">
        <v>767</v>
      </c>
      <c r="K1950" s="106"/>
      <c r="L1950" s="104" t="e">
        <f t="shared" si="499"/>
        <v>#VALUE!</v>
      </c>
      <c r="M1950" s="105" t="e">
        <f ca="1" t="shared" si="500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6"/>
      <c r="Z1950" s="13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5"/>
      <c r="AO1950" s="115"/>
      <c r="AP1950" s="115"/>
      <c r="AQ1950" s="93"/>
      <c r="AR1950" s="93"/>
      <c r="AS1950" s="94"/>
      <c r="AT1950" s="95"/>
      <c r="AU1950" s="79"/>
      <c r="AV1950" s="117"/>
      <c r="AW1950" s="115"/>
      <c r="AX1950" s="106"/>
      <c r="AY1950" s="104"/>
      <c r="AZ1950" s="105"/>
    </row>
    <row r="1951" customHeight="1" spans="1:52">
      <c r="A1951" s="70">
        <v>1968</v>
      </c>
      <c r="B1951" s="204" t="s">
        <v>1359</v>
      </c>
      <c r="C1951" s="70" t="s">
        <v>13</v>
      </c>
      <c r="D1951" s="205" t="s">
        <v>2714</v>
      </c>
      <c r="E1951" s="71" t="s">
        <v>2715</v>
      </c>
      <c r="F1951" s="72"/>
      <c r="G1951" s="73"/>
      <c r="H1951" s="75"/>
      <c r="I1951" s="102">
        <v>46237</v>
      </c>
      <c r="J1951" s="70" t="s">
        <v>767</v>
      </c>
      <c r="K1951" s="106"/>
      <c r="L1951" s="104" t="e">
        <f t="shared" si="499"/>
        <v>#VALUE!</v>
      </c>
      <c r="M1951" s="105" t="e">
        <f ca="1" t="shared" si="500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6"/>
      <c r="Z1951" s="13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5"/>
      <c r="AO1951" s="115"/>
      <c r="AP1951" s="115"/>
      <c r="AQ1951" s="93"/>
      <c r="AR1951" s="93"/>
      <c r="AS1951" s="94"/>
      <c r="AT1951" s="95"/>
      <c r="AU1951" s="79"/>
      <c r="AV1951" s="117"/>
      <c r="AW1951" s="115"/>
      <c r="AX1951" s="106"/>
      <c r="AY1951" s="104"/>
      <c r="AZ1951" s="105"/>
    </row>
    <row r="1952" customHeight="1" spans="1:52">
      <c r="A1952" s="70">
        <v>1969</v>
      </c>
      <c r="B1952" s="204" t="s">
        <v>1359</v>
      </c>
      <c r="C1952" s="70" t="s">
        <v>13</v>
      </c>
      <c r="D1952" s="205" t="s">
        <v>2622</v>
      </c>
      <c r="E1952" s="71" t="s">
        <v>2813</v>
      </c>
      <c r="F1952" s="72"/>
      <c r="G1952" s="73"/>
      <c r="H1952" s="75"/>
      <c r="I1952" s="102">
        <v>46237</v>
      </c>
      <c r="J1952" s="70" t="s">
        <v>767</v>
      </c>
      <c r="K1952" s="106"/>
      <c r="L1952" s="104" t="e">
        <f t="shared" si="499"/>
        <v>#VALUE!</v>
      </c>
      <c r="M1952" s="105" t="e">
        <f ca="1" t="shared" si="500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6"/>
      <c r="Z1952" s="13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5"/>
      <c r="AO1952" s="115"/>
      <c r="AP1952" s="115"/>
      <c r="AQ1952" s="93"/>
      <c r="AR1952" s="93"/>
      <c r="AS1952" s="94"/>
      <c r="AT1952" s="95"/>
      <c r="AU1952" s="79"/>
      <c r="AV1952" s="117"/>
      <c r="AW1952" s="115"/>
      <c r="AX1952" s="106"/>
      <c r="AY1952" s="104"/>
      <c r="AZ1952" s="105"/>
    </row>
    <row r="1953" customHeight="1" spans="1:52">
      <c r="A1953" s="70">
        <v>1970</v>
      </c>
      <c r="B1953" s="70" t="s">
        <v>1260</v>
      </c>
      <c r="C1953" s="70" t="s">
        <v>38</v>
      </c>
      <c r="D1953" s="71" t="s">
        <v>5150</v>
      </c>
      <c r="E1953" s="71" t="s">
        <v>189</v>
      </c>
      <c r="F1953" s="72"/>
      <c r="G1953" s="73"/>
      <c r="H1953" s="74" t="s">
        <v>16</v>
      </c>
      <c r="I1953" s="102">
        <v>46238</v>
      </c>
      <c r="J1953" s="70">
        <v>3</v>
      </c>
      <c r="K1953" s="106" t="s">
        <v>5151</v>
      </c>
      <c r="L1953" s="104">
        <f t="shared" si="499"/>
        <v>46330</v>
      </c>
      <c r="M1953" s="105">
        <f ca="1" t="shared" si="500"/>
        <v>17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6"/>
      <c r="Z1953" s="13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5"/>
      <c r="AO1953" s="115"/>
      <c r="AP1953" s="115"/>
      <c r="AQ1953" s="93"/>
      <c r="AR1953" s="93"/>
      <c r="AS1953" s="94"/>
      <c r="AT1953" s="95"/>
      <c r="AU1953" s="79"/>
      <c r="AV1953" s="117"/>
      <c r="AW1953" s="115"/>
      <c r="AX1953" s="106"/>
      <c r="AY1953" s="104"/>
      <c r="AZ1953" s="105"/>
    </row>
    <row r="1954" customHeight="1" spans="1:52">
      <c r="A1954" s="70">
        <v>1971</v>
      </c>
      <c r="B1954" s="70" t="s">
        <v>5152</v>
      </c>
      <c r="C1954" s="70" t="s">
        <v>38</v>
      </c>
      <c r="D1954" s="71" t="s">
        <v>5153</v>
      </c>
      <c r="E1954" s="71" t="s">
        <v>5154</v>
      </c>
      <c r="F1954" s="72"/>
      <c r="G1954" s="73"/>
      <c r="H1954" s="75"/>
      <c r="I1954" s="102">
        <v>46238</v>
      </c>
      <c r="J1954" s="70">
        <v>3</v>
      </c>
      <c r="K1954" s="106" t="s">
        <v>5155</v>
      </c>
      <c r="L1954" s="104">
        <f t="shared" si="499"/>
        <v>46330</v>
      </c>
      <c r="M1954" s="105">
        <f ca="1" t="shared" si="500"/>
        <v>17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6"/>
      <c r="Z1954" s="13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5"/>
      <c r="AO1954" s="115"/>
      <c r="AP1954" s="115"/>
      <c r="AQ1954" s="93"/>
      <c r="AR1954" s="93"/>
      <c r="AS1954" s="94"/>
      <c r="AT1954" s="95"/>
      <c r="AU1954" s="79"/>
      <c r="AV1954" s="117"/>
      <c r="AW1954" s="115"/>
      <c r="AX1954" s="106"/>
      <c r="AY1954" s="104"/>
      <c r="AZ1954" s="105"/>
    </row>
    <row r="1955" customHeight="1" spans="1:52">
      <c r="A1955" s="70">
        <v>1972</v>
      </c>
      <c r="B1955" s="70" t="s">
        <v>782</v>
      </c>
      <c r="C1955" s="70" t="s">
        <v>374</v>
      </c>
      <c r="D1955" s="71" t="s">
        <v>5156</v>
      </c>
      <c r="E1955" s="71" t="s">
        <v>548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5157</v>
      </c>
      <c r="L1955" s="104">
        <f t="shared" si="499"/>
        <v>46330</v>
      </c>
      <c r="M1955" s="105">
        <f ca="1" t="shared" si="500"/>
        <v>17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6"/>
      <c r="Z1955" s="13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5"/>
      <c r="AO1955" s="115"/>
      <c r="AP1955" s="115"/>
      <c r="AQ1955" s="93"/>
      <c r="AR1955" s="93"/>
      <c r="AS1955" s="94"/>
      <c r="AT1955" s="95"/>
      <c r="AU1955" s="79"/>
      <c r="AV1955" s="117"/>
      <c r="AW1955" s="115"/>
      <c r="AX1955" s="106"/>
      <c r="AY1955" s="104"/>
      <c r="AZ1955" s="105"/>
    </row>
    <row r="1956" customHeight="1" spans="1:52">
      <c r="A1956" s="70">
        <v>1973</v>
      </c>
      <c r="B1956" s="70" t="s">
        <v>672</v>
      </c>
      <c r="C1956" s="70" t="s">
        <v>374</v>
      </c>
      <c r="D1956" s="205" t="s">
        <v>5158</v>
      </c>
      <c r="E1956" s="71" t="s">
        <v>674</v>
      </c>
      <c r="F1956" s="72"/>
      <c r="G1956" s="73"/>
      <c r="H1956" s="74" t="s">
        <v>16</v>
      </c>
      <c r="I1956" s="102">
        <v>46238</v>
      </c>
      <c r="J1956" s="70">
        <v>3</v>
      </c>
      <c r="K1956" s="106" t="s">
        <v>5159</v>
      </c>
      <c r="L1956" s="104">
        <f t="shared" si="499"/>
        <v>46330</v>
      </c>
      <c r="M1956" s="105">
        <f ca="1" t="shared" si="500"/>
        <v>17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6"/>
      <c r="Z1956" s="13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5"/>
      <c r="AO1956" s="115"/>
      <c r="AP1956" s="115"/>
      <c r="AQ1956" s="93"/>
      <c r="AR1956" s="93"/>
      <c r="AS1956" s="94"/>
      <c r="AT1956" s="95"/>
      <c r="AU1956" s="79"/>
      <c r="AV1956" s="117"/>
      <c r="AW1956" s="115"/>
      <c r="AX1956" s="106"/>
      <c r="AY1956" s="104"/>
      <c r="AZ1956" s="105"/>
    </row>
    <row r="1957" customHeight="1" spans="1:52">
      <c r="A1957" s="70">
        <v>1974</v>
      </c>
      <c r="B1957" s="70" t="s">
        <v>5160</v>
      </c>
      <c r="C1957" s="70" t="s">
        <v>374</v>
      </c>
      <c r="D1957" s="71" t="s">
        <v>5161</v>
      </c>
      <c r="E1957" s="71" t="s">
        <v>5162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5163</v>
      </c>
      <c r="L1957" s="104">
        <f t="shared" si="499"/>
        <v>46330</v>
      </c>
      <c r="M1957" s="105">
        <f ca="1" t="shared" si="500"/>
        <v>17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6"/>
      <c r="Z1957" s="13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5"/>
      <c r="AO1957" s="115"/>
      <c r="AP1957" s="115"/>
      <c r="AQ1957" s="93"/>
      <c r="AR1957" s="93"/>
      <c r="AS1957" s="94"/>
      <c r="AT1957" s="95"/>
      <c r="AU1957" s="79"/>
      <c r="AV1957" s="117"/>
      <c r="AW1957" s="115"/>
      <c r="AX1957" s="106"/>
      <c r="AY1957" s="104"/>
      <c r="AZ1957" s="105"/>
    </row>
    <row r="1958" customHeight="1" spans="1:52">
      <c r="A1958" s="70">
        <v>1975</v>
      </c>
      <c r="B1958" s="204" t="s">
        <v>263</v>
      </c>
      <c r="C1958" s="70" t="s">
        <v>264</v>
      </c>
      <c r="D1958" s="205" t="s">
        <v>2433</v>
      </c>
      <c r="E1958" s="71" t="s">
        <v>753</v>
      </c>
      <c r="F1958" s="72"/>
      <c r="G1958" s="73"/>
      <c r="H1958" s="75"/>
      <c r="I1958" s="102">
        <v>46238</v>
      </c>
      <c r="J1958" s="70" t="s">
        <v>767</v>
      </c>
      <c r="K1958" s="106"/>
      <c r="L1958" s="104" t="e">
        <f t="shared" si="499"/>
        <v>#VALUE!</v>
      </c>
      <c r="M1958" s="105" t="e">
        <f ca="1" t="shared" si="500"/>
        <v>#VALUE!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6"/>
      <c r="Z1958" s="13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5"/>
      <c r="AO1958" s="115"/>
      <c r="AP1958" s="115"/>
      <c r="AQ1958" s="93"/>
      <c r="AR1958" s="93"/>
      <c r="AS1958" s="94"/>
      <c r="AT1958" s="95"/>
      <c r="AU1958" s="79"/>
      <c r="AV1958" s="117"/>
      <c r="AW1958" s="115"/>
      <c r="AX1958" s="106"/>
      <c r="AY1958" s="104"/>
      <c r="AZ1958" s="105"/>
    </row>
    <row r="1959" customHeight="1" spans="1:52">
      <c r="A1959" s="70">
        <v>1976</v>
      </c>
      <c r="B1959" s="204" t="s">
        <v>263</v>
      </c>
      <c r="C1959" s="70" t="s">
        <v>264</v>
      </c>
      <c r="D1959" s="205" t="s">
        <v>1922</v>
      </c>
      <c r="E1959" s="71" t="s">
        <v>753</v>
      </c>
      <c r="F1959" s="72"/>
      <c r="G1959" s="73"/>
      <c r="H1959" s="75"/>
      <c r="I1959" s="102">
        <v>46238</v>
      </c>
      <c r="J1959" s="70" t="s">
        <v>767</v>
      </c>
      <c r="K1959" s="106"/>
      <c r="L1959" s="104" t="e">
        <f t="shared" si="499"/>
        <v>#VALUE!</v>
      </c>
      <c r="M1959" s="105" t="e">
        <f ca="1" t="shared" si="500"/>
        <v>#VALUE!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6"/>
      <c r="Z1959" s="13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5"/>
      <c r="AO1959" s="115"/>
      <c r="AP1959" s="115"/>
      <c r="AQ1959" s="93"/>
      <c r="AR1959" s="93"/>
      <c r="AS1959" s="94"/>
      <c r="AT1959" s="95"/>
      <c r="AU1959" s="79"/>
      <c r="AV1959" s="117"/>
      <c r="AW1959" s="115"/>
      <c r="AX1959" s="106"/>
      <c r="AY1959" s="104"/>
      <c r="AZ1959" s="105"/>
    </row>
    <row r="1960" customHeight="1" spans="1:52">
      <c r="A1960" s="70">
        <v>1977</v>
      </c>
      <c r="B1960" s="204" t="s">
        <v>644</v>
      </c>
      <c r="C1960" s="70" t="s">
        <v>264</v>
      </c>
      <c r="D1960" s="205" t="s">
        <v>265</v>
      </c>
      <c r="E1960" s="71" t="s">
        <v>753</v>
      </c>
      <c r="F1960" s="72"/>
      <c r="G1960" s="73"/>
      <c r="H1960" s="75"/>
      <c r="I1960" s="102">
        <v>46238</v>
      </c>
      <c r="J1960" s="70" t="s">
        <v>767</v>
      </c>
      <c r="K1960" s="106"/>
      <c r="L1960" s="104" t="e">
        <f t="shared" si="499"/>
        <v>#VALUE!</v>
      </c>
      <c r="M1960" s="105" t="e">
        <f ca="1" t="shared" si="500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6"/>
      <c r="Z1960" s="13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5"/>
      <c r="AO1960" s="115"/>
      <c r="AP1960" s="115"/>
      <c r="AQ1960" s="93"/>
      <c r="AR1960" s="93"/>
      <c r="AS1960" s="94"/>
      <c r="AT1960" s="95"/>
      <c r="AU1960" s="79"/>
      <c r="AV1960" s="117"/>
      <c r="AW1960" s="115"/>
      <c r="AX1960" s="106"/>
      <c r="AY1960" s="104"/>
      <c r="AZ1960" s="105"/>
    </row>
    <row r="1961" customHeight="1" spans="1:52">
      <c r="A1961" s="70">
        <v>1978</v>
      </c>
      <c r="B1961" s="204" t="s">
        <v>5164</v>
      </c>
      <c r="C1961" s="70" t="s">
        <v>38</v>
      </c>
      <c r="D1961" s="205" t="s">
        <v>5165</v>
      </c>
      <c r="E1961" s="71" t="s">
        <v>4829</v>
      </c>
      <c r="F1961" s="72"/>
      <c r="G1961" s="73"/>
      <c r="H1961" s="75"/>
      <c r="I1961" s="102">
        <v>46239</v>
      </c>
      <c r="J1961" s="70">
        <v>3</v>
      </c>
      <c r="K1961" s="106" t="s">
        <v>5166</v>
      </c>
      <c r="L1961" s="104">
        <f t="shared" ref="L1961:L1968" si="501">EDATE(I1961,J1961)</f>
        <v>46331</v>
      </c>
      <c r="M1961" s="105">
        <f ca="1" t="shared" ref="M1961:M1968" si="502">L1961-TODAY()</f>
        <v>18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6"/>
      <c r="Z1961" s="13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5"/>
      <c r="AO1961" s="115"/>
      <c r="AP1961" s="115"/>
      <c r="AQ1961" s="93"/>
      <c r="AR1961" s="93"/>
      <c r="AS1961" s="94"/>
      <c r="AT1961" s="95"/>
      <c r="AU1961" s="79"/>
      <c r="AV1961" s="117"/>
      <c r="AW1961" s="115"/>
      <c r="AX1961" s="106"/>
      <c r="AY1961" s="104"/>
      <c r="AZ1961" s="105"/>
    </row>
    <row r="1962" customHeight="1" spans="1:52">
      <c r="A1962" s="70">
        <v>1979</v>
      </c>
      <c r="B1962" s="204" t="s">
        <v>5164</v>
      </c>
      <c r="C1962" s="70" t="s">
        <v>38</v>
      </c>
      <c r="D1962" s="205" t="s">
        <v>5167</v>
      </c>
      <c r="E1962" s="71" t="s">
        <v>4829</v>
      </c>
      <c r="F1962" s="72"/>
      <c r="G1962" s="73"/>
      <c r="H1962" s="75"/>
      <c r="I1962" s="102">
        <v>46239</v>
      </c>
      <c r="J1962" s="70">
        <v>3</v>
      </c>
      <c r="K1962" s="106" t="s">
        <v>5168</v>
      </c>
      <c r="L1962" s="104">
        <f t="shared" si="501"/>
        <v>46331</v>
      </c>
      <c r="M1962" s="105">
        <f ca="1" t="shared" si="502"/>
        <v>18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6"/>
      <c r="Z1962" s="13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5"/>
      <c r="AO1962" s="115"/>
      <c r="AP1962" s="115"/>
      <c r="AQ1962" s="93"/>
      <c r="AR1962" s="93"/>
      <c r="AS1962" s="94"/>
      <c r="AT1962" s="95"/>
      <c r="AU1962" s="79"/>
      <c r="AV1962" s="117"/>
      <c r="AW1962" s="115"/>
      <c r="AX1962" s="106"/>
      <c r="AY1962" s="104"/>
      <c r="AZ1962" s="105"/>
    </row>
    <row r="1963" customHeight="1" spans="1:52">
      <c r="A1963" s="70">
        <v>1980</v>
      </c>
      <c r="B1963" s="70" t="s">
        <v>535</v>
      </c>
      <c r="C1963" s="70" t="s">
        <v>13</v>
      </c>
      <c r="D1963" s="71" t="s">
        <v>5169</v>
      </c>
      <c r="E1963" s="71" t="s">
        <v>5170</v>
      </c>
      <c r="F1963" s="72"/>
      <c r="G1963" s="73"/>
      <c r="H1963" s="75"/>
      <c r="I1963" s="102">
        <v>46239</v>
      </c>
      <c r="J1963" s="70">
        <v>3</v>
      </c>
      <c r="K1963" s="106" t="s">
        <v>5171</v>
      </c>
      <c r="L1963" s="104">
        <f t="shared" si="501"/>
        <v>46331</v>
      </c>
      <c r="M1963" s="105">
        <f ca="1" t="shared" si="502"/>
        <v>18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6"/>
      <c r="Z1963" s="13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5"/>
      <c r="AO1963" s="115"/>
      <c r="AP1963" s="115"/>
      <c r="AQ1963" s="93"/>
      <c r="AR1963" s="93"/>
      <c r="AS1963" s="94"/>
      <c r="AT1963" s="95"/>
      <c r="AU1963" s="79"/>
      <c r="AV1963" s="117"/>
      <c r="AW1963" s="115"/>
      <c r="AX1963" s="106"/>
      <c r="AY1963" s="104"/>
      <c r="AZ1963" s="105"/>
    </row>
    <row r="1964" customHeight="1" spans="1:52">
      <c r="A1964" s="70">
        <v>1981</v>
      </c>
      <c r="B1964" s="204" t="s">
        <v>281</v>
      </c>
      <c r="C1964" s="70" t="s">
        <v>264</v>
      </c>
      <c r="D1964" s="71" t="s">
        <v>5172</v>
      </c>
      <c r="E1964" s="71" t="s">
        <v>5173</v>
      </c>
      <c r="F1964" s="72"/>
      <c r="G1964" s="73"/>
      <c r="H1964" s="75"/>
      <c r="I1964" s="102">
        <v>46239</v>
      </c>
      <c r="J1964" s="70">
        <v>3</v>
      </c>
      <c r="K1964" s="106" t="s">
        <v>5174</v>
      </c>
      <c r="L1964" s="104">
        <f t="shared" si="501"/>
        <v>46331</v>
      </c>
      <c r="M1964" s="105">
        <f ca="1" t="shared" si="502"/>
        <v>18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6"/>
      <c r="Z1964" s="13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5"/>
      <c r="AO1964" s="115"/>
      <c r="AP1964" s="115"/>
      <c r="AQ1964" s="93"/>
      <c r="AR1964" s="93"/>
      <c r="AS1964" s="94"/>
      <c r="AT1964" s="95"/>
      <c r="AU1964" s="79"/>
      <c r="AV1964" s="117"/>
      <c r="AW1964" s="115"/>
      <c r="AX1964" s="106"/>
      <c r="AY1964" s="104"/>
      <c r="AZ1964" s="105"/>
    </row>
    <row r="1965" customHeight="1" spans="1:52">
      <c r="A1965" s="70">
        <v>1982</v>
      </c>
      <c r="B1965" s="204" t="s">
        <v>281</v>
      </c>
      <c r="C1965" s="70" t="s">
        <v>264</v>
      </c>
      <c r="D1965" s="71" t="s">
        <v>2618</v>
      </c>
      <c r="E1965" s="71" t="s">
        <v>364</v>
      </c>
      <c r="F1965" s="72"/>
      <c r="G1965" s="73"/>
      <c r="H1965" s="75"/>
      <c r="I1965" s="102">
        <v>46239</v>
      </c>
      <c r="J1965" s="70" t="s">
        <v>767</v>
      </c>
      <c r="K1965" s="106"/>
      <c r="L1965" s="104" t="e">
        <f t="shared" si="501"/>
        <v>#VALUE!</v>
      </c>
      <c r="M1965" s="105" t="e">
        <f ca="1" t="shared" si="502"/>
        <v>#VALUE!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6"/>
      <c r="Z1965" s="13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5"/>
      <c r="AO1965" s="115"/>
      <c r="AP1965" s="115"/>
      <c r="AQ1965" s="93"/>
      <c r="AR1965" s="93"/>
      <c r="AS1965" s="94"/>
      <c r="AT1965" s="95"/>
      <c r="AU1965" s="79"/>
      <c r="AV1965" s="117"/>
      <c r="AW1965" s="115"/>
      <c r="AX1965" s="106"/>
      <c r="AY1965" s="104"/>
      <c r="AZ1965" s="105"/>
    </row>
    <row r="1966" customHeight="1" spans="1:52">
      <c r="A1966" s="70">
        <v>1983</v>
      </c>
      <c r="B1966" s="204" t="s">
        <v>1359</v>
      </c>
      <c r="C1966" s="70" t="s">
        <v>13</v>
      </c>
      <c r="D1966" s="205" t="s">
        <v>2848</v>
      </c>
      <c r="E1966" s="71" t="s">
        <v>2849</v>
      </c>
      <c r="F1966" s="72"/>
      <c r="G1966" s="73"/>
      <c r="H1966" s="75"/>
      <c r="I1966" s="102">
        <v>46239</v>
      </c>
      <c r="J1966" s="70" t="s">
        <v>767</v>
      </c>
      <c r="K1966" s="106"/>
      <c r="L1966" s="104" t="e">
        <f t="shared" si="501"/>
        <v>#VALUE!</v>
      </c>
      <c r="M1966" s="105" t="e">
        <f ca="1" t="shared" si="502"/>
        <v>#VALUE!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6"/>
      <c r="Z1966" s="13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5"/>
      <c r="AO1966" s="115"/>
      <c r="AP1966" s="115"/>
      <c r="AQ1966" s="93"/>
      <c r="AR1966" s="93"/>
      <c r="AS1966" s="94"/>
      <c r="AT1966" s="95"/>
      <c r="AU1966" s="79"/>
      <c r="AV1966" s="117"/>
      <c r="AW1966" s="115"/>
      <c r="AX1966" s="106"/>
      <c r="AY1966" s="104"/>
      <c r="AZ1966" s="105"/>
    </row>
    <row r="1967" customHeight="1" spans="1:52">
      <c r="A1967" s="70">
        <v>1984</v>
      </c>
      <c r="B1967" s="204" t="s">
        <v>1359</v>
      </c>
      <c r="C1967" s="70" t="s">
        <v>13</v>
      </c>
      <c r="D1967" s="205" t="s">
        <v>2858</v>
      </c>
      <c r="E1967" s="71" t="s">
        <v>2859</v>
      </c>
      <c r="F1967" s="72"/>
      <c r="G1967" s="73"/>
      <c r="H1967" s="75"/>
      <c r="I1967" s="102">
        <v>46239</v>
      </c>
      <c r="J1967" s="70" t="s">
        <v>767</v>
      </c>
      <c r="K1967" s="106"/>
      <c r="L1967" s="104" t="e">
        <f t="shared" si="501"/>
        <v>#VALUE!</v>
      </c>
      <c r="M1967" s="105" t="e">
        <f ca="1" t="shared" si="502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6"/>
      <c r="Z1967" s="13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5"/>
      <c r="AO1967" s="115"/>
      <c r="AP1967" s="115"/>
      <c r="AQ1967" s="93"/>
      <c r="AR1967" s="93"/>
      <c r="AS1967" s="94"/>
      <c r="AT1967" s="95"/>
      <c r="AU1967" s="79"/>
      <c r="AV1967" s="117"/>
      <c r="AW1967" s="115"/>
      <c r="AX1967" s="106"/>
      <c r="AY1967" s="104"/>
      <c r="AZ1967" s="105"/>
    </row>
    <row r="1968" customHeight="1" spans="1:52">
      <c r="A1968" s="70">
        <v>1985</v>
      </c>
      <c r="B1968" s="204" t="s">
        <v>5164</v>
      </c>
      <c r="C1968" s="70" t="s">
        <v>38</v>
      </c>
      <c r="D1968" s="205" t="s">
        <v>5175</v>
      </c>
      <c r="E1968" s="71" t="s">
        <v>189</v>
      </c>
      <c r="F1968" s="72"/>
      <c r="G1968" s="73"/>
      <c r="H1968" s="75"/>
      <c r="I1968" s="102">
        <v>46240</v>
      </c>
      <c r="J1968" s="70">
        <v>3</v>
      </c>
      <c r="K1968" s="106" t="s">
        <v>5176</v>
      </c>
      <c r="L1968" s="104">
        <f t="shared" ref="L1968:L1979" si="503">EDATE(I1968,J1968)</f>
        <v>46332</v>
      </c>
      <c r="M1968" s="105">
        <f ca="1" t="shared" ref="M1968:M1979" si="504">L1968-TODAY()</f>
        <v>19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6"/>
      <c r="Z1968" s="13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5"/>
      <c r="AO1968" s="115"/>
      <c r="AP1968" s="115"/>
      <c r="AQ1968" s="93"/>
      <c r="AR1968" s="93"/>
      <c r="AS1968" s="94"/>
      <c r="AT1968" s="95"/>
      <c r="AU1968" s="79"/>
      <c r="AV1968" s="117"/>
      <c r="AW1968" s="115"/>
      <c r="AX1968" s="106"/>
      <c r="AY1968" s="104"/>
      <c r="AZ1968" s="105"/>
    </row>
    <row r="1969" customHeight="1" spans="1:52">
      <c r="A1969" s="70">
        <v>1986</v>
      </c>
      <c r="B1969" s="204" t="s">
        <v>5164</v>
      </c>
      <c r="C1969" s="70" t="s">
        <v>38</v>
      </c>
      <c r="D1969" s="205" t="s">
        <v>5177</v>
      </c>
      <c r="E1969" s="71" t="s">
        <v>189</v>
      </c>
      <c r="F1969" s="72"/>
      <c r="G1969" s="73"/>
      <c r="H1969" s="75"/>
      <c r="I1969" s="102">
        <v>46240</v>
      </c>
      <c r="J1969" s="70">
        <v>3</v>
      </c>
      <c r="K1969" s="106" t="s">
        <v>5178</v>
      </c>
      <c r="L1969" s="104">
        <f t="shared" si="503"/>
        <v>46332</v>
      </c>
      <c r="M1969" s="105">
        <f ca="1" t="shared" si="504"/>
        <v>19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6"/>
      <c r="Z1969" s="13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5"/>
      <c r="AO1969" s="115"/>
      <c r="AP1969" s="115"/>
      <c r="AQ1969" s="93"/>
      <c r="AR1969" s="93"/>
      <c r="AS1969" s="94"/>
      <c r="AT1969" s="95"/>
      <c r="AU1969" s="79"/>
      <c r="AV1969" s="117"/>
      <c r="AW1969" s="115"/>
      <c r="AX1969" s="106"/>
      <c r="AY1969" s="104"/>
      <c r="AZ1969" s="105"/>
    </row>
    <row r="1970" customHeight="1" spans="1:52">
      <c r="A1970" s="70">
        <v>1987</v>
      </c>
      <c r="B1970" s="204" t="s">
        <v>798</v>
      </c>
      <c r="C1970" s="70" t="s">
        <v>264</v>
      </c>
      <c r="D1970" s="205" t="s">
        <v>5086</v>
      </c>
      <c r="E1970" s="71" t="s">
        <v>5179</v>
      </c>
      <c r="F1970" s="72"/>
      <c r="G1970" s="73"/>
      <c r="H1970" s="75"/>
      <c r="I1970" s="102">
        <v>46240</v>
      </c>
      <c r="J1970" s="70" t="s">
        <v>767</v>
      </c>
      <c r="K1970" s="106"/>
      <c r="L1970" s="104" t="e">
        <f t="shared" si="503"/>
        <v>#VALUE!</v>
      </c>
      <c r="M1970" s="105" t="e">
        <f ca="1" t="shared" si="504"/>
        <v>#VALUE!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6"/>
      <c r="Z1970" s="13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5"/>
      <c r="AO1970" s="115"/>
      <c r="AP1970" s="115"/>
      <c r="AQ1970" s="93"/>
      <c r="AR1970" s="93"/>
      <c r="AS1970" s="94"/>
      <c r="AT1970" s="95"/>
      <c r="AU1970" s="79"/>
      <c r="AV1970" s="117"/>
      <c r="AW1970" s="115"/>
      <c r="AX1970" s="106"/>
      <c r="AY1970" s="104"/>
      <c r="AZ1970" s="105"/>
    </row>
    <row r="1971" customHeight="1" spans="1:52">
      <c r="A1971" s="70">
        <v>1988</v>
      </c>
      <c r="B1971" s="204" t="s">
        <v>798</v>
      </c>
      <c r="C1971" s="70" t="s">
        <v>264</v>
      </c>
      <c r="D1971" s="205" t="s">
        <v>5083</v>
      </c>
      <c r="E1971" s="71" t="s">
        <v>5179</v>
      </c>
      <c r="F1971" s="72"/>
      <c r="G1971" s="73"/>
      <c r="H1971" s="75"/>
      <c r="I1971" s="102">
        <v>46240</v>
      </c>
      <c r="J1971" s="70" t="s">
        <v>767</v>
      </c>
      <c r="K1971" s="106"/>
      <c r="L1971" s="104" t="e">
        <f t="shared" si="503"/>
        <v>#VALUE!</v>
      </c>
      <c r="M1971" s="105" t="e">
        <f ca="1" t="shared" si="504"/>
        <v>#VALUE!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6"/>
      <c r="Z1971" s="13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5"/>
      <c r="AO1971" s="115"/>
      <c r="AP1971" s="115"/>
      <c r="AQ1971" s="93"/>
      <c r="AR1971" s="93"/>
      <c r="AS1971" s="94"/>
      <c r="AT1971" s="95"/>
      <c r="AU1971" s="79"/>
      <c r="AV1971" s="117"/>
      <c r="AW1971" s="115"/>
      <c r="AX1971" s="106"/>
      <c r="AY1971" s="104"/>
      <c r="AZ1971" s="105"/>
    </row>
    <row r="1972" customHeight="1" spans="1:52">
      <c r="A1972" s="70">
        <v>1989</v>
      </c>
      <c r="B1972" s="204" t="s">
        <v>263</v>
      </c>
      <c r="C1972" s="70" t="s">
        <v>264</v>
      </c>
      <c r="D1972" s="205" t="s">
        <v>2433</v>
      </c>
      <c r="E1972" s="71" t="s">
        <v>753</v>
      </c>
      <c r="F1972" s="72"/>
      <c r="G1972" s="73"/>
      <c r="H1972" s="75"/>
      <c r="I1972" s="102">
        <v>46240</v>
      </c>
      <c r="J1972" s="70" t="s">
        <v>767</v>
      </c>
      <c r="K1972" s="106"/>
      <c r="L1972" s="104" t="e">
        <f t="shared" si="503"/>
        <v>#VALUE!</v>
      </c>
      <c r="M1972" s="105" t="e">
        <f ca="1" t="shared" si="504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6"/>
      <c r="Z1972" s="13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5"/>
      <c r="AO1972" s="115"/>
      <c r="AP1972" s="115"/>
      <c r="AQ1972" s="93"/>
      <c r="AR1972" s="93"/>
      <c r="AS1972" s="94"/>
      <c r="AT1972" s="95"/>
      <c r="AU1972" s="79"/>
      <c r="AV1972" s="117"/>
      <c r="AW1972" s="115"/>
      <c r="AX1972" s="106"/>
      <c r="AY1972" s="104"/>
      <c r="AZ1972" s="105"/>
    </row>
    <row r="1973" customHeight="1" spans="1:52">
      <c r="A1973" s="70">
        <v>1990</v>
      </c>
      <c r="B1973" s="204" t="s">
        <v>263</v>
      </c>
      <c r="C1973" s="70" t="s">
        <v>264</v>
      </c>
      <c r="D1973" s="205" t="s">
        <v>265</v>
      </c>
      <c r="E1973" s="71" t="s">
        <v>753</v>
      </c>
      <c r="F1973" s="72"/>
      <c r="G1973" s="73"/>
      <c r="H1973" s="75"/>
      <c r="I1973" s="102">
        <v>46240</v>
      </c>
      <c r="J1973" s="70" t="s">
        <v>767</v>
      </c>
      <c r="K1973" s="106"/>
      <c r="L1973" s="104" t="e">
        <f t="shared" si="503"/>
        <v>#VALUE!</v>
      </c>
      <c r="M1973" s="105" t="e">
        <f ca="1" t="shared" si="504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6"/>
      <c r="Z1973" s="13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5"/>
      <c r="AO1973" s="115"/>
      <c r="AP1973" s="115"/>
      <c r="AQ1973" s="93"/>
      <c r="AR1973" s="93"/>
      <c r="AS1973" s="94"/>
      <c r="AT1973" s="95"/>
      <c r="AU1973" s="79"/>
      <c r="AV1973" s="117"/>
      <c r="AW1973" s="115"/>
      <c r="AX1973" s="106"/>
      <c r="AY1973" s="104"/>
      <c r="AZ1973" s="105"/>
    </row>
    <row r="1974" customHeight="1" spans="1:52">
      <c r="A1974" s="70">
        <v>1991</v>
      </c>
      <c r="B1974" s="204" t="s">
        <v>4045</v>
      </c>
      <c r="C1974" s="70" t="s">
        <v>264</v>
      </c>
      <c r="D1974" s="205" t="s">
        <v>4297</v>
      </c>
      <c r="E1974" s="71" t="s">
        <v>364</v>
      </c>
      <c r="F1974" s="72"/>
      <c r="G1974" s="73"/>
      <c r="H1974" s="75"/>
      <c r="I1974" s="102">
        <v>46240</v>
      </c>
      <c r="J1974" s="70" t="s">
        <v>767</v>
      </c>
      <c r="K1974" s="106"/>
      <c r="L1974" s="104" t="e">
        <f t="shared" si="503"/>
        <v>#VALUE!</v>
      </c>
      <c r="M1974" s="105" t="e">
        <f ca="1" t="shared" si="504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6"/>
      <c r="Z1974" s="13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5"/>
      <c r="AO1974" s="115"/>
      <c r="AP1974" s="115"/>
      <c r="AQ1974" s="93"/>
      <c r="AR1974" s="93"/>
      <c r="AS1974" s="94"/>
      <c r="AT1974" s="95"/>
      <c r="AU1974" s="79"/>
      <c r="AV1974" s="117"/>
      <c r="AW1974" s="115"/>
      <c r="AX1974" s="106"/>
      <c r="AY1974" s="104"/>
      <c r="AZ1974" s="105"/>
    </row>
    <row r="1975" customHeight="1" spans="1:52">
      <c r="A1975" s="70">
        <v>1992</v>
      </c>
      <c r="B1975" s="204" t="s">
        <v>3780</v>
      </c>
      <c r="C1975" s="70" t="s">
        <v>264</v>
      </c>
      <c r="D1975" s="205" t="s">
        <v>367</v>
      </c>
      <c r="E1975" s="71" t="s">
        <v>4334</v>
      </c>
      <c r="F1975" s="72"/>
      <c r="G1975" s="73"/>
      <c r="H1975" s="75"/>
      <c r="I1975" s="102">
        <v>46240</v>
      </c>
      <c r="J1975" s="70" t="s">
        <v>767</v>
      </c>
      <c r="K1975" s="106"/>
      <c r="L1975" s="104" t="e">
        <f t="shared" si="503"/>
        <v>#VALUE!</v>
      </c>
      <c r="M1975" s="105" t="e">
        <f ca="1" t="shared" si="504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6"/>
      <c r="Z1975" s="13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5"/>
      <c r="AO1975" s="115"/>
      <c r="AP1975" s="115"/>
      <c r="AQ1975" s="93"/>
      <c r="AR1975" s="93"/>
      <c r="AS1975" s="94"/>
      <c r="AT1975" s="95"/>
      <c r="AU1975" s="79"/>
      <c r="AV1975" s="117"/>
      <c r="AW1975" s="115"/>
      <c r="AX1975" s="106"/>
      <c r="AY1975" s="104"/>
      <c r="AZ1975" s="105"/>
    </row>
    <row r="1976" customHeight="1" spans="1:52">
      <c r="A1976" s="70">
        <v>1993</v>
      </c>
      <c r="B1976" s="204" t="s">
        <v>5180</v>
      </c>
      <c r="C1976" s="70" t="s">
        <v>13</v>
      </c>
      <c r="D1976" s="205" t="s">
        <v>5181</v>
      </c>
      <c r="E1976" s="71" t="s">
        <v>5182</v>
      </c>
      <c r="F1976" s="72"/>
      <c r="G1976" s="73"/>
      <c r="H1976" s="75"/>
      <c r="I1976" s="102">
        <v>46241</v>
      </c>
      <c r="J1976" s="70">
        <v>3</v>
      </c>
      <c r="K1976" s="106" t="s">
        <v>5183</v>
      </c>
      <c r="L1976" s="104">
        <f t="shared" si="503"/>
        <v>46333</v>
      </c>
      <c r="M1976" s="105">
        <f ca="1" t="shared" si="504"/>
        <v>20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6"/>
      <c r="Z1976" s="13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5"/>
      <c r="AO1976" s="115"/>
      <c r="AP1976" s="115"/>
      <c r="AQ1976" s="93"/>
      <c r="AR1976" s="93"/>
      <c r="AS1976" s="94"/>
      <c r="AT1976" s="95"/>
      <c r="AU1976" s="79"/>
      <c r="AV1976" s="117"/>
      <c r="AW1976" s="115"/>
      <c r="AX1976" s="106"/>
      <c r="AY1976" s="104"/>
      <c r="AZ1976" s="105"/>
    </row>
    <row r="1977" customHeight="1" spans="1:52">
      <c r="A1977" s="70">
        <v>1994</v>
      </c>
      <c r="B1977" s="204" t="s">
        <v>5180</v>
      </c>
      <c r="C1977" s="70" t="s">
        <v>13</v>
      </c>
      <c r="D1977" s="205" t="s">
        <v>5184</v>
      </c>
      <c r="E1977" s="71" t="s">
        <v>1003</v>
      </c>
      <c r="F1977" s="72"/>
      <c r="G1977" s="73"/>
      <c r="H1977" s="75"/>
      <c r="I1977" s="102">
        <v>46241</v>
      </c>
      <c r="J1977" s="70">
        <v>3</v>
      </c>
      <c r="K1977" s="106" t="s">
        <v>5185</v>
      </c>
      <c r="L1977" s="104">
        <f t="shared" si="503"/>
        <v>46333</v>
      </c>
      <c r="M1977" s="105">
        <f ca="1" t="shared" si="504"/>
        <v>20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6"/>
      <c r="Z1977" s="133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5"/>
      <c r="AO1977" s="115"/>
      <c r="AP1977" s="115"/>
      <c r="AQ1977" s="93"/>
      <c r="AR1977" s="93"/>
      <c r="AS1977" s="94"/>
      <c r="AT1977" s="95"/>
      <c r="AU1977" s="79"/>
      <c r="AV1977" s="117"/>
      <c r="AW1977" s="115"/>
      <c r="AX1977" s="106"/>
      <c r="AY1977" s="104"/>
      <c r="AZ1977" s="105"/>
    </row>
    <row r="1978" customHeight="1" spans="1:52">
      <c r="A1978" s="70">
        <v>1995</v>
      </c>
      <c r="B1978" s="204" t="s">
        <v>644</v>
      </c>
      <c r="C1978" s="70" t="s">
        <v>264</v>
      </c>
      <c r="D1978" s="205" t="s">
        <v>2433</v>
      </c>
      <c r="E1978" s="71" t="s">
        <v>753</v>
      </c>
      <c r="F1978" s="72"/>
      <c r="G1978" s="73"/>
      <c r="H1978" s="75"/>
      <c r="I1978" s="102">
        <v>46241</v>
      </c>
      <c r="J1978" s="70" t="s">
        <v>767</v>
      </c>
      <c r="K1978" s="106"/>
      <c r="L1978" s="104" t="e">
        <f t="shared" si="503"/>
        <v>#VALUE!</v>
      </c>
      <c r="M1978" s="105" t="e">
        <f ca="1" t="shared" si="504"/>
        <v>#VALUE!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6"/>
      <c r="Z1978" s="133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5"/>
      <c r="AO1978" s="115"/>
      <c r="AP1978" s="115"/>
      <c r="AQ1978" s="93"/>
      <c r="AR1978" s="93"/>
      <c r="AS1978" s="94"/>
      <c r="AT1978" s="95"/>
      <c r="AU1978" s="79"/>
      <c r="AV1978" s="117"/>
      <c r="AW1978" s="115"/>
      <c r="AX1978" s="106"/>
      <c r="AY1978" s="104"/>
      <c r="AZ1978" s="105"/>
    </row>
    <row r="1979" customHeight="1" spans="1:52">
      <c r="A1979" s="70">
        <v>1996</v>
      </c>
      <c r="B1979" s="204" t="s">
        <v>3772</v>
      </c>
      <c r="C1979" s="70" t="s">
        <v>264</v>
      </c>
      <c r="D1979" s="205" t="s">
        <v>265</v>
      </c>
      <c r="E1979" s="71" t="s">
        <v>753</v>
      </c>
      <c r="F1979" s="72"/>
      <c r="G1979" s="73"/>
      <c r="H1979" s="75"/>
      <c r="I1979" s="102">
        <v>46241</v>
      </c>
      <c r="J1979" s="70" t="s">
        <v>767</v>
      </c>
      <c r="K1979" s="106"/>
      <c r="L1979" s="104" t="e">
        <f t="shared" si="503"/>
        <v>#VALUE!</v>
      </c>
      <c r="M1979" s="105" t="e">
        <f ca="1" t="shared" si="504"/>
        <v>#VALUE!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6"/>
      <c r="Z1979" s="133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5"/>
      <c r="AO1979" s="115"/>
      <c r="AP1979" s="115"/>
      <c r="AQ1979" s="93"/>
      <c r="AR1979" s="93"/>
      <c r="AS1979" s="94"/>
      <c r="AT1979" s="95"/>
      <c r="AU1979" s="79"/>
      <c r="AV1979" s="117"/>
      <c r="AW1979" s="115"/>
      <c r="AX1979" s="106"/>
      <c r="AY1979" s="104"/>
      <c r="AZ1979" s="105"/>
    </row>
    <row r="1980" customHeight="1" spans="1:52">
      <c r="A1980" s="70">
        <v>1997</v>
      </c>
      <c r="B1980" s="204" t="s">
        <v>281</v>
      </c>
      <c r="C1980" s="70" t="s">
        <v>264</v>
      </c>
      <c r="D1980" s="205" t="s">
        <v>3453</v>
      </c>
      <c r="E1980" s="71" t="s">
        <v>364</v>
      </c>
      <c r="F1980" s="72"/>
      <c r="G1980" s="73"/>
      <c r="H1980" s="75"/>
      <c r="I1980" s="102">
        <v>46242</v>
      </c>
      <c r="J1980" s="70" t="s">
        <v>767</v>
      </c>
      <c r="K1980" s="106"/>
      <c r="L1980" s="104" t="e">
        <f t="shared" ref="L1980:L1996" si="505">EDATE(I1980,J1980)</f>
        <v>#VALUE!</v>
      </c>
      <c r="M1980" s="105" t="e">
        <f ca="1" t="shared" ref="M1980:M1996" si="506">L1980-TODAY()</f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6"/>
      <c r="Z1980" s="133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5"/>
      <c r="AO1980" s="115"/>
      <c r="AP1980" s="115"/>
      <c r="AQ1980" s="93"/>
      <c r="AR1980" s="93"/>
      <c r="AS1980" s="94"/>
      <c r="AT1980" s="95"/>
      <c r="AU1980" s="79"/>
      <c r="AV1980" s="117"/>
      <c r="AW1980" s="115"/>
      <c r="AX1980" s="106"/>
      <c r="AY1980" s="104"/>
      <c r="AZ1980" s="105"/>
    </row>
    <row r="1981" customHeight="1" spans="1:52">
      <c r="A1981" s="70">
        <v>1998</v>
      </c>
      <c r="B1981" s="204" t="s">
        <v>751</v>
      </c>
      <c r="C1981" s="70" t="s">
        <v>264</v>
      </c>
      <c r="D1981" s="205" t="s">
        <v>4723</v>
      </c>
      <c r="E1981" s="71" t="s">
        <v>2734</v>
      </c>
      <c r="F1981" s="72"/>
      <c r="G1981" s="73"/>
      <c r="H1981" s="75"/>
      <c r="I1981" s="102">
        <v>46242</v>
      </c>
      <c r="J1981" s="70" t="s">
        <v>767</v>
      </c>
      <c r="K1981" s="106"/>
      <c r="L1981" s="104" t="e">
        <f t="shared" si="505"/>
        <v>#VALUE!</v>
      </c>
      <c r="M1981" s="105" t="e">
        <f ca="1" t="shared" si="506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6"/>
      <c r="Z1981" s="133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5"/>
      <c r="AO1981" s="115"/>
      <c r="AP1981" s="115"/>
      <c r="AQ1981" s="93"/>
      <c r="AR1981" s="93"/>
      <c r="AS1981" s="94"/>
      <c r="AT1981" s="95"/>
      <c r="AU1981" s="79"/>
      <c r="AV1981" s="117"/>
      <c r="AW1981" s="115"/>
      <c r="AX1981" s="106"/>
      <c r="AY1981" s="104"/>
      <c r="AZ1981" s="105"/>
    </row>
    <row r="1982" customHeight="1" spans="1:52">
      <c r="A1982" s="70">
        <v>1999</v>
      </c>
      <c r="B1982" s="204" t="s">
        <v>751</v>
      </c>
      <c r="C1982" s="70" t="s">
        <v>264</v>
      </c>
      <c r="D1982" s="205" t="s">
        <v>4717</v>
      </c>
      <c r="E1982" s="71" t="s">
        <v>3182</v>
      </c>
      <c r="F1982" s="72"/>
      <c r="G1982" s="73"/>
      <c r="H1982" s="75"/>
      <c r="I1982" s="102">
        <v>46242</v>
      </c>
      <c r="J1982" s="70" t="s">
        <v>767</v>
      </c>
      <c r="K1982" s="106"/>
      <c r="L1982" s="104" t="e">
        <f t="shared" si="505"/>
        <v>#VALUE!</v>
      </c>
      <c r="M1982" s="105" t="e">
        <f ca="1" t="shared" si="506"/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6"/>
      <c r="Z1982" s="133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5"/>
      <c r="AO1982" s="115"/>
      <c r="AP1982" s="115"/>
      <c r="AQ1982" s="93"/>
      <c r="AR1982" s="93"/>
      <c r="AS1982" s="94"/>
      <c r="AT1982" s="95"/>
      <c r="AU1982" s="79"/>
      <c r="AV1982" s="117"/>
      <c r="AW1982" s="115"/>
      <c r="AX1982" s="106"/>
      <c r="AY1982" s="104"/>
      <c r="AZ1982" s="105"/>
    </row>
    <row r="1983" customHeight="1" spans="1:52">
      <c r="A1983" s="70">
        <v>2000</v>
      </c>
      <c r="B1983" s="204" t="s">
        <v>751</v>
      </c>
      <c r="C1983" s="70" t="s">
        <v>264</v>
      </c>
      <c r="D1983" s="205" t="s">
        <v>3233</v>
      </c>
      <c r="E1983" s="71" t="s">
        <v>2741</v>
      </c>
      <c r="F1983" s="72"/>
      <c r="G1983" s="73"/>
      <c r="H1983" s="75"/>
      <c r="I1983" s="102">
        <v>46242</v>
      </c>
      <c r="J1983" s="70" t="s">
        <v>767</v>
      </c>
      <c r="K1983" s="106"/>
      <c r="L1983" s="104" t="e">
        <f t="shared" si="505"/>
        <v>#VALUE!</v>
      </c>
      <c r="M1983" s="105" t="e">
        <f ca="1" t="shared" si="506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6"/>
      <c r="Z1983" s="133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5"/>
      <c r="AO1983" s="115"/>
      <c r="AP1983" s="115"/>
      <c r="AQ1983" s="93"/>
      <c r="AR1983" s="93"/>
      <c r="AS1983" s="94"/>
      <c r="AT1983" s="95"/>
      <c r="AU1983" s="79"/>
      <c r="AV1983" s="117"/>
      <c r="AW1983" s="115"/>
      <c r="AX1983" s="106"/>
      <c r="AY1983" s="104"/>
      <c r="AZ1983" s="105"/>
    </row>
    <row r="1984" customHeight="1" spans="1:52">
      <c r="A1984" s="70">
        <v>2001</v>
      </c>
      <c r="B1984" s="204" t="s">
        <v>751</v>
      </c>
      <c r="C1984" s="70" t="s">
        <v>264</v>
      </c>
      <c r="D1984" s="205" t="s">
        <v>4713</v>
      </c>
      <c r="E1984" s="71" t="s">
        <v>3187</v>
      </c>
      <c r="F1984" s="72"/>
      <c r="G1984" s="73"/>
      <c r="H1984" s="75"/>
      <c r="I1984" s="102">
        <v>46242</v>
      </c>
      <c r="J1984" s="70" t="s">
        <v>767</v>
      </c>
      <c r="K1984" s="106"/>
      <c r="L1984" s="104" t="e">
        <f t="shared" si="505"/>
        <v>#VALUE!</v>
      </c>
      <c r="M1984" s="105" t="e">
        <f ca="1" t="shared" si="506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6"/>
      <c r="Z1984" s="133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5"/>
      <c r="AO1984" s="115"/>
      <c r="AP1984" s="115"/>
      <c r="AQ1984" s="93"/>
      <c r="AR1984" s="93"/>
      <c r="AS1984" s="94"/>
      <c r="AT1984" s="95"/>
      <c r="AU1984" s="79"/>
      <c r="AV1984" s="117"/>
      <c r="AW1984" s="115"/>
      <c r="AX1984" s="106"/>
      <c r="AY1984" s="104"/>
      <c r="AZ1984" s="105"/>
    </row>
    <row r="1985" customHeight="1" spans="1:52">
      <c r="A1985" s="70">
        <v>2002</v>
      </c>
      <c r="B1985" s="204" t="s">
        <v>751</v>
      </c>
      <c r="C1985" s="70" t="s">
        <v>264</v>
      </c>
      <c r="D1985" s="205" t="s">
        <v>3236</v>
      </c>
      <c r="E1985" s="71" t="s">
        <v>2738</v>
      </c>
      <c r="F1985" s="72"/>
      <c r="G1985" s="73"/>
      <c r="H1985" s="75"/>
      <c r="I1985" s="102">
        <v>46242</v>
      </c>
      <c r="J1985" s="70" t="s">
        <v>767</v>
      </c>
      <c r="K1985" s="106"/>
      <c r="L1985" s="104" t="e">
        <f t="shared" si="505"/>
        <v>#VALUE!</v>
      </c>
      <c r="M1985" s="105" t="e">
        <f ca="1" t="shared" si="506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6"/>
      <c r="Z1985" s="133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5"/>
      <c r="AO1985" s="115"/>
      <c r="AP1985" s="115"/>
      <c r="AQ1985" s="93"/>
      <c r="AR1985" s="93"/>
      <c r="AS1985" s="94"/>
      <c r="AT1985" s="95"/>
      <c r="AU1985" s="79"/>
      <c r="AV1985" s="117"/>
      <c r="AW1985" s="115"/>
      <c r="AX1985" s="106"/>
      <c r="AY1985" s="104"/>
      <c r="AZ1985" s="105"/>
    </row>
    <row r="1986" customHeight="1" spans="1:52">
      <c r="A1986" s="70">
        <v>2003</v>
      </c>
      <c r="B1986" s="204" t="s">
        <v>751</v>
      </c>
      <c r="C1986" s="70" t="s">
        <v>264</v>
      </c>
      <c r="D1986" s="205" t="s">
        <v>4719</v>
      </c>
      <c r="E1986" s="71" t="s">
        <v>2744</v>
      </c>
      <c r="F1986" s="72"/>
      <c r="G1986" s="73"/>
      <c r="H1986" s="75"/>
      <c r="I1986" s="102">
        <v>46242</v>
      </c>
      <c r="J1986" s="70" t="s">
        <v>767</v>
      </c>
      <c r="K1986" s="106"/>
      <c r="L1986" s="104" t="e">
        <f t="shared" si="505"/>
        <v>#VALUE!</v>
      </c>
      <c r="M1986" s="105" t="e">
        <f ca="1" t="shared" si="506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6"/>
      <c r="Z1986" s="133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5"/>
      <c r="AO1986" s="115"/>
      <c r="AP1986" s="115"/>
      <c r="AQ1986" s="93"/>
      <c r="AR1986" s="93"/>
      <c r="AS1986" s="94"/>
      <c r="AT1986" s="95"/>
      <c r="AU1986" s="79"/>
      <c r="AV1986" s="117"/>
      <c r="AW1986" s="115"/>
      <c r="AX1986" s="106"/>
      <c r="AY1986" s="104"/>
      <c r="AZ1986" s="105"/>
    </row>
    <row r="1987" customHeight="1" spans="1:52">
      <c r="A1987" s="70">
        <v>2004</v>
      </c>
      <c r="B1987" s="204" t="s">
        <v>751</v>
      </c>
      <c r="C1987" s="70" t="s">
        <v>264</v>
      </c>
      <c r="D1987" s="205" t="s">
        <v>3239</v>
      </c>
      <c r="E1987" s="71" t="s">
        <v>3240</v>
      </c>
      <c r="F1987" s="72"/>
      <c r="G1987" s="73"/>
      <c r="H1987" s="75"/>
      <c r="I1987" s="102">
        <v>46242</v>
      </c>
      <c r="J1987" s="70" t="s">
        <v>767</v>
      </c>
      <c r="K1987" s="106"/>
      <c r="L1987" s="104" t="e">
        <f t="shared" si="505"/>
        <v>#VALUE!</v>
      </c>
      <c r="M1987" s="105" t="e">
        <f ca="1" t="shared" si="506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6"/>
      <c r="Z1987" s="133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5"/>
      <c r="AO1987" s="115"/>
      <c r="AP1987" s="115"/>
      <c r="AQ1987" s="93"/>
      <c r="AR1987" s="93"/>
      <c r="AS1987" s="94"/>
      <c r="AT1987" s="95"/>
      <c r="AU1987" s="79"/>
      <c r="AV1987" s="117"/>
      <c r="AW1987" s="115"/>
      <c r="AX1987" s="106"/>
      <c r="AY1987" s="104"/>
      <c r="AZ1987" s="105"/>
    </row>
    <row r="1988" customHeight="1" spans="1:52">
      <c r="A1988" s="70">
        <v>2005</v>
      </c>
      <c r="B1988" s="204" t="s">
        <v>751</v>
      </c>
      <c r="C1988" s="70" t="s">
        <v>264</v>
      </c>
      <c r="D1988" s="205" t="s">
        <v>3176</v>
      </c>
      <c r="E1988" s="71" t="s">
        <v>3021</v>
      </c>
      <c r="F1988" s="72"/>
      <c r="G1988" s="73"/>
      <c r="H1988" s="75"/>
      <c r="I1988" s="102">
        <v>46242</v>
      </c>
      <c r="J1988" s="70" t="s">
        <v>767</v>
      </c>
      <c r="K1988" s="106"/>
      <c r="L1988" s="104" t="e">
        <f t="shared" si="505"/>
        <v>#VALUE!</v>
      </c>
      <c r="M1988" s="105" t="e">
        <f ca="1" t="shared" si="506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6"/>
      <c r="Z1988" s="133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5"/>
      <c r="AO1988" s="115"/>
      <c r="AP1988" s="115"/>
      <c r="AQ1988" s="93"/>
      <c r="AR1988" s="93"/>
      <c r="AS1988" s="94"/>
      <c r="AT1988" s="95"/>
      <c r="AU1988" s="79"/>
      <c r="AV1988" s="117"/>
      <c r="AW1988" s="115"/>
      <c r="AX1988" s="106"/>
      <c r="AY1988" s="104"/>
      <c r="AZ1988" s="105"/>
    </row>
    <row r="1989" customHeight="1" spans="1:52">
      <c r="A1989" s="70">
        <v>2006</v>
      </c>
      <c r="B1989" s="204" t="s">
        <v>751</v>
      </c>
      <c r="C1989" s="70" t="s">
        <v>264</v>
      </c>
      <c r="D1989" s="205" t="s">
        <v>4721</v>
      </c>
      <c r="E1989" s="71" t="s">
        <v>2734</v>
      </c>
      <c r="F1989" s="72"/>
      <c r="G1989" s="73"/>
      <c r="H1989" s="75"/>
      <c r="I1989" s="102">
        <v>46242</v>
      </c>
      <c r="J1989" s="70" t="s">
        <v>767</v>
      </c>
      <c r="K1989" s="106"/>
      <c r="L1989" s="104" t="e">
        <f t="shared" si="505"/>
        <v>#VALUE!</v>
      </c>
      <c r="M1989" s="105" t="e">
        <f ca="1" t="shared" si="506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6"/>
      <c r="Z1989" s="133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5"/>
      <c r="AO1989" s="115"/>
      <c r="AP1989" s="115"/>
      <c r="AQ1989" s="93"/>
      <c r="AR1989" s="93"/>
      <c r="AS1989" s="94"/>
      <c r="AT1989" s="95"/>
      <c r="AU1989" s="79"/>
      <c r="AV1989" s="117"/>
      <c r="AW1989" s="115"/>
      <c r="AX1989" s="106"/>
      <c r="AY1989" s="104"/>
      <c r="AZ1989" s="105"/>
    </row>
    <row r="1990" customHeight="1" spans="1:52">
      <c r="A1990" s="70">
        <v>2007</v>
      </c>
      <c r="B1990" s="204" t="s">
        <v>751</v>
      </c>
      <c r="C1990" s="70" t="s">
        <v>264</v>
      </c>
      <c r="D1990" s="205" t="s">
        <v>4715</v>
      </c>
      <c r="E1990" s="71" t="s">
        <v>2747</v>
      </c>
      <c r="F1990" s="72"/>
      <c r="G1990" s="73"/>
      <c r="H1990" s="75"/>
      <c r="I1990" s="102">
        <v>46242</v>
      </c>
      <c r="J1990" s="70" t="s">
        <v>767</v>
      </c>
      <c r="K1990" s="106"/>
      <c r="L1990" s="104" t="e">
        <f t="shared" si="505"/>
        <v>#VALUE!</v>
      </c>
      <c r="M1990" s="105" t="e">
        <f ca="1" t="shared" si="506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6"/>
      <c r="Z1990" s="133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5"/>
      <c r="AO1990" s="115"/>
      <c r="AP1990" s="115"/>
      <c r="AQ1990" s="93"/>
      <c r="AR1990" s="93"/>
      <c r="AS1990" s="94"/>
      <c r="AT1990" s="95"/>
      <c r="AU1990" s="79"/>
      <c r="AV1990" s="117"/>
      <c r="AW1990" s="115"/>
      <c r="AX1990" s="106"/>
      <c r="AY1990" s="104"/>
      <c r="AZ1990" s="105"/>
    </row>
    <row r="1991" customHeight="1" spans="1:52">
      <c r="A1991" s="70">
        <v>2008</v>
      </c>
      <c r="B1991" s="204" t="s">
        <v>1359</v>
      </c>
      <c r="C1991" s="70" t="s">
        <v>13</v>
      </c>
      <c r="D1991" s="205" t="s">
        <v>2848</v>
      </c>
      <c r="E1991" s="71" t="s">
        <v>2849</v>
      </c>
      <c r="F1991" s="72"/>
      <c r="G1991" s="73"/>
      <c r="H1991" s="75"/>
      <c r="I1991" s="102">
        <v>46242</v>
      </c>
      <c r="J1991" s="70" t="s">
        <v>767</v>
      </c>
      <c r="K1991" s="106"/>
      <c r="L1991" s="104" t="e">
        <f t="shared" si="505"/>
        <v>#VALUE!</v>
      </c>
      <c r="M1991" s="105" t="e">
        <f ca="1" t="shared" si="506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6"/>
      <c r="Z1991" s="133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5"/>
      <c r="AO1991" s="115"/>
      <c r="AP1991" s="115"/>
      <c r="AQ1991" s="93"/>
      <c r="AR1991" s="93"/>
      <c r="AS1991" s="94"/>
      <c r="AT1991" s="95"/>
      <c r="AU1991" s="79"/>
      <c r="AV1991" s="117"/>
      <c r="AW1991" s="115"/>
      <c r="AX1991" s="106"/>
      <c r="AY1991" s="104"/>
      <c r="AZ1991" s="105"/>
    </row>
    <row r="1992" customHeight="1" spans="1:52">
      <c r="A1992" s="70">
        <v>2009</v>
      </c>
      <c r="B1992" s="204" t="s">
        <v>1359</v>
      </c>
      <c r="C1992" s="70" t="s">
        <v>13</v>
      </c>
      <c r="D1992" s="205" t="s">
        <v>2858</v>
      </c>
      <c r="E1992" s="71" t="s">
        <v>2859</v>
      </c>
      <c r="F1992" s="72"/>
      <c r="G1992" s="73"/>
      <c r="H1992" s="75"/>
      <c r="I1992" s="102">
        <v>46242</v>
      </c>
      <c r="J1992" s="70" t="s">
        <v>767</v>
      </c>
      <c r="K1992" s="106"/>
      <c r="L1992" s="104" t="e">
        <f t="shared" si="505"/>
        <v>#VALUE!</v>
      </c>
      <c r="M1992" s="105" t="e">
        <f ca="1" t="shared" si="506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6"/>
      <c r="Z1992" s="133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5"/>
      <c r="AO1992" s="115"/>
      <c r="AP1992" s="115"/>
      <c r="AQ1992" s="93"/>
      <c r="AR1992" s="93"/>
      <c r="AS1992" s="94"/>
      <c r="AT1992" s="95"/>
      <c r="AU1992" s="79"/>
      <c r="AV1992" s="117"/>
      <c r="AW1992" s="115"/>
      <c r="AX1992" s="106"/>
      <c r="AY1992" s="104"/>
      <c r="AZ1992" s="105"/>
    </row>
    <row r="1993" customHeight="1" spans="1:52">
      <c r="A1993" s="70">
        <v>2010</v>
      </c>
      <c r="B1993" s="70" t="s">
        <v>782</v>
      </c>
      <c r="C1993" s="70" t="s">
        <v>374</v>
      </c>
      <c r="D1993" s="71" t="s">
        <v>5186</v>
      </c>
      <c r="E1993" s="71" t="s">
        <v>548</v>
      </c>
      <c r="F1993" s="72"/>
      <c r="G1993" s="73"/>
      <c r="H1993" s="74" t="s">
        <v>16</v>
      </c>
      <c r="I1993" s="102">
        <v>46243</v>
      </c>
      <c r="J1993" s="70">
        <v>3</v>
      </c>
      <c r="K1993" s="106" t="s">
        <v>5187</v>
      </c>
      <c r="L1993" s="104">
        <f t="shared" si="505"/>
        <v>46335</v>
      </c>
      <c r="M1993" s="105">
        <f ca="1" t="shared" si="506"/>
        <v>22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6"/>
      <c r="Z1993" s="133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5"/>
      <c r="AO1993" s="115"/>
      <c r="AP1993" s="115"/>
      <c r="AQ1993" s="93"/>
      <c r="AR1993" s="93"/>
      <c r="AS1993" s="94"/>
      <c r="AT1993" s="95"/>
      <c r="AU1993" s="79"/>
      <c r="AV1993" s="117"/>
      <c r="AW1993" s="115"/>
      <c r="AX1993" s="106"/>
      <c r="AY1993" s="104"/>
      <c r="AZ1993" s="105"/>
    </row>
    <row r="1994" customHeight="1" spans="1:52">
      <c r="A1994" s="70">
        <v>2011</v>
      </c>
      <c r="B1994" s="70" t="s">
        <v>782</v>
      </c>
      <c r="C1994" s="70" t="s">
        <v>374</v>
      </c>
      <c r="D1994" s="71" t="s">
        <v>5188</v>
      </c>
      <c r="E1994" s="71" t="s">
        <v>548</v>
      </c>
      <c r="F1994" s="72"/>
      <c r="G1994" s="73"/>
      <c r="H1994" s="74" t="s">
        <v>16</v>
      </c>
      <c r="I1994" s="102">
        <v>46243</v>
      </c>
      <c r="J1994" s="70">
        <v>3</v>
      </c>
      <c r="K1994" s="106" t="s">
        <v>5189</v>
      </c>
      <c r="L1994" s="104">
        <f t="shared" si="505"/>
        <v>46335</v>
      </c>
      <c r="M1994" s="105">
        <f ca="1" t="shared" si="506"/>
        <v>22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6"/>
      <c r="Z1994" s="133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5"/>
      <c r="AO1994" s="115"/>
      <c r="AP1994" s="115"/>
      <c r="AQ1994" s="93"/>
      <c r="AR1994" s="93"/>
      <c r="AS1994" s="94"/>
      <c r="AT1994" s="95"/>
      <c r="AU1994" s="79"/>
      <c r="AV1994" s="117"/>
      <c r="AW1994" s="115"/>
      <c r="AX1994" s="106"/>
      <c r="AY1994" s="104"/>
      <c r="AZ1994" s="105"/>
    </row>
    <row r="1995" customHeight="1" spans="1:52">
      <c r="A1995" s="70">
        <v>2012</v>
      </c>
      <c r="B1995" s="70" t="s">
        <v>263</v>
      </c>
      <c r="C1995" s="70" t="s">
        <v>264</v>
      </c>
      <c r="D1995" s="71" t="s">
        <v>1922</v>
      </c>
      <c r="E1995" s="71" t="s">
        <v>753</v>
      </c>
      <c r="F1995" s="72"/>
      <c r="G1995" s="73"/>
      <c r="H1995" s="75"/>
      <c r="I1995" s="102">
        <v>46243</v>
      </c>
      <c r="J1995" s="70" t="s">
        <v>767</v>
      </c>
      <c r="K1995" s="106"/>
      <c r="L1995" s="104" t="e">
        <f t="shared" ref="L1995:L2003" si="507">EDATE(I1995,J1995)</f>
        <v>#VALUE!</v>
      </c>
      <c r="M1995" s="105" t="e">
        <f ca="1" t="shared" ref="M1995:M2003" si="508">L1995-TODAY()</f>
        <v>#VALUE!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6"/>
      <c r="Z1995" s="133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5"/>
      <c r="AO1995" s="115"/>
      <c r="AP1995" s="115"/>
      <c r="AQ1995" s="93"/>
      <c r="AR1995" s="93"/>
      <c r="AS1995" s="94"/>
      <c r="AT1995" s="95"/>
      <c r="AU1995" s="79"/>
      <c r="AV1995" s="117"/>
      <c r="AW1995" s="115"/>
      <c r="AX1995" s="106"/>
      <c r="AY1995" s="104"/>
      <c r="AZ1995" s="105"/>
    </row>
    <row r="1996" customHeight="1" spans="1:52">
      <c r="A1996" s="70">
        <v>2013</v>
      </c>
      <c r="B1996" s="70" t="s">
        <v>263</v>
      </c>
      <c r="C1996" s="70" t="s">
        <v>264</v>
      </c>
      <c r="D1996" s="71" t="s">
        <v>265</v>
      </c>
      <c r="E1996" s="71" t="s">
        <v>753</v>
      </c>
      <c r="F1996" s="72"/>
      <c r="G1996" s="73"/>
      <c r="H1996" s="75"/>
      <c r="I1996" s="102">
        <v>46243</v>
      </c>
      <c r="J1996" s="70" t="s">
        <v>767</v>
      </c>
      <c r="K1996" s="106"/>
      <c r="L1996" s="104" t="e">
        <f t="shared" si="507"/>
        <v>#VALUE!</v>
      </c>
      <c r="M1996" s="105" t="e">
        <f ca="1" t="shared" si="508"/>
        <v>#VALUE!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6"/>
      <c r="Z1996" s="133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5"/>
      <c r="AO1996" s="115"/>
      <c r="AP1996" s="115"/>
      <c r="AQ1996" s="93"/>
      <c r="AR1996" s="93"/>
      <c r="AS1996" s="94"/>
      <c r="AT1996" s="95"/>
      <c r="AU1996" s="79"/>
      <c r="AV1996" s="117"/>
      <c r="AW1996" s="115"/>
      <c r="AX1996" s="106"/>
      <c r="AY1996" s="104"/>
      <c r="AZ1996" s="105"/>
    </row>
    <row r="1997" customHeight="1" spans="1:52">
      <c r="A1997" s="70">
        <v>2014</v>
      </c>
      <c r="B1997" s="70" t="s">
        <v>2191</v>
      </c>
      <c r="C1997" s="70" t="s">
        <v>38</v>
      </c>
      <c r="D1997" s="71" t="s">
        <v>5190</v>
      </c>
      <c r="E1997" s="71" t="s">
        <v>5191</v>
      </c>
      <c r="F1997" s="72"/>
      <c r="G1997" s="73"/>
      <c r="H1997" s="74" t="s">
        <v>16</v>
      </c>
      <c r="I1997" s="102">
        <v>46244</v>
      </c>
      <c r="J1997" s="70">
        <v>3</v>
      </c>
      <c r="K1997" s="106" t="s">
        <v>5192</v>
      </c>
      <c r="L1997" s="104">
        <f t="shared" si="507"/>
        <v>46336</v>
      </c>
      <c r="M1997" s="105">
        <f ca="1" t="shared" si="508"/>
        <v>23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6"/>
      <c r="Z1997" s="133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5"/>
      <c r="AO1997" s="115"/>
      <c r="AP1997" s="115"/>
      <c r="AQ1997" s="93"/>
      <c r="AR1997" s="93"/>
      <c r="AS1997" s="94"/>
      <c r="AT1997" s="95"/>
      <c r="AU1997" s="79"/>
      <c r="AV1997" s="117"/>
      <c r="AW1997" s="115"/>
      <c r="AX1997" s="106"/>
      <c r="AY1997" s="104"/>
      <c r="AZ1997" s="105"/>
    </row>
    <row r="1998" customHeight="1" spans="1:52">
      <c r="A1998" s="70">
        <v>2015</v>
      </c>
      <c r="B1998" s="70" t="s">
        <v>2191</v>
      </c>
      <c r="C1998" s="70" t="s">
        <v>38</v>
      </c>
      <c r="D1998" s="71" t="s">
        <v>5193</v>
      </c>
      <c r="E1998" s="71" t="s">
        <v>189</v>
      </c>
      <c r="F1998" s="72"/>
      <c r="G1998" s="73"/>
      <c r="H1998" s="74" t="s">
        <v>16</v>
      </c>
      <c r="I1998" s="102">
        <v>46244</v>
      </c>
      <c r="J1998" s="70">
        <v>3</v>
      </c>
      <c r="K1998" s="106" t="s">
        <v>5194</v>
      </c>
      <c r="L1998" s="104">
        <f t="shared" si="507"/>
        <v>46336</v>
      </c>
      <c r="M1998" s="105">
        <f ca="1" t="shared" si="508"/>
        <v>23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6"/>
      <c r="Z1998" s="133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5"/>
      <c r="AO1998" s="115"/>
      <c r="AP1998" s="115"/>
      <c r="AQ1998" s="93"/>
      <c r="AR1998" s="93"/>
      <c r="AS1998" s="94"/>
      <c r="AT1998" s="95"/>
      <c r="AU1998" s="79"/>
      <c r="AV1998" s="117"/>
      <c r="AW1998" s="115"/>
      <c r="AX1998" s="106"/>
      <c r="AY1998" s="104"/>
      <c r="AZ1998" s="105"/>
    </row>
    <row r="1999" customHeight="1" spans="1:52">
      <c r="A1999" s="70">
        <v>2016</v>
      </c>
      <c r="B1999" s="70" t="s">
        <v>3549</v>
      </c>
      <c r="C1999" s="70" t="s">
        <v>13</v>
      </c>
      <c r="D1999" s="71" t="s">
        <v>5195</v>
      </c>
      <c r="E1999" s="71" t="s">
        <v>2690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5196</v>
      </c>
      <c r="L1999" s="104">
        <f t="shared" si="507"/>
        <v>46336</v>
      </c>
      <c r="M1999" s="105">
        <f ca="1" t="shared" si="508"/>
        <v>23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6"/>
      <c r="Z1999" s="133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5"/>
      <c r="AO1999" s="115"/>
      <c r="AP1999" s="115"/>
      <c r="AQ1999" s="93"/>
      <c r="AR1999" s="93"/>
      <c r="AS1999" s="94"/>
      <c r="AT1999" s="95"/>
      <c r="AU1999" s="79"/>
      <c r="AV1999" s="117"/>
      <c r="AW1999" s="115"/>
      <c r="AX1999" s="106"/>
      <c r="AY1999" s="104"/>
      <c r="AZ1999" s="105"/>
    </row>
    <row r="2000" customHeight="1" spans="1:52">
      <c r="A2000" s="70">
        <v>2017</v>
      </c>
      <c r="B2000" s="70" t="s">
        <v>5197</v>
      </c>
      <c r="C2000" s="70" t="s">
        <v>38</v>
      </c>
      <c r="D2000" s="71" t="s">
        <v>5198</v>
      </c>
      <c r="E2000" s="71" t="s">
        <v>189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5199</v>
      </c>
      <c r="L2000" s="104">
        <f t="shared" si="507"/>
        <v>46336</v>
      </c>
      <c r="M2000" s="105">
        <f ca="1" t="shared" si="508"/>
        <v>23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6"/>
      <c r="Z2000" s="133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5"/>
      <c r="AO2000" s="115"/>
      <c r="AP2000" s="115"/>
      <c r="AQ2000" s="93"/>
      <c r="AR2000" s="93"/>
      <c r="AS2000" s="94"/>
      <c r="AT2000" s="95"/>
      <c r="AU2000" s="79"/>
      <c r="AV2000" s="117"/>
      <c r="AW2000" s="115"/>
      <c r="AX2000" s="106"/>
      <c r="AY2000" s="104"/>
      <c r="AZ2000" s="105"/>
    </row>
    <row r="2001" customHeight="1" spans="1:52">
      <c r="A2001" s="70">
        <v>2018</v>
      </c>
      <c r="B2001" s="70" t="s">
        <v>1359</v>
      </c>
      <c r="C2001" s="70" t="s">
        <v>13</v>
      </c>
      <c r="D2001" s="71" t="s">
        <v>2848</v>
      </c>
      <c r="E2001" s="71" t="s">
        <v>2849</v>
      </c>
      <c r="F2001" s="72"/>
      <c r="G2001" s="73"/>
      <c r="H2001" s="74" t="s">
        <v>16</v>
      </c>
      <c r="I2001" s="102">
        <v>46244</v>
      </c>
      <c r="J2001" s="70" t="s">
        <v>767</v>
      </c>
      <c r="K2001" s="106"/>
      <c r="L2001" s="104" t="e">
        <f t="shared" si="507"/>
        <v>#VALUE!</v>
      </c>
      <c r="M2001" s="105" t="e">
        <f ca="1" t="shared" si="508"/>
        <v>#VALUE!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6"/>
      <c r="Z2001" s="133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5"/>
      <c r="AO2001" s="115"/>
      <c r="AP2001" s="115"/>
      <c r="AQ2001" s="93"/>
      <c r="AR2001" s="93"/>
      <c r="AS2001" s="94"/>
      <c r="AT2001" s="95"/>
      <c r="AU2001" s="79"/>
      <c r="AV2001" s="117"/>
      <c r="AW2001" s="115"/>
      <c r="AX2001" s="106"/>
      <c r="AY2001" s="104"/>
      <c r="AZ2001" s="105"/>
    </row>
    <row r="2002" customHeight="1" spans="1:52">
      <c r="A2002" s="70">
        <v>2019</v>
      </c>
      <c r="B2002" s="70" t="s">
        <v>1359</v>
      </c>
      <c r="C2002" s="70" t="s">
        <v>13</v>
      </c>
      <c r="D2002" s="71" t="s">
        <v>2718</v>
      </c>
      <c r="E2002" s="71" t="s">
        <v>2719</v>
      </c>
      <c r="F2002" s="72"/>
      <c r="G2002" s="73"/>
      <c r="H2002" s="74" t="s">
        <v>16</v>
      </c>
      <c r="I2002" s="102">
        <v>46244</v>
      </c>
      <c r="J2002" s="70" t="s">
        <v>767</v>
      </c>
      <c r="K2002" s="106"/>
      <c r="L2002" s="104" t="e">
        <f t="shared" si="507"/>
        <v>#VALUE!</v>
      </c>
      <c r="M2002" s="105" t="e">
        <f ca="1" t="shared" si="508"/>
        <v>#VALUE!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6"/>
      <c r="Z2002" s="133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5"/>
      <c r="AO2002" s="115"/>
      <c r="AP2002" s="115"/>
      <c r="AQ2002" s="93"/>
      <c r="AR2002" s="93"/>
      <c r="AS2002" s="94"/>
      <c r="AT2002" s="95"/>
      <c r="AU2002" s="79"/>
      <c r="AV2002" s="117"/>
      <c r="AW2002" s="115"/>
      <c r="AX2002" s="106"/>
      <c r="AY2002" s="104"/>
      <c r="AZ2002" s="105"/>
    </row>
    <row r="2003" customHeight="1" spans="1:52">
      <c r="A2003" s="70">
        <v>2020</v>
      </c>
      <c r="B2003" s="70" t="s">
        <v>1359</v>
      </c>
      <c r="C2003" s="70" t="s">
        <v>13</v>
      </c>
      <c r="D2003" s="71" t="s">
        <v>2858</v>
      </c>
      <c r="E2003" s="71" t="s">
        <v>2859</v>
      </c>
      <c r="F2003" s="72"/>
      <c r="G2003" s="73"/>
      <c r="H2003" s="74" t="s">
        <v>16</v>
      </c>
      <c r="I2003" s="102">
        <v>46244</v>
      </c>
      <c r="J2003" s="70" t="s">
        <v>767</v>
      </c>
      <c r="K2003" s="106"/>
      <c r="L2003" s="104" t="e">
        <f t="shared" si="507"/>
        <v>#VALUE!</v>
      </c>
      <c r="M2003" s="105" t="e">
        <f ca="1" t="shared" si="508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6"/>
      <c r="Z2003" s="133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5"/>
      <c r="AO2003" s="115"/>
      <c r="AP2003" s="115"/>
      <c r="AQ2003" s="93"/>
      <c r="AR2003" s="93"/>
      <c r="AS2003" s="94"/>
      <c r="AT2003" s="95"/>
      <c r="AU2003" s="79"/>
      <c r="AV2003" s="117"/>
      <c r="AW2003" s="115"/>
      <c r="AX2003" s="106"/>
      <c r="AY2003" s="104"/>
      <c r="AZ2003" s="105"/>
    </row>
    <row r="2004" customHeight="1" spans="1:52">
      <c r="A2004" s="70">
        <v>2021</v>
      </c>
      <c r="B2004" s="108" t="s">
        <v>798</v>
      </c>
      <c r="C2004" s="70" t="s">
        <v>13</v>
      </c>
      <c r="D2004" s="108" t="s">
        <v>5200</v>
      </c>
      <c r="E2004" s="71" t="s">
        <v>5201</v>
      </c>
      <c r="F2004" s="72"/>
      <c r="G2004" s="73"/>
      <c r="H2004" s="75"/>
      <c r="I2004" s="102">
        <v>46245</v>
      </c>
      <c r="J2004" s="70">
        <v>3</v>
      </c>
      <c r="K2004" s="106" t="s">
        <v>5202</v>
      </c>
      <c r="L2004" s="104">
        <f t="shared" ref="L2004:L2026" si="509">EDATE(I2004,J2004)</f>
        <v>46337</v>
      </c>
      <c r="M2004" s="105">
        <f ca="1" t="shared" ref="M2004:M2026" si="510">L2004-TODAY()</f>
        <v>24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6"/>
      <c r="Z2004" s="133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5"/>
      <c r="AO2004" s="115"/>
      <c r="AP2004" s="115"/>
      <c r="AQ2004" s="93"/>
      <c r="AR2004" s="93"/>
      <c r="AS2004" s="94"/>
      <c r="AT2004" s="95"/>
      <c r="AU2004" s="79"/>
      <c r="AV2004" s="117"/>
      <c r="AW2004" s="115"/>
      <c r="AX2004" s="106"/>
      <c r="AY2004" s="104"/>
      <c r="AZ2004" s="105"/>
    </row>
    <row r="2005" customHeight="1" spans="1:52">
      <c r="A2005" s="70">
        <v>2022</v>
      </c>
      <c r="B2005" s="108" t="s">
        <v>798</v>
      </c>
      <c r="C2005" s="70" t="s">
        <v>13</v>
      </c>
      <c r="D2005" s="108" t="s">
        <v>5203</v>
      </c>
      <c r="E2005" s="71" t="s">
        <v>5204</v>
      </c>
      <c r="F2005" s="72"/>
      <c r="G2005" s="73"/>
      <c r="H2005" s="75"/>
      <c r="I2005" s="102">
        <v>46245</v>
      </c>
      <c r="J2005" s="70">
        <v>3</v>
      </c>
      <c r="K2005" s="106" t="s">
        <v>5205</v>
      </c>
      <c r="L2005" s="104">
        <f t="shared" si="509"/>
        <v>46337</v>
      </c>
      <c r="M2005" s="105">
        <f ca="1" t="shared" si="510"/>
        <v>24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6"/>
      <c r="Z2005" s="133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5"/>
      <c r="AO2005" s="115"/>
      <c r="AP2005" s="115"/>
      <c r="AQ2005" s="93"/>
      <c r="AR2005" s="93"/>
      <c r="AS2005" s="94"/>
      <c r="AT2005" s="95"/>
      <c r="AU2005" s="79"/>
      <c r="AV2005" s="117"/>
      <c r="AW2005" s="115"/>
      <c r="AX2005" s="106"/>
      <c r="AY2005" s="104"/>
      <c r="AZ2005" s="105"/>
    </row>
    <row r="2006" customHeight="1" spans="1:52">
      <c r="A2006" s="70">
        <v>2023</v>
      </c>
      <c r="B2006" s="108" t="s">
        <v>531</v>
      </c>
      <c r="C2006" s="70" t="s">
        <v>38</v>
      </c>
      <c r="D2006" s="108" t="s">
        <v>5206</v>
      </c>
      <c r="E2006" s="71" t="s">
        <v>189</v>
      </c>
      <c r="F2006" s="72"/>
      <c r="G2006" s="73"/>
      <c r="H2006" s="79" t="s">
        <v>16</v>
      </c>
      <c r="I2006" s="102">
        <v>46245</v>
      </c>
      <c r="J2006" s="70">
        <v>3</v>
      </c>
      <c r="K2006" s="106" t="s">
        <v>5207</v>
      </c>
      <c r="L2006" s="104">
        <f t="shared" si="509"/>
        <v>46337</v>
      </c>
      <c r="M2006" s="105">
        <f ca="1" t="shared" si="510"/>
        <v>24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6"/>
      <c r="Z2006" s="133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5"/>
      <c r="AO2006" s="115"/>
      <c r="AP2006" s="115"/>
      <c r="AQ2006" s="93"/>
      <c r="AR2006" s="93"/>
      <c r="AS2006" s="94"/>
      <c r="AT2006" s="95"/>
      <c r="AU2006" s="79"/>
      <c r="AV2006" s="117"/>
      <c r="AW2006" s="115"/>
      <c r="AX2006" s="106"/>
      <c r="AY2006" s="104"/>
      <c r="AZ2006" s="105"/>
    </row>
    <row r="2007" customHeight="1" spans="1:52">
      <c r="A2007" s="70">
        <v>2024</v>
      </c>
      <c r="B2007" s="108" t="s">
        <v>3549</v>
      </c>
      <c r="C2007" s="70" t="s">
        <v>38</v>
      </c>
      <c r="D2007" s="108" t="s">
        <v>5208</v>
      </c>
      <c r="E2007" s="71" t="s">
        <v>189</v>
      </c>
      <c r="F2007" s="72"/>
      <c r="G2007" s="73"/>
      <c r="H2007" s="79" t="s">
        <v>16</v>
      </c>
      <c r="I2007" s="102">
        <v>46245</v>
      </c>
      <c r="J2007" s="70">
        <v>3</v>
      </c>
      <c r="K2007" s="106" t="s">
        <v>5209</v>
      </c>
      <c r="L2007" s="104">
        <f t="shared" si="509"/>
        <v>46337</v>
      </c>
      <c r="M2007" s="105">
        <f ca="1" t="shared" si="510"/>
        <v>24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6"/>
      <c r="Z2007" s="133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5"/>
      <c r="AO2007" s="115"/>
      <c r="AP2007" s="115"/>
      <c r="AQ2007" s="93"/>
      <c r="AR2007" s="93"/>
      <c r="AS2007" s="94"/>
      <c r="AT2007" s="95"/>
      <c r="AU2007" s="79"/>
      <c r="AV2007" s="117"/>
      <c r="AW2007" s="115"/>
      <c r="AX2007" s="106"/>
      <c r="AY2007" s="104"/>
      <c r="AZ2007" s="105"/>
    </row>
    <row r="2008" customHeight="1" spans="1:52">
      <c r="A2008" s="70">
        <v>2025</v>
      </c>
      <c r="B2008" s="108" t="s">
        <v>531</v>
      </c>
      <c r="C2008" s="70" t="s">
        <v>13</v>
      </c>
      <c r="D2008" s="108" t="s">
        <v>5210</v>
      </c>
      <c r="E2008" s="71" t="s">
        <v>76</v>
      </c>
      <c r="F2008" s="72"/>
      <c r="G2008" s="73"/>
      <c r="H2008" s="75"/>
      <c r="I2008" s="102">
        <v>46245</v>
      </c>
      <c r="J2008" s="70">
        <v>3</v>
      </c>
      <c r="K2008" s="106" t="s">
        <v>5211</v>
      </c>
      <c r="L2008" s="104">
        <f t="shared" si="509"/>
        <v>46337</v>
      </c>
      <c r="M2008" s="105">
        <f ca="1" t="shared" si="510"/>
        <v>24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6"/>
      <c r="Z2008" s="133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5"/>
      <c r="AO2008" s="115"/>
      <c r="AP2008" s="115"/>
      <c r="AQ2008" s="93"/>
      <c r="AR2008" s="93"/>
      <c r="AS2008" s="94"/>
      <c r="AT2008" s="95"/>
      <c r="AU2008" s="79"/>
      <c r="AV2008" s="117"/>
      <c r="AW2008" s="115"/>
      <c r="AX2008" s="106"/>
      <c r="AY2008" s="104"/>
      <c r="AZ2008" s="105"/>
    </row>
    <row r="2009" customHeight="1" spans="1:52">
      <c r="A2009" s="70">
        <v>2026</v>
      </c>
      <c r="B2009" s="108" t="s">
        <v>3804</v>
      </c>
      <c r="C2009" s="70" t="s">
        <v>264</v>
      </c>
      <c r="D2009" s="108" t="s">
        <v>5212</v>
      </c>
      <c r="E2009" s="71" t="s">
        <v>5213</v>
      </c>
      <c r="F2009" s="72"/>
      <c r="G2009" s="73"/>
      <c r="H2009" s="75"/>
      <c r="I2009" s="102">
        <v>46245</v>
      </c>
      <c r="J2009" s="70">
        <v>3</v>
      </c>
      <c r="K2009" s="106" t="s">
        <v>5214</v>
      </c>
      <c r="L2009" s="104">
        <f t="shared" si="509"/>
        <v>46337</v>
      </c>
      <c r="M2009" s="105">
        <f ca="1" t="shared" si="510"/>
        <v>24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6"/>
      <c r="Z2009" s="133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5"/>
      <c r="AO2009" s="115"/>
      <c r="AP2009" s="115"/>
      <c r="AQ2009" s="93"/>
      <c r="AR2009" s="93"/>
      <c r="AS2009" s="94"/>
      <c r="AT2009" s="95"/>
      <c r="AU2009" s="79"/>
      <c r="AV2009" s="117"/>
      <c r="AW2009" s="115"/>
      <c r="AX2009" s="106"/>
      <c r="AY2009" s="104"/>
      <c r="AZ2009" s="105"/>
    </row>
    <row r="2010" customHeight="1" spans="1:52">
      <c r="A2010" s="70">
        <v>2027</v>
      </c>
      <c r="B2010" s="108" t="s">
        <v>281</v>
      </c>
      <c r="C2010" s="70" t="s">
        <v>264</v>
      </c>
      <c r="D2010" s="108" t="s">
        <v>5215</v>
      </c>
      <c r="E2010" s="71" t="s">
        <v>5216</v>
      </c>
      <c r="F2010" s="72"/>
      <c r="G2010" s="73"/>
      <c r="H2010" s="75"/>
      <c r="I2010" s="102">
        <v>46245</v>
      </c>
      <c r="J2010" s="70">
        <v>3</v>
      </c>
      <c r="K2010" s="106" t="s">
        <v>5217</v>
      </c>
      <c r="L2010" s="104">
        <f t="shared" si="509"/>
        <v>46337</v>
      </c>
      <c r="M2010" s="105">
        <f ca="1" t="shared" si="510"/>
        <v>24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6"/>
      <c r="Z2010" s="133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5"/>
      <c r="AO2010" s="115"/>
      <c r="AP2010" s="115"/>
      <c r="AQ2010" s="93"/>
      <c r="AR2010" s="93"/>
      <c r="AS2010" s="94"/>
      <c r="AT2010" s="95"/>
      <c r="AU2010" s="79"/>
      <c r="AV2010" s="117"/>
      <c r="AW2010" s="115"/>
      <c r="AX2010" s="106"/>
      <c r="AY2010" s="104"/>
      <c r="AZ2010" s="105"/>
    </row>
    <row r="2011" customHeight="1" spans="1:52">
      <c r="A2011" s="70">
        <v>2028</v>
      </c>
      <c r="B2011" s="108" t="s">
        <v>281</v>
      </c>
      <c r="C2011" s="70" t="s">
        <v>264</v>
      </c>
      <c r="D2011" s="108" t="s">
        <v>4912</v>
      </c>
      <c r="E2011" s="71" t="s">
        <v>364</v>
      </c>
      <c r="F2011" s="72"/>
      <c r="G2011" s="73"/>
      <c r="H2011" s="75"/>
      <c r="I2011" s="102">
        <v>46245</v>
      </c>
      <c r="J2011" s="70" t="s">
        <v>767</v>
      </c>
      <c r="K2011" s="106"/>
      <c r="L2011" s="104" t="e">
        <f t="shared" si="509"/>
        <v>#VALUE!</v>
      </c>
      <c r="M2011" s="105" t="e">
        <f ca="1" t="shared" si="510"/>
        <v>#VALUE!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6"/>
      <c r="Z2011" s="133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5"/>
      <c r="AO2011" s="115"/>
      <c r="AP2011" s="115"/>
      <c r="AQ2011" s="93"/>
      <c r="AR2011" s="93"/>
      <c r="AS2011" s="94"/>
      <c r="AT2011" s="95"/>
      <c r="AU2011" s="79"/>
      <c r="AV2011" s="117"/>
      <c r="AW2011" s="115"/>
      <c r="AX2011" s="106"/>
      <c r="AY2011" s="104"/>
      <c r="AZ2011" s="105"/>
    </row>
    <row r="2012" customHeight="1" spans="1:52">
      <c r="A2012" s="70">
        <v>2029</v>
      </c>
      <c r="B2012" s="108" t="s">
        <v>281</v>
      </c>
      <c r="C2012" s="70" t="s">
        <v>264</v>
      </c>
      <c r="D2012" s="108" t="s">
        <v>287</v>
      </c>
      <c r="E2012" s="71" t="s">
        <v>2516</v>
      </c>
      <c r="F2012" s="72"/>
      <c r="G2012" s="73"/>
      <c r="H2012" s="75"/>
      <c r="I2012" s="102">
        <v>46245</v>
      </c>
      <c r="J2012" s="70" t="s">
        <v>767</v>
      </c>
      <c r="K2012" s="106"/>
      <c r="L2012" s="104" t="e">
        <f t="shared" si="509"/>
        <v>#VALUE!</v>
      </c>
      <c r="M2012" s="105" t="e">
        <f ca="1" t="shared" si="510"/>
        <v>#VALUE!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6"/>
      <c r="Z2012" s="133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5"/>
      <c r="AO2012" s="115"/>
      <c r="AP2012" s="115"/>
      <c r="AQ2012" s="93"/>
      <c r="AR2012" s="93"/>
      <c r="AS2012" s="94"/>
      <c r="AT2012" s="95"/>
      <c r="AU2012" s="79"/>
      <c r="AV2012" s="117"/>
      <c r="AW2012" s="115"/>
      <c r="AX2012" s="106"/>
      <c r="AY2012" s="104"/>
      <c r="AZ2012" s="105"/>
    </row>
    <row r="2013" customHeight="1" spans="1:52">
      <c r="A2013" s="70">
        <v>2030</v>
      </c>
      <c r="B2013" s="108" t="s">
        <v>281</v>
      </c>
      <c r="C2013" s="70" t="s">
        <v>264</v>
      </c>
      <c r="D2013" s="108" t="s">
        <v>2518</v>
      </c>
      <c r="E2013" s="71" t="s">
        <v>5218</v>
      </c>
      <c r="F2013" s="72"/>
      <c r="G2013" s="73"/>
      <c r="H2013" s="75"/>
      <c r="I2013" s="102">
        <v>46245</v>
      </c>
      <c r="J2013" s="70" t="s">
        <v>767</v>
      </c>
      <c r="K2013" s="106"/>
      <c r="L2013" s="104" t="e">
        <f t="shared" si="509"/>
        <v>#VALUE!</v>
      </c>
      <c r="M2013" s="105" t="e">
        <f ca="1" t="shared" si="510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6"/>
      <c r="Z2013" s="133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5"/>
      <c r="AO2013" s="115"/>
      <c r="AP2013" s="115"/>
      <c r="AQ2013" s="93"/>
      <c r="AR2013" s="93"/>
      <c r="AS2013" s="94"/>
      <c r="AT2013" s="95"/>
      <c r="AU2013" s="79"/>
      <c r="AV2013" s="117"/>
      <c r="AW2013" s="115"/>
      <c r="AX2013" s="106"/>
      <c r="AY2013" s="104"/>
      <c r="AZ2013" s="105"/>
    </row>
    <row r="2014" customHeight="1" spans="1:52">
      <c r="A2014" s="70">
        <v>2031</v>
      </c>
      <c r="B2014" s="108" t="s">
        <v>366</v>
      </c>
      <c r="C2014" s="70" t="s">
        <v>264</v>
      </c>
      <c r="D2014" s="108" t="s">
        <v>367</v>
      </c>
      <c r="E2014" s="71" t="s">
        <v>368</v>
      </c>
      <c r="F2014" s="72"/>
      <c r="G2014" s="73"/>
      <c r="H2014" s="75"/>
      <c r="I2014" s="102">
        <v>46245</v>
      </c>
      <c r="J2014" s="70" t="s">
        <v>767</v>
      </c>
      <c r="K2014" s="106"/>
      <c r="L2014" s="104" t="e">
        <f t="shared" si="509"/>
        <v>#VALUE!</v>
      </c>
      <c r="M2014" s="105" t="e">
        <f ca="1" t="shared" si="510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6"/>
      <c r="Z2014" s="133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5"/>
      <c r="AO2014" s="115"/>
      <c r="AP2014" s="115"/>
      <c r="AQ2014" s="93"/>
      <c r="AR2014" s="93"/>
      <c r="AS2014" s="94"/>
      <c r="AT2014" s="95"/>
      <c r="AU2014" s="79"/>
      <c r="AV2014" s="117"/>
      <c r="AW2014" s="115"/>
      <c r="AX2014" s="106"/>
      <c r="AY2014" s="104"/>
      <c r="AZ2014" s="105"/>
    </row>
    <row r="2015" customHeight="1" spans="1:52">
      <c r="A2015" s="70">
        <v>2032</v>
      </c>
      <c r="B2015" s="108" t="s">
        <v>263</v>
      </c>
      <c r="C2015" s="70" t="s">
        <v>264</v>
      </c>
      <c r="D2015" s="108" t="s">
        <v>2433</v>
      </c>
      <c r="E2015" s="71" t="s">
        <v>753</v>
      </c>
      <c r="F2015" s="72"/>
      <c r="G2015" s="73"/>
      <c r="H2015" s="75"/>
      <c r="I2015" s="102">
        <v>46245</v>
      </c>
      <c r="J2015" s="70" t="s">
        <v>767</v>
      </c>
      <c r="K2015" s="106"/>
      <c r="L2015" s="104" t="e">
        <f t="shared" si="509"/>
        <v>#VALUE!</v>
      </c>
      <c r="M2015" s="105" t="e">
        <f ca="1" t="shared" si="510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6"/>
      <c r="Z2015" s="133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5"/>
      <c r="AO2015" s="115"/>
      <c r="AP2015" s="115"/>
      <c r="AQ2015" s="93"/>
      <c r="AR2015" s="93"/>
      <c r="AS2015" s="94"/>
      <c r="AT2015" s="95"/>
      <c r="AU2015" s="79"/>
      <c r="AV2015" s="117"/>
      <c r="AW2015" s="115"/>
      <c r="AX2015" s="106"/>
      <c r="AY2015" s="104"/>
      <c r="AZ2015" s="105"/>
    </row>
    <row r="2016" customHeight="1" spans="1:52">
      <c r="A2016" s="70">
        <v>2033</v>
      </c>
      <c r="B2016" s="108" t="s">
        <v>1359</v>
      </c>
      <c r="C2016" s="70" t="s">
        <v>13</v>
      </c>
      <c r="D2016" s="108" t="s">
        <v>2718</v>
      </c>
      <c r="E2016" s="71" t="s">
        <v>2719</v>
      </c>
      <c r="F2016" s="72"/>
      <c r="G2016" s="73"/>
      <c r="H2016" s="75"/>
      <c r="I2016" s="102">
        <v>46245</v>
      </c>
      <c r="J2016" s="70" t="s">
        <v>767</v>
      </c>
      <c r="K2016" s="106"/>
      <c r="L2016" s="104" t="e">
        <f t="shared" si="509"/>
        <v>#VALUE!</v>
      </c>
      <c r="M2016" s="105" t="e">
        <f ca="1" t="shared" si="510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6"/>
      <c r="Z2016" s="133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5"/>
      <c r="AO2016" s="115"/>
      <c r="AP2016" s="115"/>
      <c r="AQ2016" s="93"/>
      <c r="AR2016" s="93"/>
      <c r="AS2016" s="94"/>
      <c r="AT2016" s="95"/>
      <c r="AU2016" s="79"/>
      <c r="AV2016" s="117"/>
      <c r="AW2016" s="115"/>
      <c r="AX2016" s="106"/>
      <c r="AY2016" s="104"/>
      <c r="AZ2016" s="105"/>
    </row>
    <row r="2017" customHeight="1" spans="1:52">
      <c r="A2017" s="70">
        <v>2034</v>
      </c>
      <c r="B2017" s="108" t="s">
        <v>134</v>
      </c>
      <c r="C2017" s="70" t="s">
        <v>38</v>
      </c>
      <c r="D2017" s="71" t="s">
        <v>4145</v>
      </c>
      <c r="E2017" s="71" t="s">
        <v>3837</v>
      </c>
      <c r="F2017" s="72"/>
      <c r="G2017" s="73"/>
      <c r="H2017" s="75"/>
      <c r="I2017" s="102">
        <v>46245</v>
      </c>
      <c r="J2017" s="70" t="s">
        <v>434</v>
      </c>
      <c r="K2017" s="106"/>
      <c r="L2017" s="104" t="e">
        <f t="shared" si="509"/>
        <v>#VALUE!</v>
      </c>
      <c r="M2017" s="105" t="e">
        <f ca="1" t="shared" si="510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6"/>
      <c r="Z2017" s="133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5"/>
      <c r="AO2017" s="115"/>
      <c r="AP2017" s="115"/>
      <c r="AQ2017" s="93"/>
      <c r="AR2017" s="93"/>
      <c r="AS2017" s="94"/>
      <c r="AT2017" s="95"/>
      <c r="AU2017" s="79"/>
      <c r="AV2017" s="117"/>
      <c r="AW2017" s="115"/>
      <c r="AX2017" s="106"/>
      <c r="AY2017" s="104"/>
      <c r="AZ2017" s="105"/>
    </row>
    <row r="2018" customHeight="1" spans="1:52">
      <c r="A2018" s="70">
        <v>2035</v>
      </c>
      <c r="B2018" s="108" t="s">
        <v>164</v>
      </c>
      <c r="C2018" s="70" t="s">
        <v>13</v>
      </c>
      <c r="D2018" s="108" t="s">
        <v>5219</v>
      </c>
      <c r="E2018" s="71" t="s">
        <v>126</v>
      </c>
      <c r="F2018" s="72"/>
      <c r="G2018" s="73"/>
      <c r="H2018" s="75"/>
      <c r="I2018" s="102">
        <v>46246</v>
      </c>
      <c r="J2018" s="70">
        <v>3</v>
      </c>
      <c r="K2018" s="106" t="s">
        <v>5220</v>
      </c>
      <c r="L2018" s="104">
        <f t="shared" ref="L2018:L2030" si="511">EDATE(I2018,J2018)</f>
        <v>46338</v>
      </c>
      <c r="M2018" s="105">
        <f ca="1" t="shared" ref="M2018:M2030" si="512">L2018-TODAY()</f>
        <v>25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6"/>
      <c r="Z2018" s="133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5"/>
      <c r="AO2018" s="115"/>
      <c r="AP2018" s="115"/>
      <c r="AQ2018" s="93"/>
      <c r="AR2018" s="93"/>
      <c r="AS2018" s="94"/>
      <c r="AT2018" s="95"/>
      <c r="AU2018" s="79"/>
      <c r="AV2018" s="117"/>
      <c r="AW2018" s="115"/>
      <c r="AX2018" s="106"/>
      <c r="AY2018" s="104"/>
      <c r="AZ2018" s="105"/>
    </row>
    <row r="2019" customHeight="1" spans="1:52">
      <c r="A2019" s="70">
        <v>2036</v>
      </c>
      <c r="B2019" s="108" t="s">
        <v>164</v>
      </c>
      <c r="C2019" s="70" t="s">
        <v>38</v>
      </c>
      <c r="D2019" s="108" t="s">
        <v>5221</v>
      </c>
      <c r="E2019" s="71" t="s">
        <v>189</v>
      </c>
      <c r="F2019" s="72"/>
      <c r="G2019" s="73"/>
      <c r="H2019" s="74" t="s">
        <v>16</v>
      </c>
      <c r="I2019" s="102">
        <v>46246</v>
      </c>
      <c r="J2019" s="70">
        <v>3</v>
      </c>
      <c r="K2019" s="106" t="s">
        <v>5222</v>
      </c>
      <c r="L2019" s="104">
        <f t="shared" si="511"/>
        <v>46338</v>
      </c>
      <c r="M2019" s="105">
        <f ca="1" t="shared" si="512"/>
        <v>25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6"/>
      <c r="Z2019" s="133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5"/>
      <c r="AO2019" s="115"/>
      <c r="AP2019" s="115"/>
      <c r="AQ2019" s="93"/>
      <c r="AR2019" s="93"/>
      <c r="AS2019" s="94"/>
      <c r="AT2019" s="95"/>
      <c r="AU2019" s="79"/>
      <c r="AV2019" s="117"/>
      <c r="AW2019" s="115"/>
      <c r="AX2019" s="106"/>
      <c r="AY2019" s="104"/>
      <c r="AZ2019" s="105"/>
    </row>
    <row r="2020" customHeight="1" spans="1:52">
      <c r="A2020" s="70">
        <v>2037</v>
      </c>
      <c r="B2020" s="70" t="s">
        <v>2120</v>
      </c>
      <c r="C2020" s="70" t="s">
        <v>38</v>
      </c>
      <c r="D2020" s="71" t="s">
        <v>5223</v>
      </c>
      <c r="E2020" s="71" t="s">
        <v>2122</v>
      </c>
      <c r="F2020" s="72"/>
      <c r="G2020" s="73"/>
      <c r="H2020" s="75"/>
      <c r="I2020" s="102">
        <v>46246</v>
      </c>
      <c r="J2020" s="70">
        <v>3</v>
      </c>
      <c r="K2020" s="106" t="s">
        <v>5224</v>
      </c>
      <c r="L2020" s="104">
        <f t="shared" si="511"/>
        <v>46338</v>
      </c>
      <c r="M2020" s="105">
        <f ca="1" t="shared" si="512"/>
        <v>25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6"/>
      <c r="Z2020" s="133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5"/>
      <c r="AO2020" s="115"/>
      <c r="AP2020" s="115"/>
      <c r="AQ2020" s="93"/>
      <c r="AR2020" s="93"/>
      <c r="AS2020" s="94"/>
      <c r="AT2020" s="95"/>
      <c r="AU2020" s="79"/>
      <c r="AV2020" s="117"/>
      <c r="AW2020" s="115"/>
      <c r="AX2020" s="106"/>
      <c r="AY2020" s="104"/>
      <c r="AZ2020" s="105"/>
    </row>
    <row r="2021" customHeight="1" spans="1:52">
      <c r="A2021" s="70">
        <v>2038</v>
      </c>
      <c r="B2021" s="108" t="s">
        <v>373</v>
      </c>
      <c r="C2021" s="70" t="s">
        <v>374</v>
      </c>
      <c r="D2021" s="108" t="s">
        <v>5225</v>
      </c>
      <c r="E2021" s="71" t="s">
        <v>381</v>
      </c>
      <c r="F2021" s="72"/>
      <c r="G2021" s="73"/>
      <c r="H2021" s="75"/>
      <c r="I2021" s="102">
        <v>46246</v>
      </c>
      <c r="J2021" s="70">
        <v>3</v>
      </c>
      <c r="K2021" s="106" t="s">
        <v>5226</v>
      </c>
      <c r="L2021" s="104">
        <f t="shared" si="511"/>
        <v>46338</v>
      </c>
      <c r="M2021" s="105">
        <f ca="1" t="shared" si="512"/>
        <v>25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6"/>
      <c r="Z2021" s="133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5"/>
      <c r="AO2021" s="115"/>
      <c r="AP2021" s="115"/>
      <c r="AQ2021" s="93"/>
      <c r="AR2021" s="93"/>
      <c r="AS2021" s="94"/>
      <c r="AT2021" s="95"/>
      <c r="AU2021" s="79"/>
      <c r="AV2021" s="117"/>
      <c r="AW2021" s="115"/>
      <c r="AX2021" s="106"/>
      <c r="AY2021" s="104"/>
      <c r="AZ2021" s="105"/>
    </row>
    <row r="2022" customHeight="1" spans="1:52">
      <c r="A2022" s="70">
        <v>2039</v>
      </c>
      <c r="B2022" s="108" t="s">
        <v>373</v>
      </c>
      <c r="C2022" s="70" t="s">
        <v>374</v>
      </c>
      <c r="D2022" s="108" t="s">
        <v>5227</v>
      </c>
      <c r="E2022" s="71" t="s">
        <v>381</v>
      </c>
      <c r="F2022" s="72"/>
      <c r="G2022" s="73"/>
      <c r="H2022" s="75"/>
      <c r="I2022" s="102">
        <v>46246</v>
      </c>
      <c r="J2022" s="70">
        <v>3</v>
      </c>
      <c r="K2022" s="106" t="s">
        <v>5228</v>
      </c>
      <c r="L2022" s="104">
        <f t="shared" si="511"/>
        <v>46338</v>
      </c>
      <c r="M2022" s="105">
        <f ca="1" t="shared" si="512"/>
        <v>25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6"/>
      <c r="Z2022" s="133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5"/>
      <c r="AO2022" s="115"/>
      <c r="AP2022" s="115"/>
      <c r="AQ2022" s="93"/>
      <c r="AR2022" s="93"/>
      <c r="AS2022" s="94"/>
      <c r="AT2022" s="95"/>
      <c r="AU2022" s="79"/>
      <c r="AV2022" s="117"/>
      <c r="AW2022" s="115"/>
      <c r="AX2022" s="106"/>
      <c r="AY2022" s="104"/>
      <c r="AZ2022" s="105"/>
    </row>
    <row r="2023" customHeight="1" spans="1:52">
      <c r="A2023" s="70">
        <v>2040</v>
      </c>
      <c r="B2023" s="108" t="s">
        <v>373</v>
      </c>
      <c r="C2023" s="70" t="s">
        <v>374</v>
      </c>
      <c r="D2023" s="108" t="s">
        <v>5229</v>
      </c>
      <c r="E2023" s="71" t="s">
        <v>376</v>
      </c>
      <c r="F2023" s="72"/>
      <c r="G2023" s="73"/>
      <c r="H2023" s="75"/>
      <c r="I2023" s="102">
        <v>46246</v>
      </c>
      <c r="J2023" s="70">
        <v>3</v>
      </c>
      <c r="K2023" s="106" t="s">
        <v>5230</v>
      </c>
      <c r="L2023" s="104">
        <f t="shared" si="511"/>
        <v>46338</v>
      </c>
      <c r="M2023" s="105">
        <f ca="1" t="shared" si="512"/>
        <v>25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6"/>
      <c r="Z2023" s="133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5"/>
      <c r="AO2023" s="115"/>
      <c r="AP2023" s="115"/>
      <c r="AQ2023" s="93"/>
      <c r="AR2023" s="93"/>
      <c r="AS2023" s="94"/>
      <c r="AT2023" s="95"/>
      <c r="AU2023" s="79"/>
      <c r="AV2023" s="117"/>
      <c r="AW2023" s="115"/>
      <c r="AX2023" s="106"/>
      <c r="AY2023" s="104"/>
      <c r="AZ2023" s="105"/>
    </row>
    <row r="2024" customHeight="1" spans="1:52">
      <c r="A2024" s="70">
        <v>2041</v>
      </c>
      <c r="B2024" s="108" t="s">
        <v>373</v>
      </c>
      <c r="C2024" s="70" t="s">
        <v>374</v>
      </c>
      <c r="D2024" s="108" t="s">
        <v>5231</v>
      </c>
      <c r="E2024" s="71" t="s">
        <v>376</v>
      </c>
      <c r="F2024" s="72"/>
      <c r="G2024" s="73"/>
      <c r="H2024" s="75"/>
      <c r="I2024" s="102">
        <v>46246</v>
      </c>
      <c r="J2024" s="70">
        <v>3</v>
      </c>
      <c r="K2024" s="106" t="s">
        <v>5232</v>
      </c>
      <c r="L2024" s="104">
        <f t="shared" si="511"/>
        <v>46338</v>
      </c>
      <c r="M2024" s="105">
        <f ca="1" t="shared" si="512"/>
        <v>25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6"/>
      <c r="Z2024" s="133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5"/>
      <c r="AO2024" s="115"/>
      <c r="AP2024" s="115"/>
      <c r="AQ2024" s="93"/>
      <c r="AR2024" s="93"/>
      <c r="AS2024" s="94"/>
      <c r="AT2024" s="95"/>
      <c r="AU2024" s="79"/>
      <c r="AV2024" s="117"/>
      <c r="AW2024" s="115"/>
      <c r="AX2024" s="106"/>
      <c r="AY2024" s="104"/>
      <c r="AZ2024" s="105"/>
    </row>
    <row r="2025" customHeight="1" spans="1:52">
      <c r="A2025" s="70">
        <v>2042</v>
      </c>
      <c r="B2025" s="108" t="s">
        <v>281</v>
      </c>
      <c r="C2025" s="70" t="s">
        <v>264</v>
      </c>
      <c r="D2025" s="205" t="s">
        <v>4912</v>
      </c>
      <c r="E2025" s="71" t="s">
        <v>364</v>
      </c>
      <c r="F2025" s="72"/>
      <c r="G2025" s="73"/>
      <c r="H2025" s="75"/>
      <c r="I2025" s="102">
        <v>46246</v>
      </c>
      <c r="J2025" s="70" t="s">
        <v>767</v>
      </c>
      <c r="K2025" s="106"/>
      <c r="L2025" s="104" t="e">
        <f t="shared" si="511"/>
        <v>#VALUE!</v>
      </c>
      <c r="M2025" s="105" t="e">
        <f ca="1" t="shared" si="512"/>
        <v>#VALUE!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6"/>
      <c r="Z2025" s="133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5"/>
      <c r="AO2025" s="115"/>
      <c r="AP2025" s="115"/>
      <c r="AQ2025" s="93"/>
      <c r="AR2025" s="93"/>
      <c r="AS2025" s="94"/>
      <c r="AT2025" s="95"/>
      <c r="AU2025" s="79"/>
      <c r="AV2025" s="117"/>
      <c r="AW2025" s="115"/>
      <c r="AX2025" s="106"/>
      <c r="AY2025" s="104"/>
      <c r="AZ2025" s="105"/>
    </row>
    <row r="2026" customHeight="1" spans="1:52">
      <c r="A2026" s="70">
        <v>2043</v>
      </c>
      <c r="B2026" s="108" t="s">
        <v>644</v>
      </c>
      <c r="C2026" s="70" t="s">
        <v>264</v>
      </c>
      <c r="D2026" s="108" t="s">
        <v>1922</v>
      </c>
      <c r="E2026" s="71" t="s">
        <v>753</v>
      </c>
      <c r="F2026" s="72"/>
      <c r="G2026" s="73"/>
      <c r="H2026" s="75"/>
      <c r="I2026" s="102">
        <v>46246</v>
      </c>
      <c r="J2026" s="70" t="s">
        <v>767</v>
      </c>
      <c r="K2026" s="106"/>
      <c r="L2026" s="104" t="e">
        <f t="shared" si="511"/>
        <v>#VALUE!</v>
      </c>
      <c r="M2026" s="105" t="e">
        <f ca="1" t="shared" si="512"/>
        <v>#VALUE!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6"/>
      <c r="Z2026" s="133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5"/>
      <c r="AO2026" s="115"/>
      <c r="AP2026" s="115"/>
      <c r="AQ2026" s="93"/>
      <c r="AR2026" s="93"/>
      <c r="AS2026" s="94"/>
      <c r="AT2026" s="95"/>
      <c r="AU2026" s="79"/>
      <c r="AV2026" s="117"/>
      <c r="AW2026" s="115"/>
      <c r="AX2026" s="106"/>
      <c r="AY2026" s="104"/>
      <c r="AZ2026" s="105"/>
    </row>
    <row r="2027" customHeight="1" spans="1:52">
      <c r="A2027" s="70">
        <v>2044</v>
      </c>
      <c r="B2027" s="108" t="s">
        <v>5233</v>
      </c>
      <c r="C2027" s="70" t="s">
        <v>38</v>
      </c>
      <c r="D2027" s="71" t="s">
        <v>5234</v>
      </c>
      <c r="E2027" s="71" t="s">
        <v>2122</v>
      </c>
      <c r="F2027" s="72"/>
      <c r="G2027" s="73"/>
      <c r="H2027" s="75"/>
      <c r="I2027" s="102">
        <v>46247</v>
      </c>
      <c r="J2027" s="70">
        <v>3</v>
      </c>
      <c r="K2027" s="106" t="s">
        <v>5235</v>
      </c>
      <c r="L2027" s="104">
        <f t="shared" si="511"/>
        <v>46339</v>
      </c>
      <c r="M2027" s="105">
        <f ca="1" t="shared" si="512"/>
        <v>26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6"/>
      <c r="Z2027" s="133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5"/>
      <c r="AO2027" s="115"/>
      <c r="AP2027" s="115"/>
      <c r="AQ2027" s="93"/>
      <c r="AR2027" s="93"/>
      <c r="AS2027" s="94"/>
      <c r="AT2027" s="95"/>
      <c r="AU2027" s="79"/>
      <c r="AV2027" s="117"/>
      <c r="AW2027" s="115"/>
      <c r="AX2027" s="106"/>
      <c r="AY2027" s="104"/>
      <c r="AZ2027" s="105"/>
    </row>
    <row r="2028" customHeight="1" spans="1:52">
      <c r="A2028" s="70">
        <v>2045</v>
      </c>
      <c r="B2028" s="70" t="s">
        <v>561</v>
      </c>
      <c r="C2028" s="70" t="s">
        <v>374</v>
      </c>
      <c r="D2028" s="71" t="s">
        <v>5236</v>
      </c>
      <c r="E2028" s="71" t="s">
        <v>568</v>
      </c>
      <c r="F2028" s="72"/>
      <c r="G2028" s="73"/>
      <c r="H2028" s="79" t="s">
        <v>16</v>
      </c>
      <c r="I2028" s="102">
        <v>46247</v>
      </c>
      <c r="J2028" s="70">
        <v>3</v>
      </c>
      <c r="K2028" s="106" t="s">
        <v>5237</v>
      </c>
      <c r="L2028" s="104">
        <f t="shared" ref="L2028:L2051" si="513">EDATE(I2028,J2028)</f>
        <v>46339</v>
      </c>
      <c r="M2028" s="105">
        <f ca="1" t="shared" ref="M2028:M2051" si="514">L2028-TODAY()</f>
        <v>26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6"/>
      <c r="Z2028" s="133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5"/>
      <c r="AO2028" s="115"/>
      <c r="AP2028" s="115"/>
      <c r="AQ2028" s="93"/>
      <c r="AR2028" s="93"/>
      <c r="AS2028" s="94"/>
      <c r="AT2028" s="95"/>
      <c r="AU2028" s="79"/>
      <c r="AV2028" s="117"/>
      <c r="AW2028" s="115"/>
      <c r="AX2028" s="106"/>
      <c r="AY2028" s="104"/>
      <c r="AZ2028" s="105"/>
    </row>
    <row r="2029" customHeight="1" spans="1:52">
      <c r="A2029" s="70">
        <v>2046</v>
      </c>
      <c r="B2029" s="70" t="s">
        <v>1399</v>
      </c>
      <c r="C2029" s="70" t="s">
        <v>374</v>
      </c>
      <c r="D2029" s="71" t="s">
        <v>5238</v>
      </c>
      <c r="E2029" s="71" t="s">
        <v>883</v>
      </c>
      <c r="F2029" s="72"/>
      <c r="G2029" s="73"/>
      <c r="H2029" s="75"/>
      <c r="I2029" s="102">
        <v>46247</v>
      </c>
      <c r="J2029" s="70">
        <v>3</v>
      </c>
      <c r="K2029" s="106" t="s">
        <v>5239</v>
      </c>
      <c r="L2029" s="104">
        <f t="shared" si="513"/>
        <v>46339</v>
      </c>
      <c r="M2029" s="105">
        <f ca="1" t="shared" si="514"/>
        <v>26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6"/>
      <c r="Z2029" s="133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5"/>
      <c r="AO2029" s="115"/>
      <c r="AP2029" s="115"/>
      <c r="AQ2029" s="93"/>
      <c r="AR2029" s="93"/>
      <c r="AS2029" s="94"/>
      <c r="AT2029" s="95"/>
      <c r="AU2029" s="79"/>
      <c r="AV2029" s="117"/>
      <c r="AW2029" s="115"/>
      <c r="AX2029" s="106"/>
      <c r="AY2029" s="104"/>
      <c r="AZ2029" s="105"/>
    </row>
    <row r="2030" customHeight="1" spans="1:52">
      <c r="A2030" s="70">
        <v>2047</v>
      </c>
      <c r="B2030" s="108" t="s">
        <v>263</v>
      </c>
      <c r="C2030" s="70" t="s">
        <v>264</v>
      </c>
      <c r="D2030" s="108" t="s">
        <v>1922</v>
      </c>
      <c r="E2030" s="71" t="s">
        <v>753</v>
      </c>
      <c r="F2030" s="72"/>
      <c r="G2030" s="73"/>
      <c r="H2030" s="75"/>
      <c r="I2030" s="102">
        <v>46247</v>
      </c>
      <c r="J2030" s="70" t="s">
        <v>767</v>
      </c>
      <c r="K2030" s="106"/>
      <c r="L2030" s="104" t="e">
        <f t="shared" si="513"/>
        <v>#VALUE!</v>
      </c>
      <c r="M2030" s="105" t="e">
        <f ca="1" t="shared" si="514"/>
        <v>#VALUE!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6"/>
      <c r="Z2030" s="133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5"/>
      <c r="AO2030" s="115"/>
      <c r="AP2030" s="115"/>
      <c r="AQ2030" s="93"/>
      <c r="AR2030" s="93"/>
      <c r="AS2030" s="94"/>
      <c r="AT2030" s="95"/>
      <c r="AU2030" s="79"/>
      <c r="AV2030" s="117"/>
      <c r="AW2030" s="115"/>
      <c r="AX2030" s="106"/>
      <c r="AY2030" s="104"/>
      <c r="AZ2030" s="105"/>
    </row>
    <row r="2031" customHeight="1" spans="1:52">
      <c r="A2031" s="70">
        <v>2048</v>
      </c>
      <c r="B2031" s="108" t="s">
        <v>5240</v>
      </c>
      <c r="C2031" s="70" t="s">
        <v>13</v>
      </c>
      <c r="D2031" s="108" t="s">
        <v>5241</v>
      </c>
      <c r="E2031" s="71" t="s">
        <v>76</v>
      </c>
      <c r="F2031" s="72"/>
      <c r="G2031" s="73"/>
      <c r="H2031" s="75"/>
      <c r="I2031" s="102">
        <v>46248</v>
      </c>
      <c r="J2031" s="70">
        <v>3</v>
      </c>
      <c r="K2031" s="106" t="s">
        <v>5242</v>
      </c>
      <c r="L2031" s="104">
        <f t="shared" si="513"/>
        <v>46340</v>
      </c>
      <c r="M2031" s="105">
        <f ca="1" t="shared" si="514"/>
        <v>27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6"/>
      <c r="Z2031" s="133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5"/>
      <c r="AO2031" s="115"/>
      <c r="AP2031" s="115"/>
      <c r="AQ2031" s="93"/>
      <c r="AR2031" s="93"/>
      <c r="AS2031" s="94"/>
      <c r="AT2031" s="95"/>
      <c r="AU2031" s="79"/>
      <c r="AV2031" s="117"/>
      <c r="AW2031" s="115"/>
      <c r="AX2031" s="106"/>
      <c r="AY2031" s="104"/>
      <c r="AZ2031" s="105"/>
    </row>
    <row r="2032" customHeight="1" spans="1:52">
      <c r="A2032" s="70">
        <v>2049</v>
      </c>
      <c r="B2032" s="108" t="s">
        <v>5240</v>
      </c>
      <c r="C2032" s="70" t="s">
        <v>13</v>
      </c>
      <c r="D2032" s="108" t="s">
        <v>5243</v>
      </c>
      <c r="E2032" s="71" t="s">
        <v>5244</v>
      </c>
      <c r="F2032" s="72"/>
      <c r="G2032" s="73"/>
      <c r="H2032" s="74" t="s">
        <v>16</v>
      </c>
      <c r="I2032" s="102">
        <v>46248</v>
      </c>
      <c r="J2032" s="70">
        <v>3</v>
      </c>
      <c r="K2032" s="106" t="s">
        <v>5245</v>
      </c>
      <c r="L2032" s="104">
        <f t="shared" si="513"/>
        <v>46340</v>
      </c>
      <c r="M2032" s="105">
        <f ca="1" t="shared" si="514"/>
        <v>27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6"/>
      <c r="Z2032" s="133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5"/>
      <c r="AO2032" s="115"/>
      <c r="AP2032" s="115"/>
      <c r="AQ2032" s="93"/>
      <c r="AR2032" s="93"/>
      <c r="AS2032" s="94"/>
      <c r="AT2032" s="95"/>
      <c r="AU2032" s="79"/>
      <c r="AV2032" s="117"/>
      <c r="AW2032" s="115"/>
      <c r="AX2032" s="106"/>
      <c r="AY2032" s="104"/>
      <c r="AZ2032" s="105"/>
    </row>
    <row r="2033" customHeight="1" spans="1:52">
      <c r="A2033" s="70">
        <v>2050</v>
      </c>
      <c r="B2033" s="108" t="s">
        <v>798</v>
      </c>
      <c r="C2033" s="70" t="s">
        <v>264</v>
      </c>
      <c r="D2033" s="108" t="s">
        <v>5246</v>
      </c>
      <c r="E2033" s="71" t="s">
        <v>2734</v>
      </c>
      <c r="F2033" s="72"/>
      <c r="G2033" s="73"/>
      <c r="H2033" s="75"/>
      <c r="I2033" s="102">
        <v>46248</v>
      </c>
      <c r="J2033" s="70">
        <v>3</v>
      </c>
      <c r="K2033" s="106" t="s">
        <v>5247</v>
      </c>
      <c r="L2033" s="104">
        <f t="shared" si="513"/>
        <v>46340</v>
      </c>
      <c r="M2033" s="105">
        <f ca="1" t="shared" si="514"/>
        <v>27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6"/>
      <c r="Z2033" s="133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5"/>
      <c r="AO2033" s="115"/>
      <c r="AP2033" s="115"/>
      <c r="AQ2033" s="93"/>
      <c r="AR2033" s="93"/>
      <c r="AS2033" s="94"/>
      <c r="AT2033" s="95"/>
      <c r="AU2033" s="79"/>
      <c r="AV2033" s="117"/>
      <c r="AW2033" s="115"/>
      <c r="AX2033" s="106"/>
      <c r="AY2033" s="104"/>
      <c r="AZ2033" s="105"/>
    </row>
    <row r="2034" customHeight="1" spans="1:52">
      <c r="A2034" s="70">
        <v>2051</v>
      </c>
      <c r="B2034" s="108" t="s">
        <v>270</v>
      </c>
      <c r="C2034" s="70" t="s">
        <v>264</v>
      </c>
      <c r="D2034" s="108" t="s">
        <v>5248</v>
      </c>
      <c r="E2034" s="71" t="s">
        <v>277</v>
      </c>
      <c r="F2034" s="72"/>
      <c r="G2034" s="73"/>
      <c r="H2034" s="75"/>
      <c r="I2034" s="102">
        <v>46248</v>
      </c>
      <c r="J2034" s="70">
        <v>3</v>
      </c>
      <c r="K2034" s="106" t="s">
        <v>5249</v>
      </c>
      <c r="L2034" s="104">
        <f t="shared" si="513"/>
        <v>46340</v>
      </c>
      <c r="M2034" s="105">
        <f ca="1" t="shared" si="514"/>
        <v>27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6"/>
      <c r="Z2034" s="133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5"/>
      <c r="AO2034" s="115"/>
      <c r="AP2034" s="115"/>
      <c r="AQ2034" s="93"/>
      <c r="AR2034" s="93"/>
      <c r="AS2034" s="94"/>
      <c r="AT2034" s="95"/>
      <c r="AU2034" s="79"/>
      <c r="AV2034" s="117"/>
      <c r="AW2034" s="115"/>
      <c r="AX2034" s="106"/>
      <c r="AY2034" s="104"/>
      <c r="AZ2034" s="105"/>
    </row>
    <row r="2035" customHeight="1" spans="1:52">
      <c r="A2035" s="70">
        <v>2052</v>
      </c>
      <c r="B2035" s="108" t="s">
        <v>3559</v>
      </c>
      <c r="C2035" s="70" t="s">
        <v>264</v>
      </c>
      <c r="D2035" s="108" t="s">
        <v>4580</v>
      </c>
      <c r="E2035" s="71" t="s">
        <v>5250</v>
      </c>
      <c r="F2035" s="72"/>
      <c r="G2035" s="73"/>
      <c r="H2035" s="75"/>
      <c r="I2035" s="102">
        <v>46248</v>
      </c>
      <c r="J2035" s="70" t="s">
        <v>767</v>
      </c>
      <c r="K2035" s="106"/>
      <c r="L2035" s="104" t="e">
        <f t="shared" si="513"/>
        <v>#VALUE!</v>
      </c>
      <c r="M2035" s="105" t="e">
        <f ca="1" t="shared" si="514"/>
        <v>#VALUE!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6"/>
      <c r="Z2035" s="133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5"/>
      <c r="AO2035" s="115"/>
      <c r="AP2035" s="115"/>
      <c r="AQ2035" s="93"/>
      <c r="AR2035" s="93"/>
      <c r="AS2035" s="94"/>
      <c r="AT2035" s="95"/>
      <c r="AU2035" s="79"/>
      <c r="AV2035" s="117"/>
      <c r="AW2035" s="115"/>
      <c r="AX2035" s="106"/>
      <c r="AY2035" s="104"/>
      <c r="AZ2035" s="105"/>
    </row>
    <row r="2036" customHeight="1" spans="1:52">
      <c r="A2036" s="70">
        <v>2053</v>
      </c>
      <c r="B2036" s="108" t="s">
        <v>3559</v>
      </c>
      <c r="C2036" s="70" t="s">
        <v>264</v>
      </c>
      <c r="D2036" s="108" t="s">
        <v>4562</v>
      </c>
      <c r="E2036" s="71" t="s">
        <v>5250</v>
      </c>
      <c r="F2036" s="72"/>
      <c r="G2036" s="73"/>
      <c r="H2036" s="75"/>
      <c r="I2036" s="102">
        <v>46248</v>
      </c>
      <c r="J2036" s="70" t="s">
        <v>767</v>
      </c>
      <c r="K2036" s="106"/>
      <c r="L2036" s="104" t="e">
        <f t="shared" si="513"/>
        <v>#VALUE!</v>
      </c>
      <c r="M2036" s="105" t="e">
        <f ca="1" t="shared" si="514"/>
        <v>#VALUE!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6"/>
      <c r="Z2036" s="133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5"/>
      <c r="AO2036" s="115"/>
      <c r="AP2036" s="115"/>
      <c r="AQ2036" s="93"/>
      <c r="AR2036" s="93"/>
      <c r="AS2036" s="94"/>
      <c r="AT2036" s="95"/>
      <c r="AU2036" s="79"/>
      <c r="AV2036" s="117"/>
      <c r="AW2036" s="115"/>
      <c r="AX2036" s="106"/>
      <c r="AY2036" s="104"/>
      <c r="AZ2036" s="105"/>
    </row>
    <row r="2037" customHeight="1" spans="1:52">
      <c r="A2037" s="70">
        <v>2054</v>
      </c>
      <c r="B2037" s="108" t="s">
        <v>263</v>
      </c>
      <c r="C2037" s="70" t="s">
        <v>264</v>
      </c>
      <c r="D2037" s="108" t="s">
        <v>1922</v>
      </c>
      <c r="E2037" s="71" t="s">
        <v>753</v>
      </c>
      <c r="F2037" s="72"/>
      <c r="G2037" s="73"/>
      <c r="H2037" s="75"/>
      <c r="I2037" s="102">
        <v>46248</v>
      </c>
      <c r="J2037" s="70" t="s">
        <v>767</v>
      </c>
      <c r="K2037" s="106"/>
      <c r="L2037" s="104" t="e">
        <f t="shared" si="513"/>
        <v>#VALUE!</v>
      </c>
      <c r="M2037" s="105" t="e">
        <f ca="1" t="shared" si="514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6"/>
      <c r="Z2037" s="133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5"/>
      <c r="AO2037" s="115"/>
      <c r="AP2037" s="115"/>
      <c r="AQ2037" s="93"/>
      <c r="AR2037" s="93"/>
      <c r="AS2037" s="94"/>
      <c r="AT2037" s="95"/>
      <c r="AU2037" s="79"/>
      <c r="AV2037" s="117"/>
      <c r="AW2037" s="115"/>
      <c r="AX2037" s="106"/>
      <c r="AY2037" s="104"/>
      <c r="AZ2037" s="105"/>
    </row>
    <row r="2038" customHeight="1" spans="1:52">
      <c r="A2038" s="70">
        <v>2055</v>
      </c>
      <c r="B2038" s="108" t="s">
        <v>263</v>
      </c>
      <c r="C2038" s="70" t="s">
        <v>264</v>
      </c>
      <c r="D2038" s="108" t="s">
        <v>265</v>
      </c>
      <c r="E2038" s="71" t="s">
        <v>753</v>
      </c>
      <c r="F2038" s="72"/>
      <c r="G2038" s="73"/>
      <c r="H2038" s="75"/>
      <c r="I2038" s="102">
        <v>46248</v>
      </c>
      <c r="J2038" s="70" t="s">
        <v>767</v>
      </c>
      <c r="K2038" s="106"/>
      <c r="L2038" s="104" t="e">
        <f t="shared" si="513"/>
        <v>#VALUE!</v>
      </c>
      <c r="M2038" s="105" t="e">
        <f ca="1" t="shared" si="514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6"/>
      <c r="Z2038" s="133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5"/>
      <c r="AO2038" s="115"/>
      <c r="AP2038" s="115"/>
      <c r="AQ2038" s="93"/>
      <c r="AR2038" s="93"/>
      <c r="AS2038" s="94"/>
      <c r="AT2038" s="95"/>
      <c r="AU2038" s="79"/>
      <c r="AV2038" s="117"/>
      <c r="AW2038" s="115"/>
      <c r="AX2038" s="106"/>
      <c r="AY2038" s="104"/>
      <c r="AZ2038" s="105"/>
    </row>
    <row r="2039" customHeight="1" spans="1:52">
      <c r="A2039" s="70">
        <v>2056</v>
      </c>
      <c r="B2039" s="108" t="s">
        <v>270</v>
      </c>
      <c r="C2039" s="70" t="s">
        <v>264</v>
      </c>
      <c r="D2039" s="108" t="s">
        <v>958</v>
      </c>
      <c r="E2039" s="71" t="s">
        <v>1232</v>
      </c>
      <c r="F2039" s="72"/>
      <c r="G2039" s="73"/>
      <c r="H2039" s="75"/>
      <c r="I2039" s="102">
        <v>46248</v>
      </c>
      <c r="J2039" s="70" t="s">
        <v>767</v>
      </c>
      <c r="K2039" s="106"/>
      <c r="L2039" s="104" t="e">
        <f t="shared" si="513"/>
        <v>#VALUE!</v>
      </c>
      <c r="M2039" s="105" t="e">
        <f ca="1" t="shared" si="514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6"/>
      <c r="Z2039" s="133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5"/>
      <c r="AO2039" s="115"/>
      <c r="AP2039" s="115"/>
      <c r="AQ2039" s="93"/>
      <c r="AR2039" s="93"/>
      <c r="AS2039" s="94"/>
      <c r="AT2039" s="95"/>
      <c r="AU2039" s="79"/>
      <c r="AV2039" s="117"/>
      <c r="AW2039" s="115"/>
      <c r="AX2039" s="106"/>
      <c r="AY2039" s="104"/>
      <c r="AZ2039" s="105"/>
    </row>
    <row r="2040" customHeight="1" spans="1:52">
      <c r="A2040" s="70">
        <v>2057</v>
      </c>
      <c r="B2040" s="108" t="s">
        <v>281</v>
      </c>
      <c r="C2040" s="70" t="s">
        <v>264</v>
      </c>
      <c r="D2040" s="108" t="s">
        <v>5215</v>
      </c>
      <c r="E2040" s="71" t="s">
        <v>5216</v>
      </c>
      <c r="F2040" s="72"/>
      <c r="G2040" s="73"/>
      <c r="H2040" s="75"/>
      <c r="I2040" s="102">
        <v>46249</v>
      </c>
      <c r="J2040" s="70">
        <v>3</v>
      </c>
      <c r="K2040" s="106"/>
      <c r="L2040" s="104">
        <f t="shared" si="513"/>
        <v>46341</v>
      </c>
      <c r="M2040" s="105">
        <f ca="1" t="shared" si="514"/>
        <v>28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6"/>
      <c r="Z2040" s="133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5"/>
      <c r="AO2040" s="115"/>
      <c r="AP2040" s="115"/>
      <c r="AQ2040" s="93"/>
      <c r="AR2040" s="93"/>
      <c r="AS2040" s="94"/>
      <c r="AT2040" s="95"/>
      <c r="AU2040" s="79"/>
      <c r="AV2040" s="117"/>
      <c r="AW2040" s="115"/>
      <c r="AX2040" s="106"/>
      <c r="AY2040" s="104"/>
      <c r="AZ2040" s="105"/>
    </row>
    <row r="2041" customHeight="1" spans="1:52">
      <c r="A2041" s="70">
        <v>2058</v>
      </c>
      <c r="B2041" s="108" t="s">
        <v>3780</v>
      </c>
      <c r="C2041" s="70" t="s">
        <v>264</v>
      </c>
      <c r="D2041" s="108" t="s">
        <v>367</v>
      </c>
      <c r="E2041" s="71" t="s">
        <v>4334</v>
      </c>
      <c r="F2041" s="72"/>
      <c r="G2041" s="73"/>
      <c r="H2041" s="75"/>
      <c r="I2041" s="102">
        <v>46249</v>
      </c>
      <c r="J2041" s="70" t="s">
        <v>767</v>
      </c>
      <c r="K2041" s="106"/>
      <c r="L2041" s="104" t="e">
        <f t="shared" si="513"/>
        <v>#VALUE!</v>
      </c>
      <c r="M2041" s="105" t="e">
        <f ca="1" t="shared" si="514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6"/>
      <c r="Z2041" s="133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5"/>
      <c r="AO2041" s="115"/>
      <c r="AP2041" s="115"/>
      <c r="AQ2041" s="93"/>
      <c r="AR2041" s="93"/>
      <c r="AS2041" s="94"/>
      <c r="AT2041" s="95"/>
      <c r="AU2041" s="79"/>
      <c r="AV2041" s="117"/>
      <c r="AW2041" s="115"/>
      <c r="AX2041" s="106"/>
      <c r="AY2041" s="104"/>
      <c r="AZ2041" s="105"/>
    </row>
    <row r="2042" customHeight="1" spans="1:52">
      <c r="A2042" s="70">
        <v>2059</v>
      </c>
      <c r="B2042" s="204" t="s">
        <v>644</v>
      </c>
      <c r="C2042" s="70" t="s">
        <v>264</v>
      </c>
      <c r="D2042" s="205" t="s">
        <v>2433</v>
      </c>
      <c r="E2042" s="71" t="s">
        <v>753</v>
      </c>
      <c r="F2042" s="72"/>
      <c r="G2042" s="73"/>
      <c r="H2042" s="75"/>
      <c r="I2042" s="102">
        <v>46249</v>
      </c>
      <c r="J2042" s="70" t="s">
        <v>767</v>
      </c>
      <c r="K2042" s="106"/>
      <c r="L2042" s="104" t="e">
        <f t="shared" si="513"/>
        <v>#VALUE!</v>
      </c>
      <c r="M2042" s="105" t="e">
        <f ca="1" t="shared" si="514"/>
        <v>#VALUE!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6"/>
      <c r="Z2042" s="133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5"/>
      <c r="AO2042" s="115"/>
      <c r="AP2042" s="115"/>
      <c r="AQ2042" s="93"/>
      <c r="AR2042" s="93"/>
      <c r="AS2042" s="94"/>
      <c r="AT2042" s="95"/>
      <c r="AU2042" s="79"/>
      <c r="AV2042" s="117"/>
      <c r="AW2042" s="115"/>
      <c r="AX2042" s="106"/>
      <c r="AY2042" s="104"/>
      <c r="AZ2042" s="105"/>
    </row>
    <row r="2043" customHeight="1" spans="1:52">
      <c r="A2043" s="70">
        <v>2060</v>
      </c>
      <c r="B2043" s="70" t="s">
        <v>134</v>
      </c>
      <c r="C2043" s="70" t="s">
        <v>13</v>
      </c>
      <c r="D2043" s="71" t="s">
        <v>5251</v>
      </c>
      <c r="E2043" s="71" t="s">
        <v>45</v>
      </c>
      <c r="F2043" s="72"/>
      <c r="G2043" s="73"/>
      <c r="H2043" s="79" t="s">
        <v>16</v>
      </c>
      <c r="I2043" s="102">
        <v>46250</v>
      </c>
      <c r="J2043" s="70">
        <v>3</v>
      </c>
      <c r="K2043" s="106" t="s">
        <v>5252</v>
      </c>
      <c r="L2043" s="104">
        <f t="shared" si="513"/>
        <v>46342</v>
      </c>
      <c r="M2043" s="105">
        <f ca="1" t="shared" si="514"/>
        <v>29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6"/>
      <c r="Z2043" s="133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5"/>
      <c r="AO2043" s="115"/>
      <c r="AP2043" s="115"/>
      <c r="AQ2043" s="93"/>
      <c r="AR2043" s="93"/>
      <c r="AS2043" s="94"/>
      <c r="AT2043" s="95"/>
      <c r="AU2043" s="79"/>
      <c r="AV2043" s="117"/>
      <c r="AW2043" s="115"/>
      <c r="AX2043" s="106"/>
      <c r="AY2043" s="104"/>
      <c r="AZ2043" s="105"/>
    </row>
    <row r="2044" customHeight="1" spans="1:52">
      <c r="A2044" s="70">
        <v>2061</v>
      </c>
      <c r="B2044" s="108" t="s">
        <v>1275</v>
      </c>
      <c r="C2044" s="70" t="s">
        <v>38</v>
      </c>
      <c r="D2044" s="108" t="s">
        <v>5253</v>
      </c>
      <c r="E2044" s="71" t="s">
        <v>5254</v>
      </c>
      <c r="F2044" s="72"/>
      <c r="G2044" s="73"/>
      <c r="H2044" s="79" t="s">
        <v>16</v>
      </c>
      <c r="I2044" s="102">
        <v>46251</v>
      </c>
      <c r="J2044" s="70">
        <v>3</v>
      </c>
      <c r="K2044" s="106" t="s">
        <v>5255</v>
      </c>
      <c r="L2044" s="104">
        <f t="shared" si="513"/>
        <v>46343</v>
      </c>
      <c r="M2044" s="105">
        <f ca="1" t="shared" si="514"/>
        <v>30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6"/>
      <c r="Z2044" s="133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5"/>
      <c r="AO2044" s="115"/>
      <c r="AP2044" s="115"/>
      <c r="AQ2044" s="93"/>
      <c r="AR2044" s="93"/>
      <c r="AS2044" s="94"/>
      <c r="AT2044" s="95"/>
      <c r="AU2044" s="79"/>
      <c r="AV2044" s="117"/>
      <c r="AW2044" s="115"/>
      <c r="AX2044" s="106"/>
      <c r="AY2044" s="104"/>
      <c r="AZ2044" s="105"/>
    </row>
    <row r="2045" customHeight="1" spans="1:52">
      <c r="A2045" s="70">
        <v>2062</v>
      </c>
      <c r="B2045" s="108" t="s">
        <v>798</v>
      </c>
      <c r="C2045" s="70" t="s">
        <v>38</v>
      </c>
      <c r="D2045" s="108" t="s">
        <v>5256</v>
      </c>
      <c r="E2045" s="71" t="s">
        <v>5257</v>
      </c>
      <c r="F2045" s="72"/>
      <c r="G2045" s="73"/>
      <c r="H2045" s="75"/>
      <c r="I2045" s="102">
        <v>46251</v>
      </c>
      <c r="J2045" s="70">
        <v>3</v>
      </c>
      <c r="K2045" s="106" t="s">
        <v>5258</v>
      </c>
      <c r="L2045" s="104">
        <f t="shared" si="513"/>
        <v>46343</v>
      </c>
      <c r="M2045" s="105">
        <f ca="1" t="shared" si="514"/>
        <v>30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6"/>
      <c r="Z2045" s="133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5"/>
      <c r="AO2045" s="115"/>
      <c r="AP2045" s="115"/>
      <c r="AQ2045" s="93"/>
      <c r="AR2045" s="93"/>
      <c r="AS2045" s="94"/>
      <c r="AT2045" s="95"/>
      <c r="AU2045" s="79"/>
      <c r="AV2045" s="117"/>
      <c r="AW2045" s="115"/>
      <c r="AX2045" s="106"/>
      <c r="AY2045" s="104"/>
      <c r="AZ2045" s="105"/>
    </row>
    <row r="2046" customHeight="1" spans="1:52">
      <c r="A2046" s="70">
        <v>2063</v>
      </c>
      <c r="B2046" s="108" t="s">
        <v>1359</v>
      </c>
      <c r="C2046" s="70" t="s">
        <v>13</v>
      </c>
      <c r="D2046" s="71" t="s">
        <v>2848</v>
      </c>
      <c r="E2046" s="71" t="s">
        <v>2849</v>
      </c>
      <c r="F2046" s="72"/>
      <c r="G2046" s="73"/>
      <c r="H2046" s="75" t="s">
        <v>434</v>
      </c>
      <c r="I2046" s="102">
        <v>46251</v>
      </c>
      <c r="J2046" s="70" t="s">
        <v>767</v>
      </c>
      <c r="K2046" s="106"/>
      <c r="L2046" s="104" t="e">
        <f t="shared" si="513"/>
        <v>#VALUE!</v>
      </c>
      <c r="M2046" s="105" t="e">
        <f ca="1" t="shared" si="514"/>
        <v>#VALUE!</v>
      </c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6"/>
      <c r="Z2046" s="133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5"/>
      <c r="AO2046" s="115"/>
      <c r="AP2046" s="115"/>
      <c r="AQ2046" s="93"/>
      <c r="AR2046" s="93"/>
      <c r="AS2046" s="94"/>
      <c r="AT2046" s="95"/>
      <c r="AU2046" s="79"/>
      <c r="AV2046" s="117"/>
      <c r="AW2046" s="115"/>
      <c r="AX2046" s="106"/>
      <c r="AY2046" s="104"/>
      <c r="AZ2046" s="105"/>
    </row>
    <row r="2047" customHeight="1" spans="1:52">
      <c r="A2047" s="70">
        <v>2064</v>
      </c>
      <c r="B2047" s="70" t="s">
        <v>169</v>
      </c>
      <c r="C2047" s="70" t="s">
        <v>38</v>
      </c>
      <c r="D2047" s="71" t="s">
        <v>170</v>
      </c>
      <c r="E2047" s="71" t="s">
        <v>3230</v>
      </c>
      <c r="F2047" s="72"/>
      <c r="G2047" s="73"/>
      <c r="H2047" s="75"/>
      <c r="I2047" s="102">
        <v>46251</v>
      </c>
      <c r="J2047" s="70" t="s">
        <v>767</v>
      </c>
      <c r="K2047" s="106"/>
      <c r="L2047" s="104" t="e">
        <f t="shared" si="513"/>
        <v>#VALUE!</v>
      </c>
      <c r="M2047" s="105" t="e">
        <f ca="1" t="shared" si="514"/>
        <v>#VALUE!</v>
      </c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6"/>
      <c r="Z2047" s="133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5"/>
      <c r="AO2047" s="115"/>
      <c r="AP2047" s="115"/>
      <c r="AQ2047" s="93"/>
      <c r="AR2047" s="93"/>
      <c r="AS2047" s="94"/>
      <c r="AT2047" s="95"/>
      <c r="AU2047" s="79"/>
      <c r="AV2047" s="117"/>
      <c r="AW2047" s="115"/>
      <c r="AX2047" s="106"/>
      <c r="AY2047" s="104"/>
      <c r="AZ2047" s="105"/>
    </row>
    <row r="2048" customHeight="1" spans="1:52">
      <c r="A2048" s="70">
        <v>2065</v>
      </c>
      <c r="B2048" s="70" t="s">
        <v>798</v>
      </c>
      <c r="C2048" s="70" t="s">
        <v>13</v>
      </c>
      <c r="D2048" s="71" t="s">
        <v>5259</v>
      </c>
      <c r="E2048" s="71" t="s">
        <v>34</v>
      </c>
      <c r="F2048" s="72"/>
      <c r="G2048" s="73"/>
      <c r="H2048" s="74" t="s">
        <v>16</v>
      </c>
      <c r="I2048" s="102">
        <v>46252</v>
      </c>
      <c r="J2048" s="70">
        <v>3</v>
      </c>
      <c r="K2048" s="106" t="s">
        <v>5260</v>
      </c>
      <c r="L2048" s="104">
        <f t="shared" si="513"/>
        <v>46344</v>
      </c>
      <c r="M2048" s="105">
        <f ca="1" t="shared" si="514"/>
        <v>31</v>
      </c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6"/>
      <c r="Z2048" s="133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5"/>
      <c r="AO2048" s="115"/>
      <c r="AP2048" s="115"/>
      <c r="AQ2048" s="93"/>
      <c r="AR2048" s="93"/>
      <c r="AS2048" s="94"/>
      <c r="AT2048" s="95"/>
      <c r="AU2048" s="79"/>
      <c r="AV2048" s="117"/>
      <c r="AW2048" s="115"/>
      <c r="AX2048" s="106"/>
      <c r="AY2048" s="104"/>
      <c r="AZ2048" s="105"/>
    </row>
    <row r="2049" customHeight="1" spans="1:52">
      <c r="A2049" s="70">
        <v>2066</v>
      </c>
      <c r="B2049" s="70" t="s">
        <v>1147</v>
      </c>
      <c r="C2049" s="70" t="s">
        <v>13</v>
      </c>
      <c r="D2049" s="71" t="s">
        <v>5261</v>
      </c>
      <c r="E2049" s="71" t="s">
        <v>5262</v>
      </c>
      <c r="F2049" s="72"/>
      <c r="G2049" s="73"/>
      <c r="H2049" s="74" t="s">
        <v>16</v>
      </c>
      <c r="I2049" s="102">
        <v>46252</v>
      </c>
      <c r="J2049" s="70">
        <v>3</v>
      </c>
      <c r="K2049" s="106" t="s">
        <v>5263</v>
      </c>
      <c r="L2049" s="104">
        <f t="shared" si="513"/>
        <v>46344</v>
      </c>
      <c r="M2049" s="105">
        <f ca="1" t="shared" si="514"/>
        <v>31</v>
      </c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6"/>
      <c r="Z2049" s="133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5"/>
      <c r="AO2049" s="115"/>
      <c r="AP2049" s="115"/>
      <c r="AQ2049" s="93"/>
      <c r="AR2049" s="93"/>
      <c r="AS2049" s="94"/>
      <c r="AT2049" s="95"/>
      <c r="AU2049" s="79"/>
      <c r="AV2049" s="117"/>
      <c r="AW2049" s="115"/>
      <c r="AX2049" s="106"/>
      <c r="AY2049" s="104"/>
      <c r="AZ2049" s="105"/>
    </row>
    <row r="2050" customHeight="1" spans="1:52">
      <c r="A2050" s="70">
        <v>2067</v>
      </c>
      <c r="B2050" s="70" t="s">
        <v>644</v>
      </c>
      <c r="C2050" s="70" t="s">
        <v>264</v>
      </c>
      <c r="D2050" s="71" t="s">
        <v>1922</v>
      </c>
      <c r="E2050" s="71" t="s">
        <v>753</v>
      </c>
      <c r="F2050" s="72"/>
      <c r="G2050" s="73"/>
      <c r="H2050" s="75"/>
      <c r="I2050" s="102">
        <v>46252</v>
      </c>
      <c r="J2050" s="70" t="s">
        <v>767</v>
      </c>
      <c r="K2050" s="106"/>
      <c r="L2050" s="104" t="e">
        <f t="shared" ref="L2050:L2061" si="515">EDATE(I2050,J2050)</f>
        <v>#VALUE!</v>
      </c>
      <c r="M2050" s="105" t="e">
        <f ca="1" t="shared" ref="M2050:M2061" si="516">L2050-TODAY()</f>
        <v>#VALUE!</v>
      </c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6"/>
      <c r="Z2050" s="133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5"/>
      <c r="AO2050" s="115"/>
      <c r="AP2050" s="115"/>
      <c r="AQ2050" s="93"/>
      <c r="AR2050" s="93"/>
      <c r="AS2050" s="94"/>
      <c r="AT2050" s="95"/>
      <c r="AU2050" s="79"/>
      <c r="AV2050" s="117"/>
      <c r="AW2050" s="115"/>
      <c r="AX2050" s="106"/>
      <c r="AY2050" s="104"/>
      <c r="AZ2050" s="105"/>
    </row>
    <row r="2051" customHeight="1" spans="1:52">
      <c r="A2051" s="70">
        <v>2068</v>
      </c>
      <c r="B2051" s="70" t="s">
        <v>644</v>
      </c>
      <c r="C2051" s="70" t="s">
        <v>264</v>
      </c>
      <c r="D2051" s="71" t="s">
        <v>2433</v>
      </c>
      <c r="E2051" s="71" t="s">
        <v>753</v>
      </c>
      <c r="F2051" s="72"/>
      <c r="G2051" s="73"/>
      <c r="H2051" s="75"/>
      <c r="I2051" s="102">
        <v>46252</v>
      </c>
      <c r="J2051" s="70" t="s">
        <v>767</v>
      </c>
      <c r="K2051" s="106"/>
      <c r="L2051" s="104" t="e">
        <f t="shared" si="515"/>
        <v>#VALUE!</v>
      </c>
      <c r="M2051" s="105" t="e">
        <f ca="1" t="shared" si="516"/>
        <v>#VALUE!</v>
      </c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6"/>
      <c r="Z2051" s="133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5"/>
      <c r="AO2051" s="115"/>
      <c r="AP2051" s="115"/>
      <c r="AQ2051" s="93"/>
      <c r="AR2051" s="93"/>
      <c r="AS2051" s="94"/>
      <c r="AT2051" s="95"/>
      <c r="AU2051" s="79"/>
      <c r="AV2051" s="117"/>
      <c r="AW2051" s="115"/>
      <c r="AX2051" s="106"/>
      <c r="AY2051" s="104"/>
      <c r="AZ2051" s="105"/>
    </row>
    <row r="2052" customHeight="1" spans="1:52">
      <c r="A2052" s="70">
        <v>2069</v>
      </c>
      <c r="B2052" s="108" t="s">
        <v>270</v>
      </c>
      <c r="C2052" s="70" t="s">
        <v>264</v>
      </c>
      <c r="D2052" s="108" t="s">
        <v>5264</v>
      </c>
      <c r="E2052" s="71" t="s">
        <v>5265</v>
      </c>
      <c r="F2052" s="72"/>
      <c r="G2052" s="73"/>
      <c r="H2052" s="75"/>
      <c r="I2052" s="102">
        <v>46253</v>
      </c>
      <c r="J2052" s="70">
        <v>3</v>
      </c>
      <c r="K2052" s="106" t="s">
        <v>5266</v>
      </c>
      <c r="L2052" s="104">
        <f t="shared" si="515"/>
        <v>46345</v>
      </c>
      <c r="M2052" s="105">
        <f ca="1" t="shared" si="516"/>
        <v>32</v>
      </c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6"/>
      <c r="Z2052" s="133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5"/>
      <c r="AO2052" s="115"/>
      <c r="AP2052" s="115"/>
      <c r="AQ2052" s="93"/>
      <c r="AR2052" s="93"/>
      <c r="AS2052" s="94"/>
      <c r="AT2052" s="95"/>
      <c r="AU2052" s="79"/>
      <c r="AV2052" s="117"/>
      <c r="AW2052" s="115"/>
      <c r="AX2052" s="106"/>
      <c r="AY2052" s="104"/>
      <c r="AZ2052" s="105"/>
    </row>
    <row r="2053" customHeight="1" spans="1:52">
      <c r="A2053" s="70">
        <v>2070</v>
      </c>
      <c r="B2053" s="108" t="s">
        <v>281</v>
      </c>
      <c r="C2053" s="70" t="s">
        <v>264</v>
      </c>
      <c r="D2053" s="231" t="s">
        <v>5267</v>
      </c>
      <c r="E2053" s="71" t="s">
        <v>5268</v>
      </c>
      <c r="F2053" s="72"/>
      <c r="G2053" s="73"/>
      <c r="H2053" s="75"/>
      <c r="I2053" s="102">
        <v>46253</v>
      </c>
      <c r="J2053" s="70">
        <v>3</v>
      </c>
      <c r="K2053" s="106" t="s">
        <v>5269</v>
      </c>
      <c r="L2053" s="104">
        <f t="shared" si="515"/>
        <v>46345</v>
      </c>
      <c r="M2053" s="105">
        <f ca="1" t="shared" si="516"/>
        <v>32</v>
      </c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6"/>
      <c r="Z2053" s="133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5"/>
      <c r="AO2053" s="115"/>
      <c r="AP2053" s="115"/>
      <c r="AQ2053" s="93"/>
      <c r="AR2053" s="93"/>
      <c r="AS2053" s="94"/>
      <c r="AT2053" s="95"/>
      <c r="AU2053" s="79"/>
      <c r="AV2053" s="117"/>
      <c r="AW2053" s="115"/>
      <c r="AX2053" s="106"/>
      <c r="AY2053" s="104"/>
      <c r="AZ2053" s="105"/>
    </row>
    <row r="2054" customHeight="1" spans="1:52">
      <c r="A2054" s="70">
        <v>2071</v>
      </c>
      <c r="B2054" s="108" t="s">
        <v>295</v>
      </c>
      <c r="C2054" s="70" t="s">
        <v>264</v>
      </c>
      <c r="D2054" s="108" t="s">
        <v>2694</v>
      </c>
      <c r="E2054" s="71" t="s">
        <v>5270</v>
      </c>
      <c r="F2054" s="72"/>
      <c r="G2054" s="73"/>
      <c r="H2054" s="75"/>
      <c r="I2054" s="102">
        <v>46253</v>
      </c>
      <c r="J2054" s="70" t="s">
        <v>767</v>
      </c>
      <c r="K2054" s="106" t="s">
        <v>5271</v>
      </c>
      <c r="L2054" s="104" t="e">
        <f t="shared" si="515"/>
        <v>#VALUE!</v>
      </c>
      <c r="M2054" s="105" t="e">
        <f ca="1" t="shared" si="516"/>
        <v>#VALUE!</v>
      </c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6"/>
      <c r="Z2054" s="133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5"/>
      <c r="AO2054" s="115"/>
      <c r="AP2054" s="115"/>
      <c r="AQ2054" s="93"/>
      <c r="AR2054" s="93"/>
      <c r="AS2054" s="94"/>
      <c r="AT2054" s="95"/>
      <c r="AU2054" s="79"/>
      <c r="AV2054" s="117"/>
      <c r="AW2054" s="115"/>
      <c r="AX2054" s="106"/>
      <c r="AY2054" s="104"/>
      <c r="AZ2054" s="105"/>
    </row>
    <row r="2055" customHeight="1" spans="1:52">
      <c r="A2055" s="70">
        <v>2072</v>
      </c>
      <c r="B2055" s="108" t="s">
        <v>281</v>
      </c>
      <c r="C2055" s="70" t="s">
        <v>264</v>
      </c>
      <c r="D2055" s="108" t="s">
        <v>4142</v>
      </c>
      <c r="E2055" s="71" t="s">
        <v>277</v>
      </c>
      <c r="F2055" s="72"/>
      <c r="G2055" s="73"/>
      <c r="H2055" s="75"/>
      <c r="I2055" s="102">
        <v>46253</v>
      </c>
      <c r="J2055" s="70" t="s">
        <v>767</v>
      </c>
      <c r="K2055" s="106"/>
      <c r="L2055" s="104" t="e">
        <f t="shared" si="515"/>
        <v>#VALUE!</v>
      </c>
      <c r="M2055" s="105" t="e">
        <f ca="1" t="shared" si="516"/>
        <v>#VALUE!</v>
      </c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6"/>
      <c r="Z2055" s="133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5"/>
      <c r="AO2055" s="115"/>
      <c r="AP2055" s="115"/>
      <c r="AQ2055" s="93"/>
      <c r="AR2055" s="93"/>
      <c r="AS2055" s="94"/>
      <c r="AT2055" s="95"/>
      <c r="AU2055" s="79"/>
      <c r="AV2055" s="117"/>
      <c r="AW2055" s="115"/>
      <c r="AX2055" s="106"/>
      <c r="AY2055" s="104"/>
      <c r="AZ2055" s="105"/>
    </row>
    <row r="2056" customHeight="1" spans="1:52">
      <c r="A2056" s="70">
        <v>2073</v>
      </c>
      <c r="B2056" s="108" t="s">
        <v>751</v>
      </c>
      <c r="C2056" s="70" t="s">
        <v>264</v>
      </c>
      <c r="D2056" s="108" t="s">
        <v>752</v>
      </c>
      <c r="E2056" s="71" t="s">
        <v>753</v>
      </c>
      <c r="F2056" s="72"/>
      <c r="G2056" s="73"/>
      <c r="H2056" s="75"/>
      <c r="I2056" s="102">
        <v>46253</v>
      </c>
      <c r="J2056" s="70" t="s">
        <v>767</v>
      </c>
      <c r="K2056" s="106"/>
      <c r="L2056" s="104" t="e">
        <f t="shared" si="515"/>
        <v>#VALUE!</v>
      </c>
      <c r="M2056" s="105" t="e">
        <f ca="1" t="shared" si="516"/>
        <v>#VALUE!</v>
      </c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6"/>
      <c r="Z2056" s="133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5"/>
      <c r="AO2056" s="115"/>
      <c r="AP2056" s="115"/>
      <c r="AQ2056" s="93"/>
      <c r="AR2056" s="93"/>
      <c r="AS2056" s="94"/>
      <c r="AT2056" s="95"/>
      <c r="AU2056" s="79"/>
      <c r="AV2056" s="117"/>
      <c r="AW2056" s="115"/>
      <c r="AX2056" s="106"/>
      <c r="AY2056" s="104"/>
      <c r="AZ2056" s="105"/>
    </row>
    <row r="2057" customHeight="1" spans="1:52">
      <c r="A2057" s="70">
        <v>2074</v>
      </c>
      <c r="B2057" s="108" t="s">
        <v>366</v>
      </c>
      <c r="C2057" s="70" t="s">
        <v>264</v>
      </c>
      <c r="D2057" s="108" t="s">
        <v>367</v>
      </c>
      <c r="E2057" s="71" t="s">
        <v>4334</v>
      </c>
      <c r="F2057" s="72"/>
      <c r="G2057" s="73"/>
      <c r="H2057" s="75"/>
      <c r="I2057" s="102">
        <v>46253</v>
      </c>
      <c r="J2057" s="70" t="s">
        <v>767</v>
      </c>
      <c r="K2057" s="106"/>
      <c r="L2057" s="104" t="e">
        <f t="shared" si="515"/>
        <v>#VALUE!</v>
      </c>
      <c r="M2057" s="105" t="e">
        <f ca="1" t="shared" si="516"/>
        <v>#VALUE!</v>
      </c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6"/>
      <c r="Z2057" s="133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5"/>
      <c r="AO2057" s="115"/>
      <c r="AP2057" s="115"/>
      <c r="AQ2057" s="93"/>
      <c r="AR2057" s="93"/>
      <c r="AS2057" s="94"/>
      <c r="AT2057" s="95"/>
      <c r="AU2057" s="79"/>
      <c r="AV2057" s="117"/>
      <c r="AW2057" s="115"/>
      <c r="AX2057" s="106"/>
      <c r="AY2057" s="104"/>
      <c r="AZ2057" s="105"/>
    </row>
    <row r="2058" customHeight="1" spans="1:52">
      <c r="A2058" s="70">
        <v>2075</v>
      </c>
      <c r="B2058" s="108" t="s">
        <v>263</v>
      </c>
      <c r="C2058" s="70" t="s">
        <v>264</v>
      </c>
      <c r="D2058" s="108" t="s">
        <v>265</v>
      </c>
      <c r="E2058" s="71" t="s">
        <v>753</v>
      </c>
      <c r="F2058" s="72"/>
      <c r="G2058" s="73"/>
      <c r="H2058" s="75"/>
      <c r="I2058" s="102">
        <v>46253</v>
      </c>
      <c r="J2058" s="70" t="s">
        <v>767</v>
      </c>
      <c r="K2058" s="106"/>
      <c r="L2058" s="104" t="e">
        <f t="shared" si="515"/>
        <v>#VALUE!</v>
      </c>
      <c r="M2058" s="105" t="e">
        <f ca="1" t="shared" si="516"/>
        <v>#VALUE!</v>
      </c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6"/>
      <c r="Z2058" s="133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5"/>
      <c r="AO2058" s="115"/>
      <c r="AP2058" s="115"/>
      <c r="AQ2058" s="93"/>
      <c r="AR2058" s="93"/>
      <c r="AS2058" s="94"/>
      <c r="AT2058" s="95"/>
      <c r="AU2058" s="79"/>
      <c r="AV2058" s="117"/>
      <c r="AW2058" s="115"/>
      <c r="AX2058" s="106"/>
      <c r="AY2058" s="104"/>
      <c r="AZ2058" s="105"/>
    </row>
    <row r="2059" customHeight="1" spans="1:52">
      <c r="A2059" s="70">
        <v>2076</v>
      </c>
      <c r="B2059" s="108" t="s">
        <v>648</v>
      </c>
      <c r="C2059" s="70" t="s">
        <v>264</v>
      </c>
      <c r="D2059" s="108" t="s">
        <v>2940</v>
      </c>
      <c r="E2059" s="71" t="s">
        <v>4412</v>
      </c>
      <c r="F2059" s="72"/>
      <c r="G2059" s="73"/>
      <c r="H2059" s="75"/>
      <c r="I2059" s="102">
        <v>46253</v>
      </c>
      <c r="J2059" s="70" t="s">
        <v>767</v>
      </c>
      <c r="K2059" s="106"/>
      <c r="L2059" s="104" t="e">
        <f t="shared" si="515"/>
        <v>#VALUE!</v>
      </c>
      <c r="M2059" s="105" t="e">
        <f ca="1" t="shared" si="516"/>
        <v>#VALUE!</v>
      </c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6"/>
      <c r="Z2059" s="133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5"/>
      <c r="AO2059" s="115"/>
      <c r="AP2059" s="115"/>
      <c r="AQ2059" s="93"/>
      <c r="AR2059" s="93"/>
      <c r="AS2059" s="94"/>
      <c r="AT2059" s="95"/>
      <c r="AU2059" s="79"/>
      <c r="AV2059" s="117"/>
      <c r="AW2059" s="115"/>
      <c r="AX2059" s="106"/>
      <c r="AY2059" s="104"/>
      <c r="AZ2059" s="105"/>
    </row>
    <row r="2060" customHeight="1" spans="1:52">
      <c r="A2060" s="70">
        <v>2077</v>
      </c>
      <c r="B2060" s="108" t="s">
        <v>648</v>
      </c>
      <c r="C2060" s="70" t="s">
        <v>264</v>
      </c>
      <c r="D2060" s="108" t="s">
        <v>5037</v>
      </c>
      <c r="E2060" s="71" t="s">
        <v>5038</v>
      </c>
      <c r="F2060" s="72"/>
      <c r="G2060" s="73"/>
      <c r="H2060" s="75"/>
      <c r="I2060" s="102">
        <v>46253</v>
      </c>
      <c r="J2060" s="70" t="s">
        <v>767</v>
      </c>
      <c r="K2060" s="106"/>
      <c r="L2060" s="104" t="e">
        <f t="shared" si="515"/>
        <v>#VALUE!</v>
      </c>
      <c r="M2060" s="105" t="e">
        <f ca="1" t="shared" si="516"/>
        <v>#VALUE!</v>
      </c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6"/>
      <c r="Z2060" s="133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5"/>
      <c r="AO2060" s="115"/>
      <c r="AP2060" s="115"/>
      <c r="AQ2060" s="93"/>
      <c r="AR2060" s="93"/>
      <c r="AS2060" s="94"/>
      <c r="AT2060" s="95"/>
      <c r="AU2060" s="79"/>
      <c r="AV2060" s="117"/>
      <c r="AW2060" s="115"/>
      <c r="AX2060" s="106"/>
      <c r="AY2060" s="104"/>
      <c r="AZ2060" s="105"/>
    </row>
    <row r="2061" customHeight="1" spans="1:52">
      <c r="A2061" s="70">
        <v>2078</v>
      </c>
      <c r="B2061" s="70" t="s">
        <v>134</v>
      </c>
      <c r="C2061" s="70" t="s">
        <v>38</v>
      </c>
      <c r="D2061" s="71" t="s">
        <v>5272</v>
      </c>
      <c r="E2061" s="71" t="s">
        <v>526</v>
      </c>
      <c r="F2061" s="72"/>
      <c r="G2061" s="73"/>
      <c r="H2061" s="75"/>
      <c r="I2061" s="102">
        <v>46254</v>
      </c>
      <c r="J2061" s="70">
        <v>3</v>
      </c>
      <c r="K2061" s="106" t="s">
        <v>5273</v>
      </c>
      <c r="L2061" s="104">
        <f t="shared" si="515"/>
        <v>46346</v>
      </c>
      <c r="M2061" s="105">
        <f ca="1" t="shared" si="516"/>
        <v>33</v>
      </c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6"/>
      <c r="Z2061" s="133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5"/>
      <c r="AO2061" s="115"/>
      <c r="AP2061" s="115"/>
      <c r="AQ2061" s="93"/>
      <c r="AR2061" s="93"/>
      <c r="AS2061" s="94"/>
      <c r="AT2061" s="95"/>
      <c r="AU2061" s="79"/>
      <c r="AV2061" s="117"/>
      <c r="AW2061" s="115"/>
      <c r="AX2061" s="106"/>
      <c r="AY2061" s="104"/>
      <c r="AZ2061" s="105"/>
    </row>
    <row r="2062" customHeight="1" spans="1:52">
      <c r="A2062" s="70">
        <v>2079</v>
      </c>
      <c r="B2062" s="70" t="s">
        <v>263</v>
      </c>
      <c r="C2062" s="70" t="s">
        <v>264</v>
      </c>
      <c r="D2062" s="71" t="s">
        <v>2433</v>
      </c>
      <c r="E2062" s="71" t="s">
        <v>753</v>
      </c>
      <c r="F2062" s="72"/>
      <c r="G2062" s="73"/>
      <c r="H2062" s="75"/>
      <c r="I2062" s="102">
        <v>46254</v>
      </c>
      <c r="J2062" s="70" t="s">
        <v>767</v>
      </c>
      <c r="K2062" s="106"/>
      <c r="L2062" s="104" t="e">
        <f t="shared" ref="L2062:L2068" si="517">EDATE(I2062,J2062)</f>
        <v>#VALUE!</v>
      </c>
      <c r="M2062" s="105" t="e">
        <f ca="1" t="shared" ref="M2062:M2068" si="518">L2062-TODAY()</f>
        <v>#VALUE!</v>
      </c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6"/>
      <c r="Z2062" s="133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5"/>
      <c r="AO2062" s="115"/>
      <c r="AP2062" s="115"/>
      <c r="AQ2062" s="93"/>
      <c r="AR2062" s="93"/>
      <c r="AS2062" s="94"/>
      <c r="AT2062" s="95"/>
      <c r="AU2062" s="79"/>
      <c r="AV2062" s="117"/>
      <c r="AW2062" s="115"/>
      <c r="AX2062" s="106"/>
      <c r="AY2062" s="104"/>
      <c r="AZ2062" s="105"/>
    </row>
    <row r="2063" customHeight="1" spans="1:52">
      <c r="A2063" s="70">
        <v>2080</v>
      </c>
      <c r="B2063" s="108" t="s">
        <v>3780</v>
      </c>
      <c r="C2063" s="70" t="s">
        <v>264</v>
      </c>
      <c r="D2063" s="108" t="s">
        <v>367</v>
      </c>
      <c r="E2063" s="71" t="s">
        <v>4334</v>
      </c>
      <c r="F2063" s="72"/>
      <c r="G2063" s="73"/>
      <c r="H2063" s="75"/>
      <c r="I2063" s="102">
        <v>46255</v>
      </c>
      <c r="J2063" s="70" t="s">
        <v>767</v>
      </c>
      <c r="K2063" s="106"/>
      <c r="L2063" s="104" t="e">
        <f t="shared" si="517"/>
        <v>#VALUE!</v>
      </c>
      <c r="M2063" s="105" t="e">
        <f ca="1" t="shared" si="518"/>
        <v>#VALUE!</v>
      </c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6"/>
      <c r="Z2063" s="133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5"/>
      <c r="AO2063" s="115"/>
      <c r="AP2063" s="115"/>
      <c r="AQ2063" s="93"/>
      <c r="AR2063" s="93"/>
      <c r="AS2063" s="94"/>
      <c r="AT2063" s="95"/>
      <c r="AU2063" s="79"/>
      <c r="AV2063" s="117"/>
      <c r="AW2063" s="115"/>
      <c r="AX2063" s="106"/>
      <c r="AY2063" s="104"/>
      <c r="AZ2063" s="105"/>
    </row>
    <row r="2064" customHeight="1" spans="1:52">
      <c r="A2064" s="70">
        <v>2081</v>
      </c>
      <c r="B2064" s="108" t="s">
        <v>281</v>
      </c>
      <c r="C2064" s="70" t="s">
        <v>264</v>
      </c>
      <c r="D2064" s="108" t="s">
        <v>2618</v>
      </c>
      <c r="E2064" s="71" t="s">
        <v>364</v>
      </c>
      <c r="F2064" s="72"/>
      <c r="G2064" s="73"/>
      <c r="H2064" s="75"/>
      <c r="I2064" s="102">
        <v>46255</v>
      </c>
      <c r="J2064" s="70" t="s">
        <v>767</v>
      </c>
      <c r="K2064" s="106"/>
      <c r="L2064" s="104" t="e">
        <f t="shared" si="517"/>
        <v>#VALUE!</v>
      </c>
      <c r="M2064" s="105" t="e">
        <f ca="1" t="shared" si="518"/>
        <v>#VALUE!</v>
      </c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6"/>
      <c r="Z2064" s="133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5"/>
      <c r="AO2064" s="115"/>
      <c r="AP2064" s="115"/>
      <c r="AQ2064" s="93"/>
      <c r="AR2064" s="93"/>
      <c r="AS2064" s="94"/>
      <c r="AT2064" s="95"/>
      <c r="AU2064" s="79"/>
      <c r="AV2064" s="117"/>
      <c r="AW2064" s="115"/>
      <c r="AX2064" s="106"/>
      <c r="AY2064" s="104"/>
      <c r="AZ2064" s="105"/>
    </row>
    <row r="2065" customHeight="1" spans="1:52">
      <c r="A2065" s="70">
        <v>2082</v>
      </c>
      <c r="B2065" s="108" t="s">
        <v>281</v>
      </c>
      <c r="C2065" s="70" t="s">
        <v>264</v>
      </c>
      <c r="D2065" s="108" t="s">
        <v>2518</v>
      </c>
      <c r="E2065" s="71" t="s">
        <v>5218</v>
      </c>
      <c r="F2065" s="72"/>
      <c r="G2065" s="73"/>
      <c r="H2065" s="75"/>
      <c r="I2065" s="102">
        <v>46255</v>
      </c>
      <c r="J2065" s="70" t="s">
        <v>767</v>
      </c>
      <c r="K2065" s="106"/>
      <c r="L2065" s="104" t="e">
        <f t="shared" si="517"/>
        <v>#VALUE!</v>
      </c>
      <c r="M2065" s="105" t="e">
        <f ca="1" t="shared" si="518"/>
        <v>#VALUE!</v>
      </c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6"/>
      <c r="Z2065" s="133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5"/>
      <c r="AO2065" s="115"/>
      <c r="AP2065" s="115"/>
      <c r="AQ2065" s="93"/>
      <c r="AR2065" s="93"/>
      <c r="AS2065" s="94"/>
      <c r="AT2065" s="95"/>
      <c r="AU2065" s="79"/>
      <c r="AV2065" s="117"/>
      <c r="AW2065" s="115"/>
      <c r="AX2065" s="106"/>
      <c r="AY2065" s="104"/>
      <c r="AZ2065" s="105"/>
    </row>
    <row r="2066" customHeight="1" spans="1:52">
      <c r="A2066" s="70">
        <v>2083</v>
      </c>
      <c r="B2066" s="108" t="s">
        <v>281</v>
      </c>
      <c r="C2066" s="70" t="s">
        <v>264</v>
      </c>
      <c r="D2066" s="108" t="s">
        <v>2417</v>
      </c>
      <c r="E2066" s="71" t="s">
        <v>2418</v>
      </c>
      <c r="F2066" s="72"/>
      <c r="G2066" s="73"/>
      <c r="H2066" s="75"/>
      <c r="I2066" s="102">
        <v>46255</v>
      </c>
      <c r="J2066" s="70" t="s">
        <v>767</v>
      </c>
      <c r="K2066" s="106"/>
      <c r="L2066" s="104" t="e">
        <f t="shared" si="517"/>
        <v>#VALUE!</v>
      </c>
      <c r="M2066" s="105" t="e">
        <f ca="1" t="shared" si="518"/>
        <v>#VALUE!</v>
      </c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6"/>
      <c r="Z2066" s="133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5"/>
      <c r="AO2066" s="115"/>
      <c r="AP2066" s="115"/>
      <c r="AQ2066" s="93"/>
      <c r="AR2066" s="93"/>
      <c r="AS2066" s="94"/>
      <c r="AT2066" s="95"/>
      <c r="AU2066" s="79"/>
      <c r="AV2066" s="117"/>
      <c r="AW2066" s="115"/>
      <c r="AX2066" s="106"/>
      <c r="AY2066" s="104"/>
      <c r="AZ2066" s="105"/>
    </row>
    <row r="2067" customHeight="1" spans="1:52">
      <c r="A2067" s="70">
        <v>2084</v>
      </c>
      <c r="B2067" s="108" t="s">
        <v>281</v>
      </c>
      <c r="C2067" s="70" t="s">
        <v>264</v>
      </c>
      <c r="D2067" s="108" t="s">
        <v>2422</v>
      </c>
      <c r="E2067" s="71" t="s">
        <v>2423</v>
      </c>
      <c r="F2067" s="72"/>
      <c r="G2067" s="73"/>
      <c r="H2067" s="75"/>
      <c r="I2067" s="102">
        <v>46255</v>
      </c>
      <c r="J2067" s="70" t="s">
        <v>767</v>
      </c>
      <c r="K2067" s="106"/>
      <c r="L2067" s="104" t="e">
        <f t="shared" si="517"/>
        <v>#VALUE!</v>
      </c>
      <c r="M2067" s="105" t="e">
        <f ca="1" t="shared" si="518"/>
        <v>#VALUE!</v>
      </c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6"/>
      <c r="Z2067" s="133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5"/>
      <c r="AO2067" s="115"/>
      <c r="AP2067" s="115"/>
      <c r="AQ2067" s="93"/>
      <c r="AR2067" s="93"/>
      <c r="AS2067" s="94"/>
      <c r="AT2067" s="95"/>
      <c r="AU2067" s="79"/>
      <c r="AV2067" s="117"/>
      <c r="AW2067" s="115"/>
      <c r="AX2067" s="106"/>
      <c r="AY2067" s="104"/>
      <c r="AZ2067" s="105"/>
    </row>
    <row r="2068" customHeight="1" spans="1:52">
      <c r="A2068" s="70">
        <v>2085</v>
      </c>
      <c r="B2068" s="108" t="s">
        <v>281</v>
      </c>
      <c r="C2068" s="70" t="s">
        <v>264</v>
      </c>
      <c r="D2068" s="108" t="s">
        <v>287</v>
      </c>
      <c r="E2068" s="71" t="s">
        <v>2516</v>
      </c>
      <c r="F2068" s="72"/>
      <c r="G2068" s="73"/>
      <c r="H2068" s="75"/>
      <c r="I2068" s="102">
        <v>46255</v>
      </c>
      <c r="J2068" s="70" t="s">
        <v>767</v>
      </c>
      <c r="K2068" s="106"/>
      <c r="L2068" s="104" t="e">
        <f t="shared" si="517"/>
        <v>#VALUE!</v>
      </c>
      <c r="M2068" s="105" t="e">
        <f ca="1" t="shared" si="518"/>
        <v>#VALUE!</v>
      </c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6"/>
      <c r="Z2068" s="133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5"/>
      <c r="AO2068" s="115"/>
      <c r="AP2068" s="115"/>
      <c r="AQ2068" s="93"/>
      <c r="AR2068" s="93"/>
      <c r="AS2068" s="94"/>
      <c r="AT2068" s="95"/>
      <c r="AU2068" s="79"/>
      <c r="AV2068" s="117"/>
      <c r="AW2068" s="115"/>
      <c r="AX2068" s="106"/>
      <c r="AY2068" s="104"/>
      <c r="AZ2068" s="105"/>
    </row>
    <row r="2069" customHeight="1" spans="1:52">
      <c r="A2069" s="70">
        <v>2086</v>
      </c>
      <c r="B2069" s="108" t="s">
        <v>4781</v>
      </c>
      <c r="C2069" s="70" t="s">
        <v>264</v>
      </c>
      <c r="D2069" s="108" t="s">
        <v>5274</v>
      </c>
      <c r="E2069" s="71" t="s">
        <v>4783</v>
      </c>
      <c r="F2069" s="72"/>
      <c r="G2069" s="73"/>
      <c r="H2069" s="75"/>
      <c r="I2069" s="102">
        <v>46256</v>
      </c>
      <c r="J2069" s="70">
        <v>3</v>
      </c>
      <c r="K2069" s="106" t="s">
        <v>5275</v>
      </c>
      <c r="L2069" s="104">
        <f t="shared" ref="L2069:L2091" si="519">EDATE(I2069,J2069)</f>
        <v>46348</v>
      </c>
      <c r="M2069" s="105">
        <f ca="1" t="shared" ref="M2069:M2091" si="520">L2069-TODAY()</f>
        <v>35</v>
      </c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6"/>
      <c r="Z2069" s="133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5"/>
      <c r="AO2069" s="115"/>
      <c r="AP2069" s="115"/>
      <c r="AQ2069" s="93"/>
      <c r="AR2069" s="93"/>
      <c r="AS2069" s="94"/>
      <c r="AT2069" s="95"/>
      <c r="AU2069" s="79"/>
      <c r="AV2069" s="117"/>
      <c r="AW2069" s="115"/>
      <c r="AX2069" s="106"/>
      <c r="AY2069" s="104"/>
      <c r="AZ2069" s="105"/>
    </row>
    <row r="2070" customHeight="1" spans="1:52">
      <c r="A2070" s="70">
        <v>2087</v>
      </c>
      <c r="B2070" s="108" t="s">
        <v>3804</v>
      </c>
      <c r="C2070" s="70" t="s">
        <v>264</v>
      </c>
      <c r="D2070" s="108" t="s">
        <v>5276</v>
      </c>
      <c r="E2070" s="71" t="s">
        <v>5277</v>
      </c>
      <c r="F2070" s="72"/>
      <c r="G2070" s="73"/>
      <c r="H2070" s="75"/>
      <c r="I2070" s="102">
        <v>46256</v>
      </c>
      <c r="J2070" s="70">
        <v>3</v>
      </c>
      <c r="K2070" s="106" t="s">
        <v>5278</v>
      </c>
      <c r="L2070" s="104">
        <f t="shared" si="519"/>
        <v>46348</v>
      </c>
      <c r="M2070" s="105">
        <f ca="1" t="shared" si="520"/>
        <v>35</v>
      </c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6"/>
      <c r="Z2070" s="133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5"/>
      <c r="AO2070" s="115"/>
      <c r="AP2070" s="115"/>
      <c r="AQ2070" s="93"/>
      <c r="AR2070" s="93"/>
      <c r="AS2070" s="94"/>
      <c r="AT2070" s="95"/>
      <c r="AU2070" s="79"/>
      <c r="AV2070" s="117"/>
      <c r="AW2070" s="115"/>
      <c r="AX2070" s="106"/>
      <c r="AY2070" s="104"/>
      <c r="AZ2070" s="105"/>
    </row>
    <row r="2071" customHeight="1" spans="1:52">
      <c r="A2071" s="70">
        <v>2088</v>
      </c>
      <c r="B2071" s="108" t="s">
        <v>3804</v>
      </c>
      <c r="C2071" s="70" t="s">
        <v>264</v>
      </c>
      <c r="D2071" s="108" t="s">
        <v>5279</v>
      </c>
      <c r="E2071" s="71" t="s">
        <v>5280</v>
      </c>
      <c r="F2071" s="72"/>
      <c r="G2071" s="73"/>
      <c r="H2071" s="75"/>
      <c r="I2071" s="102">
        <v>46256</v>
      </c>
      <c r="J2071" s="70">
        <v>3</v>
      </c>
      <c r="K2071" s="106" t="s">
        <v>5281</v>
      </c>
      <c r="L2071" s="104">
        <f t="shared" si="519"/>
        <v>46348</v>
      </c>
      <c r="M2071" s="105">
        <f ca="1" t="shared" si="520"/>
        <v>35</v>
      </c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6"/>
      <c r="Z2071" s="133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5"/>
      <c r="AO2071" s="115"/>
      <c r="AP2071" s="115"/>
      <c r="AQ2071" s="93"/>
      <c r="AR2071" s="93"/>
      <c r="AS2071" s="94"/>
      <c r="AT2071" s="95"/>
      <c r="AU2071" s="79"/>
      <c r="AV2071" s="117"/>
      <c r="AW2071" s="115"/>
      <c r="AX2071" s="106"/>
      <c r="AY2071" s="104"/>
      <c r="AZ2071" s="105"/>
    </row>
    <row r="2072" customHeight="1" spans="1:52">
      <c r="A2072" s="70">
        <v>2089</v>
      </c>
      <c r="B2072" s="108" t="s">
        <v>2552</v>
      </c>
      <c r="C2072" s="70" t="s">
        <v>264</v>
      </c>
      <c r="D2072" s="108" t="s">
        <v>5282</v>
      </c>
      <c r="E2072" s="71" t="s">
        <v>277</v>
      </c>
      <c r="F2072" s="72"/>
      <c r="G2072" s="73"/>
      <c r="H2072" s="75"/>
      <c r="I2072" s="102">
        <v>46256</v>
      </c>
      <c r="J2072" s="70">
        <v>3</v>
      </c>
      <c r="K2072" s="106" t="s">
        <v>5283</v>
      </c>
      <c r="L2072" s="104">
        <f t="shared" si="519"/>
        <v>46348</v>
      </c>
      <c r="M2072" s="105">
        <f ca="1" t="shared" si="520"/>
        <v>35</v>
      </c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6"/>
      <c r="Z2072" s="133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5"/>
      <c r="AO2072" s="115"/>
      <c r="AP2072" s="115"/>
      <c r="AQ2072" s="93"/>
      <c r="AR2072" s="93"/>
      <c r="AS2072" s="94"/>
      <c r="AT2072" s="95"/>
      <c r="AU2072" s="79"/>
      <c r="AV2072" s="117"/>
      <c r="AW2072" s="115"/>
      <c r="AX2072" s="106"/>
      <c r="AY2072" s="104"/>
      <c r="AZ2072" s="105"/>
    </row>
    <row r="2073" customHeight="1" spans="1:52">
      <c r="A2073" s="70">
        <v>2090</v>
      </c>
      <c r="B2073" s="108" t="s">
        <v>2894</v>
      </c>
      <c r="C2073" s="70" t="s">
        <v>374</v>
      </c>
      <c r="D2073" s="108" t="s">
        <v>5284</v>
      </c>
      <c r="E2073" s="71" t="s">
        <v>680</v>
      </c>
      <c r="F2073" s="72"/>
      <c r="G2073" s="73"/>
      <c r="H2073" s="74" t="s">
        <v>16</v>
      </c>
      <c r="I2073" s="102">
        <v>46256</v>
      </c>
      <c r="J2073" s="70">
        <v>3</v>
      </c>
      <c r="K2073" s="106" t="s">
        <v>5285</v>
      </c>
      <c r="L2073" s="104">
        <f t="shared" si="519"/>
        <v>46348</v>
      </c>
      <c r="M2073" s="105">
        <f ca="1" t="shared" si="520"/>
        <v>35</v>
      </c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6"/>
      <c r="Z2073" s="133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5"/>
      <c r="AO2073" s="115"/>
      <c r="AP2073" s="115"/>
      <c r="AQ2073" s="93"/>
      <c r="AR2073" s="93"/>
      <c r="AS2073" s="94"/>
      <c r="AT2073" s="95"/>
      <c r="AU2073" s="79"/>
      <c r="AV2073" s="117"/>
      <c r="AW2073" s="115"/>
      <c r="AX2073" s="106"/>
      <c r="AY2073" s="104"/>
      <c r="AZ2073" s="105"/>
    </row>
    <row r="2074" customHeight="1" spans="1:52">
      <c r="A2074" s="70">
        <v>2091</v>
      </c>
      <c r="B2074" s="108" t="s">
        <v>1409</v>
      </c>
      <c r="C2074" s="70" t="s">
        <v>374</v>
      </c>
      <c r="D2074" s="108" t="s">
        <v>5286</v>
      </c>
      <c r="E2074" s="71" t="s">
        <v>548</v>
      </c>
      <c r="F2074" s="72"/>
      <c r="G2074" s="73"/>
      <c r="H2074" s="74" t="s">
        <v>16</v>
      </c>
      <c r="I2074" s="102">
        <v>46256</v>
      </c>
      <c r="J2074" s="70">
        <v>3</v>
      </c>
      <c r="K2074" s="106" t="s">
        <v>5287</v>
      </c>
      <c r="L2074" s="104">
        <f t="shared" si="519"/>
        <v>46348</v>
      </c>
      <c r="M2074" s="105">
        <f ca="1" t="shared" si="520"/>
        <v>35</v>
      </c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6"/>
      <c r="Z2074" s="133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5"/>
      <c r="AO2074" s="115"/>
      <c r="AP2074" s="115"/>
      <c r="AQ2074" s="93"/>
      <c r="AR2074" s="93"/>
      <c r="AS2074" s="94"/>
      <c r="AT2074" s="95"/>
      <c r="AU2074" s="79"/>
      <c r="AV2074" s="117"/>
      <c r="AW2074" s="115"/>
      <c r="AX2074" s="106"/>
      <c r="AY2074" s="104"/>
      <c r="AZ2074" s="105"/>
    </row>
    <row r="2075" customHeight="1" spans="1:52">
      <c r="A2075" s="70">
        <v>2092</v>
      </c>
      <c r="B2075" s="108" t="s">
        <v>1409</v>
      </c>
      <c r="C2075" s="70" t="s">
        <v>374</v>
      </c>
      <c r="D2075" s="108" t="s">
        <v>5288</v>
      </c>
      <c r="E2075" s="71" t="s">
        <v>548</v>
      </c>
      <c r="F2075" s="72"/>
      <c r="G2075" s="73"/>
      <c r="H2075" s="74" t="s">
        <v>16</v>
      </c>
      <c r="I2075" s="102">
        <v>46256</v>
      </c>
      <c r="J2075" s="70">
        <v>3</v>
      </c>
      <c r="K2075" s="106" t="s">
        <v>5289</v>
      </c>
      <c r="L2075" s="104">
        <f t="shared" si="519"/>
        <v>46348</v>
      </c>
      <c r="M2075" s="105">
        <f ca="1" t="shared" si="520"/>
        <v>35</v>
      </c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6"/>
      <c r="Z2075" s="133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5"/>
      <c r="AO2075" s="115"/>
      <c r="AP2075" s="115"/>
      <c r="AQ2075" s="93"/>
      <c r="AR2075" s="93"/>
      <c r="AS2075" s="94"/>
      <c r="AT2075" s="95"/>
      <c r="AU2075" s="79"/>
      <c r="AV2075" s="117"/>
      <c r="AW2075" s="115"/>
      <c r="AX2075" s="106"/>
      <c r="AY2075" s="104"/>
      <c r="AZ2075" s="105"/>
    </row>
    <row r="2076" customHeight="1" spans="1:52">
      <c r="A2076" s="70">
        <v>2093</v>
      </c>
      <c r="B2076" s="70" t="s">
        <v>782</v>
      </c>
      <c r="C2076" s="70" t="s">
        <v>374</v>
      </c>
      <c r="D2076" s="71" t="s">
        <v>5290</v>
      </c>
      <c r="E2076" s="71" t="s">
        <v>3027</v>
      </c>
      <c r="F2076" s="72"/>
      <c r="G2076" s="73"/>
      <c r="H2076" s="74" t="s">
        <v>16</v>
      </c>
      <c r="I2076" s="102">
        <v>46256</v>
      </c>
      <c r="J2076" s="70">
        <v>3</v>
      </c>
      <c r="K2076" s="106" t="s">
        <v>5291</v>
      </c>
      <c r="L2076" s="104">
        <f t="shared" si="519"/>
        <v>46348</v>
      </c>
      <c r="M2076" s="105">
        <f ca="1" t="shared" si="520"/>
        <v>35</v>
      </c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6"/>
      <c r="Z2076" s="133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5"/>
      <c r="AO2076" s="115"/>
      <c r="AP2076" s="115"/>
      <c r="AQ2076" s="93"/>
      <c r="AR2076" s="93"/>
      <c r="AS2076" s="94"/>
      <c r="AT2076" s="95"/>
      <c r="AU2076" s="79"/>
      <c r="AV2076" s="117"/>
      <c r="AW2076" s="115"/>
      <c r="AX2076" s="106"/>
      <c r="AY2076" s="104"/>
      <c r="AZ2076" s="105"/>
    </row>
    <row r="2077" customHeight="1" spans="1:52">
      <c r="A2077" s="70">
        <v>2094</v>
      </c>
      <c r="B2077" s="70" t="s">
        <v>782</v>
      </c>
      <c r="C2077" s="70" t="s">
        <v>374</v>
      </c>
      <c r="D2077" s="71" t="s">
        <v>5292</v>
      </c>
      <c r="E2077" s="71" t="s">
        <v>2946</v>
      </c>
      <c r="F2077" s="72"/>
      <c r="G2077" s="73"/>
      <c r="H2077" s="74" t="s">
        <v>16</v>
      </c>
      <c r="I2077" s="102">
        <v>46256</v>
      </c>
      <c r="J2077" s="70">
        <v>3</v>
      </c>
      <c r="K2077" s="106" t="s">
        <v>5293</v>
      </c>
      <c r="L2077" s="104">
        <f t="shared" si="519"/>
        <v>46348</v>
      </c>
      <c r="M2077" s="105">
        <f ca="1" t="shared" si="520"/>
        <v>35</v>
      </c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6"/>
      <c r="Z2077" s="133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5"/>
      <c r="AO2077" s="115"/>
      <c r="AP2077" s="115"/>
      <c r="AQ2077" s="93"/>
      <c r="AR2077" s="93"/>
      <c r="AS2077" s="94"/>
      <c r="AT2077" s="95"/>
      <c r="AU2077" s="79"/>
      <c r="AV2077" s="117"/>
      <c r="AW2077" s="115"/>
      <c r="AX2077" s="106"/>
      <c r="AY2077" s="104"/>
      <c r="AZ2077" s="105"/>
    </row>
    <row r="2078" customHeight="1" spans="1:52">
      <c r="A2078" s="70">
        <v>2095</v>
      </c>
      <c r="B2078" s="70" t="s">
        <v>5294</v>
      </c>
      <c r="C2078" s="70" t="s">
        <v>374</v>
      </c>
      <c r="D2078" s="71" t="s">
        <v>5295</v>
      </c>
      <c r="E2078" s="71" t="s">
        <v>680</v>
      </c>
      <c r="F2078" s="72"/>
      <c r="G2078" s="73"/>
      <c r="H2078" s="74" t="s">
        <v>16</v>
      </c>
      <c r="I2078" s="102">
        <v>46256</v>
      </c>
      <c r="J2078" s="70">
        <v>3</v>
      </c>
      <c r="K2078" s="106" t="s">
        <v>5296</v>
      </c>
      <c r="L2078" s="104">
        <f t="shared" si="519"/>
        <v>46348</v>
      </c>
      <c r="M2078" s="105">
        <f ca="1" t="shared" si="520"/>
        <v>35</v>
      </c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6"/>
      <c r="Z2078" s="133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5"/>
      <c r="AO2078" s="115"/>
      <c r="AP2078" s="115"/>
      <c r="AQ2078" s="93"/>
      <c r="AR2078" s="93"/>
      <c r="AS2078" s="94"/>
      <c r="AT2078" s="95"/>
      <c r="AU2078" s="79"/>
      <c r="AV2078" s="117"/>
      <c r="AW2078" s="115"/>
      <c r="AX2078" s="106"/>
      <c r="AY2078" s="104"/>
      <c r="AZ2078" s="105"/>
    </row>
    <row r="2079" customHeight="1" spans="1:52">
      <c r="A2079" s="70">
        <v>2096</v>
      </c>
      <c r="B2079" s="108" t="s">
        <v>5297</v>
      </c>
      <c r="C2079" s="70" t="s">
        <v>374</v>
      </c>
      <c r="D2079" s="108" t="s">
        <v>5298</v>
      </c>
      <c r="E2079" s="71" t="s">
        <v>568</v>
      </c>
      <c r="F2079" s="72"/>
      <c r="G2079" s="73"/>
      <c r="H2079" s="74" t="s">
        <v>16</v>
      </c>
      <c r="I2079" s="102">
        <v>46256</v>
      </c>
      <c r="J2079" s="70">
        <v>3</v>
      </c>
      <c r="K2079" s="106" t="s">
        <v>5299</v>
      </c>
      <c r="L2079" s="104">
        <f t="shared" si="519"/>
        <v>46348</v>
      </c>
      <c r="M2079" s="105">
        <f ca="1" t="shared" si="520"/>
        <v>35</v>
      </c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6"/>
      <c r="Z2079" s="133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5"/>
      <c r="AO2079" s="115"/>
      <c r="AP2079" s="115"/>
      <c r="AQ2079" s="93"/>
      <c r="AR2079" s="93"/>
      <c r="AS2079" s="94"/>
      <c r="AT2079" s="95"/>
      <c r="AU2079" s="79"/>
      <c r="AV2079" s="117"/>
      <c r="AW2079" s="115"/>
      <c r="AX2079" s="106"/>
      <c r="AY2079" s="104"/>
      <c r="AZ2079" s="105"/>
    </row>
    <row r="2080" customHeight="1" spans="1:52">
      <c r="A2080" s="70">
        <v>2097</v>
      </c>
      <c r="B2080" s="108" t="s">
        <v>5297</v>
      </c>
      <c r="C2080" s="70" t="s">
        <v>374</v>
      </c>
      <c r="D2080" s="108" t="s">
        <v>5300</v>
      </c>
      <c r="E2080" s="71" t="s">
        <v>568</v>
      </c>
      <c r="F2080" s="72"/>
      <c r="G2080" s="73"/>
      <c r="H2080" s="74" t="s">
        <v>16</v>
      </c>
      <c r="I2080" s="102">
        <v>46256</v>
      </c>
      <c r="J2080" s="70">
        <v>3</v>
      </c>
      <c r="K2080" s="106" t="s">
        <v>5301</v>
      </c>
      <c r="L2080" s="104">
        <f t="shared" si="519"/>
        <v>46348</v>
      </c>
      <c r="M2080" s="105">
        <f ca="1" t="shared" si="520"/>
        <v>35</v>
      </c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6"/>
      <c r="Z2080" s="133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5"/>
      <c r="AO2080" s="115"/>
      <c r="AP2080" s="115"/>
      <c r="AQ2080" s="93"/>
      <c r="AR2080" s="93"/>
      <c r="AS2080" s="94"/>
      <c r="AT2080" s="95"/>
      <c r="AU2080" s="79"/>
      <c r="AV2080" s="117"/>
      <c r="AW2080" s="115"/>
      <c r="AX2080" s="106"/>
      <c r="AY2080" s="104"/>
      <c r="AZ2080" s="105"/>
    </row>
    <row r="2081" customHeight="1" spans="1:52">
      <c r="A2081" s="70">
        <v>2098</v>
      </c>
      <c r="B2081" s="108" t="s">
        <v>5297</v>
      </c>
      <c r="C2081" s="70" t="s">
        <v>374</v>
      </c>
      <c r="D2081" s="108" t="s">
        <v>5302</v>
      </c>
      <c r="E2081" s="71" t="s">
        <v>568</v>
      </c>
      <c r="F2081" s="72"/>
      <c r="G2081" s="73"/>
      <c r="H2081" s="74" t="s">
        <v>16</v>
      </c>
      <c r="I2081" s="102">
        <v>46256</v>
      </c>
      <c r="J2081" s="70">
        <v>3</v>
      </c>
      <c r="K2081" s="106" t="s">
        <v>5303</v>
      </c>
      <c r="L2081" s="104">
        <f t="shared" si="519"/>
        <v>46348</v>
      </c>
      <c r="M2081" s="105">
        <f ca="1" t="shared" si="520"/>
        <v>35</v>
      </c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6"/>
      <c r="Z2081" s="133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5"/>
      <c r="AO2081" s="115"/>
      <c r="AP2081" s="115"/>
      <c r="AQ2081" s="93"/>
      <c r="AR2081" s="93"/>
      <c r="AS2081" s="94"/>
      <c r="AT2081" s="95"/>
      <c r="AU2081" s="79"/>
      <c r="AV2081" s="117"/>
      <c r="AW2081" s="115"/>
      <c r="AX2081" s="106"/>
      <c r="AY2081" s="104"/>
      <c r="AZ2081" s="105"/>
    </row>
    <row r="2082" customHeight="1" spans="1:52">
      <c r="A2082" s="70">
        <v>2099</v>
      </c>
      <c r="B2082" s="108" t="s">
        <v>5304</v>
      </c>
      <c r="C2082" s="70" t="s">
        <v>374</v>
      </c>
      <c r="D2082" s="108" t="s">
        <v>5305</v>
      </c>
      <c r="E2082" s="71" t="s">
        <v>883</v>
      </c>
      <c r="F2082" s="72"/>
      <c r="G2082" s="73"/>
      <c r="H2082" s="74" t="s">
        <v>16</v>
      </c>
      <c r="I2082" s="102">
        <v>46256</v>
      </c>
      <c r="J2082" s="70">
        <v>3</v>
      </c>
      <c r="K2082" s="106" t="s">
        <v>5306</v>
      </c>
      <c r="L2082" s="104">
        <f t="shared" si="519"/>
        <v>46348</v>
      </c>
      <c r="M2082" s="105">
        <f ca="1" t="shared" si="520"/>
        <v>35</v>
      </c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6"/>
      <c r="Z2082" s="133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5"/>
      <c r="AO2082" s="115"/>
      <c r="AP2082" s="115"/>
      <c r="AQ2082" s="93"/>
      <c r="AR2082" s="93"/>
      <c r="AS2082" s="94"/>
      <c r="AT2082" s="95"/>
      <c r="AU2082" s="79"/>
      <c r="AV2082" s="117"/>
      <c r="AW2082" s="115"/>
      <c r="AX2082" s="106"/>
      <c r="AY2082" s="104"/>
      <c r="AZ2082" s="105"/>
    </row>
    <row r="2083" customHeight="1" spans="1:52">
      <c r="A2083" s="70">
        <v>2100</v>
      </c>
      <c r="B2083" s="108" t="s">
        <v>263</v>
      </c>
      <c r="C2083" s="70" t="s">
        <v>264</v>
      </c>
      <c r="D2083" s="108" t="s">
        <v>2433</v>
      </c>
      <c r="E2083" s="71" t="s">
        <v>753</v>
      </c>
      <c r="F2083" s="72"/>
      <c r="G2083" s="73"/>
      <c r="H2083" s="75"/>
      <c r="I2083" s="102">
        <v>46256</v>
      </c>
      <c r="J2083" s="70" t="s">
        <v>767</v>
      </c>
      <c r="K2083" s="106"/>
      <c r="L2083" s="104" t="e">
        <f t="shared" si="519"/>
        <v>#VALUE!</v>
      </c>
      <c r="M2083" s="105" t="e">
        <f ca="1" t="shared" si="520"/>
        <v>#VALUE!</v>
      </c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6"/>
      <c r="Z2083" s="133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5"/>
      <c r="AO2083" s="115"/>
      <c r="AP2083" s="115"/>
      <c r="AQ2083" s="93"/>
      <c r="AR2083" s="93"/>
      <c r="AS2083" s="94"/>
      <c r="AT2083" s="95"/>
      <c r="AU2083" s="79"/>
      <c r="AV2083" s="117"/>
      <c r="AW2083" s="115"/>
      <c r="AX2083" s="106"/>
      <c r="AY2083" s="104"/>
      <c r="AZ2083" s="105"/>
    </row>
    <row r="2084" customHeight="1" spans="1:52">
      <c r="A2084" s="70">
        <v>2101</v>
      </c>
      <c r="B2084" s="108" t="s">
        <v>263</v>
      </c>
      <c r="C2084" s="70" t="s">
        <v>264</v>
      </c>
      <c r="D2084" s="108" t="s">
        <v>1922</v>
      </c>
      <c r="E2084" s="71" t="s">
        <v>753</v>
      </c>
      <c r="F2084" s="72"/>
      <c r="G2084" s="73"/>
      <c r="H2084" s="75"/>
      <c r="I2084" s="102">
        <v>46256</v>
      </c>
      <c r="J2084" s="70" t="s">
        <v>767</v>
      </c>
      <c r="K2084" s="106" t="s">
        <v>5307</v>
      </c>
      <c r="L2084" s="104" t="e">
        <f t="shared" si="519"/>
        <v>#VALUE!</v>
      </c>
      <c r="M2084" s="105" t="e">
        <f ca="1" t="shared" si="520"/>
        <v>#VALUE!</v>
      </c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6"/>
      <c r="Z2084" s="133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5"/>
      <c r="AO2084" s="115"/>
      <c r="AP2084" s="115"/>
      <c r="AQ2084" s="93"/>
      <c r="AR2084" s="93"/>
      <c r="AS2084" s="94"/>
      <c r="AT2084" s="95"/>
      <c r="AU2084" s="79"/>
      <c r="AV2084" s="117"/>
      <c r="AW2084" s="115"/>
      <c r="AX2084" s="106"/>
      <c r="AY2084" s="104"/>
      <c r="AZ2084" s="105"/>
    </row>
    <row r="2085" customHeight="1" spans="1:52">
      <c r="A2085" s="70">
        <v>2102</v>
      </c>
      <c r="B2085" s="108" t="s">
        <v>644</v>
      </c>
      <c r="C2085" s="70" t="s">
        <v>264</v>
      </c>
      <c r="D2085" s="108" t="s">
        <v>746</v>
      </c>
      <c r="E2085" s="71" t="s">
        <v>753</v>
      </c>
      <c r="F2085" s="72"/>
      <c r="G2085" s="73"/>
      <c r="H2085" s="75"/>
      <c r="I2085" s="102">
        <v>46256</v>
      </c>
      <c r="J2085" s="70" t="s">
        <v>767</v>
      </c>
      <c r="K2085" s="106"/>
      <c r="L2085" s="104" t="e">
        <f t="shared" si="519"/>
        <v>#VALUE!</v>
      </c>
      <c r="M2085" s="105" t="e">
        <f ca="1" t="shared" si="520"/>
        <v>#VALUE!</v>
      </c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6"/>
      <c r="Z2085" s="133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5"/>
      <c r="AO2085" s="115"/>
      <c r="AP2085" s="115"/>
      <c r="AQ2085" s="93"/>
      <c r="AR2085" s="93"/>
      <c r="AS2085" s="94"/>
      <c r="AT2085" s="95"/>
      <c r="AU2085" s="79"/>
      <c r="AV2085" s="117"/>
      <c r="AW2085" s="115"/>
      <c r="AX2085" s="106"/>
      <c r="AY2085" s="104"/>
      <c r="AZ2085" s="105"/>
    </row>
    <row r="2086" customHeight="1" spans="1:52">
      <c r="A2086" s="70">
        <v>2103</v>
      </c>
      <c r="B2086" s="108" t="s">
        <v>1918</v>
      </c>
      <c r="C2086" s="70" t="s">
        <v>264</v>
      </c>
      <c r="D2086" s="108" t="s">
        <v>955</v>
      </c>
      <c r="E2086" s="71" t="s">
        <v>753</v>
      </c>
      <c r="F2086" s="72"/>
      <c r="G2086" s="73"/>
      <c r="H2086" s="75"/>
      <c r="I2086" s="102">
        <v>46256</v>
      </c>
      <c r="J2086" s="70" t="s">
        <v>767</v>
      </c>
      <c r="K2086" s="106"/>
      <c r="L2086" s="104" t="e">
        <f t="shared" si="519"/>
        <v>#VALUE!</v>
      </c>
      <c r="M2086" s="105" t="e">
        <f ca="1" t="shared" si="520"/>
        <v>#VALUE!</v>
      </c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6"/>
      <c r="Z2086" s="133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5"/>
      <c r="AO2086" s="115"/>
      <c r="AP2086" s="115"/>
      <c r="AQ2086" s="93"/>
      <c r="AR2086" s="93"/>
      <c r="AS2086" s="94"/>
      <c r="AT2086" s="95"/>
      <c r="AU2086" s="79"/>
      <c r="AV2086" s="117"/>
      <c r="AW2086" s="115"/>
      <c r="AX2086" s="106"/>
      <c r="AY2086" s="104"/>
      <c r="AZ2086" s="105"/>
    </row>
    <row r="2087" customHeight="1" spans="1:52">
      <c r="A2087" s="70">
        <v>2104</v>
      </c>
      <c r="B2087" s="108" t="s">
        <v>281</v>
      </c>
      <c r="C2087" s="70" t="s">
        <v>264</v>
      </c>
      <c r="D2087" s="108" t="s">
        <v>4912</v>
      </c>
      <c r="E2087" s="71" t="s">
        <v>364</v>
      </c>
      <c r="F2087" s="72"/>
      <c r="G2087" s="73"/>
      <c r="H2087" s="75"/>
      <c r="I2087" s="102">
        <v>46256</v>
      </c>
      <c r="J2087" s="70" t="s">
        <v>767</v>
      </c>
      <c r="K2087" s="106"/>
      <c r="L2087" s="104" t="e">
        <f t="shared" si="519"/>
        <v>#VALUE!</v>
      </c>
      <c r="M2087" s="105" t="e">
        <f ca="1" t="shared" si="520"/>
        <v>#VALUE!</v>
      </c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6"/>
      <c r="Z2087" s="133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5"/>
      <c r="AO2087" s="115"/>
      <c r="AP2087" s="115"/>
      <c r="AQ2087" s="93"/>
      <c r="AR2087" s="93"/>
      <c r="AS2087" s="94"/>
      <c r="AT2087" s="95"/>
      <c r="AU2087" s="79"/>
      <c r="AV2087" s="117"/>
      <c r="AW2087" s="115"/>
      <c r="AX2087" s="106"/>
      <c r="AY2087" s="104"/>
      <c r="AZ2087" s="105"/>
    </row>
    <row r="2088" customHeight="1" spans="1:52">
      <c r="A2088" s="70">
        <v>2105</v>
      </c>
      <c r="B2088" s="108" t="s">
        <v>2191</v>
      </c>
      <c r="C2088" s="70" t="s">
        <v>38</v>
      </c>
      <c r="D2088" s="108" t="s">
        <v>5308</v>
      </c>
      <c r="E2088" s="71" t="s">
        <v>189</v>
      </c>
      <c r="F2088" s="72"/>
      <c r="G2088" s="73"/>
      <c r="H2088" s="75"/>
      <c r="I2088" s="102">
        <v>46257</v>
      </c>
      <c r="J2088" s="70">
        <v>3</v>
      </c>
      <c r="K2088" s="106" t="s">
        <v>5309</v>
      </c>
      <c r="L2088" s="104">
        <f t="shared" si="519"/>
        <v>46349</v>
      </c>
      <c r="M2088" s="105">
        <f ca="1" t="shared" si="520"/>
        <v>36</v>
      </c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6"/>
      <c r="Z2088" s="133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5"/>
      <c r="AO2088" s="115"/>
      <c r="AP2088" s="115"/>
      <c r="AQ2088" s="93"/>
      <c r="AR2088" s="93"/>
      <c r="AS2088" s="94"/>
      <c r="AT2088" s="95"/>
      <c r="AU2088" s="79"/>
      <c r="AV2088" s="117"/>
      <c r="AW2088" s="115"/>
      <c r="AX2088" s="106"/>
      <c r="AY2088" s="104"/>
      <c r="AZ2088" s="105"/>
    </row>
    <row r="2089" customHeight="1" spans="1:52">
      <c r="A2089" s="70">
        <v>2106</v>
      </c>
      <c r="B2089" s="108" t="s">
        <v>1275</v>
      </c>
      <c r="C2089" s="70" t="s">
        <v>13</v>
      </c>
      <c r="D2089" s="108" t="s">
        <v>5310</v>
      </c>
      <c r="E2089" s="71" t="s">
        <v>76</v>
      </c>
      <c r="F2089" s="72"/>
      <c r="G2089" s="73"/>
      <c r="H2089" s="75"/>
      <c r="I2089" s="102">
        <v>46257</v>
      </c>
      <c r="J2089" s="70">
        <v>3</v>
      </c>
      <c r="K2089" s="106" t="s">
        <v>5311</v>
      </c>
      <c r="L2089" s="104">
        <f t="shared" si="519"/>
        <v>46349</v>
      </c>
      <c r="M2089" s="105">
        <f ca="1" t="shared" si="520"/>
        <v>36</v>
      </c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6"/>
      <c r="Z2089" s="133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5"/>
      <c r="AO2089" s="115"/>
      <c r="AP2089" s="115"/>
      <c r="AQ2089" s="93"/>
      <c r="AR2089" s="93"/>
      <c r="AS2089" s="94"/>
      <c r="AT2089" s="95"/>
      <c r="AU2089" s="79"/>
      <c r="AV2089" s="117"/>
      <c r="AW2089" s="115"/>
      <c r="AX2089" s="106"/>
      <c r="AY2089" s="104"/>
      <c r="AZ2089" s="105"/>
    </row>
    <row r="2090" customHeight="1" spans="1:52">
      <c r="A2090" s="70">
        <v>2107</v>
      </c>
      <c r="B2090" s="108" t="s">
        <v>798</v>
      </c>
      <c r="C2090" s="70" t="s">
        <v>38</v>
      </c>
      <c r="D2090" s="108" t="s">
        <v>5312</v>
      </c>
      <c r="E2090" s="71" t="s">
        <v>332</v>
      </c>
      <c r="F2090" s="72"/>
      <c r="G2090" s="73"/>
      <c r="H2090" s="75"/>
      <c r="I2090" s="102">
        <v>46258</v>
      </c>
      <c r="J2090" s="70">
        <v>3</v>
      </c>
      <c r="K2090" s="106" t="s">
        <v>5313</v>
      </c>
      <c r="L2090" s="104">
        <f t="shared" si="519"/>
        <v>46350</v>
      </c>
      <c r="M2090" s="105">
        <f ca="1" t="shared" si="520"/>
        <v>37</v>
      </c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6"/>
      <c r="Z2090" s="133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5"/>
      <c r="AO2090" s="115"/>
      <c r="AP2090" s="115"/>
      <c r="AQ2090" s="93"/>
      <c r="AR2090" s="93"/>
      <c r="AS2090" s="94"/>
      <c r="AT2090" s="95"/>
      <c r="AU2090" s="79"/>
      <c r="AV2090" s="117"/>
      <c r="AW2090" s="115"/>
      <c r="AX2090" s="106"/>
      <c r="AY2090" s="104"/>
      <c r="AZ2090" s="105"/>
    </row>
    <row r="2091" customHeight="1" spans="1:52">
      <c r="A2091" s="70">
        <v>2108</v>
      </c>
      <c r="B2091" s="108" t="s">
        <v>3559</v>
      </c>
      <c r="C2091" s="70" t="s">
        <v>264</v>
      </c>
      <c r="D2091" s="108" t="s">
        <v>4695</v>
      </c>
      <c r="E2091" s="71" t="s">
        <v>4696</v>
      </c>
      <c r="F2091" s="72"/>
      <c r="G2091" s="73"/>
      <c r="H2091" s="75"/>
      <c r="I2091" s="102">
        <v>46258</v>
      </c>
      <c r="J2091" s="70" t="s">
        <v>767</v>
      </c>
      <c r="K2091" s="106" t="s">
        <v>5314</v>
      </c>
      <c r="L2091" s="104" t="e">
        <f t="shared" ref="L2091:L2102" si="521">EDATE(I2091,J2091)</f>
        <v>#VALUE!</v>
      </c>
      <c r="M2091" s="105" t="e">
        <f ca="1" t="shared" ref="M2091:M2102" si="522">L2091-TODAY()</f>
        <v>#VALUE!</v>
      </c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6"/>
      <c r="Z2091" s="133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5"/>
      <c r="AO2091" s="115"/>
      <c r="AP2091" s="115"/>
      <c r="AQ2091" s="93"/>
      <c r="AR2091" s="93"/>
      <c r="AS2091" s="94"/>
      <c r="AT2091" s="95"/>
      <c r="AU2091" s="79"/>
      <c r="AV2091" s="117"/>
      <c r="AW2091" s="115"/>
      <c r="AX2091" s="106"/>
      <c r="AY2091" s="104"/>
      <c r="AZ2091" s="105"/>
    </row>
    <row r="2092" customHeight="1" spans="1:52">
      <c r="A2092" s="70">
        <v>2109</v>
      </c>
      <c r="B2092" s="70" t="s">
        <v>134</v>
      </c>
      <c r="C2092" s="70" t="s">
        <v>13</v>
      </c>
      <c r="D2092" s="108" t="s">
        <v>5315</v>
      </c>
      <c r="E2092" s="71" t="s">
        <v>1126</v>
      </c>
      <c r="F2092" s="72"/>
      <c r="G2092" s="73"/>
      <c r="H2092" s="74" t="s">
        <v>16</v>
      </c>
      <c r="I2092" s="102">
        <v>46259</v>
      </c>
      <c r="J2092" s="70">
        <v>3</v>
      </c>
      <c r="K2092" s="106" t="s">
        <v>5316</v>
      </c>
      <c r="L2092" s="104">
        <f t="shared" si="521"/>
        <v>46351</v>
      </c>
      <c r="M2092" s="105">
        <f ca="1" t="shared" si="522"/>
        <v>38</v>
      </c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6"/>
      <c r="Z2092" s="133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5"/>
      <c r="AO2092" s="115"/>
      <c r="AP2092" s="115"/>
      <c r="AQ2092" s="93"/>
      <c r="AR2092" s="93"/>
      <c r="AS2092" s="94"/>
      <c r="AT2092" s="95"/>
      <c r="AU2092" s="79"/>
      <c r="AV2092" s="117"/>
      <c r="AW2092" s="115"/>
      <c r="AX2092" s="106"/>
      <c r="AY2092" s="104"/>
      <c r="AZ2092" s="105"/>
    </row>
    <row r="2093" customHeight="1" spans="1:52">
      <c r="A2093" s="70">
        <v>2110</v>
      </c>
      <c r="B2093" s="70" t="s">
        <v>134</v>
      </c>
      <c r="C2093" s="70" t="s">
        <v>38</v>
      </c>
      <c r="D2093" s="108" t="s">
        <v>5317</v>
      </c>
      <c r="E2093" s="71" t="s">
        <v>51</v>
      </c>
      <c r="F2093" s="72"/>
      <c r="G2093" s="73"/>
      <c r="H2093" s="75"/>
      <c r="I2093" s="102">
        <v>46259</v>
      </c>
      <c r="J2093" s="70">
        <v>3</v>
      </c>
      <c r="K2093" s="106" t="s">
        <v>5318</v>
      </c>
      <c r="L2093" s="104">
        <f t="shared" si="521"/>
        <v>46351</v>
      </c>
      <c r="M2093" s="105">
        <f ca="1" t="shared" si="522"/>
        <v>38</v>
      </c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6"/>
      <c r="Z2093" s="133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5"/>
      <c r="AO2093" s="115"/>
      <c r="AP2093" s="115"/>
      <c r="AQ2093" s="93"/>
      <c r="AR2093" s="93"/>
      <c r="AS2093" s="94"/>
      <c r="AT2093" s="95"/>
      <c r="AU2093" s="79"/>
      <c r="AV2093" s="117"/>
      <c r="AW2093" s="115"/>
      <c r="AX2093" s="106"/>
      <c r="AY2093" s="104"/>
      <c r="AZ2093" s="105"/>
    </row>
    <row r="2094" customHeight="1" spans="1:52">
      <c r="A2094" s="70">
        <v>2111</v>
      </c>
      <c r="B2094" s="108" t="s">
        <v>2191</v>
      </c>
      <c r="C2094" s="70" t="s">
        <v>38</v>
      </c>
      <c r="D2094" s="108" t="s">
        <v>5319</v>
      </c>
      <c r="E2094" s="71" t="s">
        <v>5320</v>
      </c>
      <c r="F2094" s="72"/>
      <c r="G2094" s="73"/>
      <c r="H2094" s="74" t="s">
        <v>16</v>
      </c>
      <c r="I2094" s="102">
        <v>46259</v>
      </c>
      <c r="J2094" s="70">
        <v>3</v>
      </c>
      <c r="K2094" s="106" t="s">
        <v>5321</v>
      </c>
      <c r="L2094" s="104">
        <f t="shared" si="521"/>
        <v>46351</v>
      </c>
      <c r="M2094" s="105">
        <f ca="1" t="shared" si="522"/>
        <v>38</v>
      </c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6"/>
      <c r="Z2094" s="133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5"/>
      <c r="AO2094" s="115"/>
      <c r="AP2094" s="115"/>
      <c r="AQ2094" s="93"/>
      <c r="AR2094" s="93"/>
      <c r="AS2094" s="94"/>
      <c r="AT2094" s="95"/>
      <c r="AU2094" s="79"/>
      <c r="AV2094" s="117"/>
      <c r="AW2094" s="115"/>
      <c r="AX2094" s="106"/>
      <c r="AY2094" s="104"/>
      <c r="AZ2094" s="105"/>
    </row>
    <row r="2095" customHeight="1" spans="1:52">
      <c r="A2095" s="70">
        <v>2112</v>
      </c>
      <c r="B2095" s="108" t="s">
        <v>2191</v>
      </c>
      <c r="C2095" s="70" t="s">
        <v>38</v>
      </c>
      <c r="D2095" s="108" t="s">
        <v>5322</v>
      </c>
      <c r="E2095" s="71" t="s">
        <v>189</v>
      </c>
      <c r="F2095" s="72"/>
      <c r="G2095" s="73"/>
      <c r="H2095" s="74" t="s">
        <v>16</v>
      </c>
      <c r="I2095" s="102">
        <v>46259</v>
      </c>
      <c r="J2095" s="70">
        <v>3</v>
      </c>
      <c r="K2095" s="106" t="s">
        <v>5323</v>
      </c>
      <c r="L2095" s="104">
        <f t="shared" si="521"/>
        <v>46351</v>
      </c>
      <c r="M2095" s="105">
        <f ca="1" t="shared" si="522"/>
        <v>38</v>
      </c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6"/>
      <c r="Z2095" s="133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5"/>
      <c r="AO2095" s="115"/>
      <c r="AP2095" s="115"/>
      <c r="AQ2095" s="93"/>
      <c r="AR2095" s="93"/>
      <c r="AS2095" s="94"/>
      <c r="AT2095" s="95"/>
      <c r="AU2095" s="79"/>
      <c r="AV2095" s="117"/>
      <c r="AW2095" s="115"/>
      <c r="AX2095" s="106"/>
      <c r="AY2095" s="104"/>
      <c r="AZ2095" s="105"/>
    </row>
    <row r="2096" customHeight="1" spans="1:52">
      <c r="A2096" s="70">
        <v>2113</v>
      </c>
      <c r="B2096" s="108" t="s">
        <v>2191</v>
      </c>
      <c r="C2096" s="70" t="s">
        <v>38</v>
      </c>
      <c r="D2096" s="108" t="s">
        <v>5324</v>
      </c>
      <c r="E2096" s="71" t="s">
        <v>5320</v>
      </c>
      <c r="F2096" s="72"/>
      <c r="G2096" s="73"/>
      <c r="H2096" s="74" t="s">
        <v>16</v>
      </c>
      <c r="I2096" s="102">
        <v>46259</v>
      </c>
      <c r="J2096" s="70">
        <v>3</v>
      </c>
      <c r="K2096" s="106" t="s">
        <v>5325</v>
      </c>
      <c r="L2096" s="104">
        <f t="shared" si="521"/>
        <v>46351</v>
      </c>
      <c r="M2096" s="105">
        <f ca="1" t="shared" si="522"/>
        <v>38</v>
      </c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6"/>
      <c r="Z2096" s="133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5"/>
      <c r="AO2096" s="115"/>
      <c r="AP2096" s="115"/>
      <c r="AQ2096" s="93"/>
      <c r="AR2096" s="93"/>
      <c r="AS2096" s="94"/>
      <c r="AT2096" s="95"/>
      <c r="AU2096" s="79"/>
      <c r="AV2096" s="117"/>
      <c r="AW2096" s="115"/>
      <c r="AX2096" s="106"/>
      <c r="AY2096" s="104"/>
      <c r="AZ2096" s="105"/>
    </row>
    <row r="2097" customHeight="1" spans="1:52">
      <c r="A2097" s="70">
        <v>2114</v>
      </c>
      <c r="B2097" s="108" t="s">
        <v>2191</v>
      </c>
      <c r="C2097" s="70" t="s">
        <v>38</v>
      </c>
      <c r="D2097" s="108" t="s">
        <v>5326</v>
      </c>
      <c r="E2097" s="71" t="s">
        <v>5320</v>
      </c>
      <c r="F2097" s="72"/>
      <c r="G2097" s="73"/>
      <c r="H2097" s="74" t="s">
        <v>16</v>
      </c>
      <c r="I2097" s="102">
        <v>46259</v>
      </c>
      <c r="J2097" s="70">
        <v>3</v>
      </c>
      <c r="K2097" s="106" t="s">
        <v>5327</v>
      </c>
      <c r="L2097" s="104">
        <f t="shared" si="521"/>
        <v>46351</v>
      </c>
      <c r="M2097" s="105">
        <f ca="1" t="shared" si="522"/>
        <v>38</v>
      </c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6"/>
      <c r="Z2097" s="133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5"/>
      <c r="AO2097" s="115"/>
      <c r="AP2097" s="115"/>
      <c r="AQ2097" s="93"/>
      <c r="AR2097" s="93"/>
      <c r="AS2097" s="94"/>
      <c r="AT2097" s="95"/>
      <c r="AU2097" s="79"/>
      <c r="AV2097" s="117"/>
      <c r="AW2097" s="115"/>
      <c r="AX2097" s="106"/>
      <c r="AY2097" s="104"/>
      <c r="AZ2097" s="105"/>
    </row>
    <row r="2098" customHeight="1" spans="1:52">
      <c r="A2098" s="70">
        <v>2115</v>
      </c>
      <c r="B2098" s="70" t="s">
        <v>798</v>
      </c>
      <c r="C2098" s="70" t="s">
        <v>13</v>
      </c>
      <c r="D2098" s="71" t="s">
        <v>5328</v>
      </c>
      <c r="E2098" s="71" t="s">
        <v>820</v>
      </c>
      <c r="F2098" s="72"/>
      <c r="G2098" s="73"/>
      <c r="H2098" s="74" t="s">
        <v>16</v>
      </c>
      <c r="I2098" s="102">
        <v>46259</v>
      </c>
      <c r="J2098" s="70">
        <v>3</v>
      </c>
      <c r="K2098" s="106" t="s">
        <v>5329</v>
      </c>
      <c r="L2098" s="104">
        <f t="shared" si="521"/>
        <v>46351</v>
      </c>
      <c r="M2098" s="105">
        <f ca="1" t="shared" si="522"/>
        <v>38</v>
      </c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6"/>
      <c r="Z2098" s="133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5"/>
      <c r="AO2098" s="115"/>
      <c r="AP2098" s="115"/>
      <c r="AQ2098" s="93"/>
      <c r="AR2098" s="93"/>
      <c r="AS2098" s="94"/>
      <c r="AT2098" s="95"/>
      <c r="AU2098" s="79"/>
      <c r="AV2098" s="117"/>
      <c r="AW2098" s="115"/>
      <c r="AX2098" s="106"/>
      <c r="AY2098" s="104"/>
      <c r="AZ2098" s="105"/>
    </row>
    <row r="2099" customHeight="1" spans="1:52">
      <c r="A2099" s="70">
        <v>2116</v>
      </c>
      <c r="B2099" s="108" t="s">
        <v>5128</v>
      </c>
      <c r="C2099" s="70" t="s">
        <v>264</v>
      </c>
      <c r="D2099" s="108" t="s">
        <v>5330</v>
      </c>
      <c r="E2099" s="71" t="s">
        <v>5331</v>
      </c>
      <c r="F2099" s="72"/>
      <c r="G2099" s="73"/>
      <c r="H2099" s="75"/>
      <c r="I2099" s="102">
        <v>46260</v>
      </c>
      <c r="J2099" s="70">
        <v>3</v>
      </c>
      <c r="K2099" s="106" t="s">
        <v>5332</v>
      </c>
      <c r="L2099" s="104">
        <f t="shared" si="521"/>
        <v>46352</v>
      </c>
      <c r="M2099" s="105">
        <f ca="1" t="shared" si="522"/>
        <v>39</v>
      </c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6"/>
      <c r="Z2099" s="133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5"/>
      <c r="AO2099" s="115"/>
      <c r="AP2099" s="115"/>
      <c r="AQ2099" s="93"/>
      <c r="AR2099" s="93"/>
      <c r="AS2099" s="94"/>
      <c r="AT2099" s="95"/>
      <c r="AU2099" s="79"/>
      <c r="AV2099" s="117"/>
      <c r="AW2099" s="115"/>
      <c r="AX2099" s="106"/>
      <c r="AY2099" s="104"/>
      <c r="AZ2099" s="105"/>
    </row>
    <row r="2100" customHeight="1" spans="1:52">
      <c r="A2100" s="70">
        <v>2117</v>
      </c>
      <c r="B2100" s="108" t="s">
        <v>270</v>
      </c>
      <c r="C2100" s="70" t="s">
        <v>264</v>
      </c>
      <c r="D2100" s="108" t="s">
        <v>958</v>
      </c>
      <c r="E2100" s="71" t="s">
        <v>1232</v>
      </c>
      <c r="F2100" s="72"/>
      <c r="G2100" s="73"/>
      <c r="H2100" s="75" t="s">
        <v>5333</v>
      </c>
      <c r="I2100" s="102">
        <v>46260</v>
      </c>
      <c r="J2100" s="70" t="s">
        <v>767</v>
      </c>
      <c r="K2100" s="106" t="s">
        <v>5334</v>
      </c>
      <c r="L2100" s="104" t="e">
        <f t="shared" si="521"/>
        <v>#VALUE!</v>
      </c>
      <c r="M2100" s="105" t="e">
        <f ca="1" t="shared" si="522"/>
        <v>#VALUE!</v>
      </c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6"/>
      <c r="Z2100" s="133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5"/>
      <c r="AO2100" s="115"/>
      <c r="AP2100" s="115"/>
      <c r="AQ2100" s="93"/>
      <c r="AR2100" s="93"/>
      <c r="AS2100" s="94"/>
      <c r="AT2100" s="95"/>
      <c r="AU2100" s="79"/>
      <c r="AV2100" s="117"/>
      <c r="AW2100" s="115"/>
      <c r="AX2100" s="106"/>
      <c r="AY2100" s="104"/>
      <c r="AZ2100" s="105"/>
    </row>
    <row r="2101" customHeight="1" spans="1:52">
      <c r="A2101" s="70">
        <v>2118</v>
      </c>
      <c r="B2101" s="108" t="s">
        <v>270</v>
      </c>
      <c r="C2101" s="70" t="s">
        <v>264</v>
      </c>
      <c r="D2101" s="108" t="s">
        <v>958</v>
      </c>
      <c r="E2101" s="71" t="s">
        <v>1232</v>
      </c>
      <c r="F2101" s="72"/>
      <c r="G2101" s="73"/>
      <c r="H2101" s="75"/>
      <c r="I2101" s="102">
        <v>46260</v>
      </c>
      <c r="J2101" s="70" t="s">
        <v>767</v>
      </c>
      <c r="K2101" s="106"/>
      <c r="L2101" s="104" t="e">
        <f t="shared" si="521"/>
        <v>#VALUE!</v>
      </c>
      <c r="M2101" s="105" t="e">
        <f ca="1" t="shared" si="522"/>
        <v>#VALUE!</v>
      </c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6"/>
      <c r="Z2101" s="133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5"/>
      <c r="AO2101" s="115"/>
      <c r="AP2101" s="115"/>
      <c r="AQ2101" s="93"/>
      <c r="AR2101" s="93"/>
      <c r="AS2101" s="94"/>
      <c r="AT2101" s="95"/>
      <c r="AU2101" s="79"/>
      <c r="AV2101" s="117"/>
      <c r="AW2101" s="115"/>
      <c r="AX2101" s="106"/>
      <c r="AY2101" s="104"/>
      <c r="AZ2101" s="105"/>
    </row>
    <row r="2102" customHeight="1" spans="1:52">
      <c r="A2102" s="70">
        <v>2119</v>
      </c>
      <c r="B2102" s="108" t="s">
        <v>434</v>
      </c>
      <c r="C2102" s="70" t="s">
        <v>374</v>
      </c>
      <c r="D2102" s="108" t="s">
        <v>5335</v>
      </c>
      <c r="E2102" s="71" t="s">
        <v>5336</v>
      </c>
      <c r="F2102" s="72"/>
      <c r="G2102" s="73"/>
      <c r="H2102" s="79" t="s">
        <v>16</v>
      </c>
      <c r="I2102" s="102">
        <v>46260</v>
      </c>
      <c r="J2102" s="70">
        <v>3</v>
      </c>
      <c r="K2102" s="106" t="s">
        <v>5337</v>
      </c>
      <c r="L2102" s="104">
        <f t="shared" si="521"/>
        <v>46352</v>
      </c>
      <c r="M2102" s="105">
        <f ca="1" t="shared" si="522"/>
        <v>39</v>
      </c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6"/>
      <c r="Z2102" s="133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5"/>
      <c r="AO2102" s="115"/>
      <c r="AP2102" s="115"/>
      <c r="AQ2102" s="93"/>
      <c r="AR2102" s="93"/>
      <c r="AS2102" s="94"/>
      <c r="AT2102" s="95"/>
      <c r="AU2102" s="79"/>
      <c r="AV2102" s="117"/>
      <c r="AW2102" s="115"/>
      <c r="AX2102" s="106"/>
      <c r="AY2102" s="104"/>
      <c r="AZ2102" s="105"/>
    </row>
    <row r="2103" customHeight="1" spans="1:52">
      <c r="A2103" s="70">
        <v>2120</v>
      </c>
      <c r="B2103" s="204" t="s">
        <v>798</v>
      </c>
      <c r="C2103" s="70" t="s">
        <v>38</v>
      </c>
      <c r="D2103" s="108" t="s">
        <v>5338</v>
      </c>
      <c r="E2103" s="71" t="s">
        <v>189</v>
      </c>
      <c r="F2103" s="72"/>
      <c r="G2103" s="73"/>
      <c r="H2103" s="79" t="s">
        <v>16</v>
      </c>
      <c r="I2103" s="102">
        <v>46261</v>
      </c>
      <c r="J2103" s="70">
        <v>3</v>
      </c>
      <c r="K2103" s="106" t="s">
        <v>5339</v>
      </c>
      <c r="L2103" s="104">
        <f t="shared" ref="L2103:L2109" si="523">EDATE(I2103,J2103)</f>
        <v>46353</v>
      </c>
      <c r="M2103" s="105">
        <f ca="1" t="shared" ref="M2103:M2109" si="524">L2103-TODAY()</f>
        <v>40</v>
      </c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6"/>
      <c r="Z2103" s="133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5"/>
      <c r="AO2103" s="115"/>
      <c r="AP2103" s="115"/>
      <c r="AQ2103" s="93"/>
      <c r="AR2103" s="93"/>
      <c r="AS2103" s="94"/>
      <c r="AT2103" s="95"/>
      <c r="AU2103" s="79"/>
      <c r="AV2103" s="117"/>
      <c r="AW2103" s="115"/>
      <c r="AX2103" s="106"/>
      <c r="AY2103" s="104"/>
      <c r="AZ2103" s="105"/>
    </row>
    <row r="2104" customHeight="1" spans="1:52">
      <c r="A2104" s="70">
        <v>2121</v>
      </c>
      <c r="B2104" s="204" t="s">
        <v>791</v>
      </c>
      <c r="C2104" s="70" t="s">
        <v>374</v>
      </c>
      <c r="D2104" s="108" t="s">
        <v>5340</v>
      </c>
      <c r="E2104" s="71" t="s">
        <v>1684</v>
      </c>
      <c r="F2104" s="72"/>
      <c r="G2104" s="73"/>
      <c r="H2104" s="75"/>
      <c r="I2104" s="102">
        <v>46261</v>
      </c>
      <c r="J2104" s="70">
        <v>3</v>
      </c>
      <c r="K2104" s="106" t="s">
        <v>5341</v>
      </c>
      <c r="L2104" s="104">
        <f t="shared" si="523"/>
        <v>46353</v>
      </c>
      <c r="M2104" s="105">
        <f ca="1" t="shared" si="524"/>
        <v>40</v>
      </c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6"/>
      <c r="Z2104" s="133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5"/>
      <c r="AO2104" s="115"/>
      <c r="AP2104" s="115"/>
      <c r="AQ2104" s="93"/>
      <c r="AR2104" s="93"/>
      <c r="AS2104" s="94"/>
      <c r="AT2104" s="95"/>
      <c r="AU2104" s="79"/>
      <c r="AV2104" s="117"/>
      <c r="AW2104" s="115"/>
      <c r="AX2104" s="106"/>
      <c r="AY2104" s="104"/>
      <c r="AZ2104" s="105"/>
    </row>
    <row r="2105" customHeight="1" spans="1:52">
      <c r="A2105" s="70">
        <v>2122</v>
      </c>
      <c r="B2105" s="204" t="s">
        <v>886</v>
      </c>
      <c r="C2105" s="70" t="s">
        <v>374</v>
      </c>
      <c r="D2105" s="108" t="s">
        <v>5342</v>
      </c>
      <c r="E2105" s="71" t="s">
        <v>568</v>
      </c>
      <c r="F2105" s="72"/>
      <c r="G2105" s="73"/>
      <c r="H2105" s="79" t="s">
        <v>16</v>
      </c>
      <c r="I2105" s="102">
        <v>46261</v>
      </c>
      <c r="J2105" s="70">
        <v>3</v>
      </c>
      <c r="K2105" s="106" t="s">
        <v>5343</v>
      </c>
      <c r="L2105" s="104">
        <f t="shared" si="523"/>
        <v>46353</v>
      </c>
      <c r="M2105" s="105">
        <f ca="1" t="shared" si="524"/>
        <v>40</v>
      </c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6"/>
      <c r="Z2105" s="133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5"/>
      <c r="AO2105" s="115"/>
      <c r="AP2105" s="115"/>
      <c r="AQ2105" s="93"/>
      <c r="AR2105" s="93"/>
      <c r="AS2105" s="94"/>
      <c r="AT2105" s="95"/>
      <c r="AU2105" s="79"/>
      <c r="AV2105" s="117"/>
      <c r="AW2105" s="115"/>
      <c r="AX2105" s="106"/>
      <c r="AY2105" s="104"/>
      <c r="AZ2105" s="105"/>
    </row>
    <row r="2106" customHeight="1" spans="1:52">
      <c r="A2106" s="70">
        <v>2123</v>
      </c>
      <c r="B2106" s="108" t="s">
        <v>295</v>
      </c>
      <c r="C2106" s="70" t="s">
        <v>264</v>
      </c>
      <c r="D2106" s="108" t="s">
        <v>5344</v>
      </c>
      <c r="E2106" s="71" t="s">
        <v>2744</v>
      </c>
      <c r="F2106" s="72"/>
      <c r="G2106" s="73"/>
      <c r="H2106" s="75"/>
      <c r="I2106" s="102">
        <v>46261</v>
      </c>
      <c r="J2106" s="70">
        <v>3</v>
      </c>
      <c r="K2106" s="106" t="s">
        <v>5345</v>
      </c>
      <c r="L2106" s="104">
        <f t="shared" si="523"/>
        <v>46353</v>
      </c>
      <c r="M2106" s="105">
        <f ca="1" t="shared" si="524"/>
        <v>40</v>
      </c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6"/>
      <c r="Z2106" s="133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5"/>
      <c r="AO2106" s="115"/>
      <c r="AP2106" s="115"/>
      <c r="AQ2106" s="93"/>
      <c r="AR2106" s="93"/>
      <c r="AS2106" s="94"/>
      <c r="AT2106" s="95"/>
      <c r="AU2106" s="79"/>
      <c r="AV2106" s="117"/>
      <c r="AW2106" s="115"/>
      <c r="AX2106" s="106"/>
      <c r="AY2106" s="104"/>
      <c r="AZ2106" s="105"/>
    </row>
    <row r="2107" customHeight="1" spans="1:52">
      <c r="A2107" s="70">
        <v>2124</v>
      </c>
      <c r="B2107" s="108" t="s">
        <v>644</v>
      </c>
      <c r="C2107" s="70" t="s">
        <v>264</v>
      </c>
      <c r="D2107" s="108" t="s">
        <v>2433</v>
      </c>
      <c r="E2107" s="71" t="s">
        <v>753</v>
      </c>
      <c r="F2107" s="72"/>
      <c r="G2107" s="73"/>
      <c r="H2107" s="75"/>
      <c r="I2107" s="102">
        <v>46261</v>
      </c>
      <c r="J2107" s="70" t="s">
        <v>767</v>
      </c>
      <c r="K2107" s="106"/>
      <c r="L2107" s="104" t="e">
        <f t="shared" si="523"/>
        <v>#VALUE!</v>
      </c>
      <c r="M2107" s="105" t="e">
        <f ca="1" t="shared" si="524"/>
        <v>#VALUE!</v>
      </c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6"/>
      <c r="Z2107" s="133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5"/>
      <c r="AO2107" s="115"/>
      <c r="AP2107" s="115"/>
      <c r="AQ2107" s="93"/>
      <c r="AR2107" s="93"/>
      <c r="AS2107" s="94"/>
      <c r="AT2107" s="95"/>
      <c r="AU2107" s="79"/>
      <c r="AV2107" s="117"/>
      <c r="AW2107" s="115"/>
      <c r="AX2107" s="106"/>
      <c r="AY2107" s="104"/>
      <c r="AZ2107" s="105"/>
    </row>
    <row r="2108" customHeight="1" spans="1:52">
      <c r="A2108" s="70">
        <v>2125</v>
      </c>
      <c r="B2108" s="108" t="s">
        <v>644</v>
      </c>
      <c r="C2108" s="70" t="s">
        <v>264</v>
      </c>
      <c r="D2108" s="108" t="s">
        <v>1922</v>
      </c>
      <c r="E2108" s="71" t="s">
        <v>753</v>
      </c>
      <c r="F2108" s="72"/>
      <c r="G2108" s="73"/>
      <c r="H2108" s="75"/>
      <c r="I2108" s="102">
        <v>46261</v>
      </c>
      <c r="J2108" s="70" t="s">
        <v>767</v>
      </c>
      <c r="K2108" s="106"/>
      <c r="L2108" s="104" t="e">
        <f t="shared" si="523"/>
        <v>#VALUE!</v>
      </c>
      <c r="M2108" s="105" t="e">
        <f ca="1" t="shared" si="524"/>
        <v>#VALUE!</v>
      </c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6"/>
      <c r="Z2108" s="133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5"/>
      <c r="AO2108" s="115"/>
      <c r="AP2108" s="115"/>
      <c r="AQ2108" s="93"/>
      <c r="AR2108" s="93"/>
      <c r="AS2108" s="94"/>
      <c r="AT2108" s="95"/>
      <c r="AU2108" s="79"/>
      <c r="AV2108" s="117"/>
      <c r="AW2108" s="115"/>
      <c r="AX2108" s="106"/>
      <c r="AY2108" s="104"/>
      <c r="AZ2108" s="105"/>
    </row>
    <row r="2109" customHeight="1" spans="1:52">
      <c r="A2109" s="70">
        <v>2126</v>
      </c>
      <c r="B2109" s="108" t="s">
        <v>644</v>
      </c>
      <c r="C2109" s="70" t="s">
        <v>264</v>
      </c>
      <c r="D2109" s="108" t="s">
        <v>265</v>
      </c>
      <c r="E2109" s="71" t="s">
        <v>753</v>
      </c>
      <c r="F2109" s="72"/>
      <c r="G2109" s="73"/>
      <c r="H2109" s="75"/>
      <c r="I2109" s="102">
        <v>46261</v>
      </c>
      <c r="J2109" s="70" t="s">
        <v>767</v>
      </c>
      <c r="K2109" s="106"/>
      <c r="L2109" s="104" t="e">
        <f t="shared" si="523"/>
        <v>#VALUE!</v>
      </c>
      <c r="M2109" s="105" t="e">
        <f ca="1" t="shared" si="524"/>
        <v>#VALUE!</v>
      </c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6"/>
      <c r="Z2109" s="133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5"/>
      <c r="AO2109" s="115"/>
      <c r="AP2109" s="115"/>
      <c r="AQ2109" s="93"/>
      <c r="AR2109" s="93"/>
      <c r="AS2109" s="94"/>
      <c r="AT2109" s="95"/>
      <c r="AU2109" s="79"/>
      <c r="AV2109" s="117"/>
      <c r="AW2109" s="115"/>
      <c r="AX2109" s="106"/>
      <c r="AY2109" s="104"/>
      <c r="AZ2109" s="105"/>
    </row>
    <row r="2110" customHeight="1" spans="1:52">
      <c r="A2110" s="70">
        <v>2127</v>
      </c>
      <c r="B2110" s="108" t="s">
        <v>5152</v>
      </c>
      <c r="C2110" s="70" t="s">
        <v>38</v>
      </c>
      <c r="D2110" s="108" t="s">
        <v>5346</v>
      </c>
      <c r="E2110" s="71" t="s">
        <v>5347</v>
      </c>
      <c r="F2110" s="72"/>
      <c r="G2110" s="73"/>
      <c r="H2110" s="75"/>
      <c r="I2110" s="102">
        <v>46262</v>
      </c>
      <c r="J2110" s="70">
        <v>3</v>
      </c>
      <c r="K2110" s="106" t="s">
        <v>5348</v>
      </c>
      <c r="L2110" s="104">
        <f t="shared" ref="L2110:L2118" si="525">EDATE(I2110,J2110)</f>
        <v>46354</v>
      </c>
      <c r="M2110" s="105">
        <f ca="1" t="shared" ref="M2110:M2118" si="526">L2110-TODAY()</f>
        <v>41</v>
      </c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6"/>
      <c r="Z2110" s="133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5"/>
      <c r="AO2110" s="115"/>
      <c r="AP2110" s="115"/>
      <c r="AQ2110" s="93"/>
      <c r="AR2110" s="93"/>
      <c r="AS2110" s="94"/>
      <c r="AT2110" s="95"/>
      <c r="AU2110" s="79"/>
      <c r="AV2110" s="117"/>
      <c r="AW2110" s="115"/>
      <c r="AX2110" s="106"/>
      <c r="AY2110" s="104"/>
      <c r="AZ2110" s="105"/>
    </row>
    <row r="2111" customHeight="1" spans="1:52">
      <c r="A2111" s="70">
        <v>2128</v>
      </c>
      <c r="B2111" s="108" t="s">
        <v>4045</v>
      </c>
      <c r="C2111" s="70" t="s">
        <v>264</v>
      </c>
      <c r="D2111" s="108" t="s">
        <v>5349</v>
      </c>
      <c r="E2111" s="71" t="s">
        <v>2734</v>
      </c>
      <c r="F2111" s="72"/>
      <c r="G2111" s="73"/>
      <c r="H2111" s="75"/>
      <c r="I2111" s="102">
        <v>46262</v>
      </c>
      <c r="J2111" s="70">
        <v>3</v>
      </c>
      <c r="K2111" s="106" t="s">
        <v>5350</v>
      </c>
      <c r="L2111" s="104">
        <f t="shared" si="525"/>
        <v>46354</v>
      </c>
      <c r="M2111" s="105">
        <f ca="1" t="shared" si="526"/>
        <v>41</v>
      </c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6"/>
      <c r="Z2111" s="133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5"/>
      <c r="AO2111" s="115"/>
      <c r="AP2111" s="115"/>
      <c r="AQ2111" s="93"/>
      <c r="AR2111" s="93"/>
      <c r="AS2111" s="94"/>
      <c r="AT2111" s="95"/>
      <c r="AU2111" s="79"/>
      <c r="AV2111" s="117"/>
      <c r="AW2111" s="115"/>
      <c r="AX2111" s="106"/>
      <c r="AY2111" s="104"/>
      <c r="AZ2111" s="105"/>
    </row>
    <row r="2112" customHeight="1" spans="1:52">
      <c r="A2112" s="70">
        <v>2129</v>
      </c>
      <c r="B2112" s="108" t="s">
        <v>4045</v>
      </c>
      <c r="C2112" s="70" t="s">
        <v>264</v>
      </c>
      <c r="D2112" s="108" t="s">
        <v>5351</v>
      </c>
      <c r="E2112" s="71" t="s">
        <v>2730</v>
      </c>
      <c r="F2112" s="72"/>
      <c r="G2112" s="73"/>
      <c r="H2112" s="75"/>
      <c r="I2112" s="102">
        <v>46262</v>
      </c>
      <c r="J2112" s="70">
        <v>3</v>
      </c>
      <c r="K2112" s="106" t="s">
        <v>5352</v>
      </c>
      <c r="L2112" s="104">
        <f t="shared" si="525"/>
        <v>46354</v>
      </c>
      <c r="M2112" s="105">
        <f ca="1" t="shared" si="526"/>
        <v>41</v>
      </c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6"/>
      <c r="Z2112" s="133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5"/>
      <c r="AO2112" s="115"/>
      <c r="AP2112" s="115"/>
      <c r="AQ2112" s="93"/>
      <c r="AR2112" s="93"/>
      <c r="AS2112" s="94"/>
      <c r="AT2112" s="95"/>
      <c r="AU2112" s="79"/>
      <c r="AV2112" s="117"/>
      <c r="AW2112" s="115"/>
      <c r="AX2112" s="106"/>
      <c r="AY2112" s="104"/>
      <c r="AZ2112" s="105"/>
    </row>
    <row r="2113" customHeight="1" spans="1:52">
      <c r="A2113" s="70">
        <v>2130</v>
      </c>
      <c r="B2113" s="108" t="s">
        <v>4045</v>
      </c>
      <c r="C2113" s="70" t="s">
        <v>264</v>
      </c>
      <c r="D2113" s="108" t="s">
        <v>5353</v>
      </c>
      <c r="E2113" s="71" t="s">
        <v>5354</v>
      </c>
      <c r="F2113" s="72"/>
      <c r="G2113" s="73"/>
      <c r="H2113" s="75"/>
      <c r="I2113" s="102">
        <v>46262</v>
      </c>
      <c r="J2113" s="70">
        <v>3</v>
      </c>
      <c r="K2113" s="106" t="s">
        <v>5355</v>
      </c>
      <c r="L2113" s="104">
        <f t="shared" si="525"/>
        <v>46354</v>
      </c>
      <c r="M2113" s="105">
        <f ca="1" t="shared" si="526"/>
        <v>41</v>
      </c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6"/>
      <c r="Z2113" s="133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5"/>
      <c r="AO2113" s="115"/>
      <c r="AP2113" s="115"/>
      <c r="AQ2113" s="93"/>
      <c r="AR2113" s="93"/>
      <c r="AS2113" s="94"/>
      <c r="AT2113" s="95"/>
      <c r="AU2113" s="79"/>
      <c r="AV2113" s="117"/>
      <c r="AW2113" s="115"/>
      <c r="AX2113" s="106"/>
      <c r="AY2113" s="104"/>
      <c r="AZ2113" s="105"/>
    </row>
    <row r="2114" customHeight="1" spans="1:52">
      <c r="A2114" s="70">
        <v>2131</v>
      </c>
      <c r="B2114" s="108" t="s">
        <v>4045</v>
      </c>
      <c r="C2114" s="70" t="s">
        <v>264</v>
      </c>
      <c r="D2114" s="108" t="s">
        <v>5356</v>
      </c>
      <c r="E2114" s="71" t="s">
        <v>3240</v>
      </c>
      <c r="F2114" s="72"/>
      <c r="G2114" s="73"/>
      <c r="H2114" s="75"/>
      <c r="I2114" s="102">
        <v>46262</v>
      </c>
      <c r="J2114" s="70">
        <v>3</v>
      </c>
      <c r="K2114" s="106" t="s">
        <v>5357</v>
      </c>
      <c r="L2114" s="104">
        <f t="shared" si="525"/>
        <v>46354</v>
      </c>
      <c r="M2114" s="105">
        <f ca="1" t="shared" si="526"/>
        <v>41</v>
      </c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6"/>
      <c r="Z2114" s="133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5"/>
      <c r="AO2114" s="115"/>
      <c r="AP2114" s="115"/>
      <c r="AQ2114" s="93"/>
      <c r="AR2114" s="93"/>
      <c r="AS2114" s="94"/>
      <c r="AT2114" s="95"/>
      <c r="AU2114" s="79"/>
      <c r="AV2114" s="117"/>
      <c r="AW2114" s="115"/>
      <c r="AX2114" s="106"/>
      <c r="AY2114" s="104"/>
      <c r="AZ2114" s="105"/>
    </row>
    <row r="2115" customHeight="1" spans="1:52">
      <c r="A2115" s="70">
        <v>2132</v>
      </c>
      <c r="B2115" s="108" t="s">
        <v>782</v>
      </c>
      <c r="C2115" s="70" t="s">
        <v>374</v>
      </c>
      <c r="D2115" s="108" t="s">
        <v>5358</v>
      </c>
      <c r="E2115" s="71" t="s">
        <v>5359</v>
      </c>
      <c r="F2115" s="72"/>
      <c r="G2115" s="73"/>
      <c r="H2115" s="75"/>
      <c r="I2115" s="102">
        <v>46262</v>
      </c>
      <c r="J2115" s="70">
        <v>3</v>
      </c>
      <c r="K2115" s="106" t="s">
        <v>5360</v>
      </c>
      <c r="L2115" s="104">
        <f t="shared" si="525"/>
        <v>46354</v>
      </c>
      <c r="M2115" s="105">
        <f ca="1" t="shared" si="526"/>
        <v>41</v>
      </c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6"/>
      <c r="Z2115" s="133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5"/>
      <c r="AO2115" s="115"/>
      <c r="AP2115" s="115"/>
      <c r="AQ2115" s="93"/>
      <c r="AR2115" s="93"/>
      <c r="AS2115" s="94"/>
      <c r="AT2115" s="95"/>
      <c r="AU2115" s="79"/>
      <c r="AV2115" s="117"/>
      <c r="AW2115" s="115"/>
      <c r="AX2115" s="106"/>
      <c r="AY2115" s="104"/>
      <c r="AZ2115" s="105"/>
    </row>
    <row r="2116" customHeight="1" spans="1:52">
      <c r="A2116" s="70">
        <v>2133</v>
      </c>
      <c r="B2116" s="108" t="s">
        <v>263</v>
      </c>
      <c r="C2116" s="70" t="s">
        <v>264</v>
      </c>
      <c r="D2116" s="108" t="s">
        <v>763</v>
      </c>
      <c r="E2116" s="71" t="s">
        <v>753</v>
      </c>
      <c r="F2116" s="72"/>
      <c r="G2116" s="73"/>
      <c r="H2116" s="75"/>
      <c r="I2116" s="102">
        <v>46262</v>
      </c>
      <c r="J2116" s="70" t="s">
        <v>767</v>
      </c>
      <c r="K2116" s="106"/>
      <c r="L2116" s="104" t="e">
        <f t="shared" si="525"/>
        <v>#VALUE!</v>
      </c>
      <c r="M2116" s="105" t="e">
        <f ca="1" t="shared" si="526"/>
        <v>#VALUE!</v>
      </c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6"/>
      <c r="Z2116" s="133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5"/>
      <c r="AO2116" s="115"/>
      <c r="AP2116" s="115"/>
      <c r="AQ2116" s="93"/>
      <c r="AR2116" s="93"/>
      <c r="AS2116" s="94"/>
      <c r="AT2116" s="95"/>
      <c r="AU2116" s="79"/>
      <c r="AV2116" s="117"/>
      <c r="AW2116" s="115"/>
      <c r="AX2116" s="106"/>
      <c r="AY2116" s="104"/>
      <c r="AZ2116" s="105"/>
    </row>
    <row r="2117" customHeight="1" spans="1:52">
      <c r="A2117" s="70">
        <v>2134</v>
      </c>
      <c r="B2117" s="108" t="s">
        <v>263</v>
      </c>
      <c r="C2117" s="70" t="s">
        <v>264</v>
      </c>
      <c r="D2117" s="108" t="s">
        <v>2433</v>
      </c>
      <c r="E2117" s="71" t="s">
        <v>753</v>
      </c>
      <c r="F2117" s="72"/>
      <c r="G2117" s="73"/>
      <c r="H2117" s="75"/>
      <c r="I2117" s="102">
        <v>46262</v>
      </c>
      <c r="J2117" s="70" t="s">
        <v>767</v>
      </c>
      <c r="K2117" s="106"/>
      <c r="L2117" s="104" t="e">
        <f t="shared" ref="L2117:L2134" si="527">EDATE(I2117,J2117)</f>
        <v>#VALUE!</v>
      </c>
      <c r="M2117" s="105" t="e">
        <f ca="1" t="shared" ref="M2117:M2134" si="528">L2117-TODAY()</f>
        <v>#VALUE!</v>
      </c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6"/>
      <c r="Z2117" s="133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5"/>
      <c r="AO2117" s="115"/>
      <c r="AP2117" s="115"/>
      <c r="AQ2117" s="93"/>
      <c r="AR2117" s="93"/>
      <c r="AS2117" s="94"/>
      <c r="AT2117" s="95"/>
      <c r="AU2117" s="79"/>
      <c r="AV2117" s="117"/>
      <c r="AW2117" s="115"/>
      <c r="AX2117" s="106"/>
      <c r="AY2117" s="104"/>
      <c r="AZ2117" s="105"/>
    </row>
    <row r="2118" customHeight="1" spans="1:52">
      <c r="A2118" s="70">
        <v>2135</v>
      </c>
      <c r="B2118" s="108" t="s">
        <v>263</v>
      </c>
      <c r="C2118" s="70" t="s">
        <v>264</v>
      </c>
      <c r="D2118" s="108" t="s">
        <v>1922</v>
      </c>
      <c r="E2118" s="71" t="s">
        <v>753</v>
      </c>
      <c r="F2118" s="72"/>
      <c r="G2118" s="73"/>
      <c r="H2118" s="75"/>
      <c r="I2118" s="102">
        <v>46262</v>
      </c>
      <c r="J2118" s="70" t="s">
        <v>767</v>
      </c>
      <c r="K2118" s="106"/>
      <c r="L2118" s="104" t="e">
        <f t="shared" si="527"/>
        <v>#VALUE!</v>
      </c>
      <c r="M2118" s="105" t="e">
        <f ca="1" t="shared" si="528"/>
        <v>#VALUE!</v>
      </c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6"/>
      <c r="Z2118" s="133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5"/>
      <c r="AO2118" s="115"/>
      <c r="AP2118" s="115"/>
      <c r="AQ2118" s="93"/>
      <c r="AR2118" s="93"/>
      <c r="AS2118" s="94"/>
      <c r="AT2118" s="95"/>
      <c r="AU2118" s="79"/>
      <c r="AV2118" s="117"/>
      <c r="AW2118" s="115"/>
      <c r="AX2118" s="106"/>
      <c r="AY2118" s="104"/>
      <c r="AZ2118" s="105"/>
    </row>
    <row r="2119" customHeight="1" spans="1:52">
      <c r="A2119" s="70">
        <v>2136</v>
      </c>
      <c r="B2119" s="108" t="s">
        <v>5361</v>
      </c>
      <c r="C2119" s="70" t="s">
        <v>13</v>
      </c>
      <c r="D2119" s="108" t="s">
        <v>5362</v>
      </c>
      <c r="E2119" s="71" t="s">
        <v>45</v>
      </c>
      <c r="F2119" s="72"/>
      <c r="G2119" s="73"/>
      <c r="H2119" s="74" t="s">
        <v>16</v>
      </c>
      <c r="I2119" s="102">
        <v>46263</v>
      </c>
      <c r="J2119" s="70">
        <v>3</v>
      </c>
      <c r="K2119" s="106" t="s">
        <v>5363</v>
      </c>
      <c r="L2119" s="104">
        <f t="shared" si="527"/>
        <v>46355</v>
      </c>
      <c r="M2119" s="105">
        <f ca="1" t="shared" si="528"/>
        <v>42</v>
      </c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6"/>
      <c r="Z2119" s="133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5"/>
      <c r="AO2119" s="115"/>
      <c r="AP2119" s="115"/>
      <c r="AQ2119" s="93"/>
      <c r="AR2119" s="93"/>
      <c r="AS2119" s="94"/>
      <c r="AT2119" s="95"/>
      <c r="AU2119" s="79"/>
      <c r="AV2119" s="117"/>
      <c r="AW2119" s="115"/>
      <c r="AX2119" s="106"/>
      <c r="AY2119" s="104"/>
      <c r="AZ2119" s="105"/>
    </row>
    <row r="2120" customHeight="1" spans="1:52">
      <c r="A2120" s="70">
        <v>2137</v>
      </c>
      <c r="B2120" s="108" t="s">
        <v>5361</v>
      </c>
      <c r="C2120" s="70" t="s">
        <v>13</v>
      </c>
      <c r="D2120" s="108" t="s">
        <v>5364</v>
      </c>
      <c r="E2120" s="71" t="s">
        <v>45</v>
      </c>
      <c r="F2120" s="72"/>
      <c r="G2120" s="73"/>
      <c r="H2120" s="74" t="s">
        <v>16</v>
      </c>
      <c r="I2120" s="102">
        <v>46263</v>
      </c>
      <c r="J2120" s="70">
        <v>3</v>
      </c>
      <c r="K2120" s="106" t="s">
        <v>5365</v>
      </c>
      <c r="L2120" s="104">
        <f t="shared" si="527"/>
        <v>46355</v>
      </c>
      <c r="M2120" s="105">
        <f ca="1" t="shared" si="528"/>
        <v>42</v>
      </c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6"/>
      <c r="Z2120" s="133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5"/>
      <c r="AO2120" s="115"/>
      <c r="AP2120" s="115"/>
      <c r="AQ2120" s="93"/>
      <c r="AR2120" s="93"/>
      <c r="AS2120" s="94"/>
      <c r="AT2120" s="95"/>
      <c r="AU2120" s="79"/>
      <c r="AV2120" s="117"/>
      <c r="AW2120" s="115"/>
      <c r="AX2120" s="106"/>
      <c r="AY2120" s="104"/>
      <c r="AZ2120" s="105"/>
    </row>
    <row r="2121" customHeight="1" spans="1:52">
      <c r="A2121" s="70">
        <v>2138</v>
      </c>
      <c r="B2121" s="108" t="s">
        <v>5361</v>
      </c>
      <c r="C2121" s="70" t="s">
        <v>38</v>
      </c>
      <c r="D2121" s="108" t="s">
        <v>5366</v>
      </c>
      <c r="E2121" s="71" t="s">
        <v>51</v>
      </c>
      <c r="F2121" s="72"/>
      <c r="G2121" s="73"/>
      <c r="H2121" s="74" t="s">
        <v>16</v>
      </c>
      <c r="I2121" s="102">
        <v>46263</v>
      </c>
      <c r="J2121" s="70">
        <v>3</v>
      </c>
      <c r="K2121" s="106" t="s">
        <v>5367</v>
      </c>
      <c r="L2121" s="104">
        <f t="shared" si="527"/>
        <v>46355</v>
      </c>
      <c r="M2121" s="105">
        <f ca="1" t="shared" si="528"/>
        <v>42</v>
      </c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6"/>
      <c r="Z2121" s="133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5"/>
      <c r="AO2121" s="115"/>
      <c r="AP2121" s="115"/>
      <c r="AQ2121" s="93"/>
      <c r="AR2121" s="93"/>
      <c r="AS2121" s="94"/>
      <c r="AT2121" s="95"/>
      <c r="AU2121" s="79"/>
      <c r="AV2121" s="117"/>
      <c r="AW2121" s="115"/>
      <c r="AX2121" s="106"/>
      <c r="AY2121" s="104"/>
      <c r="AZ2121" s="105"/>
    </row>
    <row r="2122" customHeight="1" spans="1:52">
      <c r="A2122" s="70">
        <v>2139</v>
      </c>
      <c r="B2122" s="108" t="s">
        <v>5361</v>
      </c>
      <c r="C2122" s="70" t="s">
        <v>38</v>
      </c>
      <c r="D2122" s="108" t="s">
        <v>5368</v>
      </c>
      <c r="E2122" s="71" t="s">
        <v>189</v>
      </c>
      <c r="F2122" s="72"/>
      <c r="G2122" s="73"/>
      <c r="H2122" s="74" t="s">
        <v>16</v>
      </c>
      <c r="I2122" s="102">
        <v>46263</v>
      </c>
      <c r="J2122" s="70">
        <v>3</v>
      </c>
      <c r="K2122" s="106" t="s">
        <v>5369</v>
      </c>
      <c r="L2122" s="104">
        <f t="shared" si="527"/>
        <v>46355</v>
      </c>
      <c r="M2122" s="105">
        <f ca="1" t="shared" si="528"/>
        <v>42</v>
      </c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6"/>
      <c r="Z2122" s="133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5"/>
      <c r="AO2122" s="115"/>
      <c r="AP2122" s="115"/>
      <c r="AQ2122" s="93"/>
      <c r="AR2122" s="93"/>
      <c r="AS2122" s="94"/>
      <c r="AT2122" s="95"/>
      <c r="AU2122" s="79"/>
      <c r="AV2122" s="117"/>
      <c r="AW2122" s="115"/>
      <c r="AX2122" s="106"/>
      <c r="AY2122" s="104"/>
      <c r="AZ2122" s="105"/>
    </row>
    <row r="2123" customHeight="1" spans="1:52">
      <c r="A2123" s="70">
        <v>2140</v>
      </c>
      <c r="B2123" s="108" t="s">
        <v>5370</v>
      </c>
      <c r="C2123" s="70" t="s">
        <v>38</v>
      </c>
      <c r="D2123" s="108" t="s">
        <v>4325</v>
      </c>
      <c r="E2123" s="71" t="s">
        <v>4065</v>
      </c>
      <c r="F2123" s="72"/>
      <c r="G2123" s="73"/>
      <c r="H2123" s="74" t="s">
        <v>16</v>
      </c>
      <c r="I2123" s="102">
        <v>46263</v>
      </c>
      <c r="J2123" s="70">
        <v>3</v>
      </c>
      <c r="K2123" s="106" t="s">
        <v>5371</v>
      </c>
      <c r="L2123" s="104">
        <f t="shared" si="527"/>
        <v>46355</v>
      </c>
      <c r="M2123" s="105">
        <f ca="1" t="shared" si="528"/>
        <v>42</v>
      </c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6"/>
      <c r="Z2123" s="133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5"/>
      <c r="AO2123" s="115"/>
      <c r="AP2123" s="115"/>
      <c r="AQ2123" s="93"/>
      <c r="AR2123" s="93"/>
      <c r="AS2123" s="94"/>
      <c r="AT2123" s="95"/>
      <c r="AU2123" s="79"/>
      <c r="AV2123" s="117"/>
      <c r="AW2123" s="115"/>
      <c r="AX2123" s="106"/>
      <c r="AY2123" s="104"/>
      <c r="AZ2123" s="105"/>
    </row>
    <row r="2124" customHeight="1" spans="1:52">
      <c r="A2124" s="70">
        <v>2141</v>
      </c>
      <c r="B2124" s="108" t="s">
        <v>5370</v>
      </c>
      <c r="C2124" s="70" t="s">
        <v>38</v>
      </c>
      <c r="D2124" s="108" t="s">
        <v>5372</v>
      </c>
      <c r="E2124" s="71" t="s">
        <v>4065</v>
      </c>
      <c r="F2124" s="72"/>
      <c r="G2124" s="73"/>
      <c r="H2124" s="74" t="s">
        <v>16</v>
      </c>
      <c r="I2124" s="102">
        <v>46263</v>
      </c>
      <c r="J2124" s="70">
        <v>3</v>
      </c>
      <c r="K2124" s="106" t="s">
        <v>5373</v>
      </c>
      <c r="L2124" s="104">
        <f t="shared" si="527"/>
        <v>46355</v>
      </c>
      <c r="M2124" s="105">
        <f ca="1" t="shared" si="528"/>
        <v>42</v>
      </c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6"/>
      <c r="Z2124" s="133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5"/>
      <c r="AO2124" s="115"/>
      <c r="AP2124" s="115"/>
      <c r="AQ2124" s="93"/>
      <c r="AR2124" s="93"/>
      <c r="AS2124" s="94"/>
      <c r="AT2124" s="95"/>
      <c r="AU2124" s="79"/>
      <c r="AV2124" s="117"/>
      <c r="AW2124" s="115"/>
      <c r="AX2124" s="106"/>
      <c r="AY2124" s="104"/>
      <c r="AZ2124" s="105"/>
    </row>
    <row r="2125" customHeight="1" spans="1:52">
      <c r="A2125" s="70">
        <v>2142</v>
      </c>
      <c r="B2125" s="70" t="s">
        <v>535</v>
      </c>
      <c r="C2125" s="70" t="s">
        <v>13</v>
      </c>
      <c r="D2125" s="71" t="s">
        <v>5374</v>
      </c>
      <c r="E2125" s="71" t="s">
        <v>3960</v>
      </c>
      <c r="F2125" s="72"/>
      <c r="G2125" s="73"/>
      <c r="H2125" s="74" t="s">
        <v>16</v>
      </c>
      <c r="I2125" s="102">
        <v>46264</v>
      </c>
      <c r="J2125" s="70">
        <v>3</v>
      </c>
      <c r="K2125" s="106" t="s">
        <v>5375</v>
      </c>
      <c r="L2125" s="104">
        <f t="shared" si="527"/>
        <v>46356</v>
      </c>
      <c r="M2125" s="105">
        <f ca="1" t="shared" si="528"/>
        <v>43</v>
      </c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6"/>
      <c r="Z2125" s="133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5"/>
      <c r="AO2125" s="115"/>
      <c r="AP2125" s="115"/>
      <c r="AQ2125" s="93"/>
      <c r="AR2125" s="93"/>
      <c r="AS2125" s="94"/>
      <c r="AT2125" s="95"/>
      <c r="AU2125" s="79"/>
      <c r="AV2125" s="117"/>
      <c r="AW2125" s="115"/>
      <c r="AX2125" s="106"/>
      <c r="AY2125" s="104"/>
      <c r="AZ2125" s="105"/>
    </row>
    <row r="2126" customHeight="1" spans="1:52">
      <c r="A2126" s="70">
        <v>2143</v>
      </c>
      <c r="B2126" s="70" t="s">
        <v>229</v>
      </c>
      <c r="C2126" s="70" t="s">
        <v>38</v>
      </c>
      <c r="D2126" s="71" t="s">
        <v>5376</v>
      </c>
      <c r="E2126" s="71" t="s">
        <v>5377</v>
      </c>
      <c r="F2126" s="72"/>
      <c r="G2126" s="73"/>
      <c r="H2126" s="75"/>
      <c r="I2126" s="102">
        <v>46265</v>
      </c>
      <c r="J2126" s="70">
        <v>3</v>
      </c>
      <c r="K2126" s="106" t="s">
        <v>5378</v>
      </c>
      <c r="L2126" s="104">
        <f t="shared" si="527"/>
        <v>46356</v>
      </c>
      <c r="M2126" s="105">
        <f ca="1" t="shared" si="528"/>
        <v>43</v>
      </c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6"/>
      <c r="Z2126" s="133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5"/>
      <c r="AO2126" s="115"/>
      <c r="AP2126" s="115"/>
      <c r="AQ2126" s="93"/>
      <c r="AR2126" s="93"/>
      <c r="AS2126" s="94"/>
      <c r="AT2126" s="95"/>
      <c r="AU2126" s="79"/>
      <c r="AV2126" s="117"/>
      <c r="AW2126" s="115"/>
      <c r="AX2126" s="106"/>
      <c r="AY2126" s="104"/>
      <c r="AZ2126" s="105"/>
    </row>
    <row r="2127" customHeight="1" spans="1:52">
      <c r="A2127" s="70">
        <v>2144</v>
      </c>
      <c r="B2127" s="108" t="s">
        <v>263</v>
      </c>
      <c r="C2127" s="70" t="s">
        <v>264</v>
      </c>
      <c r="D2127" s="108" t="s">
        <v>265</v>
      </c>
      <c r="E2127" s="71" t="s">
        <v>753</v>
      </c>
      <c r="F2127" s="72"/>
      <c r="G2127" s="73"/>
      <c r="H2127" s="75"/>
      <c r="I2127" s="102">
        <v>46265</v>
      </c>
      <c r="J2127" s="70" t="s">
        <v>767</v>
      </c>
      <c r="K2127" s="106"/>
      <c r="L2127" s="104" t="e">
        <f t="shared" si="527"/>
        <v>#VALUE!</v>
      </c>
      <c r="M2127" s="105" t="e">
        <f ca="1" t="shared" si="528"/>
        <v>#VALUE!</v>
      </c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6"/>
      <c r="Z2127" s="133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5"/>
      <c r="AO2127" s="115"/>
      <c r="AP2127" s="115"/>
      <c r="AQ2127" s="93"/>
      <c r="AR2127" s="93"/>
      <c r="AS2127" s="94"/>
      <c r="AT2127" s="95"/>
      <c r="AU2127" s="79"/>
      <c r="AV2127" s="117"/>
      <c r="AW2127" s="115"/>
      <c r="AX2127" s="106"/>
      <c r="AY2127" s="104"/>
      <c r="AZ2127" s="105"/>
    </row>
    <row r="2128" customHeight="1" spans="1:52">
      <c r="A2128" s="70">
        <v>2145</v>
      </c>
      <c r="B2128" s="108" t="s">
        <v>263</v>
      </c>
      <c r="C2128" s="70" t="s">
        <v>264</v>
      </c>
      <c r="D2128" s="108" t="s">
        <v>1922</v>
      </c>
      <c r="E2128" s="71" t="s">
        <v>753</v>
      </c>
      <c r="F2128" s="72"/>
      <c r="G2128" s="73"/>
      <c r="H2128" s="75"/>
      <c r="I2128" s="102">
        <v>46265</v>
      </c>
      <c r="J2128" s="70" t="s">
        <v>767</v>
      </c>
      <c r="K2128" s="106"/>
      <c r="L2128" s="104" t="e">
        <f t="shared" si="527"/>
        <v>#VALUE!</v>
      </c>
      <c r="M2128" s="105" t="e">
        <f ca="1" t="shared" si="528"/>
        <v>#VALUE!</v>
      </c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6"/>
      <c r="Z2128" s="133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5"/>
      <c r="AO2128" s="115"/>
      <c r="AP2128" s="115"/>
      <c r="AQ2128" s="93"/>
      <c r="AR2128" s="93"/>
      <c r="AS2128" s="94"/>
      <c r="AT2128" s="95"/>
      <c r="AU2128" s="79"/>
      <c r="AV2128" s="117"/>
      <c r="AW2128" s="115"/>
      <c r="AX2128" s="106"/>
      <c r="AY2128" s="104"/>
      <c r="AZ2128" s="105"/>
    </row>
    <row r="2129" customHeight="1" spans="1:52">
      <c r="A2129" s="70">
        <v>2146</v>
      </c>
      <c r="B2129" s="108" t="s">
        <v>263</v>
      </c>
      <c r="C2129" s="70" t="s">
        <v>264</v>
      </c>
      <c r="D2129" s="108" t="s">
        <v>955</v>
      </c>
      <c r="E2129" s="71" t="s">
        <v>753</v>
      </c>
      <c r="F2129" s="72"/>
      <c r="G2129" s="73"/>
      <c r="H2129" s="75"/>
      <c r="I2129" s="102">
        <v>46265</v>
      </c>
      <c r="J2129" s="70" t="s">
        <v>767</v>
      </c>
      <c r="K2129" s="106"/>
      <c r="L2129" s="104" t="e">
        <f t="shared" si="527"/>
        <v>#VALUE!</v>
      </c>
      <c r="M2129" s="105" t="e">
        <f ca="1" t="shared" si="528"/>
        <v>#VALUE!</v>
      </c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6"/>
      <c r="Z2129" s="133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5"/>
      <c r="AO2129" s="115"/>
      <c r="AP2129" s="115"/>
      <c r="AQ2129" s="93"/>
      <c r="AR2129" s="93"/>
      <c r="AS2129" s="94"/>
      <c r="AT2129" s="95"/>
      <c r="AU2129" s="79"/>
      <c r="AV2129" s="117"/>
      <c r="AW2129" s="115"/>
      <c r="AX2129" s="106"/>
      <c r="AY2129" s="104"/>
      <c r="AZ2129" s="105"/>
    </row>
    <row r="2130" customHeight="1" spans="1:52">
      <c r="A2130" s="70">
        <v>2147</v>
      </c>
      <c r="B2130" s="108" t="s">
        <v>366</v>
      </c>
      <c r="C2130" s="70" t="s">
        <v>264</v>
      </c>
      <c r="D2130" s="108" t="s">
        <v>367</v>
      </c>
      <c r="E2130" s="71" t="s">
        <v>368</v>
      </c>
      <c r="F2130" s="72"/>
      <c r="G2130" s="73"/>
      <c r="H2130" s="75"/>
      <c r="I2130" s="102">
        <v>46265</v>
      </c>
      <c r="J2130" s="70" t="s">
        <v>767</v>
      </c>
      <c r="K2130" s="106"/>
      <c r="L2130" s="104" t="e">
        <f t="shared" si="527"/>
        <v>#VALUE!</v>
      </c>
      <c r="M2130" s="105" t="e">
        <f ca="1" t="shared" si="528"/>
        <v>#VALUE!</v>
      </c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6"/>
      <c r="Z2130" s="133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5"/>
      <c r="AO2130" s="115"/>
      <c r="AP2130" s="115"/>
      <c r="AQ2130" s="93"/>
      <c r="AR2130" s="93"/>
      <c r="AS2130" s="94"/>
      <c r="AT2130" s="95"/>
      <c r="AU2130" s="79"/>
      <c r="AV2130" s="117"/>
      <c r="AW2130" s="115"/>
      <c r="AX2130" s="106"/>
      <c r="AY2130" s="104"/>
      <c r="AZ2130" s="105"/>
    </row>
    <row r="2131" customHeight="1" spans="1:52">
      <c r="A2131" s="70">
        <v>2148</v>
      </c>
      <c r="B2131" s="108" t="s">
        <v>648</v>
      </c>
      <c r="C2131" s="70" t="s">
        <v>264</v>
      </c>
      <c r="D2131" s="108" t="s">
        <v>5091</v>
      </c>
      <c r="E2131" s="71" t="s">
        <v>5092</v>
      </c>
      <c r="F2131" s="72"/>
      <c r="G2131" s="73"/>
      <c r="H2131" s="75"/>
      <c r="I2131" s="102">
        <v>46265</v>
      </c>
      <c r="J2131" s="70" t="s">
        <v>767</v>
      </c>
      <c r="K2131" s="106"/>
      <c r="L2131" s="104" t="e">
        <f t="shared" si="527"/>
        <v>#VALUE!</v>
      </c>
      <c r="M2131" s="105" t="e">
        <f ca="1" t="shared" si="528"/>
        <v>#VALUE!</v>
      </c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6"/>
      <c r="Z2131" s="133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5"/>
      <c r="AO2131" s="115"/>
      <c r="AP2131" s="115"/>
      <c r="AQ2131" s="93"/>
      <c r="AR2131" s="93"/>
      <c r="AS2131" s="94"/>
      <c r="AT2131" s="95"/>
      <c r="AU2131" s="79"/>
      <c r="AV2131" s="117"/>
      <c r="AW2131" s="115"/>
      <c r="AX2131" s="106"/>
      <c r="AY2131" s="104"/>
      <c r="AZ2131" s="105"/>
    </row>
    <row r="2132" customHeight="1" spans="1:52">
      <c r="A2132" s="70">
        <v>2149</v>
      </c>
      <c r="B2132" s="70" t="s">
        <v>134</v>
      </c>
      <c r="C2132" s="70" t="s">
        <v>13</v>
      </c>
      <c r="D2132" s="71" t="s">
        <v>5379</v>
      </c>
      <c r="E2132" s="71" t="s">
        <v>126</v>
      </c>
      <c r="F2132" s="72"/>
      <c r="G2132" s="73"/>
      <c r="H2132" s="74" t="s">
        <v>16</v>
      </c>
      <c r="I2132" s="102">
        <v>46266</v>
      </c>
      <c r="J2132" s="70">
        <v>3</v>
      </c>
      <c r="K2132" s="106" t="s">
        <v>5380</v>
      </c>
      <c r="L2132" s="104">
        <f t="shared" si="527"/>
        <v>46357</v>
      </c>
      <c r="M2132" s="105">
        <f ca="1" t="shared" si="528"/>
        <v>44</v>
      </c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6"/>
      <c r="Z2132" s="133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5"/>
      <c r="AO2132" s="115"/>
      <c r="AP2132" s="115"/>
      <c r="AQ2132" s="93"/>
      <c r="AR2132" s="93"/>
      <c r="AS2132" s="94"/>
      <c r="AT2132" s="95"/>
      <c r="AU2132" s="79"/>
      <c r="AV2132" s="117"/>
      <c r="AW2132" s="115"/>
      <c r="AX2132" s="106"/>
      <c r="AY2132" s="104"/>
      <c r="AZ2132" s="105"/>
    </row>
    <row r="2133" customHeight="1" spans="1:52">
      <c r="A2133" s="70">
        <v>2150</v>
      </c>
      <c r="B2133" s="70" t="s">
        <v>2130</v>
      </c>
      <c r="C2133" s="70" t="s">
        <v>13</v>
      </c>
      <c r="D2133" s="71" t="s">
        <v>5381</v>
      </c>
      <c r="E2133" s="71" t="s">
        <v>5382</v>
      </c>
      <c r="F2133" s="72"/>
      <c r="G2133" s="73"/>
      <c r="H2133" s="75"/>
      <c r="I2133" s="102">
        <v>46266</v>
      </c>
      <c r="J2133" s="70">
        <v>3</v>
      </c>
      <c r="K2133" s="106" t="s">
        <v>5383</v>
      </c>
      <c r="L2133" s="104">
        <f t="shared" si="527"/>
        <v>46357</v>
      </c>
      <c r="M2133" s="105">
        <f ca="1" t="shared" si="528"/>
        <v>44</v>
      </c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6"/>
      <c r="Z2133" s="133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5"/>
      <c r="AO2133" s="115"/>
      <c r="AP2133" s="115"/>
      <c r="AQ2133" s="93"/>
      <c r="AR2133" s="93"/>
      <c r="AS2133" s="94"/>
      <c r="AT2133" s="95"/>
      <c r="AU2133" s="79"/>
      <c r="AV2133" s="117"/>
      <c r="AW2133" s="115"/>
      <c r="AX2133" s="106"/>
      <c r="AY2133" s="104"/>
      <c r="AZ2133" s="105"/>
    </row>
    <row r="2134" customHeight="1" spans="1:52">
      <c r="A2134" s="70">
        <v>2151</v>
      </c>
      <c r="B2134" s="70" t="s">
        <v>546</v>
      </c>
      <c r="C2134" s="70" t="s">
        <v>374</v>
      </c>
      <c r="D2134" s="71" t="s">
        <v>5384</v>
      </c>
      <c r="E2134" s="71" t="s">
        <v>4779</v>
      </c>
      <c r="F2134" s="72"/>
      <c r="G2134" s="73"/>
      <c r="H2134" s="74" t="s">
        <v>16</v>
      </c>
      <c r="I2134" s="102">
        <v>46266</v>
      </c>
      <c r="J2134" s="70">
        <v>3</v>
      </c>
      <c r="K2134" s="106" t="s">
        <v>5385</v>
      </c>
      <c r="L2134" s="104">
        <f t="shared" si="527"/>
        <v>46357</v>
      </c>
      <c r="M2134" s="105">
        <f ca="1" t="shared" si="528"/>
        <v>44</v>
      </c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6"/>
      <c r="Z2134" s="133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5"/>
      <c r="AO2134" s="115"/>
      <c r="AP2134" s="115"/>
      <c r="AQ2134" s="93"/>
      <c r="AR2134" s="93"/>
      <c r="AS2134" s="94"/>
      <c r="AT2134" s="95"/>
      <c r="AU2134" s="79"/>
      <c r="AV2134" s="117"/>
      <c r="AW2134" s="115"/>
      <c r="AX2134" s="106"/>
      <c r="AY2134" s="104"/>
      <c r="AZ2134" s="105"/>
    </row>
    <row r="2135" customHeight="1" spans="1:52">
      <c r="A2135" s="70">
        <v>2152</v>
      </c>
      <c r="B2135" s="108" t="s">
        <v>5386</v>
      </c>
      <c r="C2135" s="70" t="s">
        <v>13</v>
      </c>
      <c r="D2135" s="108" t="s">
        <v>5203</v>
      </c>
      <c r="E2135" s="71" t="s">
        <v>5204</v>
      </c>
      <c r="F2135" s="72"/>
      <c r="G2135" s="73"/>
      <c r="H2135" s="75"/>
      <c r="I2135" s="102">
        <v>46267</v>
      </c>
      <c r="J2135" s="70">
        <v>3</v>
      </c>
      <c r="K2135" s="106" t="s">
        <v>5387</v>
      </c>
      <c r="L2135" s="104">
        <f t="shared" ref="L2135:L2137" si="529">EDATE(I2135,J2135)</f>
        <v>46358</v>
      </c>
      <c r="M2135" s="105">
        <f ca="1" t="shared" ref="M2135:M2137" si="530">L2135-TODAY()</f>
        <v>45</v>
      </c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6"/>
      <c r="Z2135" s="133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5"/>
      <c r="AO2135" s="115"/>
      <c r="AP2135" s="115"/>
      <c r="AQ2135" s="93"/>
      <c r="AR2135" s="93"/>
      <c r="AS2135" s="94"/>
      <c r="AT2135" s="95"/>
      <c r="AU2135" s="79"/>
      <c r="AV2135" s="117"/>
      <c r="AW2135" s="115"/>
      <c r="AX2135" s="106"/>
      <c r="AY2135" s="104"/>
      <c r="AZ2135" s="105"/>
    </row>
    <row r="2136" customHeight="1" spans="1:52">
      <c r="A2136" s="70">
        <v>2153</v>
      </c>
      <c r="B2136" s="108" t="s">
        <v>5386</v>
      </c>
      <c r="C2136" s="70" t="s">
        <v>13</v>
      </c>
      <c r="D2136" s="108" t="s">
        <v>5200</v>
      </c>
      <c r="E2136" s="71" t="s">
        <v>5201</v>
      </c>
      <c r="F2136" s="72"/>
      <c r="G2136" s="73"/>
      <c r="H2136" s="75"/>
      <c r="I2136" s="102">
        <v>46267</v>
      </c>
      <c r="J2136" s="70">
        <v>3</v>
      </c>
      <c r="K2136" s="106" t="s">
        <v>5388</v>
      </c>
      <c r="L2136" s="104">
        <f t="shared" si="529"/>
        <v>46358</v>
      </c>
      <c r="M2136" s="105">
        <f ca="1" t="shared" si="530"/>
        <v>45</v>
      </c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6"/>
      <c r="Z2136" s="133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5"/>
      <c r="AO2136" s="115"/>
      <c r="AP2136" s="115"/>
      <c r="AQ2136" s="93"/>
      <c r="AR2136" s="93"/>
      <c r="AS2136" s="94"/>
      <c r="AT2136" s="95"/>
      <c r="AU2136" s="79"/>
      <c r="AV2136" s="117"/>
      <c r="AW2136" s="115"/>
      <c r="AX2136" s="106"/>
      <c r="AY2136" s="104"/>
      <c r="AZ2136" s="105"/>
    </row>
    <row r="2137" customHeight="1" spans="1:52">
      <c r="A2137" s="70">
        <v>2154</v>
      </c>
      <c r="B2137" s="70" t="s">
        <v>1147</v>
      </c>
      <c r="C2137" s="70" t="s">
        <v>13</v>
      </c>
      <c r="D2137" s="71" t="s">
        <v>5389</v>
      </c>
      <c r="E2137" s="71" t="s">
        <v>5390</v>
      </c>
      <c r="F2137" s="72"/>
      <c r="G2137" s="73"/>
      <c r="H2137" s="75"/>
      <c r="I2137" s="102">
        <v>46267</v>
      </c>
      <c r="J2137" s="70">
        <v>3</v>
      </c>
      <c r="K2137" s="106" t="s">
        <v>5391</v>
      </c>
      <c r="L2137" s="104">
        <f t="shared" si="529"/>
        <v>46358</v>
      </c>
      <c r="M2137" s="105">
        <f ca="1" t="shared" si="530"/>
        <v>45</v>
      </c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6"/>
      <c r="Z2137" s="133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5"/>
      <c r="AO2137" s="115"/>
      <c r="AP2137" s="115"/>
      <c r="AQ2137" s="93"/>
      <c r="AR2137" s="93"/>
      <c r="AS2137" s="94"/>
      <c r="AT2137" s="95"/>
      <c r="AU2137" s="79"/>
      <c r="AV2137" s="117"/>
      <c r="AW2137" s="115"/>
      <c r="AX2137" s="106"/>
      <c r="AY2137" s="104"/>
      <c r="AZ2137" s="105"/>
    </row>
    <row r="2138" customHeight="1" spans="1:52">
      <c r="A2138" s="70">
        <v>2155</v>
      </c>
      <c r="B2138" s="108" t="s">
        <v>3780</v>
      </c>
      <c r="C2138" s="70" t="s">
        <v>264</v>
      </c>
      <c r="D2138" s="108" t="s">
        <v>367</v>
      </c>
      <c r="E2138" s="71" t="s">
        <v>4334</v>
      </c>
      <c r="F2138" s="72"/>
      <c r="G2138" s="73"/>
      <c r="H2138" s="75"/>
      <c r="I2138" s="102">
        <v>46267</v>
      </c>
      <c r="J2138" s="70" t="s">
        <v>767</v>
      </c>
      <c r="K2138" s="106"/>
      <c r="L2138" s="104" t="e">
        <f t="shared" ref="L2138:L2145" si="531">EDATE(I2138,J2138)</f>
        <v>#VALUE!</v>
      </c>
      <c r="M2138" s="105" t="e">
        <f ca="1" t="shared" ref="M2138:M2145" si="532">L2138-TODAY()</f>
        <v>#VALUE!</v>
      </c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6"/>
      <c r="Z2138" s="133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5"/>
      <c r="AO2138" s="115"/>
      <c r="AP2138" s="115"/>
      <c r="AQ2138" s="93"/>
      <c r="AR2138" s="93"/>
      <c r="AS2138" s="94"/>
      <c r="AT2138" s="95"/>
      <c r="AU2138" s="79"/>
      <c r="AV2138" s="117"/>
      <c r="AW2138" s="115"/>
      <c r="AX2138" s="106"/>
      <c r="AY2138" s="104"/>
      <c r="AZ2138" s="105"/>
    </row>
    <row r="2139" customHeight="1" spans="1:52">
      <c r="A2139" s="70">
        <v>2156</v>
      </c>
      <c r="B2139" s="108" t="s">
        <v>270</v>
      </c>
      <c r="C2139" s="70" t="s">
        <v>264</v>
      </c>
      <c r="D2139" s="108" t="s">
        <v>958</v>
      </c>
      <c r="E2139" s="71" t="s">
        <v>1232</v>
      </c>
      <c r="F2139" s="72"/>
      <c r="G2139" s="73"/>
      <c r="H2139" s="75"/>
      <c r="I2139" s="102">
        <v>46267</v>
      </c>
      <c r="J2139" s="70" t="s">
        <v>767</v>
      </c>
      <c r="K2139" s="106"/>
      <c r="L2139" s="104" t="e">
        <f t="shared" si="531"/>
        <v>#VALUE!</v>
      </c>
      <c r="M2139" s="105" t="e">
        <f ca="1" t="shared" si="532"/>
        <v>#VALUE!</v>
      </c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6"/>
      <c r="Z2139" s="133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5"/>
      <c r="AO2139" s="115"/>
      <c r="AP2139" s="115"/>
      <c r="AQ2139" s="93"/>
      <c r="AR2139" s="93"/>
      <c r="AS2139" s="94"/>
      <c r="AT2139" s="95"/>
      <c r="AU2139" s="79"/>
      <c r="AV2139" s="117"/>
      <c r="AW2139" s="115"/>
      <c r="AX2139" s="106"/>
      <c r="AY2139" s="104"/>
      <c r="AZ2139" s="105"/>
    </row>
    <row r="2140" customHeight="1" spans="1:52">
      <c r="A2140" s="70">
        <v>2157</v>
      </c>
      <c r="B2140" s="108" t="s">
        <v>281</v>
      </c>
      <c r="C2140" s="70" t="s">
        <v>264</v>
      </c>
      <c r="D2140" s="108" t="s">
        <v>4912</v>
      </c>
      <c r="E2140" s="71" t="s">
        <v>364</v>
      </c>
      <c r="F2140" s="72"/>
      <c r="G2140" s="73"/>
      <c r="H2140" s="75"/>
      <c r="I2140" s="102">
        <v>46267</v>
      </c>
      <c r="J2140" s="70" t="s">
        <v>767</v>
      </c>
      <c r="K2140" s="106"/>
      <c r="L2140" s="104" t="e">
        <f t="shared" si="531"/>
        <v>#VALUE!</v>
      </c>
      <c r="M2140" s="105" t="e">
        <f ca="1" t="shared" si="532"/>
        <v>#VALUE!</v>
      </c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6"/>
      <c r="Z2140" s="133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5"/>
      <c r="AO2140" s="115"/>
      <c r="AP2140" s="115"/>
      <c r="AQ2140" s="93"/>
      <c r="AR2140" s="93"/>
      <c r="AS2140" s="94"/>
      <c r="AT2140" s="95"/>
      <c r="AU2140" s="79"/>
      <c r="AV2140" s="117"/>
      <c r="AW2140" s="115"/>
      <c r="AX2140" s="106"/>
      <c r="AY2140" s="104"/>
      <c r="AZ2140" s="105"/>
    </row>
    <row r="2141" customHeight="1" spans="1:52">
      <c r="A2141" s="70">
        <v>2158</v>
      </c>
      <c r="B2141" s="108" t="s">
        <v>281</v>
      </c>
      <c r="C2141" s="70" t="s">
        <v>264</v>
      </c>
      <c r="D2141" s="108" t="s">
        <v>5267</v>
      </c>
      <c r="E2141" s="71" t="s">
        <v>5392</v>
      </c>
      <c r="F2141" s="72"/>
      <c r="G2141" s="73"/>
      <c r="H2141" s="75"/>
      <c r="I2141" s="102">
        <v>46267</v>
      </c>
      <c r="J2141" s="70" t="s">
        <v>767</v>
      </c>
      <c r="K2141" s="106"/>
      <c r="L2141" s="104" t="e">
        <f t="shared" si="531"/>
        <v>#VALUE!</v>
      </c>
      <c r="M2141" s="105" t="e">
        <f ca="1" t="shared" si="532"/>
        <v>#VALUE!</v>
      </c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6"/>
      <c r="Z2141" s="133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5"/>
      <c r="AO2141" s="115"/>
      <c r="AP2141" s="115"/>
      <c r="AQ2141" s="93"/>
      <c r="AR2141" s="93"/>
      <c r="AS2141" s="94"/>
      <c r="AT2141" s="95"/>
      <c r="AU2141" s="79"/>
      <c r="AV2141" s="117"/>
      <c r="AW2141" s="115"/>
      <c r="AX2141" s="106"/>
      <c r="AY2141" s="104"/>
      <c r="AZ2141" s="105"/>
    </row>
    <row r="2142" customHeight="1" spans="1:52">
      <c r="A2142" s="70">
        <v>2159</v>
      </c>
      <c r="B2142" s="108" t="s">
        <v>644</v>
      </c>
      <c r="C2142" s="70" t="s">
        <v>264</v>
      </c>
      <c r="D2142" s="108" t="s">
        <v>1922</v>
      </c>
      <c r="E2142" s="71" t="s">
        <v>753</v>
      </c>
      <c r="F2142" s="72"/>
      <c r="G2142" s="73"/>
      <c r="H2142" s="75"/>
      <c r="I2142" s="102">
        <v>46267</v>
      </c>
      <c r="J2142" s="70" t="s">
        <v>767</v>
      </c>
      <c r="K2142" s="106"/>
      <c r="L2142" s="104" t="e">
        <f t="shared" si="531"/>
        <v>#VALUE!</v>
      </c>
      <c r="M2142" s="105" t="e">
        <f ca="1" t="shared" si="532"/>
        <v>#VALUE!</v>
      </c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6"/>
      <c r="Z2142" s="133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5"/>
      <c r="AO2142" s="115"/>
      <c r="AP2142" s="115"/>
      <c r="AQ2142" s="93"/>
      <c r="AR2142" s="93"/>
      <c r="AS2142" s="94"/>
      <c r="AT2142" s="95"/>
      <c r="AU2142" s="79"/>
      <c r="AV2142" s="117"/>
      <c r="AW2142" s="115"/>
      <c r="AX2142" s="106"/>
      <c r="AY2142" s="104"/>
      <c r="AZ2142" s="105"/>
    </row>
    <row r="2143" customHeight="1" spans="1:52">
      <c r="A2143" s="70">
        <v>2160</v>
      </c>
      <c r="B2143" s="108" t="s">
        <v>4961</v>
      </c>
      <c r="C2143" s="70" t="s">
        <v>13</v>
      </c>
      <c r="D2143" s="108" t="s">
        <v>4962</v>
      </c>
      <c r="E2143" s="71" t="s">
        <v>5262</v>
      </c>
      <c r="F2143" s="72"/>
      <c r="G2143" s="73"/>
      <c r="H2143" s="75"/>
      <c r="I2143" s="102">
        <v>46267</v>
      </c>
      <c r="J2143" s="70" t="s">
        <v>767</v>
      </c>
      <c r="K2143" s="106"/>
      <c r="L2143" s="104" t="e">
        <f t="shared" si="531"/>
        <v>#VALUE!</v>
      </c>
      <c r="M2143" s="105" t="e">
        <f ca="1" t="shared" si="532"/>
        <v>#VALUE!</v>
      </c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6"/>
      <c r="Z2143" s="133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5"/>
      <c r="AO2143" s="115"/>
      <c r="AP2143" s="115"/>
      <c r="AQ2143" s="93"/>
      <c r="AR2143" s="93"/>
      <c r="AS2143" s="94"/>
      <c r="AT2143" s="95"/>
      <c r="AU2143" s="79"/>
      <c r="AV2143" s="117"/>
      <c r="AW2143" s="115"/>
      <c r="AX2143" s="106"/>
      <c r="AY2143" s="104"/>
      <c r="AZ2143" s="105"/>
    </row>
    <row r="2144" customHeight="1" spans="1:52">
      <c r="A2144" s="70">
        <v>2161</v>
      </c>
      <c r="B2144" s="108" t="s">
        <v>4961</v>
      </c>
      <c r="C2144" s="70" t="s">
        <v>13</v>
      </c>
      <c r="D2144" s="108" t="s">
        <v>4993</v>
      </c>
      <c r="E2144" s="71" t="s">
        <v>5393</v>
      </c>
      <c r="F2144" s="72"/>
      <c r="G2144" s="73"/>
      <c r="H2144" s="75"/>
      <c r="I2144" s="102">
        <v>46267</v>
      </c>
      <c r="J2144" s="70" t="s">
        <v>767</v>
      </c>
      <c r="K2144" s="106"/>
      <c r="L2144" s="104" t="e">
        <f t="shared" si="531"/>
        <v>#VALUE!</v>
      </c>
      <c r="M2144" s="105" t="e">
        <f ca="1" t="shared" si="532"/>
        <v>#VALUE!</v>
      </c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6"/>
      <c r="Z2144" s="133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5"/>
      <c r="AO2144" s="115"/>
      <c r="AP2144" s="115"/>
      <c r="AQ2144" s="93"/>
      <c r="AR2144" s="93"/>
      <c r="AS2144" s="94"/>
      <c r="AT2144" s="95"/>
      <c r="AU2144" s="79"/>
      <c r="AV2144" s="117"/>
      <c r="AW2144" s="115"/>
      <c r="AX2144" s="106"/>
      <c r="AY2144" s="104"/>
      <c r="AZ2144" s="105"/>
    </row>
    <row r="2145" customHeight="1" spans="1:52">
      <c r="A2145" s="70">
        <v>2162</v>
      </c>
      <c r="B2145" s="70" t="s">
        <v>2120</v>
      </c>
      <c r="C2145" s="70" t="s">
        <v>38</v>
      </c>
      <c r="D2145" s="71" t="s">
        <v>5394</v>
      </c>
      <c r="E2145" s="71" t="s">
        <v>2122</v>
      </c>
      <c r="F2145" s="72"/>
      <c r="G2145" s="73"/>
      <c r="H2145" s="74" t="s">
        <v>16</v>
      </c>
      <c r="I2145" s="102">
        <v>46268</v>
      </c>
      <c r="J2145" s="70">
        <v>3</v>
      </c>
      <c r="K2145" s="106" t="s">
        <v>5395</v>
      </c>
      <c r="L2145" s="104">
        <f t="shared" si="531"/>
        <v>46359</v>
      </c>
      <c r="M2145" s="105">
        <f ca="1" t="shared" si="532"/>
        <v>46</v>
      </c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6"/>
      <c r="Z2145" s="133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5"/>
      <c r="AO2145" s="115"/>
      <c r="AP2145" s="115"/>
      <c r="AQ2145" s="93"/>
      <c r="AR2145" s="93"/>
      <c r="AS2145" s="94"/>
      <c r="AT2145" s="95"/>
      <c r="AU2145" s="79"/>
      <c r="AV2145" s="117"/>
      <c r="AW2145" s="115"/>
      <c r="AX2145" s="106"/>
      <c r="AY2145" s="104"/>
      <c r="AZ2145" s="105"/>
    </row>
    <row r="2146" customHeight="1" spans="1:52">
      <c r="A2146" s="70">
        <v>2163</v>
      </c>
      <c r="B2146" s="108" t="s">
        <v>373</v>
      </c>
      <c r="C2146" s="70" t="s">
        <v>374</v>
      </c>
      <c r="D2146" s="108" t="s">
        <v>5396</v>
      </c>
      <c r="E2146" s="71" t="s">
        <v>376</v>
      </c>
      <c r="F2146" s="72"/>
      <c r="G2146" s="73"/>
      <c r="H2146" s="75"/>
      <c r="I2146" s="102">
        <v>46268</v>
      </c>
      <c r="J2146" s="70">
        <v>3</v>
      </c>
      <c r="K2146" s="106" t="s">
        <v>5397</v>
      </c>
      <c r="L2146" s="104">
        <f t="shared" ref="L2146:L2156" si="533">EDATE(I2146,J2146)</f>
        <v>46359</v>
      </c>
      <c r="M2146" s="105">
        <f ca="1" t="shared" ref="M2146:M2156" si="534">L2146-TODAY()</f>
        <v>46</v>
      </c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6"/>
      <c r="Z2146" s="133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5"/>
      <c r="AO2146" s="115"/>
      <c r="AP2146" s="115"/>
      <c r="AQ2146" s="93"/>
      <c r="AR2146" s="93"/>
      <c r="AS2146" s="94"/>
      <c r="AT2146" s="95"/>
      <c r="AU2146" s="79"/>
      <c r="AV2146" s="117"/>
      <c r="AW2146" s="115"/>
      <c r="AX2146" s="106"/>
      <c r="AY2146" s="104"/>
      <c r="AZ2146" s="105"/>
    </row>
    <row r="2147" customHeight="1" spans="1:52">
      <c r="A2147" s="70">
        <v>2164</v>
      </c>
      <c r="B2147" s="108" t="s">
        <v>373</v>
      </c>
      <c r="C2147" s="70" t="s">
        <v>374</v>
      </c>
      <c r="D2147" s="108" t="s">
        <v>5398</v>
      </c>
      <c r="E2147" s="71" t="s">
        <v>381</v>
      </c>
      <c r="F2147" s="72"/>
      <c r="G2147" s="73"/>
      <c r="H2147" s="75"/>
      <c r="I2147" s="102">
        <v>46268</v>
      </c>
      <c r="J2147" s="70">
        <v>3</v>
      </c>
      <c r="K2147" s="106" t="s">
        <v>5399</v>
      </c>
      <c r="L2147" s="104">
        <f t="shared" si="533"/>
        <v>46359</v>
      </c>
      <c r="M2147" s="105">
        <f ca="1" t="shared" si="534"/>
        <v>46</v>
      </c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6"/>
      <c r="Z2147" s="133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5"/>
      <c r="AO2147" s="115"/>
      <c r="AP2147" s="115"/>
      <c r="AQ2147" s="93"/>
      <c r="AR2147" s="93"/>
      <c r="AS2147" s="94"/>
      <c r="AT2147" s="95"/>
      <c r="AU2147" s="79"/>
      <c r="AV2147" s="117"/>
      <c r="AW2147" s="115"/>
      <c r="AX2147" s="106"/>
      <c r="AY2147" s="104"/>
      <c r="AZ2147" s="105"/>
    </row>
    <row r="2148" customHeight="1" spans="1:52">
      <c r="A2148" s="70">
        <v>2165</v>
      </c>
      <c r="B2148" s="108" t="s">
        <v>373</v>
      </c>
      <c r="C2148" s="70" t="s">
        <v>374</v>
      </c>
      <c r="D2148" s="108" t="s">
        <v>5400</v>
      </c>
      <c r="E2148" s="71" t="s">
        <v>5401</v>
      </c>
      <c r="F2148" s="72"/>
      <c r="G2148" s="73"/>
      <c r="H2148" s="75"/>
      <c r="I2148" s="102">
        <v>46268</v>
      </c>
      <c r="J2148" s="70">
        <v>3</v>
      </c>
      <c r="K2148" s="106" t="s">
        <v>5402</v>
      </c>
      <c r="L2148" s="104">
        <f t="shared" si="533"/>
        <v>46359</v>
      </c>
      <c r="M2148" s="105">
        <f ca="1" t="shared" si="534"/>
        <v>46</v>
      </c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6"/>
      <c r="Z2148" s="133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5"/>
      <c r="AO2148" s="115"/>
      <c r="AP2148" s="115"/>
      <c r="AQ2148" s="93"/>
      <c r="AR2148" s="93"/>
      <c r="AS2148" s="94"/>
      <c r="AT2148" s="95"/>
      <c r="AU2148" s="79"/>
      <c r="AV2148" s="117"/>
      <c r="AW2148" s="115"/>
      <c r="AX2148" s="106"/>
      <c r="AY2148" s="104"/>
      <c r="AZ2148" s="105"/>
    </row>
    <row r="2149" customHeight="1" spans="1:52">
      <c r="A2149" s="70">
        <v>2166</v>
      </c>
      <c r="B2149" s="108" t="s">
        <v>373</v>
      </c>
      <c r="C2149" s="70" t="s">
        <v>374</v>
      </c>
      <c r="D2149" s="108" t="s">
        <v>5403</v>
      </c>
      <c r="E2149" s="71" t="s">
        <v>5401</v>
      </c>
      <c r="F2149" s="72"/>
      <c r="G2149" s="73"/>
      <c r="H2149" s="75"/>
      <c r="I2149" s="102">
        <v>46268</v>
      </c>
      <c r="J2149" s="70">
        <v>3</v>
      </c>
      <c r="K2149" s="106" t="s">
        <v>5404</v>
      </c>
      <c r="L2149" s="104">
        <f t="shared" si="533"/>
        <v>46359</v>
      </c>
      <c r="M2149" s="105">
        <f ca="1" t="shared" si="534"/>
        <v>46</v>
      </c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6"/>
      <c r="Z2149" s="133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5"/>
      <c r="AO2149" s="115"/>
      <c r="AP2149" s="115"/>
      <c r="AQ2149" s="93"/>
      <c r="AR2149" s="93"/>
      <c r="AS2149" s="94"/>
      <c r="AT2149" s="95"/>
      <c r="AU2149" s="79"/>
      <c r="AV2149" s="117"/>
      <c r="AW2149" s="115"/>
      <c r="AX2149" s="106"/>
      <c r="AY2149" s="104"/>
      <c r="AZ2149" s="105"/>
    </row>
    <row r="2150" customHeight="1" spans="1:52">
      <c r="A2150" s="70">
        <v>2167</v>
      </c>
      <c r="B2150" s="108" t="s">
        <v>373</v>
      </c>
      <c r="C2150" s="70" t="s">
        <v>374</v>
      </c>
      <c r="D2150" s="108" t="s">
        <v>5405</v>
      </c>
      <c r="E2150" s="93" t="s">
        <v>381</v>
      </c>
      <c r="F2150" s="94"/>
      <c r="G2150" s="95"/>
      <c r="H2150" s="74" t="s">
        <v>16</v>
      </c>
      <c r="I2150" s="102">
        <v>46268</v>
      </c>
      <c r="J2150" s="70">
        <v>3</v>
      </c>
      <c r="K2150" s="106" t="s">
        <v>5406</v>
      </c>
      <c r="L2150" s="104">
        <f t="shared" si="533"/>
        <v>46359</v>
      </c>
      <c r="M2150" s="105">
        <f ca="1" t="shared" si="534"/>
        <v>46</v>
      </c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6"/>
      <c r="Z2150" s="133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5"/>
      <c r="AO2150" s="115"/>
      <c r="AP2150" s="115"/>
      <c r="AQ2150" s="93"/>
      <c r="AR2150" s="93"/>
      <c r="AS2150" s="94"/>
      <c r="AT2150" s="95"/>
      <c r="AU2150" s="79"/>
      <c r="AV2150" s="117"/>
      <c r="AW2150" s="115"/>
      <c r="AX2150" s="106"/>
      <c r="AY2150" s="104"/>
      <c r="AZ2150" s="105"/>
    </row>
    <row r="2151" customHeight="1" spans="1:52">
      <c r="A2151" s="70">
        <v>2168</v>
      </c>
      <c r="B2151" s="108" t="s">
        <v>373</v>
      </c>
      <c r="C2151" s="70" t="s">
        <v>374</v>
      </c>
      <c r="D2151" s="108" t="s">
        <v>5407</v>
      </c>
      <c r="E2151" s="71" t="s">
        <v>5401</v>
      </c>
      <c r="F2151" s="72"/>
      <c r="G2151" s="73"/>
      <c r="H2151" s="74" t="s">
        <v>16</v>
      </c>
      <c r="I2151" s="102">
        <v>46268</v>
      </c>
      <c r="J2151" s="70">
        <v>3</v>
      </c>
      <c r="K2151" s="106" t="s">
        <v>5408</v>
      </c>
      <c r="L2151" s="104">
        <f t="shared" si="533"/>
        <v>46359</v>
      </c>
      <c r="M2151" s="105">
        <f ca="1" t="shared" si="534"/>
        <v>46</v>
      </c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6"/>
      <c r="Z2151" s="133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5"/>
      <c r="AO2151" s="115"/>
      <c r="AP2151" s="115"/>
      <c r="AQ2151" s="93"/>
      <c r="AR2151" s="93"/>
      <c r="AS2151" s="94"/>
      <c r="AT2151" s="95"/>
      <c r="AU2151" s="79"/>
      <c r="AV2151" s="117"/>
      <c r="AW2151" s="115"/>
      <c r="AX2151" s="106"/>
      <c r="AY2151" s="104"/>
      <c r="AZ2151" s="105"/>
    </row>
    <row r="2152" customHeight="1" spans="1:52">
      <c r="A2152" s="70">
        <v>2169</v>
      </c>
      <c r="B2152" s="108" t="s">
        <v>373</v>
      </c>
      <c r="C2152" s="70" t="s">
        <v>374</v>
      </c>
      <c r="D2152" s="108" t="s">
        <v>5409</v>
      </c>
      <c r="E2152" s="71" t="s">
        <v>5401</v>
      </c>
      <c r="F2152" s="72"/>
      <c r="G2152" s="73"/>
      <c r="H2152" s="74" t="s">
        <v>16</v>
      </c>
      <c r="I2152" s="102">
        <v>46268</v>
      </c>
      <c r="J2152" s="70">
        <v>3</v>
      </c>
      <c r="K2152" s="106" t="s">
        <v>5410</v>
      </c>
      <c r="L2152" s="104">
        <f t="shared" si="533"/>
        <v>46359</v>
      </c>
      <c r="M2152" s="105">
        <f ca="1" t="shared" si="534"/>
        <v>46</v>
      </c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6"/>
      <c r="Z2152" s="133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5"/>
      <c r="AO2152" s="115"/>
      <c r="AP2152" s="115"/>
      <c r="AQ2152" s="93"/>
      <c r="AR2152" s="93"/>
      <c r="AS2152" s="94"/>
      <c r="AT2152" s="95"/>
      <c r="AU2152" s="79"/>
      <c r="AV2152" s="117"/>
      <c r="AW2152" s="115"/>
      <c r="AX2152" s="106"/>
      <c r="AY2152" s="104"/>
      <c r="AZ2152" s="105"/>
    </row>
    <row r="2153" customHeight="1" spans="1:52">
      <c r="A2153" s="70">
        <v>2170</v>
      </c>
      <c r="B2153" s="108" t="s">
        <v>373</v>
      </c>
      <c r="C2153" s="70" t="s">
        <v>374</v>
      </c>
      <c r="D2153" s="71" t="s">
        <v>5411</v>
      </c>
      <c r="E2153" s="71" t="s">
        <v>376</v>
      </c>
      <c r="F2153" s="72"/>
      <c r="G2153" s="73"/>
      <c r="H2153" s="75"/>
      <c r="I2153" s="102">
        <v>46268</v>
      </c>
      <c r="J2153" s="70">
        <v>3</v>
      </c>
      <c r="K2153" s="106" t="s">
        <v>5412</v>
      </c>
      <c r="L2153" s="104">
        <f t="shared" si="533"/>
        <v>46359</v>
      </c>
      <c r="M2153" s="105">
        <f ca="1" t="shared" si="534"/>
        <v>46</v>
      </c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6"/>
      <c r="Z2153" s="133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5"/>
      <c r="AO2153" s="115"/>
      <c r="AP2153" s="115"/>
      <c r="AQ2153" s="93"/>
      <c r="AR2153" s="93"/>
      <c r="AS2153" s="94"/>
      <c r="AT2153" s="95"/>
      <c r="AU2153" s="79"/>
      <c r="AV2153" s="117"/>
      <c r="AW2153" s="115"/>
      <c r="AX2153" s="106"/>
      <c r="AY2153" s="104"/>
      <c r="AZ2153" s="105"/>
    </row>
    <row r="2154" customHeight="1" spans="1:52">
      <c r="A2154" s="70">
        <v>2171</v>
      </c>
      <c r="B2154" s="70" t="s">
        <v>555</v>
      </c>
      <c r="C2154" s="70" t="s">
        <v>374</v>
      </c>
      <c r="D2154" s="71" t="s">
        <v>5413</v>
      </c>
      <c r="E2154" s="71" t="s">
        <v>5414</v>
      </c>
      <c r="F2154" s="72"/>
      <c r="G2154" s="73"/>
      <c r="H2154" s="74" t="s">
        <v>16</v>
      </c>
      <c r="I2154" s="102">
        <v>46268</v>
      </c>
      <c r="J2154" s="70">
        <v>3</v>
      </c>
      <c r="K2154" s="106" t="s">
        <v>5415</v>
      </c>
      <c r="L2154" s="104">
        <f t="shared" si="533"/>
        <v>46359</v>
      </c>
      <c r="M2154" s="105">
        <f ca="1" t="shared" si="534"/>
        <v>46</v>
      </c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6"/>
      <c r="Z2154" s="133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5"/>
      <c r="AO2154" s="115"/>
      <c r="AP2154" s="115"/>
      <c r="AQ2154" s="93"/>
      <c r="AR2154" s="93"/>
      <c r="AS2154" s="94"/>
      <c r="AT2154" s="95"/>
      <c r="AU2154" s="79"/>
      <c r="AV2154" s="117"/>
      <c r="AW2154" s="115"/>
      <c r="AX2154" s="106"/>
      <c r="AY2154" s="104"/>
      <c r="AZ2154" s="105"/>
    </row>
    <row r="2155" customHeight="1" spans="1:52">
      <c r="A2155" s="70">
        <v>2172</v>
      </c>
      <c r="B2155" s="108" t="s">
        <v>5416</v>
      </c>
      <c r="C2155" s="70" t="s">
        <v>264</v>
      </c>
      <c r="D2155" s="108" t="s">
        <v>5417</v>
      </c>
      <c r="E2155" s="71" t="s">
        <v>5418</v>
      </c>
      <c r="F2155" s="72"/>
      <c r="G2155" s="73"/>
      <c r="H2155" s="75"/>
      <c r="I2155" s="102">
        <v>46268</v>
      </c>
      <c r="J2155" s="70">
        <v>3</v>
      </c>
      <c r="K2155" s="106" t="s">
        <v>5419</v>
      </c>
      <c r="L2155" s="104">
        <f t="shared" si="533"/>
        <v>46359</v>
      </c>
      <c r="M2155" s="105">
        <f ca="1" t="shared" si="534"/>
        <v>46</v>
      </c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6"/>
      <c r="Z2155" s="133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5"/>
      <c r="AO2155" s="115"/>
      <c r="AP2155" s="115"/>
      <c r="AQ2155" s="93"/>
      <c r="AR2155" s="93"/>
      <c r="AS2155" s="94"/>
      <c r="AT2155" s="95"/>
      <c r="AU2155" s="79"/>
      <c r="AV2155" s="117"/>
      <c r="AW2155" s="115"/>
      <c r="AX2155" s="106"/>
      <c r="AY2155" s="104"/>
      <c r="AZ2155" s="105"/>
    </row>
    <row r="2156" customHeight="1" spans="1:52">
      <c r="A2156" s="70">
        <v>2173</v>
      </c>
      <c r="B2156" s="108" t="s">
        <v>5416</v>
      </c>
      <c r="C2156" s="70" t="s">
        <v>264</v>
      </c>
      <c r="D2156" s="108" t="s">
        <v>5420</v>
      </c>
      <c r="E2156" s="71" t="s">
        <v>5421</v>
      </c>
      <c r="F2156" s="72"/>
      <c r="G2156" s="73"/>
      <c r="H2156" s="75"/>
      <c r="I2156" s="102">
        <v>46268</v>
      </c>
      <c r="J2156" s="70">
        <v>3</v>
      </c>
      <c r="K2156" s="106" t="s">
        <v>5422</v>
      </c>
      <c r="L2156" s="104">
        <f t="shared" si="533"/>
        <v>46359</v>
      </c>
      <c r="M2156" s="105">
        <f ca="1" t="shared" si="534"/>
        <v>46</v>
      </c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6"/>
      <c r="Z2156" s="133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5"/>
      <c r="AO2156" s="115"/>
      <c r="AP2156" s="115"/>
      <c r="AQ2156" s="93"/>
      <c r="AR2156" s="93"/>
      <c r="AS2156" s="94"/>
      <c r="AT2156" s="95"/>
      <c r="AU2156" s="79"/>
      <c r="AV2156" s="117"/>
      <c r="AW2156" s="115"/>
      <c r="AX2156" s="106"/>
      <c r="AY2156" s="104"/>
      <c r="AZ2156" s="105"/>
    </row>
    <row r="2157" customHeight="1" spans="1:52">
      <c r="A2157" s="70">
        <v>2174</v>
      </c>
      <c r="B2157" s="108" t="s">
        <v>263</v>
      </c>
      <c r="C2157" s="70" t="s">
        <v>264</v>
      </c>
      <c r="D2157" s="108" t="s">
        <v>1922</v>
      </c>
      <c r="E2157" s="71" t="s">
        <v>753</v>
      </c>
      <c r="F2157" s="72"/>
      <c r="G2157" s="73"/>
      <c r="H2157" s="75"/>
      <c r="I2157" s="102">
        <v>46268</v>
      </c>
      <c r="J2157" s="70" t="s">
        <v>767</v>
      </c>
      <c r="K2157" s="106"/>
      <c r="L2157" s="104" t="e">
        <f t="shared" ref="L2157:L2171" si="535">EDATE(I2157,J2157)</f>
        <v>#VALUE!</v>
      </c>
      <c r="M2157" s="105" t="e">
        <f ca="1" t="shared" ref="M2157:M2171" si="536">L2157-TODAY()</f>
        <v>#VALUE!</v>
      </c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6"/>
      <c r="Z2157" s="133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5"/>
      <c r="AO2157" s="115"/>
      <c r="AP2157" s="115"/>
      <c r="AQ2157" s="93"/>
      <c r="AR2157" s="93"/>
      <c r="AS2157" s="94"/>
      <c r="AT2157" s="95"/>
      <c r="AU2157" s="79"/>
      <c r="AV2157" s="117"/>
      <c r="AW2157" s="115"/>
      <c r="AX2157" s="106"/>
      <c r="AY2157" s="104"/>
      <c r="AZ2157" s="105"/>
    </row>
    <row r="2158" customHeight="1" spans="1:52">
      <c r="A2158" s="70">
        <v>2175</v>
      </c>
      <c r="B2158" s="108" t="s">
        <v>263</v>
      </c>
      <c r="C2158" s="70" t="s">
        <v>264</v>
      </c>
      <c r="D2158" s="108" t="s">
        <v>2433</v>
      </c>
      <c r="E2158" s="71" t="s">
        <v>753</v>
      </c>
      <c r="F2158" s="72"/>
      <c r="G2158" s="73"/>
      <c r="H2158" s="75"/>
      <c r="I2158" s="102">
        <v>46268</v>
      </c>
      <c r="J2158" s="70" t="s">
        <v>767</v>
      </c>
      <c r="K2158" s="106"/>
      <c r="L2158" s="104" t="e">
        <f t="shared" si="535"/>
        <v>#VALUE!</v>
      </c>
      <c r="M2158" s="105" t="e">
        <f ca="1" t="shared" si="536"/>
        <v>#VALUE!</v>
      </c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6"/>
      <c r="Z2158" s="133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5"/>
      <c r="AO2158" s="115"/>
      <c r="AP2158" s="115"/>
      <c r="AQ2158" s="93"/>
      <c r="AR2158" s="93"/>
      <c r="AS2158" s="94"/>
      <c r="AT2158" s="95"/>
      <c r="AU2158" s="79"/>
      <c r="AV2158" s="117"/>
      <c r="AW2158" s="115"/>
      <c r="AX2158" s="106"/>
      <c r="AY2158" s="104"/>
      <c r="AZ2158" s="105"/>
    </row>
    <row r="2159" customHeight="1" spans="1:52">
      <c r="A2159" s="70">
        <v>2176</v>
      </c>
      <c r="B2159" s="108" t="s">
        <v>263</v>
      </c>
      <c r="C2159" s="70" t="s">
        <v>264</v>
      </c>
      <c r="D2159" s="108" t="s">
        <v>265</v>
      </c>
      <c r="E2159" s="71" t="s">
        <v>753</v>
      </c>
      <c r="F2159" s="72"/>
      <c r="G2159" s="73"/>
      <c r="H2159" s="75"/>
      <c r="I2159" s="102">
        <v>46268</v>
      </c>
      <c r="J2159" s="70" t="s">
        <v>767</v>
      </c>
      <c r="K2159" s="106"/>
      <c r="L2159" s="104" t="e">
        <f t="shared" si="535"/>
        <v>#VALUE!</v>
      </c>
      <c r="M2159" s="105" t="e">
        <f ca="1" t="shared" si="536"/>
        <v>#VALUE!</v>
      </c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6"/>
      <c r="Z2159" s="133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5"/>
      <c r="AO2159" s="115"/>
      <c r="AP2159" s="115"/>
      <c r="AQ2159" s="93"/>
      <c r="AR2159" s="93"/>
      <c r="AS2159" s="94"/>
      <c r="AT2159" s="95"/>
      <c r="AU2159" s="79"/>
      <c r="AV2159" s="117"/>
      <c r="AW2159" s="115"/>
      <c r="AX2159" s="106"/>
      <c r="AY2159" s="104"/>
      <c r="AZ2159" s="105"/>
    </row>
    <row r="2160" customHeight="1" spans="1:52">
      <c r="A2160" s="70">
        <v>2177</v>
      </c>
      <c r="B2160" s="108" t="s">
        <v>2187</v>
      </c>
      <c r="C2160" s="70" t="s">
        <v>38</v>
      </c>
      <c r="D2160" s="108" t="s">
        <v>5423</v>
      </c>
      <c r="E2160" s="71" t="s">
        <v>4065</v>
      </c>
      <c r="F2160" s="72"/>
      <c r="G2160" s="73"/>
      <c r="H2160" s="79" t="s">
        <v>16</v>
      </c>
      <c r="I2160" s="102">
        <v>46269</v>
      </c>
      <c r="J2160" s="70">
        <v>3</v>
      </c>
      <c r="K2160" s="106" t="s">
        <v>5424</v>
      </c>
      <c r="L2160" s="104">
        <f t="shared" si="535"/>
        <v>46360</v>
      </c>
      <c r="M2160" s="105">
        <f ca="1" t="shared" si="536"/>
        <v>47</v>
      </c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6"/>
      <c r="Z2160" s="133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5"/>
      <c r="AO2160" s="115"/>
      <c r="AP2160" s="115"/>
      <c r="AQ2160" s="93"/>
      <c r="AR2160" s="93"/>
      <c r="AS2160" s="94"/>
      <c r="AT2160" s="95"/>
      <c r="AU2160" s="79"/>
      <c r="AV2160" s="117"/>
      <c r="AW2160" s="115"/>
      <c r="AX2160" s="106"/>
      <c r="AY2160" s="104"/>
      <c r="AZ2160" s="105"/>
    </row>
    <row r="2161" customHeight="1" spans="1:52">
      <c r="A2161" s="70">
        <v>2178</v>
      </c>
      <c r="B2161" s="108" t="s">
        <v>5425</v>
      </c>
      <c r="C2161" s="70" t="s">
        <v>38</v>
      </c>
      <c r="D2161" s="108" t="s">
        <v>5426</v>
      </c>
      <c r="E2161" s="71" t="s">
        <v>5427</v>
      </c>
      <c r="F2161" s="72"/>
      <c r="G2161" s="73"/>
      <c r="H2161" s="75"/>
      <c r="I2161" s="102">
        <v>46270</v>
      </c>
      <c r="J2161" s="70">
        <v>3</v>
      </c>
      <c r="K2161" s="106" t="s">
        <v>5428</v>
      </c>
      <c r="L2161" s="104">
        <f t="shared" si="535"/>
        <v>46361</v>
      </c>
      <c r="M2161" s="105">
        <f ca="1" t="shared" si="536"/>
        <v>48</v>
      </c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6"/>
      <c r="Z2161" s="133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5"/>
      <c r="AO2161" s="115"/>
      <c r="AP2161" s="115"/>
      <c r="AQ2161" s="93"/>
      <c r="AR2161" s="93"/>
      <c r="AS2161" s="94"/>
      <c r="AT2161" s="95"/>
      <c r="AU2161" s="79"/>
      <c r="AV2161" s="117"/>
      <c r="AW2161" s="115"/>
      <c r="AX2161" s="106"/>
      <c r="AY2161" s="104"/>
      <c r="AZ2161" s="105"/>
    </row>
    <row r="2162" customHeight="1" spans="1:52">
      <c r="A2162" s="70">
        <v>2179</v>
      </c>
      <c r="B2162" s="108" t="s">
        <v>648</v>
      </c>
      <c r="C2162" s="70" t="s">
        <v>264</v>
      </c>
      <c r="D2162" s="108" t="s">
        <v>5429</v>
      </c>
      <c r="E2162" s="71" t="s">
        <v>5430</v>
      </c>
      <c r="F2162" s="72"/>
      <c r="G2162" s="73"/>
      <c r="H2162" s="75"/>
      <c r="I2162" s="102">
        <v>46270</v>
      </c>
      <c r="J2162" s="70">
        <v>3</v>
      </c>
      <c r="K2162" s="106" t="s">
        <v>5431</v>
      </c>
      <c r="L2162" s="104">
        <f t="shared" si="535"/>
        <v>46361</v>
      </c>
      <c r="M2162" s="105">
        <f ca="1" t="shared" si="536"/>
        <v>48</v>
      </c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6"/>
      <c r="Z2162" s="133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5"/>
      <c r="AO2162" s="115"/>
      <c r="AP2162" s="115"/>
      <c r="AQ2162" s="93"/>
      <c r="AR2162" s="93"/>
      <c r="AS2162" s="94"/>
      <c r="AT2162" s="95"/>
      <c r="AU2162" s="79"/>
      <c r="AV2162" s="117"/>
      <c r="AW2162" s="115"/>
      <c r="AX2162" s="106"/>
      <c r="AY2162" s="104"/>
      <c r="AZ2162" s="105"/>
    </row>
    <row r="2163" customHeight="1" spans="1:52">
      <c r="A2163" s="70">
        <v>2180</v>
      </c>
      <c r="B2163" s="108" t="s">
        <v>3559</v>
      </c>
      <c r="C2163" s="70" t="s">
        <v>264</v>
      </c>
      <c r="D2163" s="108" t="s">
        <v>5432</v>
      </c>
      <c r="E2163" s="71" t="s">
        <v>5433</v>
      </c>
      <c r="F2163" s="72"/>
      <c r="G2163" s="73"/>
      <c r="H2163" s="75"/>
      <c r="I2163" s="102">
        <v>46270</v>
      </c>
      <c r="J2163" s="70">
        <v>3</v>
      </c>
      <c r="K2163" s="106" t="s">
        <v>5434</v>
      </c>
      <c r="L2163" s="104">
        <f t="shared" si="535"/>
        <v>46361</v>
      </c>
      <c r="M2163" s="105">
        <f ca="1" t="shared" si="536"/>
        <v>48</v>
      </c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6"/>
      <c r="Z2163" s="133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5"/>
      <c r="AO2163" s="115"/>
      <c r="AP2163" s="115"/>
      <c r="AQ2163" s="93"/>
      <c r="AR2163" s="93"/>
      <c r="AS2163" s="94"/>
      <c r="AT2163" s="95"/>
      <c r="AU2163" s="79"/>
      <c r="AV2163" s="117"/>
      <c r="AW2163" s="115"/>
      <c r="AX2163" s="106"/>
      <c r="AY2163" s="104"/>
      <c r="AZ2163" s="105"/>
    </row>
    <row r="2164" customHeight="1" spans="1:52">
      <c r="A2164" s="70">
        <v>2181</v>
      </c>
      <c r="B2164" s="108" t="s">
        <v>757</v>
      </c>
      <c r="C2164" s="70" t="s">
        <v>264</v>
      </c>
      <c r="D2164" s="108" t="s">
        <v>5435</v>
      </c>
      <c r="E2164" s="71" t="s">
        <v>4012</v>
      </c>
      <c r="F2164" s="72"/>
      <c r="G2164" s="73"/>
      <c r="H2164" s="75"/>
      <c r="I2164" s="102">
        <v>46270</v>
      </c>
      <c r="J2164" s="70">
        <v>3</v>
      </c>
      <c r="K2164" s="106" t="s">
        <v>5436</v>
      </c>
      <c r="L2164" s="104">
        <f t="shared" si="535"/>
        <v>46361</v>
      </c>
      <c r="M2164" s="105">
        <f ca="1" t="shared" si="536"/>
        <v>48</v>
      </c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6"/>
      <c r="Z2164" s="133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5"/>
      <c r="AO2164" s="115"/>
      <c r="AP2164" s="115"/>
      <c r="AQ2164" s="93"/>
      <c r="AR2164" s="93"/>
      <c r="AS2164" s="94"/>
      <c r="AT2164" s="95"/>
      <c r="AU2164" s="79"/>
      <c r="AV2164" s="117"/>
      <c r="AW2164" s="115"/>
      <c r="AX2164" s="106"/>
      <c r="AY2164" s="104"/>
      <c r="AZ2164" s="105"/>
    </row>
    <row r="2165" customHeight="1" spans="1:52">
      <c r="A2165" s="70">
        <v>2182</v>
      </c>
      <c r="B2165" s="108" t="s">
        <v>263</v>
      </c>
      <c r="C2165" s="70" t="s">
        <v>264</v>
      </c>
      <c r="D2165" s="108" t="s">
        <v>1922</v>
      </c>
      <c r="E2165" s="71" t="s">
        <v>753</v>
      </c>
      <c r="F2165" s="72"/>
      <c r="G2165" s="73"/>
      <c r="H2165" s="75"/>
      <c r="I2165" s="102">
        <v>46271</v>
      </c>
      <c r="J2165" s="70" t="s">
        <v>767</v>
      </c>
      <c r="K2165" s="106"/>
      <c r="L2165" s="104" t="e">
        <f t="shared" si="535"/>
        <v>#VALUE!</v>
      </c>
      <c r="M2165" s="105" t="e">
        <f ca="1" t="shared" si="536"/>
        <v>#VALUE!</v>
      </c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6"/>
      <c r="Z2165" s="133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5"/>
      <c r="AO2165" s="115"/>
      <c r="AP2165" s="115"/>
      <c r="AQ2165" s="93"/>
      <c r="AR2165" s="93"/>
      <c r="AS2165" s="94"/>
      <c r="AT2165" s="95"/>
      <c r="AU2165" s="79"/>
      <c r="AV2165" s="117"/>
      <c r="AW2165" s="115"/>
      <c r="AX2165" s="106"/>
      <c r="AY2165" s="104"/>
      <c r="AZ2165" s="105"/>
    </row>
    <row r="2166" customHeight="1" spans="1:52">
      <c r="A2166" s="70">
        <v>2183</v>
      </c>
      <c r="B2166" s="108" t="s">
        <v>263</v>
      </c>
      <c r="C2166" s="70" t="s">
        <v>264</v>
      </c>
      <c r="D2166" s="108" t="s">
        <v>955</v>
      </c>
      <c r="E2166" s="71" t="s">
        <v>753</v>
      </c>
      <c r="F2166" s="72"/>
      <c r="G2166" s="73"/>
      <c r="H2166" s="75"/>
      <c r="I2166" s="102">
        <v>46271</v>
      </c>
      <c r="J2166" s="70" t="s">
        <v>767</v>
      </c>
      <c r="K2166" s="106"/>
      <c r="L2166" s="104" t="e">
        <f t="shared" si="535"/>
        <v>#VALUE!</v>
      </c>
      <c r="M2166" s="105" t="e">
        <f ca="1" t="shared" si="536"/>
        <v>#VALUE!</v>
      </c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6"/>
      <c r="Z2166" s="133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5"/>
      <c r="AO2166" s="115"/>
      <c r="AP2166" s="115"/>
      <c r="AQ2166" s="93"/>
      <c r="AR2166" s="93"/>
      <c r="AS2166" s="94"/>
      <c r="AT2166" s="95"/>
      <c r="AU2166" s="79"/>
      <c r="AV2166" s="117"/>
      <c r="AW2166" s="115"/>
      <c r="AX2166" s="106"/>
      <c r="AY2166" s="104"/>
      <c r="AZ2166" s="105"/>
    </row>
    <row r="2167" customHeight="1" spans="1:52">
      <c r="A2167" s="70">
        <v>2184</v>
      </c>
      <c r="B2167" s="70" t="s">
        <v>2501</v>
      </c>
      <c r="C2167" s="70" t="s">
        <v>13</v>
      </c>
      <c r="D2167" s="71" t="s">
        <v>5437</v>
      </c>
      <c r="E2167" s="71" t="s">
        <v>2056</v>
      </c>
      <c r="F2167" s="72"/>
      <c r="G2167" s="73"/>
      <c r="H2167" s="74" t="s">
        <v>16</v>
      </c>
      <c r="I2167" s="102">
        <v>46272</v>
      </c>
      <c r="J2167" s="70">
        <v>3</v>
      </c>
      <c r="K2167" s="106" t="s">
        <v>5438</v>
      </c>
      <c r="L2167" s="104">
        <f t="shared" si="535"/>
        <v>46363</v>
      </c>
      <c r="M2167" s="105">
        <f ca="1" t="shared" si="536"/>
        <v>50</v>
      </c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6"/>
      <c r="Z2167" s="133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5"/>
      <c r="AO2167" s="115"/>
      <c r="AP2167" s="115"/>
      <c r="AQ2167" s="93"/>
      <c r="AR2167" s="93"/>
      <c r="AS2167" s="94"/>
      <c r="AT2167" s="95"/>
      <c r="AU2167" s="79"/>
      <c r="AV2167" s="117"/>
      <c r="AW2167" s="115"/>
      <c r="AX2167" s="106"/>
      <c r="AY2167" s="104"/>
      <c r="AZ2167" s="105"/>
    </row>
    <row r="2168" customHeight="1" spans="1:52">
      <c r="A2168" s="70">
        <v>2185</v>
      </c>
      <c r="B2168" s="70" t="s">
        <v>229</v>
      </c>
      <c r="C2168" s="70" t="s">
        <v>13</v>
      </c>
      <c r="D2168" s="71" t="s">
        <v>5439</v>
      </c>
      <c r="E2168" s="71" t="s">
        <v>2056</v>
      </c>
      <c r="F2168" s="72"/>
      <c r="G2168" s="73"/>
      <c r="H2168" s="74" t="s">
        <v>16</v>
      </c>
      <c r="I2168" s="102">
        <v>46272</v>
      </c>
      <c r="J2168" s="70">
        <v>3</v>
      </c>
      <c r="K2168" s="106" t="s">
        <v>5440</v>
      </c>
      <c r="L2168" s="104">
        <f t="shared" si="535"/>
        <v>46363</v>
      </c>
      <c r="M2168" s="105">
        <f ca="1" t="shared" si="536"/>
        <v>50</v>
      </c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6"/>
      <c r="Z2168" s="133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5"/>
      <c r="AO2168" s="115"/>
      <c r="AP2168" s="115"/>
      <c r="AQ2168" s="93"/>
      <c r="AR2168" s="93"/>
      <c r="AS2168" s="94"/>
      <c r="AT2168" s="95"/>
      <c r="AU2168" s="79"/>
      <c r="AV2168" s="117"/>
      <c r="AW2168" s="115"/>
      <c r="AX2168" s="106"/>
      <c r="AY2168" s="104"/>
      <c r="AZ2168" s="105"/>
    </row>
    <row r="2169" customHeight="1" spans="1:52">
      <c r="A2169" s="70">
        <v>2186</v>
      </c>
      <c r="B2169" s="70" t="s">
        <v>434</v>
      </c>
      <c r="C2169" s="70" t="s">
        <v>13</v>
      </c>
      <c r="D2169" s="71" t="s">
        <v>5441</v>
      </c>
      <c r="E2169" s="71" t="s">
        <v>568</v>
      </c>
      <c r="F2169" s="72"/>
      <c r="G2169" s="73"/>
      <c r="H2169" s="74" t="s">
        <v>16</v>
      </c>
      <c r="I2169" s="102">
        <v>46272</v>
      </c>
      <c r="J2169" s="70">
        <v>3</v>
      </c>
      <c r="K2169" s="106" t="s">
        <v>5442</v>
      </c>
      <c r="L2169" s="104">
        <f t="shared" si="535"/>
        <v>46363</v>
      </c>
      <c r="M2169" s="105">
        <f ca="1" t="shared" si="536"/>
        <v>50</v>
      </c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6"/>
      <c r="Z2169" s="133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5"/>
      <c r="AO2169" s="115"/>
      <c r="AP2169" s="115"/>
      <c r="AQ2169" s="93"/>
      <c r="AR2169" s="93"/>
      <c r="AS2169" s="94"/>
      <c r="AT2169" s="95"/>
      <c r="AU2169" s="79"/>
      <c r="AV2169" s="117"/>
      <c r="AW2169" s="115"/>
      <c r="AX2169" s="106"/>
      <c r="AY2169" s="104"/>
      <c r="AZ2169" s="105"/>
    </row>
    <row r="2170" customHeight="1" spans="1:52">
      <c r="A2170" s="70">
        <v>2187</v>
      </c>
      <c r="B2170" s="108" t="s">
        <v>270</v>
      </c>
      <c r="C2170" s="70" t="s">
        <v>264</v>
      </c>
      <c r="D2170" s="108" t="s">
        <v>1580</v>
      </c>
      <c r="E2170" s="71" t="s">
        <v>3279</v>
      </c>
      <c r="F2170" s="72"/>
      <c r="G2170" s="73"/>
      <c r="H2170" s="75"/>
      <c r="I2170" s="102">
        <v>46272</v>
      </c>
      <c r="J2170" s="70" t="s">
        <v>767</v>
      </c>
      <c r="K2170" s="106"/>
      <c r="L2170" s="104" t="e">
        <f t="shared" ref="L2170:L2188" si="537">EDATE(I2170,J2170)</f>
        <v>#VALUE!</v>
      </c>
      <c r="M2170" s="105" t="e">
        <f ca="1" t="shared" ref="M2170:M2188" si="538">L2170-TODAY()</f>
        <v>#VALUE!</v>
      </c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6"/>
      <c r="Z2170" s="133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5"/>
      <c r="AO2170" s="115"/>
      <c r="AP2170" s="115"/>
      <c r="AQ2170" s="93"/>
      <c r="AR2170" s="93"/>
      <c r="AS2170" s="94"/>
      <c r="AT2170" s="95"/>
      <c r="AU2170" s="79"/>
      <c r="AV2170" s="117"/>
      <c r="AW2170" s="115"/>
      <c r="AX2170" s="106"/>
      <c r="AY2170" s="104"/>
      <c r="AZ2170" s="105"/>
    </row>
    <row r="2171" customHeight="1" spans="1:52">
      <c r="A2171" s="70">
        <v>2188</v>
      </c>
      <c r="B2171" s="108" t="s">
        <v>295</v>
      </c>
      <c r="C2171" s="70" t="s">
        <v>264</v>
      </c>
      <c r="D2171" s="108" t="s">
        <v>3020</v>
      </c>
      <c r="E2171" s="71" t="s">
        <v>3024</v>
      </c>
      <c r="F2171" s="72"/>
      <c r="G2171" s="73"/>
      <c r="H2171" s="75"/>
      <c r="I2171" s="102">
        <v>46272</v>
      </c>
      <c r="J2171" s="70" t="s">
        <v>767</v>
      </c>
      <c r="K2171" s="106"/>
      <c r="L2171" s="104" t="e">
        <f t="shared" si="537"/>
        <v>#VALUE!</v>
      </c>
      <c r="M2171" s="105" t="e">
        <f ca="1" t="shared" si="538"/>
        <v>#VALUE!</v>
      </c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6"/>
      <c r="Z2171" s="133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5"/>
      <c r="AO2171" s="115"/>
      <c r="AP2171" s="115"/>
      <c r="AQ2171" s="93"/>
      <c r="AR2171" s="93"/>
      <c r="AS2171" s="94"/>
      <c r="AT2171" s="95"/>
      <c r="AU2171" s="79"/>
      <c r="AV2171" s="117"/>
      <c r="AW2171" s="115"/>
      <c r="AX2171" s="106"/>
      <c r="AY2171" s="104"/>
      <c r="AZ2171" s="105"/>
    </row>
    <row r="2172" customHeight="1" spans="1:52">
      <c r="A2172" s="70">
        <v>2189</v>
      </c>
      <c r="B2172" s="108" t="s">
        <v>1359</v>
      </c>
      <c r="C2172" s="70" t="s">
        <v>13</v>
      </c>
      <c r="D2172" s="108" t="s">
        <v>4818</v>
      </c>
      <c r="E2172" s="71" t="s">
        <v>311</v>
      </c>
      <c r="F2172" s="72"/>
      <c r="G2172" s="73"/>
      <c r="H2172" s="75"/>
      <c r="I2172" s="102">
        <v>46273</v>
      </c>
      <c r="J2172" s="70" t="s">
        <v>767</v>
      </c>
      <c r="K2172" s="106"/>
      <c r="L2172" s="104" t="e">
        <f t="shared" si="537"/>
        <v>#VALUE!</v>
      </c>
      <c r="M2172" s="105" t="e">
        <f ca="1" t="shared" si="538"/>
        <v>#VALUE!</v>
      </c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6"/>
      <c r="Z2172" s="133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5"/>
      <c r="AO2172" s="115"/>
      <c r="AP2172" s="115"/>
      <c r="AQ2172" s="93"/>
      <c r="AR2172" s="93"/>
      <c r="AS2172" s="94"/>
      <c r="AT2172" s="95"/>
      <c r="AU2172" s="79"/>
      <c r="AV2172" s="117"/>
      <c r="AW2172" s="115"/>
      <c r="AX2172" s="106"/>
      <c r="AY2172" s="104"/>
      <c r="AZ2172" s="105"/>
    </row>
    <row r="2173" customHeight="1" spans="1:52">
      <c r="A2173" s="70">
        <v>2190</v>
      </c>
      <c r="B2173" s="108" t="s">
        <v>1359</v>
      </c>
      <c r="C2173" s="70" t="s">
        <v>13</v>
      </c>
      <c r="D2173" s="108" t="s">
        <v>4812</v>
      </c>
      <c r="E2173" s="71" t="s">
        <v>311</v>
      </c>
      <c r="F2173" s="72"/>
      <c r="G2173" s="73"/>
      <c r="H2173" s="75"/>
      <c r="I2173" s="102">
        <v>46273</v>
      </c>
      <c r="J2173" s="70" t="s">
        <v>767</v>
      </c>
      <c r="K2173" s="106"/>
      <c r="L2173" s="104" t="e">
        <f t="shared" si="537"/>
        <v>#VALUE!</v>
      </c>
      <c r="M2173" s="105" t="e">
        <f ca="1" t="shared" si="538"/>
        <v>#VALUE!</v>
      </c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6"/>
      <c r="Z2173" s="133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5"/>
      <c r="AO2173" s="115"/>
      <c r="AP2173" s="115"/>
      <c r="AQ2173" s="93"/>
      <c r="AR2173" s="93"/>
      <c r="AS2173" s="94"/>
      <c r="AT2173" s="95"/>
      <c r="AU2173" s="79"/>
      <c r="AV2173" s="117"/>
      <c r="AW2173" s="115"/>
      <c r="AX2173" s="106"/>
      <c r="AY2173" s="104"/>
      <c r="AZ2173" s="105"/>
    </row>
    <row r="2174" customHeight="1" spans="1:52">
      <c r="A2174" s="70">
        <v>2191</v>
      </c>
      <c r="B2174" s="108" t="s">
        <v>644</v>
      </c>
      <c r="C2174" s="70" t="s">
        <v>264</v>
      </c>
      <c r="D2174" s="108" t="s">
        <v>1922</v>
      </c>
      <c r="E2174" s="71" t="s">
        <v>753</v>
      </c>
      <c r="F2174" s="72"/>
      <c r="G2174" s="73"/>
      <c r="H2174" s="75"/>
      <c r="I2174" s="102">
        <v>46273</v>
      </c>
      <c r="J2174" s="70" t="s">
        <v>767</v>
      </c>
      <c r="K2174" s="106"/>
      <c r="L2174" s="104" t="e">
        <f t="shared" si="537"/>
        <v>#VALUE!</v>
      </c>
      <c r="M2174" s="105" t="e">
        <f ca="1" t="shared" si="538"/>
        <v>#VALUE!</v>
      </c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6"/>
      <c r="Z2174" s="133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5"/>
      <c r="AO2174" s="115"/>
      <c r="AP2174" s="115"/>
      <c r="AQ2174" s="93"/>
      <c r="AR2174" s="93"/>
      <c r="AS2174" s="94"/>
      <c r="AT2174" s="95"/>
      <c r="AU2174" s="79"/>
      <c r="AV2174" s="117"/>
      <c r="AW2174" s="115"/>
      <c r="AX2174" s="106"/>
      <c r="AY2174" s="104"/>
      <c r="AZ2174" s="105"/>
    </row>
    <row r="2175" customHeight="1" spans="1:52">
      <c r="A2175" s="70">
        <v>2192</v>
      </c>
      <c r="B2175" s="108" t="s">
        <v>644</v>
      </c>
      <c r="C2175" s="70" t="s">
        <v>264</v>
      </c>
      <c r="D2175" s="108" t="s">
        <v>2433</v>
      </c>
      <c r="E2175" s="71" t="s">
        <v>753</v>
      </c>
      <c r="F2175" s="72"/>
      <c r="G2175" s="73"/>
      <c r="H2175" s="75"/>
      <c r="I2175" s="102">
        <v>46273</v>
      </c>
      <c r="J2175" s="70" t="s">
        <v>767</v>
      </c>
      <c r="K2175" s="106"/>
      <c r="L2175" s="104" t="e">
        <f t="shared" si="537"/>
        <v>#VALUE!</v>
      </c>
      <c r="M2175" s="105" t="e">
        <f ca="1" t="shared" si="538"/>
        <v>#VALUE!</v>
      </c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6"/>
      <c r="Z2175" s="133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5"/>
      <c r="AO2175" s="115"/>
      <c r="AP2175" s="115"/>
      <c r="AQ2175" s="93"/>
      <c r="AR2175" s="93"/>
      <c r="AS2175" s="94"/>
      <c r="AT2175" s="95"/>
      <c r="AU2175" s="79"/>
      <c r="AV2175" s="117"/>
      <c r="AW2175" s="115"/>
      <c r="AX2175" s="106"/>
      <c r="AY2175" s="104"/>
      <c r="AZ2175" s="105"/>
    </row>
    <row r="2176" customHeight="1" spans="1:52">
      <c r="A2176" s="70">
        <v>2193</v>
      </c>
      <c r="B2176" s="108" t="s">
        <v>263</v>
      </c>
      <c r="C2176" s="70" t="s">
        <v>264</v>
      </c>
      <c r="D2176" s="108" t="s">
        <v>265</v>
      </c>
      <c r="E2176" s="71" t="s">
        <v>753</v>
      </c>
      <c r="F2176" s="72"/>
      <c r="G2176" s="73"/>
      <c r="H2176" s="75"/>
      <c r="I2176" s="102">
        <v>46273</v>
      </c>
      <c r="J2176" s="70" t="s">
        <v>767</v>
      </c>
      <c r="K2176" s="106"/>
      <c r="L2176" s="104" t="e">
        <f t="shared" si="537"/>
        <v>#VALUE!</v>
      </c>
      <c r="M2176" s="105" t="e">
        <f ca="1" t="shared" si="538"/>
        <v>#VALUE!</v>
      </c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6"/>
      <c r="Z2176" s="133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5"/>
      <c r="AO2176" s="115"/>
      <c r="AP2176" s="115"/>
      <c r="AQ2176" s="93"/>
      <c r="AR2176" s="93"/>
      <c r="AS2176" s="94"/>
      <c r="AT2176" s="95"/>
      <c r="AU2176" s="79"/>
      <c r="AV2176" s="117"/>
      <c r="AW2176" s="115"/>
      <c r="AX2176" s="106"/>
      <c r="AY2176" s="104"/>
      <c r="AZ2176" s="105"/>
    </row>
    <row r="2177" customHeight="1" spans="1:52">
      <c r="A2177" s="70">
        <v>2194</v>
      </c>
      <c r="B2177" s="70" t="s">
        <v>3559</v>
      </c>
      <c r="C2177" s="70" t="s">
        <v>264</v>
      </c>
      <c r="D2177" s="232" t="s">
        <v>4576</v>
      </c>
      <c r="E2177" s="71" t="s">
        <v>4577</v>
      </c>
      <c r="F2177" s="72"/>
      <c r="G2177" s="73"/>
      <c r="H2177" s="75"/>
      <c r="I2177" s="102">
        <v>46273</v>
      </c>
      <c r="J2177" s="70" t="s">
        <v>767</v>
      </c>
      <c r="K2177" s="106"/>
      <c r="L2177" s="104" t="e">
        <f t="shared" si="537"/>
        <v>#VALUE!</v>
      </c>
      <c r="M2177" s="105" t="e">
        <f ca="1" t="shared" si="538"/>
        <v>#VALUE!</v>
      </c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6"/>
      <c r="Z2177" s="133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5"/>
      <c r="AO2177" s="115"/>
      <c r="AP2177" s="115"/>
      <c r="AQ2177" s="93"/>
      <c r="AR2177" s="93"/>
      <c r="AS2177" s="94"/>
      <c r="AT2177" s="95"/>
      <c r="AU2177" s="79"/>
      <c r="AV2177" s="117"/>
      <c r="AW2177" s="115"/>
      <c r="AX2177" s="106"/>
      <c r="AY2177" s="104"/>
      <c r="AZ2177" s="105"/>
    </row>
    <row r="2178" ht="19" customHeight="1" spans="1:52">
      <c r="A2178" s="70">
        <v>2195</v>
      </c>
      <c r="B2178" s="108" t="s">
        <v>281</v>
      </c>
      <c r="C2178" s="70" t="s">
        <v>264</v>
      </c>
      <c r="D2178" s="233" t="s">
        <v>5443</v>
      </c>
      <c r="E2178" s="71" t="s">
        <v>5444</v>
      </c>
      <c r="F2178" s="72"/>
      <c r="G2178" s="73"/>
      <c r="H2178" s="75"/>
      <c r="I2178" s="102">
        <v>46274</v>
      </c>
      <c r="J2178" s="70">
        <v>3</v>
      </c>
      <c r="K2178" s="106" t="s">
        <v>5445</v>
      </c>
      <c r="L2178" s="104">
        <f t="shared" si="537"/>
        <v>46365</v>
      </c>
      <c r="M2178" s="105">
        <f ca="1" t="shared" si="538"/>
        <v>52</v>
      </c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6"/>
      <c r="Z2178" s="133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5"/>
      <c r="AO2178" s="115"/>
      <c r="AP2178" s="115"/>
      <c r="AQ2178" s="93"/>
      <c r="AR2178" s="93"/>
      <c r="AS2178" s="94"/>
      <c r="AT2178" s="95"/>
      <c r="AU2178" s="79"/>
      <c r="AV2178" s="117"/>
      <c r="AW2178" s="115"/>
      <c r="AX2178" s="106"/>
      <c r="AY2178" s="104"/>
      <c r="AZ2178" s="105"/>
    </row>
    <row r="2179" ht="19" customHeight="1" spans="1:52">
      <c r="A2179" s="70">
        <v>2196</v>
      </c>
      <c r="B2179" s="108" t="s">
        <v>295</v>
      </c>
      <c r="C2179" s="70" t="s">
        <v>264</v>
      </c>
      <c r="D2179" s="233" t="s">
        <v>5344</v>
      </c>
      <c r="E2179" s="71" t="s">
        <v>2744</v>
      </c>
      <c r="F2179" s="72"/>
      <c r="G2179" s="73"/>
      <c r="H2179" s="75"/>
      <c r="I2179" s="102">
        <v>46274</v>
      </c>
      <c r="J2179" s="70" t="s">
        <v>767</v>
      </c>
      <c r="K2179" s="106"/>
      <c r="L2179" s="104" t="e">
        <f t="shared" si="537"/>
        <v>#VALUE!</v>
      </c>
      <c r="M2179" s="105" t="e">
        <f ca="1" t="shared" si="538"/>
        <v>#VALUE!</v>
      </c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6"/>
      <c r="Z2179" s="133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5"/>
      <c r="AO2179" s="115"/>
      <c r="AP2179" s="115"/>
      <c r="AQ2179" s="93"/>
      <c r="AR2179" s="93"/>
      <c r="AS2179" s="94"/>
      <c r="AT2179" s="95"/>
      <c r="AU2179" s="79"/>
      <c r="AV2179" s="117"/>
      <c r="AW2179" s="115"/>
      <c r="AX2179" s="106"/>
      <c r="AY2179" s="104"/>
      <c r="AZ2179" s="105"/>
    </row>
    <row r="2180" ht="19" customHeight="1" spans="1:52">
      <c r="A2180" s="70">
        <v>2197</v>
      </c>
      <c r="B2180" s="108" t="s">
        <v>5446</v>
      </c>
      <c r="C2180" s="70" t="s">
        <v>38</v>
      </c>
      <c r="D2180" s="233" t="s">
        <v>5447</v>
      </c>
      <c r="E2180" s="71" t="s">
        <v>4065</v>
      </c>
      <c r="F2180" s="72"/>
      <c r="G2180" s="73"/>
      <c r="H2180" s="75"/>
      <c r="I2180" s="102">
        <v>46275</v>
      </c>
      <c r="J2180" s="70">
        <v>3</v>
      </c>
      <c r="K2180" s="106" t="s">
        <v>5448</v>
      </c>
      <c r="L2180" s="104">
        <f t="shared" si="537"/>
        <v>46366</v>
      </c>
      <c r="M2180" s="105">
        <f ca="1" t="shared" si="538"/>
        <v>53</v>
      </c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6"/>
      <c r="Z2180" s="133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5"/>
      <c r="AO2180" s="115"/>
      <c r="AP2180" s="115"/>
      <c r="AQ2180" s="93"/>
      <c r="AR2180" s="93"/>
      <c r="AS2180" s="94"/>
      <c r="AT2180" s="95"/>
      <c r="AU2180" s="79"/>
      <c r="AV2180" s="117"/>
      <c r="AW2180" s="115"/>
      <c r="AX2180" s="106"/>
      <c r="AY2180" s="104"/>
      <c r="AZ2180" s="105"/>
    </row>
    <row r="2181" ht="19" customHeight="1" spans="1:52">
      <c r="A2181" s="70">
        <v>2198</v>
      </c>
      <c r="B2181" s="108" t="s">
        <v>5370</v>
      </c>
      <c r="C2181" s="70" t="s">
        <v>38</v>
      </c>
      <c r="D2181" s="108" t="s">
        <v>3457</v>
      </c>
      <c r="E2181" s="71" t="s">
        <v>4065</v>
      </c>
      <c r="F2181" s="72"/>
      <c r="G2181" s="73"/>
      <c r="H2181" s="79" t="s">
        <v>16</v>
      </c>
      <c r="I2181" s="102">
        <v>46275</v>
      </c>
      <c r="J2181" s="70">
        <v>3</v>
      </c>
      <c r="K2181" s="106" t="s">
        <v>5449</v>
      </c>
      <c r="L2181" s="104">
        <f t="shared" si="537"/>
        <v>46366</v>
      </c>
      <c r="M2181" s="105">
        <f ca="1" t="shared" si="538"/>
        <v>53</v>
      </c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6"/>
      <c r="Z2181" s="133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5"/>
      <c r="AO2181" s="115"/>
      <c r="AP2181" s="115"/>
      <c r="AQ2181" s="93"/>
      <c r="AR2181" s="93"/>
      <c r="AS2181" s="94"/>
      <c r="AT2181" s="95"/>
      <c r="AU2181" s="79"/>
      <c r="AV2181" s="117"/>
      <c r="AW2181" s="115"/>
      <c r="AX2181" s="106"/>
      <c r="AY2181" s="104"/>
      <c r="AZ2181" s="105"/>
    </row>
    <row r="2182" customHeight="1" spans="1:52">
      <c r="A2182" s="70">
        <v>2199</v>
      </c>
      <c r="B2182" s="108" t="s">
        <v>798</v>
      </c>
      <c r="C2182" s="70" t="s">
        <v>374</v>
      </c>
      <c r="D2182" s="71" t="s">
        <v>5450</v>
      </c>
      <c r="E2182" s="71" t="s">
        <v>5451</v>
      </c>
      <c r="F2182" s="72"/>
      <c r="G2182" s="73"/>
      <c r="H2182" s="79" t="s">
        <v>16</v>
      </c>
      <c r="I2182" s="102">
        <v>46275</v>
      </c>
      <c r="J2182" s="70">
        <v>3</v>
      </c>
      <c r="K2182" s="106" t="s">
        <v>5452</v>
      </c>
      <c r="L2182" s="104">
        <f t="shared" si="537"/>
        <v>46366</v>
      </c>
      <c r="M2182" s="105">
        <f ca="1" t="shared" si="538"/>
        <v>53</v>
      </c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6"/>
      <c r="Z2182" s="133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5"/>
      <c r="AO2182" s="115"/>
      <c r="AP2182" s="115"/>
      <c r="AQ2182" s="93"/>
      <c r="AR2182" s="93"/>
      <c r="AS2182" s="94"/>
      <c r="AT2182" s="95"/>
      <c r="AU2182" s="79"/>
      <c r="AV2182" s="117"/>
      <c r="AW2182" s="115"/>
      <c r="AX2182" s="106"/>
      <c r="AY2182" s="104"/>
      <c r="AZ2182" s="105"/>
    </row>
    <row r="2183" customHeight="1" spans="1:52">
      <c r="A2183" s="70">
        <v>2200</v>
      </c>
      <c r="B2183" s="108" t="s">
        <v>868</v>
      </c>
      <c r="C2183" s="70" t="s">
        <v>264</v>
      </c>
      <c r="D2183" s="108" t="s">
        <v>5453</v>
      </c>
      <c r="E2183" s="71" t="s">
        <v>5454</v>
      </c>
      <c r="F2183" s="72"/>
      <c r="G2183" s="73"/>
      <c r="H2183" s="75"/>
      <c r="I2183" s="102">
        <v>46275</v>
      </c>
      <c r="J2183" s="70">
        <v>3</v>
      </c>
      <c r="K2183" s="106" t="s">
        <v>5455</v>
      </c>
      <c r="L2183" s="104">
        <f t="shared" si="537"/>
        <v>46366</v>
      </c>
      <c r="M2183" s="105">
        <f ca="1" t="shared" si="538"/>
        <v>53</v>
      </c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6"/>
      <c r="Z2183" s="133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5"/>
      <c r="AO2183" s="115"/>
      <c r="AP2183" s="115"/>
      <c r="AQ2183" s="93"/>
      <c r="AR2183" s="93"/>
      <c r="AS2183" s="94"/>
      <c r="AT2183" s="95"/>
      <c r="AU2183" s="79"/>
      <c r="AV2183" s="117"/>
      <c r="AW2183" s="115"/>
      <c r="AX2183" s="106"/>
      <c r="AY2183" s="104"/>
      <c r="AZ2183" s="105"/>
    </row>
    <row r="2184" customHeight="1" spans="1:52">
      <c r="A2184" s="70">
        <v>2201</v>
      </c>
      <c r="B2184" s="108" t="s">
        <v>2120</v>
      </c>
      <c r="C2184" s="70" t="s">
        <v>38</v>
      </c>
      <c r="D2184" s="108" t="s">
        <v>5456</v>
      </c>
      <c r="E2184" s="71" t="s">
        <v>2122</v>
      </c>
      <c r="F2184" s="72"/>
      <c r="G2184" s="73"/>
      <c r="H2184" s="79" t="s">
        <v>16</v>
      </c>
      <c r="I2184" s="102">
        <v>46276</v>
      </c>
      <c r="J2184" s="70">
        <v>3</v>
      </c>
      <c r="K2184" s="106" t="s">
        <v>5457</v>
      </c>
      <c r="L2184" s="104">
        <f t="shared" si="537"/>
        <v>46367</v>
      </c>
      <c r="M2184" s="105">
        <f ca="1" t="shared" si="538"/>
        <v>54</v>
      </c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6"/>
      <c r="Z2184" s="133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5"/>
      <c r="AO2184" s="115"/>
      <c r="AP2184" s="115"/>
      <c r="AQ2184" s="93"/>
      <c r="AR2184" s="93"/>
      <c r="AS2184" s="94"/>
      <c r="AT2184" s="95"/>
      <c r="AU2184" s="79"/>
      <c r="AV2184" s="117"/>
      <c r="AW2184" s="115"/>
      <c r="AX2184" s="106"/>
      <c r="AY2184" s="104"/>
      <c r="AZ2184" s="105"/>
    </row>
    <row r="2185" customHeight="1" spans="1:52">
      <c r="A2185" s="70">
        <v>2202</v>
      </c>
      <c r="B2185" s="108" t="s">
        <v>5458</v>
      </c>
      <c r="C2185" s="70" t="s">
        <v>38</v>
      </c>
      <c r="D2185" s="108" t="s">
        <v>5459</v>
      </c>
      <c r="E2185" s="71" t="s">
        <v>5460</v>
      </c>
      <c r="F2185" s="72"/>
      <c r="G2185" s="73"/>
      <c r="H2185" s="79" t="s">
        <v>16</v>
      </c>
      <c r="I2185" s="102">
        <v>46276</v>
      </c>
      <c r="J2185" s="70">
        <v>3</v>
      </c>
      <c r="K2185" s="106" t="s">
        <v>5461</v>
      </c>
      <c r="L2185" s="104">
        <f t="shared" si="537"/>
        <v>46367</v>
      </c>
      <c r="M2185" s="105">
        <f ca="1" t="shared" si="538"/>
        <v>54</v>
      </c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6"/>
      <c r="Z2185" s="133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5"/>
      <c r="AO2185" s="115"/>
      <c r="AP2185" s="115"/>
      <c r="AQ2185" s="93"/>
      <c r="AR2185" s="93"/>
      <c r="AS2185" s="94"/>
      <c r="AT2185" s="95"/>
      <c r="AU2185" s="79"/>
      <c r="AV2185" s="117"/>
      <c r="AW2185" s="115"/>
      <c r="AX2185" s="106"/>
      <c r="AY2185" s="104"/>
      <c r="AZ2185" s="105"/>
    </row>
    <row r="2186" customHeight="1" spans="1:52">
      <c r="A2186" s="70">
        <v>2203</v>
      </c>
      <c r="B2186" s="108" t="s">
        <v>366</v>
      </c>
      <c r="C2186" s="70" t="s">
        <v>264</v>
      </c>
      <c r="D2186" s="108" t="s">
        <v>367</v>
      </c>
      <c r="E2186" s="71" t="s">
        <v>4334</v>
      </c>
      <c r="F2186" s="72"/>
      <c r="G2186" s="73"/>
      <c r="H2186" s="75"/>
      <c r="I2186" s="102">
        <v>46276</v>
      </c>
      <c r="J2186" s="70" t="s">
        <v>767</v>
      </c>
      <c r="K2186" s="106"/>
      <c r="L2186" s="104" t="e">
        <f t="shared" si="537"/>
        <v>#VALUE!</v>
      </c>
      <c r="M2186" s="105" t="e">
        <f ca="1" t="shared" si="538"/>
        <v>#VALUE!</v>
      </c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6"/>
      <c r="Z2186" s="133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5"/>
      <c r="AO2186" s="115"/>
      <c r="AP2186" s="115"/>
      <c r="AQ2186" s="93"/>
      <c r="AR2186" s="93"/>
      <c r="AS2186" s="94"/>
      <c r="AT2186" s="95"/>
      <c r="AU2186" s="79"/>
      <c r="AV2186" s="117"/>
      <c r="AW2186" s="115"/>
      <c r="AX2186" s="106"/>
      <c r="AY2186" s="104"/>
      <c r="AZ2186" s="105"/>
    </row>
    <row r="2187" customHeight="1" spans="1:52">
      <c r="A2187" s="70">
        <v>2204</v>
      </c>
      <c r="B2187" s="108" t="s">
        <v>270</v>
      </c>
      <c r="C2187" s="70" t="s">
        <v>264</v>
      </c>
      <c r="D2187" s="108" t="s">
        <v>958</v>
      </c>
      <c r="E2187" s="71" t="s">
        <v>1232</v>
      </c>
      <c r="F2187" s="72"/>
      <c r="G2187" s="73"/>
      <c r="H2187" s="75"/>
      <c r="I2187" s="102">
        <v>46276</v>
      </c>
      <c r="J2187" s="70" t="s">
        <v>767</v>
      </c>
      <c r="K2187" s="106"/>
      <c r="L2187" s="104" t="e">
        <f t="shared" si="537"/>
        <v>#VALUE!</v>
      </c>
      <c r="M2187" s="105" t="e">
        <f ca="1" t="shared" si="538"/>
        <v>#VALUE!</v>
      </c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6"/>
      <c r="Z2187" s="133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5"/>
      <c r="AO2187" s="115"/>
      <c r="AP2187" s="115"/>
      <c r="AQ2187" s="93"/>
      <c r="AR2187" s="93"/>
      <c r="AS2187" s="94"/>
      <c r="AT2187" s="95"/>
      <c r="AU2187" s="79"/>
      <c r="AV2187" s="117"/>
      <c r="AW2187" s="115"/>
      <c r="AX2187" s="106"/>
      <c r="AY2187" s="104"/>
      <c r="AZ2187" s="105"/>
    </row>
    <row r="2188" customHeight="1" spans="1:52">
      <c r="A2188" s="70">
        <v>2205</v>
      </c>
      <c r="B2188" s="108" t="s">
        <v>270</v>
      </c>
      <c r="C2188" s="70" t="s">
        <v>264</v>
      </c>
      <c r="D2188" s="108" t="s">
        <v>271</v>
      </c>
      <c r="E2188" s="71" t="s">
        <v>4334</v>
      </c>
      <c r="F2188" s="72"/>
      <c r="G2188" s="73"/>
      <c r="H2188" s="75"/>
      <c r="I2188" s="102">
        <v>46276</v>
      </c>
      <c r="J2188" s="70" t="s">
        <v>767</v>
      </c>
      <c r="K2188" s="106"/>
      <c r="L2188" s="104" t="e">
        <f t="shared" si="537"/>
        <v>#VALUE!</v>
      </c>
      <c r="M2188" s="105" t="e">
        <f ca="1" t="shared" si="538"/>
        <v>#VALUE!</v>
      </c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6"/>
      <c r="Z2188" s="133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5"/>
      <c r="AO2188" s="115"/>
      <c r="AP2188" s="115"/>
      <c r="AQ2188" s="93"/>
      <c r="AR2188" s="93"/>
      <c r="AS2188" s="94"/>
      <c r="AT2188" s="95"/>
      <c r="AU2188" s="79"/>
      <c r="AV2188" s="117"/>
      <c r="AW2188" s="115"/>
      <c r="AX2188" s="106"/>
      <c r="AY2188" s="104"/>
      <c r="AZ2188" s="105"/>
    </row>
    <row r="2189" customHeight="1" spans="1:52">
      <c r="A2189" s="70">
        <v>2206</v>
      </c>
      <c r="B2189" s="108" t="s">
        <v>644</v>
      </c>
      <c r="C2189" s="70" t="s">
        <v>264</v>
      </c>
      <c r="D2189" s="108" t="s">
        <v>1922</v>
      </c>
      <c r="E2189" s="71" t="s">
        <v>753</v>
      </c>
      <c r="F2189" s="72"/>
      <c r="G2189" s="73"/>
      <c r="H2189" s="75"/>
      <c r="I2189" s="102">
        <v>46277</v>
      </c>
      <c r="J2189" s="70" t="s">
        <v>767</v>
      </c>
      <c r="K2189" s="106"/>
      <c r="L2189" s="104" t="e">
        <f t="shared" ref="L2189:L2196" si="539">EDATE(I2189,J2189)</f>
        <v>#VALUE!</v>
      </c>
      <c r="M2189" s="105" t="e">
        <f ca="1" t="shared" ref="M2189:M2196" si="540">L2189-TODAY()</f>
        <v>#VALUE!</v>
      </c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6"/>
      <c r="Z2189" s="133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5"/>
      <c r="AO2189" s="115"/>
      <c r="AP2189" s="115"/>
      <c r="AQ2189" s="93"/>
      <c r="AR2189" s="93"/>
      <c r="AS2189" s="94"/>
      <c r="AT2189" s="95"/>
      <c r="AU2189" s="79"/>
      <c r="AV2189" s="117"/>
      <c r="AW2189" s="115"/>
      <c r="AX2189" s="106"/>
      <c r="AY2189" s="104"/>
      <c r="AZ2189" s="105"/>
    </row>
    <row r="2190" customHeight="1" spans="1:52">
      <c r="A2190" s="70">
        <v>2207</v>
      </c>
      <c r="B2190" s="108" t="s">
        <v>3780</v>
      </c>
      <c r="C2190" s="70" t="s">
        <v>264</v>
      </c>
      <c r="D2190" s="108" t="s">
        <v>367</v>
      </c>
      <c r="E2190" s="71" t="s">
        <v>368</v>
      </c>
      <c r="F2190" s="72"/>
      <c r="G2190" s="73"/>
      <c r="H2190" s="75"/>
      <c r="I2190" s="102">
        <v>46277</v>
      </c>
      <c r="J2190" s="70" t="s">
        <v>767</v>
      </c>
      <c r="K2190" s="106"/>
      <c r="L2190" s="104" t="e">
        <f t="shared" si="539"/>
        <v>#VALUE!</v>
      </c>
      <c r="M2190" s="105" t="e">
        <f ca="1" t="shared" si="540"/>
        <v>#VALUE!</v>
      </c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6"/>
      <c r="Z2190" s="133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5"/>
      <c r="AO2190" s="115"/>
      <c r="AP2190" s="115"/>
      <c r="AQ2190" s="93"/>
      <c r="AR2190" s="93"/>
      <c r="AS2190" s="94"/>
      <c r="AT2190" s="95"/>
      <c r="AU2190" s="79"/>
      <c r="AV2190" s="117"/>
      <c r="AW2190" s="115"/>
      <c r="AX2190" s="106"/>
      <c r="AY2190" s="104"/>
      <c r="AZ2190" s="105"/>
    </row>
    <row r="2191" customHeight="1" spans="1:52">
      <c r="A2191" s="70">
        <v>2208</v>
      </c>
      <c r="B2191" s="108" t="s">
        <v>263</v>
      </c>
      <c r="C2191" s="70" t="s">
        <v>264</v>
      </c>
      <c r="D2191" s="108" t="s">
        <v>265</v>
      </c>
      <c r="E2191" s="71" t="s">
        <v>753</v>
      </c>
      <c r="F2191" s="72"/>
      <c r="G2191" s="73"/>
      <c r="H2191" s="75"/>
      <c r="I2191" s="102">
        <v>46277</v>
      </c>
      <c r="J2191" s="70" t="s">
        <v>767</v>
      </c>
      <c r="K2191" s="106"/>
      <c r="L2191" s="104" t="e">
        <f t="shared" si="539"/>
        <v>#VALUE!</v>
      </c>
      <c r="M2191" s="105" t="e">
        <f ca="1" t="shared" si="540"/>
        <v>#VALUE!</v>
      </c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6"/>
      <c r="Z2191" s="133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5"/>
      <c r="AO2191" s="115"/>
      <c r="AP2191" s="115"/>
      <c r="AQ2191" s="93"/>
      <c r="AR2191" s="93"/>
      <c r="AS2191" s="94"/>
      <c r="AT2191" s="95"/>
      <c r="AU2191" s="79"/>
      <c r="AV2191" s="117"/>
      <c r="AW2191" s="115"/>
      <c r="AX2191" s="106"/>
      <c r="AY2191" s="104"/>
      <c r="AZ2191" s="105"/>
    </row>
    <row r="2192" customHeight="1" spans="1:52">
      <c r="A2192" s="70">
        <v>2209</v>
      </c>
      <c r="B2192" s="108" t="s">
        <v>263</v>
      </c>
      <c r="C2192" s="70" t="s">
        <v>264</v>
      </c>
      <c r="D2192" s="108" t="s">
        <v>763</v>
      </c>
      <c r="E2192" s="71" t="s">
        <v>753</v>
      </c>
      <c r="F2192" s="72"/>
      <c r="G2192" s="73"/>
      <c r="H2192" s="75"/>
      <c r="I2192" s="102">
        <v>46277</v>
      </c>
      <c r="J2192" s="70" t="s">
        <v>767</v>
      </c>
      <c r="K2192" s="106"/>
      <c r="L2192" s="104" t="e">
        <f t="shared" si="539"/>
        <v>#VALUE!</v>
      </c>
      <c r="M2192" s="105" t="e">
        <f ca="1" t="shared" si="540"/>
        <v>#VALUE!</v>
      </c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6"/>
      <c r="Z2192" s="133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5"/>
      <c r="AO2192" s="115"/>
      <c r="AP2192" s="115"/>
      <c r="AQ2192" s="93"/>
      <c r="AR2192" s="93"/>
      <c r="AS2192" s="94"/>
      <c r="AT2192" s="95"/>
      <c r="AU2192" s="79"/>
      <c r="AV2192" s="117"/>
      <c r="AW2192" s="115"/>
      <c r="AX2192" s="106"/>
      <c r="AY2192" s="104"/>
      <c r="AZ2192" s="105"/>
    </row>
    <row r="2193" customHeight="1" spans="1:52">
      <c r="A2193" s="70">
        <v>2210</v>
      </c>
      <c r="B2193" s="108" t="s">
        <v>263</v>
      </c>
      <c r="C2193" s="70" t="s">
        <v>264</v>
      </c>
      <c r="D2193" s="108" t="s">
        <v>955</v>
      </c>
      <c r="E2193" s="71" t="s">
        <v>753</v>
      </c>
      <c r="F2193" s="72"/>
      <c r="G2193" s="73"/>
      <c r="H2193" s="75"/>
      <c r="I2193" s="102">
        <v>46277</v>
      </c>
      <c r="J2193" s="70" t="s">
        <v>767</v>
      </c>
      <c r="K2193" s="106"/>
      <c r="L2193" s="104" t="e">
        <f t="shared" si="539"/>
        <v>#VALUE!</v>
      </c>
      <c r="M2193" s="105" t="e">
        <f ca="1" t="shared" si="540"/>
        <v>#VALUE!</v>
      </c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6"/>
      <c r="Z2193" s="133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5"/>
      <c r="AO2193" s="115"/>
      <c r="AP2193" s="115"/>
      <c r="AQ2193" s="93"/>
      <c r="AR2193" s="93"/>
      <c r="AS2193" s="94"/>
      <c r="AT2193" s="95"/>
      <c r="AU2193" s="79"/>
      <c r="AV2193" s="117"/>
      <c r="AW2193" s="115"/>
      <c r="AX2193" s="106"/>
      <c r="AY2193" s="104"/>
      <c r="AZ2193" s="105"/>
    </row>
    <row r="2194" customHeight="1" spans="1:52">
      <c r="A2194" s="70">
        <v>2211</v>
      </c>
      <c r="B2194" s="108" t="s">
        <v>2546</v>
      </c>
      <c r="C2194" s="70" t="s">
        <v>264</v>
      </c>
      <c r="D2194" s="108" t="s">
        <v>2547</v>
      </c>
      <c r="E2194" s="71" t="s">
        <v>5213</v>
      </c>
      <c r="F2194" s="72"/>
      <c r="G2194" s="73"/>
      <c r="H2194" s="75"/>
      <c r="I2194" s="102">
        <v>46277</v>
      </c>
      <c r="J2194" s="70" t="s">
        <v>767</v>
      </c>
      <c r="K2194" s="106"/>
      <c r="L2194" s="104" t="e">
        <f t="shared" si="539"/>
        <v>#VALUE!</v>
      </c>
      <c r="M2194" s="105" t="e">
        <f ca="1" t="shared" si="540"/>
        <v>#VALUE!</v>
      </c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6"/>
      <c r="Z2194" s="133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5"/>
      <c r="AO2194" s="115"/>
      <c r="AP2194" s="115"/>
      <c r="AQ2194" s="93"/>
      <c r="AR2194" s="93"/>
      <c r="AS2194" s="94"/>
      <c r="AT2194" s="95"/>
      <c r="AU2194" s="79"/>
      <c r="AV2194" s="117"/>
      <c r="AW2194" s="115"/>
      <c r="AX2194" s="106"/>
      <c r="AY2194" s="104"/>
      <c r="AZ2194" s="105"/>
    </row>
    <row r="2195" customHeight="1" spans="1:52">
      <c r="A2195" s="70">
        <v>2212</v>
      </c>
      <c r="B2195" s="108" t="s">
        <v>2130</v>
      </c>
      <c r="C2195" s="70" t="s">
        <v>13</v>
      </c>
      <c r="D2195" s="108" t="s">
        <v>5462</v>
      </c>
      <c r="E2195" s="71" t="s">
        <v>5463</v>
      </c>
      <c r="F2195" s="72"/>
      <c r="G2195" s="73"/>
      <c r="H2195" s="74" t="s">
        <v>16</v>
      </c>
      <c r="I2195" s="102">
        <v>46279</v>
      </c>
      <c r="J2195" s="70">
        <v>3</v>
      </c>
      <c r="K2195" s="106" t="s">
        <v>5464</v>
      </c>
      <c r="L2195" s="104">
        <f t="shared" si="539"/>
        <v>46370</v>
      </c>
      <c r="M2195" s="105">
        <f ca="1" t="shared" si="540"/>
        <v>57</v>
      </c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6"/>
      <c r="Z2195" s="133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5"/>
      <c r="AO2195" s="115"/>
      <c r="AP2195" s="115"/>
      <c r="AQ2195" s="93"/>
      <c r="AR2195" s="93"/>
      <c r="AS2195" s="94"/>
      <c r="AT2195" s="95"/>
      <c r="AU2195" s="79"/>
      <c r="AV2195" s="117"/>
      <c r="AW2195" s="115"/>
      <c r="AX2195" s="106"/>
      <c r="AY2195" s="104"/>
      <c r="AZ2195" s="105"/>
    </row>
    <row r="2196" customHeight="1" spans="1:52">
      <c r="A2196" s="70">
        <v>2213</v>
      </c>
      <c r="B2196" s="108" t="s">
        <v>2894</v>
      </c>
      <c r="C2196" s="70" t="s">
        <v>374</v>
      </c>
      <c r="D2196" s="108" t="s">
        <v>5465</v>
      </c>
      <c r="E2196" s="71" t="s">
        <v>2896</v>
      </c>
      <c r="F2196" s="72"/>
      <c r="G2196" s="73"/>
      <c r="H2196" s="74" t="s">
        <v>16</v>
      </c>
      <c r="I2196" s="102">
        <v>46279</v>
      </c>
      <c r="J2196" s="70">
        <v>3</v>
      </c>
      <c r="K2196" s="106" t="s">
        <v>5466</v>
      </c>
      <c r="L2196" s="104">
        <f t="shared" si="539"/>
        <v>46370</v>
      </c>
      <c r="M2196" s="105">
        <f ca="1" t="shared" si="540"/>
        <v>57</v>
      </c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6"/>
      <c r="Z2196" s="133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5"/>
      <c r="AO2196" s="115"/>
      <c r="AP2196" s="115"/>
      <c r="AQ2196" s="93"/>
      <c r="AR2196" s="93"/>
      <c r="AS2196" s="94"/>
      <c r="AT2196" s="95"/>
      <c r="AU2196" s="79"/>
      <c r="AV2196" s="117"/>
      <c r="AW2196" s="115"/>
      <c r="AX2196" s="106"/>
      <c r="AY2196" s="104"/>
      <c r="AZ2196" s="105"/>
    </row>
    <row r="2197" customHeight="1" spans="1:52">
      <c r="A2197" s="70">
        <v>2214</v>
      </c>
      <c r="B2197" s="108" t="s">
        <v>281</v>
      </c>
      <c r="C2197" s="70" t="s">
        <v>264</v>
      </c>
      <c r="D2197" s="108" t="s">
        <v>5467</v>
      </c>
      <c r="E2197" s="71" t="s">
        <v>5468</v>
      </c>
      <c r="F2197" s="72"/>
      <c r="G2197" s="73"/>
      <c r="H2197" s="75"/>
      <c r="I2197" s="102">
        <v>46280</v>
      </c>
      <c r="J2197" s="70">
        <v>3</v>
      </c>
      <c r="K2197" s="106" t="s">
        <v>5469</v>
      </c>
      <c r="L2197" s="104">
        <f t="shared" ref="L2197:L2205" si="541">EDATE(I2197,J2197)</f>
        <v>46371</v>
      </c>
      <c r="M2197" s="105">
        <f ca="1" t="shared" ref="M2197:M2205" si="542">L2197-TODAY()</f>
        <v>58</v>
      </c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6"/>
      <c r="Z2197" s="133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5"/>
      <c r="AO2197" s="115"/>
      <c r="AP2197" s="115"/>
      <c r="AQ2197" s="93"/>
      <c r="AR2197" s="93"/>
      <c r="AS2197" s="94"/>
      <c r="AT2197" s="95"/>
      <c r="AU2197" s="79"/>
      <c r="AV2197" s="117"/>
      <c r="AW2197" s="115"/>
      <c r="AX2197" s="106"/>
      <c r="AY2197" s="104"/>
      <c r="AZ2197" s="105"/>
    </row>
    <row r="2198" customHeight="1" spans="1:52">
      <c r="A2198" s="70">
        <v>2215</v>
      </c>
      <c r="B2198" s="108" t="s">
        <v>281</v>
      </c>
      <c r="C2198" s="70" t="s">
        <v>264</v>
      </c>
      <c r="D2198" s="108" t="s">
        <v>5470</v>
      </c>
      <c r="E2198" s="71" t="s">
        <v>5471</v>
      </c>
      <c r="F2198" s="72"/>
      <c r="G2198" s="73"/>
      <c r="H2198" s="75"/>
      <c r="I2198" s="102">
        <v>46280</v>
      </c>
      <c r="J2198" s="70">
        <v>3</v>
      </c>
      <c r="K2198" s="106" t="s">
        <v>5472</v>
      </c>
      <c r="L2198" s="104">
        <f t="shared" si="541"/>
        <v>46371</v>
      </c>
      <c r="M2198" s="105">
        <f ca="1" t="shared" si="542"/>
        <v>58</v>
      </c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6"/>
      <c r="Z2198" s="133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5"/>
      <c r="AO2198" s="115"/>
      <c r="AP2198" s="115"/>
      <c r="AQ2198" s="93"/>
      <c r="AR2198" s="93"/>
      <c r="AS2198" s="94"/>
      <c r="AT2198" s="95"/>
      <c r="AU2198" s="79"/>
      <c r="AV2198" s="117"/>
      <c r="AW2198" s="115"/>
      <c r="AX2198" s="106"/>
      <c r="AY2198" s="104"/>
      <c r="AZ2198" s="105"/>
    </row>
    <row r="2199" customHeight="1" spans="1:52">
      <c r="A2199" s="70">
        <v>2216</v>
      </c>
      <c r="B2199" s="108" t="s">
        <v>281</v>
      </c>
      <c r="C2199" s="70" t="s">
        <v>264</v>
      </c>
      <c r="D2199" s="108" t="s">
        <v>5473</v>
      </c>
      <c r="E2199" s="71" t="s">
        <v>5474</v>
      </c>
      <c r="F2199" s="72"/>
      <c r="G2199" s="73"/>
      <c r="H2199" s="75"/>
      <c r="I2199" s="102">
        <v>46280</v>
      </c>
      <c r="J2199" s="70">
        <v>3</v>
      </c>
      <c r="K2199" s="106" t="s">
        <v>5475</v>
      </c>
      <c r="L2199" s="104">
        <f t="shared" si="541"/>
        <v>46371</v>
      </c>
      <c r="M2199" s="105">
        <f ca="1" t="shared" si="542"/>
        <v>58</v>
      </c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6"/>
      <c r="Z2199" s="133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5"/>
      <c r="AO2199" s="115"/>
      <c r="AP2199" s="115"/>
      <c r="AQ2199" s="93"/>
      <c r="AR2199" s="93"/>
      <c r="AS2199" s="94"/>
      <c r="AT2199" s="95"/>
      <c r="AU2199" s="79"/>
      <c r="AV2199" s="117"/>
      <c r="AW2199" s="115"/>
      <c r="AX2199" s="106"/>
      <c r="AY2199" s="104"/>
      <c r="AZ2199" s="105"/>
    </row>
    <row r="2200" customHeight="1" spans="1:52">
      <c r="A2200" s="70">
        <v>2217</v>
      </c>
      <c r="B2200" s="108" t="s">
        <v>281</v>
      </c>
      <c r="C2200" s="70" t="s">
        <v>264</v>
      </c>
      <c r="D2200" s="108" t="s">
        <v>5476</v>
      </c>
      <c r="E2200" s="71" t="s">
        <v>5477</v>
      </c>
      <c r="F2200" s="72"/>
      <c r="G2200" s="73"/>
      <c r="H2200" s="75"/>
      <c r="I2200" s="102">
        <v>46280</v>
      </c>
      <c r="J2200" s="70">
        <v>3</v>
      </c>
      <c r="K2200" s="106" t="s">
        <v>5478</v>
      </c>
      <c r="L2200" s="104">
        <f t="shared" si="541"/>
        <v>46371</v>
      </c>
      <c r="M2200" s="105">
        <f ca="1" t="shared" si="542"/>
        <v>58</v>
      </c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6"/>
      <c r="Z2200" s="133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5"/>
      <c r="AO2200" s="115"/>
      <c r="AP2200" s="115"/>
      <c r="AQ2200" s="93"/>
      <c r="AR2200" s="93"/>
      <c r="AS2200" s="94"/>
      <c r="AT2200" s="95"/>
      <c r="AU2200" s="79"/>
      <c r="AV2200" s="117"/>
      <c r="AW2200" s="115"/>
      <c r="AX2200" s="106"/>
      <c r="AY2200" s="104"/>
      <c r="AZ2200" s="105"/>
    </row>
    <row r="2201" customHeight="1" spans="1:52">
      <c r="A2201" s="70">
        <v>2218</v>
      </c>
      <c r="B2201" s="108" t="s">
        <v>281</v>
      </c>
      <c r="C2201" s="70" t="s">
        <v>264</v>
      </c>
      <c r="D2201" s="108" t="s">
        <v>5479</v>
      </c>
      <c r="E2201" s="71" t="s">
        <v>5480</v>
      </c>
      <c r="F2201" s="72"/>
      <c r="G2201" s="73"/>
      <c r="H2201" s="75"/>
      <c r="I2201" s="102">
        <v>46280</v>
      </c>
      <c r="J2201" s="70">
        <v>3</v>
      </c>
      <c r="K2201" s="106" t="s">
        <v>5481</v>
      </c>
      <c r="L2201" s="104">
        <f t="shared" si="541"/>
        <v>46371</v>
      </c>
      <c r="M2201" s="105">
        <f ca="1" t="shared" si="542"/>
        <v>58</v>
      </c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6"/>
      <c r="Z2201" s="133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5"/>
      <c r="AO2201" s="115"/>
      <c r="AP2201" s="115"/>
      <c r="AQ2201" s="93"/>
      <c r="AR2201" s="93"/>
      <c r="AS2201" s="94"/>
      <c r="AT2201" s="95"/>
      <c r="AU2201" s="79"/>
      <c r="AV2201" s="117"/>
      <c r="AW2201" s="115"/>
      <c r="AX2201" s="106"/>
      <c r="AY2201" s="104"/>
      <c r="AZ2201" s="105"/>
    </row>
    <row r="2202" customHeight="1" spans="1:52">
      <c r="A2202" s="70">
        <v>2219</v>
      </c>
      <c r="B2202" s="108" t="s">
        <v>644</v>
      </c>
      <c r="C2202" s="70" t="s">
        <v>264</v>
      </c>
      <c r="D2202" s="108" t="s">
        <v>2433</v>
      </c>
      <c r="E2202" s="71" t="s">
        <v>753</v>
      </c>
      <c r="F2202" s="72"/>
      <c r="G2202" s="73"/>
      <c r="H2202" s="75"/>
      <c r="I2202" s="102">
        <v>46280</v>
      </c>
      <c r="J2202" s="70" t="s">
        <v>767</v>
      </c>
      <c r="K2202" s="106"/>
      <c r="L2202" s="104" t="e">
        <f t="shared" si="541"/>
        <v>#VALUE!</v>
      </c>
      <c r="M2202" s="105" t="e">
        <f ca="1" t="shared" si="542"/>
        <v>#VALUE!</v>
      </c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6"/>
      <c r="Z2202" s="133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5"/>
      <c r="AO2202" s="115"/>
      <c r="AP2202" s="115"/>
      <c r="AQ2202" s="93"/>
      <c r="AR2202" s="93"/>
      <c r="AS2202" s="94"/>
      <c r="AT2202" s="95"/>
      <c r="AU2202" s="79"/>
      <c r="AV2202" s="117"/>
      <c r="AW2202" s="115"/>
      <c r="AX2202" s="106"/>
      <c r="AY2202" s="104"/>
      <c r="AZ2202" s="105"/>
    </row>
    <row r="2203" customHeight="1" spans="1:52">
      <c r="A2203" s="70">
        <v>2220</v>
      </c>
      <c r="B2203" s="108" t="s">
        <v>263</v>
      </c>
      <c r="C2203" s="70" t="s">
        <v>264</v>
      </c>
      <c r="D2203" s="108" t="s">
        <v>265</v>
      </c>
      <c r="E2203" s="71" t="s">
        <v>753</v>
      </c>
      <c r="F2203" s="72"/>
      <c r="G2203" s="73"/>
      <c r="H2203" s="75"/>
      <c r="I2203" s="102">
        <v>46280</v>
      </c>
      <c r="J2203" s="70" t="s">
        <v>767</v>
      </c>
      <c r="K2203" s="106"/>
      <c r="L2203" s="104" t="e">
        <f t="shared" si="541"/>
        <v>#VALUE!</v>
      </c>
      <c r="M2203" s="105" t="e">
        <f ca="1" t="shared" si="542"/>
        <v>#VALUE!</v>
      </c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6"/>
      <c r="Z2203" s="133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5"/>
      <c r="AO2203" s="115"/>
      <c r="AP2203" s="115"/>
      <c r="AQ2203" s="93"/>
      <c r="AR2203" s="93"/>
      <c r="AS2203" s="94"/>
      <c r="AT2203" s="95"/>
      <c r="AU2203" s="79"/>
      <c r="AV2203" s="117"/>
      <c r="AW2203" s="115"/>
      <c r="AX2203" s="106"/>
      <c r="AY2203" s="104"/>
      <c r="AZ2203" s="105"/>
    </row>
    <row r="2204" customHeight="1" spans="1:52">
      <c r="A2204" s="70">
        <v>2221</v>
      </c>
      <c r="B2204" s="108" t="s">
        <v>263</v>
      </c>
      <c r="C2204" s="70" t="s">
        <v>264</v>
      </c>
      <c r="D2204" s="108" t="s">
        <v>1922</v>
      </c>
      <c r="E2204" s="71" t="s">
        <v>753</v>
      </c>
      <c r="F2204" s="72"/>
      <c r="G2204" s="73"/>
      <c r="H2204" s="75"/>
      <c r="I2204" s="102">
        <v>46280</v>
      </c>
      <c r="J2204" s="70" t="s">
        <v>767</v>
      </c>
      <c r="K2204" s="106"/>
      <c r="L2204" s="104" t="e">
        <f t="shared" si="541"/>
        <v>#VALUE!</v>
      </c>
      <c r="M2204" s="105" t="e">
        <f ca="1" t="shared" si="542"/>
        <v>#VALUE!</v>
      </c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6"/>
      <c r="Z2204" s="133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5"/>
      <c r="AO2204" s="115"/>
      <c r="AP2204" s="115"/>
      <c r="AQ2204" s="93"/>
      <c r="AR2204" s="93"/>
      <c r="AS2204" s="94"/>
      <c r="AT2204" s="95"/>
      <c r="AU2204" s="79"/>
      <c r="AV2204" s="117"/>
      <c r="AW2204" s="115"/>
      <c r="AX2204" s="106"/>
      <c r="AY2204" s="104"/>
      <c r="AZ2204" s="105"/>
    </row>
    <row r="2205" customHeight="1" spans="1:52">
      <c r="A2205" s="70">
        <v>2222</v>
      </c>
      <c r="B2205" s="70" t="s">
        <v>134</v>
      </c>
      <c r="C2205" s="70" t="s">
        <v>13</v>
      </c>
      <c r="D2205" s="71" t="s">
        <v>5482</v>
      </c>
      <c r="E2205" s="71" t="s">
        <v>126</v>
      </c>
      <c r="F2205" s="72"/>
      <c r="G2205" s="73"/>
      <c r="H2205" s="74" t="s">
        <v>16</v>
      </c>
      <c r="I2205" s="102">
        <v>46281</v>
      </c>
      <c r="J2205" s="70">
        <v>3</v>
      </c>
      <c r="K2205" s="106" t="s">
        <v>5483</v>
      </c>
      <c r="L2205" s="104">
        <f t="shared" si="541"/>
        <v>46372</v>
      </c>
      <c r="M2205" s="105">
        <f ca="1" t="shared" si="542"/>
        <v>59</v>
      </c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6"/>
      <c r="Z2205" s="133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5"/>
      <c r="AO2205" s="115"/>
      <c r="AP2205" s="115"/>
      <c r="AQ2205" s="93"/>
      <c r="AR2205" s="93"/>
      <c r="AS2205" s="94"/>
      <c r="AT2205" s="95"/>
      <c r="AU2205" s="79"/>
      <c r="AV2205" s="117"/>
      <c r="AW2205" s="115"/>
      <c r="AX2205" s="106"/>
      <c r="AY2205" s="104"/>
      <c r="AZ2205" s="105"/>
    </row>
    <row r="2206" customHeight="1" spans="1:52">
      <c r="A2206" s="70">
        <v>2223</v>
      </c>
      <c r="B2206" s="108" t="s">
        <v>3549</v>
      </c>
      <c r="C2206" s="70" t="s">
        <v>38</v>
      </c>
      <c r="D2206" s="108" t="s">
        <v>5484</v>
      </c>
      <c r="E2206" s="71" t="s">
        <v>45</v>
      </c>
      <c r="F2206" s="72"/>
      <c r="G2206" s="73"/>
      <c r="H2206" s="74" t="s">
        <v>16</v>
      </c>
      <c r="I2206" s="102">
        <v>46281</v>
      </c>
      <c r="J2206" s="70">
        <v>3</v>
      </c>
      <c r="K2206" s="106" t="s">
        <v>5485</v>
      </c>
      <c r="L2206" s="104">
        <f t="shared" ref="L2206:L2230" si="543">EDATE(I2206,J2206)</f>
        <v>46372</v>
      </c>
      <c r="M2206" s="105">
        <f ca="1" t="shared" ref="M2206:M2230" si="544">L2206-TODAY()</f>
        <v>59</v>
      </c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6"/>
      <c r="Z2206" s="133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5"/>
      <c r="AO2206" s="115"/>
      <c r="AP2206" s="115"/>
      <c r="AQ2206" s="93"/>
      <c r="AR2206" s="93"/>
      <c r="AS2206" s="94"/>
      <c r="AT2206" s="95"/>
      <c r="AU2206" s="79"/>
      <c r="AV2206" s="117"/>
      <c r="AW2206" s="115"/>
      <c r="AX2206" s="106"/>
      <c r="AY2206" s="104"/>
      <c r="AZ2206" s="105"/>
    </row>
    <row r="2207" customHeight="1" spans="1:52">
      <c r="A2207" s="70">
        <v>2224</v>
      </c>
      <c r="B2207" s="108" t="s">
        <v>3549</v>
      </c>
      <c r="C2207" s="70" t="s">
        <v>13</v>
      </c>
      <c r="D2207" s="108" t="s">
        <v>5486</v>
      </c>
      <c r="E2207" s="71" t="s">
        <v>189</v>
      </c>
      <c r="F2207" s="72"/>
      <c r="G2207" s="73"/>
      <c r="H2207" s="74" t="s">
        <v>16</v>
      </c>
      <c r="I2207" s="102">
        <v>46281</v>
      </c>
      <c r="J2207" s="70">
        <v>3</v>
      </c>
      <c r="K2207" s="106" t="s">
        <v>5487</v>
      </c>
      <c r="L2207" s="104">
        <f t="shared" si="543"/>
        <v>46372</v>
      </c>
      <c r="M2207" s="105">
        <f ca="1" t="shared" si="544"/>
        <v>59</v>
      </c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6"/>
      <c r="Z2207" s="133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5"/>
      <c r="AO2207" s="115"/>
      <c r="AP2207" s="115"/>
      <c r="AQ2207" s="93"/>
      <c r="AR2207" s="93"/>
      <c r="AS2207" s="94"/>
      <c r="AT2207" s="95"/>
      <c r="AU2207" s="79"/>
      <c r="AV2207" s="117"/>
      <c r="AW2207" s="115"/>
      <c r="AX2207" s="106"/>
      <c r="AY2207" s="104"/>
      <c r="AZ2207" s="105"/>
    </row>
    <row r="2208" customHeight="1" spans="1:52">
      <c r="A2208" s="70">
        <v>2225</v>
      </c>
      <c r="B2208" s="70" t="s">
        <v>55</v>
      </c>
      <c r="C2208" s="166" t="s">
        <v>13</v>
      </c>
      <c r="D2208" s="71" t="s">
        <v>5488</v>
      </c>
      <c r="E2208" s="71" t="s">
        <v>604</v>
      </c>
      <c r="F2208" s="72"/>
      <c r="G2208" s="73"/>
      <c r="H2208" s="74" t="s">
        <v>16</v>
      </c>
      <c r="I2208" s="102">
        <v>46281</v>
      </c>
      <c r="J2208" s="70">
        <v>3</v>
      </c>
      <c r="K2208" s="106" t="s">
        <v>5489</v>
      </c>
      <c r="L2208" s="104">
        <f t="shared" si="543"/>
        <v>46372</v>
      </c>
      <c r="M2208" s="105">
        <f ca="1" t="shared" si="544"/>
        <v>59</v>
      </c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6"/>
      <c r="Z2208" s="133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5"/>
      <c r="AO2208" s="115"/>
      <c r="AP2208" s="115"/>
      <c r="AQ2208" s="93"/>
      <c r="AR2208" s="93"/>
      <c r="AS2208" s="94"/>
      <c r="AT2208" s="95"/>
      <c r="AU2208" s="79"/>
      <c r="AV2208" s="117"/>
      <c r="AW2208" s="115"/>
      <c r="AX2208" s="106"/>
      <c r="AY2208" s="104"/>
      <c r="AZ2208" s="105"/>
    </row>
    <row r="2209" customHeight="1" spans="1:52">
      <c r="A2209" s="70">
        <v>2226</v>
      </c>
      <c r="B2209" s="71" t="s">
        <v>881</v>
      </c>
      <c r="C2209" s="234" t="s">
        <v>374</v>
      </c>
      <c r="D2209" s="72" t="s">
        <v>5490</v>
      </c>
      <c r="E2209" s="71" t="s">
        <v>1401</v>
      </c>
      <c r="F2209" s="72"/>
      <c r="G2209" s="73"/>
      <c r="H2209" s="74" t="s">
        <v>16</v>
      </c>
      <c r="I2209" s="102">
        <v>46281</v>
      </c>
      <c r="J2209" s="70">
        <v>3</v>
      </c>
      <c r="K2209" s="106" t="s">
        <v>5491</v>
      </c>
      <c r="L2209" s="104">
        <f t="shared" si="543"/>
        <v>46372</v>
      </c>
      <c r="M2209" s="105">
        <f ca="1" t="shared" si="544"/>
        <v>59</v>
      </c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6"/>
      <c r="Z2209" s="133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5"/>
      <c r="AO2209" s="115"/>
      <c r="AP2209" s="115"/>
      <c r="AQ2209" s="93"/>
      <c r="AR2209" s="93"/>
      <c r="AS2209" s="94"/>
      <c r="AT2209" s="95"/>
      <c r="AU2209" s="79"/>
      <c r="AV2209" s="117"/>
      <c r="AW2209" s="115"/>
      <c r="AX2209" s="106"/>
      <c r="AY2209" s="104"/>
      <c r="AZ2209" s="105"/>
    </row>
    <row r="2210" customHeight="1" spans="1:52">
      <c r="A2210" s="70">
        <v>2227</v>
      </c>
      <c r="B2210" s="71" t="s">
        <v>1399</v>
      </c>
      <c r="C2210" s="234" t="s">
        <v>374</v>
      </c>
      <c r="D2210" s="73" t="s">
        <v>5492</v>
      </c>
      <c r="E2210" s="71" t="s">
        <v>883</v>
      </c>
      <c r="F2210" s="72"/>
      <c r="G2210" s="73"/>
      <c r="H2210" s="75"/>
      <c r="I2210" s="102">
        <v>46281</v>
      </c>
      <c r="J2210" s="70">
        <v>3</v>
      </c>
      <c r="K2210" s="106" t="s">
        <v>5493</v>
      </c>
      <c r="L2210" s="104">
        <f t="shared" si="543"/>
        <v>46372</v>
      </c>
      <c r="M2210" s="105">
        <f ca="1" t="shared" si="544"/>
        <v>59</v>
      </c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6"/>
      <c r="Z2210" s="133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5"/>
      <c r="AO2210" s="115"/>
      <c r="AP2210" s="115"/>
      <c r="AQ2210" s="93"/>
      <c r="AR2210" s="93"/>
      <c r="AS2210" s="94"/>
      <c r="AT2210" s="95"/>
      <c r="AU2210" s="79"/>
      <c r="AV2210" s="117"/>
      <c r="AW2210" s="115"/>
      <c r="AX2210" s="106"/>
      <c r="AY2210" s="104"/>
      <c r="AZ2210" s="105"/>
    </row>
    <row r="2211" customHeight="1" spans="1:52">
      <c r="A2211" s="70">
        <v>2228</v>
      </c>
      <c r="B2211" s="71" t="s">
        <v>1399</v>
      </c>
      <c r="C2211" s="234" t="s">
        <v>374</v>
      </c>
      <c r="D2211" s="235" t="s">
        <v>5494</v>
      </c>
      <c r="E2211" s="71" t="s">
        <v>883</v>
      </c>
      <c r="F2211" s="72"/>
      <c r="G2211" s="73"/>
      <c r="H2211" s="75"/>
      <c r="I2211" s="102">
        <v>46281</v>
      </c>
      <c r="J2211" s="70">
        <v>3</v>
      </c>
      <c r="K2211" s="106" t="s">
        <v>5495</v>
      </c>
      <c r="L2211" s="104">
        <f t="shared" si="543"/>
        <v>46372</v>
      </c>
      <c r="M2211" s="105">
        <f ca="1" t="shared" si="544"/>
        <v>59</v>
      </c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6"/>
      <c r="Z2211" s="133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5"/>
      <c r="AO2211" s="115"/>
      <c r="AP2211" s="115"/>
      <c r="AQ2211" s="93"/>
      <c r="AR2211" s="93"/>
      <c r="AS2211" s="94"/>
      <c r="AT2211" s="95"/>
      <c r="AU2211" s="79"/>
      <c r="AV2211" s="117"/>
      <c r="AW2211" s="115"/>
      <c r="AX2211" s="106"/>
      <c r="AY2211" s="104"/>
      <c r="AZ2211" s="105"/>
    </row>
    <row r="2212" customHeight="1" spans="1:52">
      <c r="A2212" s="70">
        <v>2229</v>
      </c>
      <c r="B2212" s="71" t="s">
        <v>1399</v>
      </c>
      <c r="C2212" s="234" t="s">
        <v>374</v>
      </c>
      <c r="D2212" s="235" t="s">
        <v>5496</v>
      </c>
      <c r="E2212" s="71" t="s">
        <v>883</v>
      </c>
      <c r="F2212" s="72"/>
      <c r="G2212" s="73"/>
      <c r="H2212" s="75"/>
      <c r="I2212" s="102">
        <v>46281</v>
      </c>
      <c r="J2212" s="70">
        <v>3</v>
      </c>
      <c r="K2212" s="106" t="s">
        <v>5497</v>
      </c>
      <c r="L2212" s="104">
        <f t="shared" si="543"/>
        <v>46372</v>
      </c>
      <c r="M2212" s="105">
        <f ca="1" t="shared" si="544"/>
        <v>59</v>
      </c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6"/>
      <c r="Z2212" s="133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5"/>
      <c r="AO2212" s="115"/>
      <c r="AP2212" s="115"/>
      <c r="AQ2212" s="93"/>
      <c r="AR2212" s="93"/>
      <c r="AS2212" s="94"/>
      <c r="AT2212" s="95"/>
      <c r="AU2212" s="79"/>
      <c r="AV2212" s="117"/>
      <c r="AW2212" s="115"/>
      <c r="AX2212" s="106"/>
      <c r="AY2212" s="104"/>
      <c r="AZ2212" s="105"/>
    </row>
    <row r="2213" customHeight="1" spans="1:52">
      <c r="A2213" s="70">
        <v>2230</v>
      </c>
      <c r="B2213" s="71" t="s">
        <v>1399</v>
      </c>
      <c r="C2213" s="234" t="s">
        <v>374</v>
      </c>
      <c r="D2213" s="72" t="s">
        <v>5498</v>
      </c>
      <c r="E2213" s="71" t="s">
        <v>883</v>
      </c>
      <c r="F2213" s="72"/>
      <c r="G2213" s="73"/>
      <c r="H2213" s="75"/>
      <c r="I2213" s="102">
        <v>46281</v>
      </c>
      <c r="J2213" s="70">
        <v>3</v>
      </c>
      <c r="K2213" s="106" t="s">
        <v>5499</v>
      </c>
      <c r="L2213" s="104">
        <f t="shared" si="543"/>
        <v>46372</v>
      </c>
      <c r="M2213" s="105">
        <f ca="1" t="shared" si="544"/>
        <v>59</v>
      </c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6"/>
      <c r="Z2213" s="133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5"/>
      <c r="AO2213" s="115"/>
      <c r="AP2213" s="115"/>
      <c r="AQ2213" s="93"/>
      <c r="AR2213" s="93"/>
      <c r="AS2213" s="94"/>
      <c r="AT2213" s="95"/>
      <c r="AU2213" s="79"/>
      <c r="AV2213" s="117"/>
      <c r="AW2213" s="115"/>
      <c r="AX2213" s="106"/>
      <c r="AY2213" s="104"/>
      <c r="AZ2213" s="105"/>
    </row>
    <row r="2214" customHeight="1" spans="1:52">
      <c r="A2214" s="70">
        <v>2231</v>
      </c>
      <c r="B2214" s="71" t="s">
        <v>648</v>
      </c>
      <c r="C2214" s="105" t="s">
        <v>264</v>
      </c>
      <c r="D2214" s="72" t="s">
        <v>5091</v>
      </c>
      <c r="E2214" s="71" t="s">
        <v>5092</v>
      </c>
      <c r="F2214" s="72"/>
      <c r="G2214" s="73"/>
      <c r="H2214" s="75"/>
      <c r="I2214" s="102">
        <v>46281</v>
      </c>
      <c r="J2214" s="70" t="s">
        <v>767</v>
      </c>
      <c r="K2214" s="106"/>
      <c r="L2214" s="104" t="e">
        <f t="shared" si="543"/>
        <v>#VALUE!</v>
      </c>
      <c r="M2214" s="105" t="e">
        <f ca="1" t="shared" si="544"/>
        <v>#VALUE!</v>
      </c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6"/>
      <c r="Z2214" s="133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5"/>
      <c r="AO2214" s="115"/>
      <c r="AP2214" s="115"/>
      <c r="AQ2214" s="93"/>
      <c r="AR2214" s="93"/>
      <c r="AS2214" s="94"/>
      <c r="AT2214" s="95"/>
      <c r="AU2214" s="79"/>
      <c r="AV2214" s="117"/>
      <c r="AW2214" s="115"/>
      <c r="AX2214" s="106"/>
      <c r="AY2214" s="104"/>
      <c r="AZ2214" s="105"/>
    </row>
    <row r="2215" customHeight="1" spans="1:52">
      <c r="A2215" s="70">
        <v>2232</v>
      </c>
      <c r="B2215" s="70" t="s">
        <v>74</v>
      </c>
      <c r="C2215" s="184" t="s">
        <v>13</v>
      </c>
      <c r="D2215" s="71" t="s">
        <v>5500</v>
      </c>
      <c r="E2215" s="71" t="s">
        <v>126</v>
      </c>
      <c r="F2215" s="72"/>
      <c r="G2215" s="73"/>
      <c r="H2215" s="74" t="s">
        <v>16</v>
      </c>
      <c r="I2215" s="102">
        <v>46282</v>
      </c>
      <c r="J2215" s="70">
        <v>3</v>
      </c>
      <c r="K2215" s="106" t="s">
        <v>5501</v>
      </c>
      <c r="L2215" s="104">
        <f t="shared" si="543"/>
        <v>46373</v>
      </c>
      <c r="M2215" s="105">
        <f ca="1" t="shared" si="544"/>
        <v>60</v>
      </c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6"/>
      <c r="Z2215" s="133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5"/>
      <c r="AO2215" s="115"/>
      <c r="AP2215" s="115"/>
      <c r="AQ2215" s="93"/>
      <c r="AR2215" s="93"/>
      <c r="AS2215" s="94"/>
      <c r="AT2215" s="95"/>
      <c r="AU2215" s="79"/>
      <c r="AV2215" s="117"/>
      <c r="AW2215" s="115"/>
      <c r="AX2215" s="106"/>
      <c r="AY2215" s="104"/>
      <c r="AZ2215" s="105"/>
    </row>
    <row r="2216" customHeight="1" spans="1:52">
      <c r="A2216" s="70">
        <v>2233</v>
      </c>
      <c r="B2216" s="70" t="s">
        <v>74</v>
      </c>
      <c r="C2216" s="70" t="s">
        <v>38</v>
      </c>
      <c r="D2216" s="108" t="s">
        <v>5502</v>
      </c>
      <c r="E2216" s="71" t="s">
        <v>189</v>
      </c>
      <c r="F2216" s="72"/>
      <c r="G2216" s="73"/>
      <c r="H2216" s="74" t="s">
        <v>16</v>
      </c>
      <c r="I2216" s="102">
        <v>46282</v>
      </c>
      <c r="J2216" s="70">
        <v>3</v>
      </c>
      <c r="K2216" s="106" t="s">
        <v>5503</v>
      </c>
      <c r="L2216" s="104">
        <f t="shared" si="543"/>
        <v>46373</v>
      </c>
      <c r="M2216" s="105">
        <f ca="1" t="shared" si="544"/>
        <v>60</v>
      </c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6"/>
      <c r="Z2216" s="133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5"/>
      <c r="AO2216" s="115"/>
      <c r="AP2216" s="115"/>
      <c r="AQ2216" s="93"/>
      <c r="AR2216" s="93"/>
      <c r="AS2216" s="94"/>
      <c r="AT2216" s="95"/>
      <c r="AU2216" s="79"/>
      <c r="AV2216" s="117"/>
      <c r="AW2216" s="115"/>
      <c r="AX2216" s="106"/>
      <c r="AY2216" s="104"/>
      <c r="AZ2216" s="105"/>
    </row>
    <row r="2217" customHeight="1" spans="1:52">
      <c r="A2217" s="70">
        <v>2234</v>
      </c>
      <c r="B2217" s="70" t="s">
        <v>74</v>
      </c>
      <c r="C2217" s="70" t="s">
        <v>38</v>
      </c>
      <c r="D2217" s="108" t="s">
        <v>5504</v>
      </c>
      <c r="E2217" s="71" t="s">
        <v>189</v>
      </c>
      <c r="F2217" s="72"/>
      <c r="G2217" s="73"/>
      <c r="H2217" s="74" t="s">
        <v>16</v>
      </c>
      <c r="I2217" s="102">
        <v>46282</v>
      </c>
      <c r="J2217" s="70">
        <v>3</v>
      </c>
      <c r="K2217" s="106" t="s">
        <v>5505</v>
      </c>
      <c r="L2217" s="104">
        <f t="shared" si="543"/>
        <v>46373</v>
      </c>
      <c r="M2217" s="105">
        <f ca="1" t="shared" si="544"/>
        <v>60</v>
      </c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6"/>
      <c r="Z2217" s="133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5"/>
      <c r="AO2217" s="115"/>
      <c r="AP2217" s="115"/>
      <c r="AQ2217" s="93"/>
      <c r="AR2217" s="93"/>
      <c r="AS2217" s="94"/>
      <c r="AT2217" s="95"/>
      <c r="AU2217" s="79"/>
      <c r="AV2217" s="117"/>
      <c r="AW2217" s="115"/>
      <c r="AX2217" s="106"/>
      <c r="AY2217" s="104"/>
      <c r="AZ2217" s="105"/>
    </row>
    <row r="2218" customHeight="1" spans="1:52">
      <c r="A2218" s="70">
        <v>2235</v>
      </c>
      <c r="B2218" s="108" t="s">
        <v>263</v>
      </c>
      <c r="C2218" s="70" t="s">
        <v>264</v>
      </c>
      <c r="D2218" s="108" t="s">
        <v>1922</v>
      </c>
      <c r="E2218" s="71" t="s">
        <v>753</v>
      </c>
      <c r="F2218" s="72"/>
      <c r="G2218" s="73"/>
      <c r="H2218" s="75"/>
      <c r="I2218" s="102">
        <v>46282</v>
      </c>
      <c r="J2218" s="70" t="s">
        <v>767</v>
      </c>
      <c r="K2218" s="106"/>
      <c r="L2218" s="104" t="e">
        <f t="shared" si="543"/>
        <v>#VALUE!</v>
      </c>
      <c r="M2218" s="105" t="e">
        <f ca="1" t="shared" si="544"/>
        <v>#VALUE!</v>
      </c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6"/>
      <c r="Z2218" s="133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5"/>
      <c r="AO2218" s="115"/>
      <c r="AP2218" s="115"/>
      <c r="AQ2218" s="93"/>
      <c r="AR2218" s="93"/>
      <c r="AS2218" s="94"/>
      <c r="AT2218" s="95"/>
      <c r="AU2218" s="79"/>
      <c r="AV2218" s="117"/>
      <c r="AW2218" s="115"/>
      <c r="AX2218" s="106"/>
      <c r="AY2218" s="104"/>
      <c r="AZ2218" s="105"/>
    </row>
    <row r="2219" customHeight="1" spans="1:52">
      <c r="A2219" s="70">
        <v>2236</v>
      </c>
      <c r="B2219" s="108" t="s">
        <v>263</v>
      </c>
      <c r="C2219" s="70" t="s">
        <v>264</v>
      </c>
      <c r="D2219" s="108" t="s">
        <v>2433</v>
      </c>
      <c r="E2219" s="71" t="s">
        <v>753</v>
      </c>
      <c r="F2219" s="72"/>
      <c r="G2219" s="73"/>
      <c r="H2219" s="75"/>
      <c r="I2219" s="102">
        <v>46282</v>
      </c>
      <c r="J2219" s="70" t="s">
        <v>767</v>
      </c>
      <c r="K2219" s="106"/>
      <c r="L2219" s="104" t="e">
        <f t="shared" si="543"/>
        <v>#VALUE!</v>
      </c>
      <c r="M2219" s="105" t="e">
        <f ca="1" t="shared" si="544"/>
        <v>#VALUE!</v>
      </c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6"/>
      <c r="Z2219" s="133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5"/>
      <c r="AO2219" s="115"/>
      <c r="AP2219" s="115"/>
      <c r="AQ2219" s="93"/>
      <c r="AR2219" s="93"/>
      <c r="AS2219" s="94"/>
      <c r="AT2219" s="95"/>
      <c r="AU2219" s="79"/>
      <c r="AV2219" s="117"/>
      <c r="AW2219" s="115"/>
      <c r="AX2219" s="106"/>
      <c r="AY2219" s="104"/>
      <c r="AZ2219" s="105"/>
    </row>
    <row r="2220" customHeight="1" spans="1:52">
      <c r="A2220" s="70">
        <v>2237</v>
      </c>
      <c r="B2220" s="108" t="s">
        <v>295</v>
      </c>
      <c r="C2220" s="70" t="s">
        <v>264</v>
      </c>
      <c r="D2220" s="108" t="s">
        <v>5344</v>
      </c>
      <c r="E2220" s="71" t="s">
        <v>5506</v>
      </c>
      <c r="F2220" s="72"/>
      <c r="G2220" s="73"/>
      <c r="H2220" s="75"/>
      <c r="I2220" s="102">
        <v>46282</v>
      </c>
      <c r="J2220" s="70" t="s">
        <v>767</v>
      </c>
      <c r="K2220" s="106"/>
      <c r="L2220" s="104" t="e">
        <f t="shared" si="543"/>
        <v>#VALUE!</v>
      </c>
      <c r="M2220" s="105" t="e">
        <f ca="1" t="shared" si="544"/>
        <v>#VALUE!</v>
      </c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6"/>
      <c r="Z2220" s="133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5"/>
      <c r="AO2220" s="115"/>
      <c r="AP2220" s="115"/>
      <c r="AQ2220" s="93"/>
      <c r="AR2220" s="93"/>
      <c r="AS2220" s="94"/>
      <c r="AT2220" s="95"/>
      <c r="AU2220" s="79"/>
      <c r="AV2220" s="117"/>
      <c r="AW2220" s="115"/>
      <c r="AX2220" s="106"/>
      <c r="AY2220" s="104"/>
      <c r="AZ2220" s="105"/>
    </row>
    <row r="2221" customHeight="1" spans="1:52">
      <c r="A2221" s="70">
        <v>2238</v>
      </c>
      <c r="B2221" s="108" t="s">
        <v>751</v>
      </c>
      <c r="C2221" s="70" t="s">
        <v>264</v>
      </c>
      <c r="D2221" s="108" t="s">
        <v>752</v>
      </c>
      <c r="E2221" s="71" t="s">
        <v>753</v>
      </c>
      <c r="F2221" s="72"/>
      <c r="G2221" s="73"/>
      <c r="H2221" s="75"/>
      <c r="I2221" s="102">
        <v>46282</v>
      </c>
      <c r="J2221" s="70" t="s">
        <v>767</v>
      </c>
      <c r="K2221" s="106"/>
      <c r="L2221" s="104" t="e">
        <f t="shared" si="543"/>
        <v>#VALUE!</v>
      </c>
      <c r="M2221" s="105" t="e">
        <f ca="1" t="shared" si="544"/>
        <v>#VALUE!</v>
      </c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6"/>
      <c r="Z2221" s="133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5"/>
      <c r="AO2221" s="115"/>
      <c r="AP2221" s="115"/>
      <c r="AQ2221" s="93"/>
      <c r="AR2221" s="93"/>
      <c r="AS2221" s="94"/>
      <c r="AT2221" s="95"/>
      <c r="AU2221" s="79"/>
      <c r="AV2221" s="117"/>
      <c r="AW2221" s="115"/>
      <c r="AX2221" s="106"/>
      <c r="AY2221" s="104"/>
      <c r="AZ2221" s="105"/>
    </row>
    <row r="2222" customHeight="1" spans="1:52">
      <c r="A2222" s="70">
        <v>2239</v>
      </c>
      <c r="B2222" s="70" t="s">
        <v>546</v>
      </c>
      <c r="C2222" s="70" t="s">
        <v>374</v>
      </c>
      <c r="D2222" s="71" t="s">
        <v>5507</v>
      </c>
      <c r="E2222" s="71" t="s">
        <v>3027</v>
      </c>
      <c r="F2222" s="72"/>
      <c r="G2222" s="73"/>
      <c r="H2222" s="74" t="s">
        <v>16</v>
      </c>
      <c r="I2222" s="102">
        <v>46283</v>
      </c>
      <c r="J2222" s="70">
        <v>3</v>
      </c>
      <c r="K2222" s="106" t="s">
        <v>5508</v>
      </c>
      <c r="L2222" s="104">
        <f t="shared" si="543"/>
        <v>46374</v>
      </c>
      <c r="M2222" s="105">
        <f ca="1" t="shared" si="544"/>
        <v>61</v>
      </c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6"/>
      <c r="Z2222" s="133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5"/>
      <c r="AO2222" s="115"/>
      <c r="AP2222" s="115"/>
      <c r="AQ2222" s="93"/>
      <c r="AR2222" s="93"/>
      <c r="AS2222" s="94"/>
      <c r="AT2222" s="95"/>
      <c r="AU2222" s="79"/>
      <c r="AV2222" s="117"/>
      <c r="AW2222" s="115"/>
      <c r="AX2222" s="106"/>
      <c r="AY2222" s="104"/>
      <c r="AZ2222" s="105"/>
    </row>
    <row r="2223" customHeight="1" spans="1:52">
      <c r="A2223" s="70">
        <v>2240</v>
      </c>
      <c r="B2223" s="70" t="s">
        <v>798</v>
      </c>
      <c r="C2223" s="70" t="s">
        <v>374</v>
      </c>
      <c r="D2223" s="71" t="s">
        <v>5509</v>
      </c>
      <c r="E2223" s="71" t="s">
        <v>1401</v>
      </c>
      <c r="F2223" s="72"/>
      <c r="G2223" s="73"/>
      <c r="H2223" s="74" t="s">
        <v>16</v>
      </c>
      <c r="I2223" s="102">
        <v>46283</v>
      </c>
      <c r="J2223" s="70">
        <v>3</v>
      </c>
      <c r="K2223" s="106" t="s">
        <v>5510</v>
      </c>
      <c r="L2223" s="104">
        <f t="shared" si="543"/>
        <v>46374</v>
      </c>
      <c r="M2223" s="105">
        <f ca="1" t="shared" si="544"/>
        <v>61</v>
      </c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6"/>
      <c r="Z2223" s="133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5"/>
      <c r="AO2223" s="115"/>
      <c r="AP2223" s="115"/>
      <c r="AQ2223" s="93"/>
      <c r="AR2223" s="93"/>
      <c r="AS2223" s="94"/>
      <c r="AT2223" s="95"/>
      <c r="AU2223" s="79"/>
      <c r="AV2223" s="117"/>
      <c r="AW2223" s="115"/>
      <c r="AX2223" s="106"/>
      <c r="AY2223" s="104"/>
      <c r="AZ2223" s="105"/>
    </row>
    <row r="2224" customHeight="1" spans="1:52">
      <c r="A2224" s="70">
        <v>2241</v>
      </c>
      <c r="B2224" s="70" t="s">
        <v>2187</v>
      </c>
      <c r="C2224" s="70" t="s">
        <v>38</v>
      </c>
      <c r="D2224" s="71" t="s">
        <v>5511</v>
      </c>
      <c r="E2224" s="71" t="s">
        <v>4065</v>
      </c>
      <c r="F2224" s="72"/>
      <c r="G2224" s="73"/>
      <c r="H2224" s="74" t="s">
        <v>16</v>
      </c>
      <c r="I2224" s="102">
        <v>46284</v>
      </c>
      <c r="J2224" s="70">
        <v>3</v>
      </c>
      <c r="K2224" s="106" t="s">
        <v>5512</v>
      </c>
      <c r="L2224" s="104">
        <f t="shared" si="543"/>
        <v>46375</v>
      </c>
      <c r="M2224" s="105">
        <f ca="1" t="shared" si="544"/>
        <v>62</v>
      </c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6"/>
      <c r="Z2224" s="133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5"/>
      <c r="AO2224" s="115"/>
      <c r="AP2224" s="115"/>
      <c r="AQ2224" s="93"/>
      <c r="AR2224" s="93"/>
      <c r="AS2224" s="94"/>
      <c r="AT2224" s="95"/>
      <c r="AU2224" s="79"/>
      <c r="AV2224" s="117"/>
      <c r="AW2224" s="115"/>
      <c r="AX2224" s="106"/>
      <c r="AY2224" s="104"/>
      <c r="AZ2224" s="105"/>
    </row>
    <row r="2225" customHeight="1" spans="1:52">
      <c r="A2225" s="70">
        <v>2242</v>
      </c>
      <c r="B2225" s="70" t="s">
        <v>4124</v>
      </c>
      <c r="C2225" s="70" t="s">
        <v>13</v>
      </c>
      <c r="D2225" s="71" t="s">
        <v>93</v>
      </c>
      <c r="E2225" s="71" t="s">
        <v>1003</v>
      </c>
      <c r="F2225" s="72"/>
      <c r="G2225" s="73"/>
      <c r="H2225" s="75"/>
      <c r="I2225" s="102">
        <v>46284</v>
      </c>
      <c r="J2225" s="70" t="s">
        <v>767</v>
      </c>
      <c r="K2225" s="106"/>
      <c r="L2225" s="104" t="e">
        <f t="shared" si="543"/>
        <v>#VALUE!</v>
      </c>
      <c r="M2225" s="105" t="e">
        <f ca="1" t="shared" si="544"/>
        <v>#VALUE!</v>
      </c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6"/>
      <c r="Z2225" s="133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5"/>
      <c r="AO2225" s="115"/>
      <c r="AP2225" s="115"/>
      <c r="AQ2225" s="93"/>
      <c r="AR2225" s="93"/>
      <c r="AS2225" s="94"/>
      <c r="AT2225" s="95"/>
      <c r="AU2225" s="79"/>
      <c r="AV2225" s="117"/>
      <c r="AW2225" s="115"/>
      <c r="AX2225" s="106"/>
      <c r="AY2225" s="104"/>
      <c r="AZ2225" s="105"/>
    </row>
    <row r="2226" customHeight="1" spans="1:52">
      <c r="A2226" s="70">
        <v>2243</v>
      </c>
      <c r="B2226" s="70" t="s">
        <v>169</v>
      </c>
      <c r="C2226" s="70" t="s">
        <v>38</v>
      </c>
      <c r="D2226" s="71" t="s">
        <v>3229</v>
      </c>
      <c r="E2226" s="71" t="s">
        <v>171</v>
      </c>
      <c r="F2226" s="72"/>
      <c r="G2226" s="73"/>
      <c r="H2226" s="75"/>
      <c r="I2226" s="102">
        <v>46284</v>
      </c>
      <c r="J2226" s="70" t="s">
        <v>767</v>
      </c>
      <c r="K2226" s="106"/>
      <c r="L2226" s="104" t="e">
        <f t="shared" si="543"/>
        <v>#VALUE!</v>
      </c>
      <c r="M2226" s="105" t="e">
        <f ca="1" t="shared" si="544"/>
        <v>#VALUE!</v>
      </c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6"/>
      <c r="Z2226" s="133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5"/>
      <c r="AO2226" s="115"/>
      <c r="AP2226" s="115"/>
      <c r="AQ2226" s="93"/>
      <c r="AR2226" s="93"/>
      <c r="AS2226" s="94"/>
      <c r="AT2226" s="95"/>
      <c r="AU2226" s="79"/>
      <c r="AV2226" s="117"/>
      <c r="AW2226" s="115"/>
      <c r="AX2226" s="106"/>
      <c r="AY2226" s="104"/>
      <c r="AZ2226" s="105"/>
    </row>
    <row r="2227" customHeight="1" spans="1:52">
      <c r="A2227" s="70">
        <v>2244</v>
      </c>
      <c r="B2227" s="108" t="s">
        <v>263</v>
      </c>
      <c r="C2227" s="70" t="s">
        <v>264</v>
      </c>
      <c r="D2227" s="108" t="s">
        <v>265</v>
      </c>
      <c r="E2227" s="71" t="s">
        <v>753</v>
      </c>
      <c r="F2227" s="72"/>
      <c r="G2227" s="73"/>
      <c r="H2227" s="75"/>
      <c r="I2227" s="102">
        <v>46284</v>
      </c>
      <c r="J2227" s="70" t="s">
        <v>767</v>
      </c>
      <c r="K2227" s="106"/>
      <c r="L2227" s="104" t="e">
        <f t="shared" si="543"/>
        <v>#VALUE!</v>
      </c>
      <c r="M2227" s="105" t="e">
        <f ca="1" t="shared" si="544"/>
        <v>#VALUE!</v>
      </c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6"/>
      <c r="Z2227" s="133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5"/>
      <c r="AO2227" s="115"/>
      <c r="AP2227" s="115"/>
      <c r="AQ2227" s="93"/>
      <c r="AR2227" s="93"/>
      <c r="AS2227" s="94"/>
      <c r="AT2227" s="95"/>
      <c r="AU2227" s="79"/>
      <c r="AV2227" s="117"/>
      <c r="AW2227" s="115"/>
      <c r="AX2227" s="106"/>
      <c r="AY2227" s="104"/>
      <c r="AZ2227" s="105"/>
    </row>
    <row r="2228" customHeight="1" spans="1:52">
      <c r="A2228" s="70">
        <v>2245</v>
      </c>
      <c r="B2228" s="108" t="s">
        <v>366</v>
      </c>
      <c r="C2228" s="70" t="s">
        <v>264</v>
      </c>
      <c r="D2228" s="108" t="s">
        <v>367</v>
      </c>
      <c r="E2228" s="71" t="s">
        <v>4334</v>
      </c>
      <c r="F2228" s="72"/>
      <c r="G2228" s="73"/>
      <c r="H2228" s="75"/>
      <c r="I2228" s="102">
        <v>46284</v>
      </c>
      <c r="J2228" s="70" t="s">
        <v>767</v>
      </c>
      <c r="K2228" s="106"/>
      <c r="L2228" s="104" t="e">
        <f t="shared" si="543"/>
        <v>#VALUE!</v>
      </c>
      <c r="M2228" s="105" t="e">
        <f ca="1" t="shared" si="544"/>
        <v>#VALUE!</v>
      </c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6"/>
      <c r="Z2228" s="133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5"/>
      <c r="AO2228" s="115"/>
      <c r="AP2228" s="115"/>
      <c r="AQ2228" s="93"/>
      <c r="AR2228" s="93"/>
      <c r="AS2228" s="94"/>
      <c r="AT2228" s="95"/>
      <c r="AU2228" s="79"/>
      <c r="AV2228" s="117"/>
      <c r="AW2228" s="115"/>
      <c r="AX2228" s="106"/>
      <c r="AY2228" s="104"/>
      <c r="AZ2228" s="105"/>
    </row>
    <row r="2229" customHeight="1" spans="1:52">
      <c r="A2229" s="70">
        <v>2246</v>
      </c>
      <c r="B2229" s="108" t="s">
        <v>270</v>
      </c>
      <c r="C2229" s="70" t="s">
        <v>264</v>
      </c>
      <c r="D2229" s="108" t="s">
        <v>3598</v>
      </c>
      <c r="E2229" s="71" t="s">
        <v>277</v>
      </c>
      <c r="F2229" s="72"/>
      <c r="G2229" s="73"/>
      <c r="H2229" s="75"/>
      <c r="I2229" s="102">
        <v>46284</v>
      </c>
      <c r="J2229" s="70" t="s">
        <v>767</v>
      </c>
      <c r="K2229" s="106"/>
      <c r="L2229" s="104" t="e">
        <f t="shared" si="543"/>
        <v>#VALUE!</v>
      </c>
      <c r="M2229" s="105" t="e">
        <f ca="1" t="shared" si="544"/>
        <v>#VALUE!</v>
      </c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6"/>
      <c r="Z2229" s="133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5"/>
      <c r="AO2229" s="115"/>
      <c r="AP2229" s="115"/>
      <c r="AQ2229" s="93"/>
      <c r="AR2229" s="93"/>
      <c r="AS2229" s="94"/>
      <c r="AT2229" s="95"/>
      <c r="AU2229" s="79"/>
      <c r="AV2229" s="117"/>
      <c r="AW2229" s="115"/>
      <c r="AX2229" s="106"/>
      <c r="AY2229" s="104"/>
      <c r="AZ2229" s="105"/>
    </row>
    <row r="2230" customHeight="1" spans="1:52">
      <c r="A2230" s="70">
        <v>2247</v>
      </c>
      <c r="B2230" s="108" t="s">
        <v>644</v>
      </c>
      <c r="C2230" s="70" t="s">
        <v>264</v>
      </c>
      <c r="D2230" s="108" t="s">
        <v>1922</v>
      </c>
      <c r="E2230" s="71" t="s">
        <v>753</v>
      </c>
      <c r="F2230" s="72"/>
      <c r="G2230" s="73"/>
      <c r="H2230" s="75"/>
      <c r="I2230" s="102">
        <v>46285</v>
      </c>
      <c r="J2230" s="70" t="s">
        <v>767</v>
      </c>
      <c r="K2230" s="106"/>
      <c r="L2230" s="104" t="e">
        <f t="shared" si="543"/>
        <v>#VALUE!</v>
      </c>
      <c r="M2230" s="105" t="e">
        <f ca="1" t="shared" si="544"/>
        <v>#VALUE!</v>
      </c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6"/>
      <c r="Z2230" s="133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5"/>
      <c r="AO2230" s="115"/>
      <c r="AP2230" s="115"/>
      <c r="AQ2230" s="93"/>
      <c r="AR2230" s="93"/>
      <c r="AS2230" s="94"/>
      <c r="AT2230" s="95"/>
      <c r="AU2230" s="79"/>
      <c r="AV2230" s="117"/>
      <c r="AW2230" s="115"/>
      <c r="AX2230" s="106"/>
      <c r="AY2230" s="104"/>
      <c r="AZ2230" s="105"/>
    </row>
    <row r="2231" customHeight="1" spans="1:52">
      <c r="A2231" s="70">
        <v>2248</v>
      </c>
      <c r="B2231" s="108" t="s">
        <v>718</v>
      </c>
      <c r="C2231" s="70" t="s">
        <v>38</v>
      </c>
      <c r="D2231" s="108" t="s">
        <v>5513</v>
      </c>
      <c r="E2231" s="71" t="s">
        <v>189</v>
      </c>
      <c r="F2231" s="72"/>
      <c r="G2231" s="73"/>
      <c r="H2231" s="79" t="s">
        <v>16</v>
      </c>
      <c r="I2231" s="102">
        <v>46286</v>
      </c>
      <c r="J2231" s="70">
        <v>3</v>
      </c>
      <c r="K2231" s="106" t="s">
        <v>5514</v>
      </c>
      <c r="L2231" s="104">
        <f t="shared" ref="L2231:L2249" si="545">EDATE(I2231,J2231)</f>
        <v>46377</v>
      </c>
      <c r="M2231" s="105">
        <f ca="1" t="shared" ref="M2231:M2249" si="546">L2231-TODAY()</f>
        <v>64</v>
      </c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6"/>
      <c r="Z2231" s="133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5"/>
      <c r="AO2231" s="115"/>
      <c r="AP2231" s="115"/>
      <c r="AQ2231" s="93"/>
      <c r="AR2231" s="93"/>
      <c r="AS2231" s="94"/>
      <c r="AT2231" s="95"/>
      <c r="AU2231" s="79"/>
      <c r="AV2231" s="117"/>
      <c r="AW2231" s="115"/>
      <c r="AX2231" s="106"/>
      <c r="AY2231" s="104"/>
      <c r="AZ2231" s="105"/>
    </row>
    <row r="2232" customHeight="1" spans="1:52">
      <c r="A2232" s="70">
        <v>2249</v>
      </c>
      <c r="B2232" s="108" t="s">
        <v>263</v>
      </c>
      <c r="C2232" s="70" t="s">
        <v>264</v>
      </c>
      <c r="D2232" s="108" t="s">
        <v>955</v>
      </c>
      <c r="E2232" s="71" t="s">
        <v>753</v>
      </c>
      <c r="F2232" s="72"/>
      <c r="G2232" s="73"/>
      <c r="H2232" s="75"/>
      <c r="I2232" s="102">
        <v>46286</v>
      </c>
      <c r="J2232" s="70" t="s">
        <v>767</v>
      </c>
      <c r="K2232" s="106"/>
      <c r="L2232" s="104" t="e">
        <f t="shared" si="545"/>
        <v>#VALUE!</v>
      </c>
      <c r="M2232" s="105" t="e">
        <f ca="1" t="shared" si="546"/>
        <v>#VALUE!</v>
      </c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6"/>
      <c r="Z2232" s="133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5"/>
      <c r="AO2232" s="115"/>
      <c r="AP2232" s="115"/>
      <c r="AQ2232" s="93"/>
      <c r="AR2232" s="93"/>
      <c r="AS2232" s="94"/>
      <c r="AT2232" s="95"/>
      <c r="AU2232" s="79"/>
      <c r="AV2232" s="117"/>
      <c r="AW2232" s="115"/>
      <c r="AX2232" s="106"/>
      <c r="AY2232" s="104"/>
      <c r="AZ2232" s="105"/>
    </row>
    <row r="2233" customHeight="1" spans="1:52">
      <c r="A2233" s="70">
        <v>2250</v>
      </c>
      <c r="B2233" s="108" t="s">
        <v>263</v>
      </c>
      <c r="C2233" s="70" t="s">
        <v>264</v>
      </c>
      <c r="D2233" s="108" t="s">
        <v>1922</v>
      </c>
      <c r="E2233" s="71" t="s">
        <v>753</v>
      </c>
      <c r="F2233" s="72"/>
      <c r="G2233" s="73"/>
      <c r="H2233" s="75"/>
      <c r="I2233" s="102">
        <v>46286</v>
      </c>
      <c r="J2233" s="70" t="s">
        <v>767</v>
      </c>
      <c r="K2233" s="106"/>
      <c r="L2233" s="104" t="e">
        <f t="shared" si="545"/>
        <v>#VALUE!</v>
      </c>
      <c r="M2233" s="105" t="e">
        <f ca="1" t="shared" si="546"/>
        <v>#VALUE!</v>
      </c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6"/>
      <c r="Z2233" s="133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5"/>
      <c r="AO2233" s="115"/>
      <c r="AP2233" s="115"/>
      <c r="AQ2233" s="93"/>
      <c r="AR2233" s="93"/>
      <c r="AS2233" s="94"/>
      <c r="AT2233" s="95"/>
      <c r="AU2233" s="79"/>
      <c r="AV2233" s="117"/>
      <c r="AW2233" s="115"/>
      <c r="AX2233" s="106"/>
      <c r="AY2233" s="104"/>
      <c r="AZ2233" s="105"/>
    </row>
    <row r="2234" customHeight="1" spans="1:52">
      <c r="A2234" s="70">
        <v>2251</v>
      </c>
      <c r="B2234" s="108" t="s">
        <v>644</v>
      </c>
      <c r="C2234" s="70" t="s">
        <v>264</v>
      </c>
      <c r="D2234" s="108" t="s">
        <v>746</v>
      </c>
      <c r="E2234" s="71" t="s">
        <v>753</v>
      </c>
      <c r="F2234" s="72"/>
      <c r="G2234" s="73"/>
      <c r="H2234" s="75"/>
      <c r="I2234" s="102">
        <v>46286</v>
      </c>
      <c r="J2234" s="70" t="s">
        <v>767</v>
      </c>
      <c r="K2234" s="106"/>
      <c r="L2234" s="104" t="e">
        <f t="shared" si="545"/>
        <v>#VALUE!</v>
      </c>
      <c r="M2234" s="105" t="e">
        <f ca="1" t="shared" si="546"/>
        <v>#VALUE!</v>
      </c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6"/>
      <c r="Z2234" s="133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5"/>
      <c r="AO2234" s="115"/>
      <c r="AP2234" s="115"/>
      <c r="AQ2234" s="93"/>
      <c r="AR2234" s="93"/>
      <c r="AS2234" s="94"/>
      <c r="AT2234" s="95"/>
      <c r="AU2234" s="79"/>
      <c r="AV2234" s="117"/>
      <c r="AW2234" s="115"/>
      <c r="AX2234" s="106"/>
      <c r="AY2234" s="104"/>
      <c r="AZ2234" s="105"/>
    </row>
    <row r="2235" customHeight="1" spans="1:52">
      <c r="A2235" s="70">
        <v>2252</v>
      </c>
      <c r="B2235" s="108" t="s">
        <v>263</v>
      </c>
      <c r="C2235" s="70" t="s">
        <v>264</v>
      </c>
      <c r="D2235" s="108" t="s">
        <v>2433</v>
      </c>
      <c r="E2235" s="71" t="s">
        <v>753</v>
      </c>
      <c r="F2235" s="72"/>
      <c r="G2235" s="73"/>
      <c r="H2235" s="75"/>
      <c r="I2235" s="102">
        <v>46286</v>
      </c>
      <c r="J2235" s="70" t="s">
        <v>767</v>
      </c>
      <c r="K2235" s="106"/>
      <c r="L2235" s="104" t="e">
        <f t="shared" si="545"/>
        <v>#VALUE!</v>
      </c>
      <c r="M2235" s="105" t="e">
        <f ca="1" t="shared" si="546"/>
        <v>#VALUE!</v>
      </c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6"/>
      <c r="Z2235" s="133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5"/>
      <c r="AO2235" s="115"/>
      <c r="AP2235" s="115"/>
      <c r="AQ2235" s="93"/>
      <c r="AR2235" s="93"/>
      <c r="AS2235" s="94"/>
      <c r="AT2235" s="95"/>
      <c r="AU2235" s="79"/>
      <c r="AV2235" s="117"/>
      <c r="AW2235" s="115"/>
      <c r="AX2235" s="106"/>
      <c r="AY2235" s="104"/>
      <c r="AZ2235" s="105"/>
    </row>
    <row r="2236" customHeight="1" spans="1:52">
      <c r="A2236" s="70">
        <v>2253</v>
      </c>
      <c r="B2236" s="108" t="s">
        <v>263</v>
      </c>
      <c r="C2236" s="70" t="s">
        <v>264</v>
      </c>
      <c r="D2236" s="108" t="s">
        <v>265</v>
      </c>
      <c r="E2236" s="71" t="s">
        <v>753</v>
      </c>
      <c r="F2236" s="72"/>
      <c r="G2236" s="73"/>
      <c r="H2236" s="75"/>
      <c r="I2236" s="102">
        <v>46286</v>
      </c>
      <c r="J2236" s="70" t="s">
        <v>767</v>
      </c>
      <c r="K2236" s="106"/>
      <c r="L2236" s="104" t="e">
        <f t="shared" si="545"/>
        <v>#VALUE!</v>
      </c>
      <c r="M2236" s="105" t="e">
        <f ca="1" t="shared" si="546"/>
        <v>#VALUE!</v>
      </c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6"/>
      <c r="Z2236" s="133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5"/>
      <c r="AO2236" s="115"/>
      <c r="AP2236" s="115"/>
      <c r="AQ2236" s="93"/>
      <c r="AR2236" s="93"/>
      <c r="AS2236" s="94"/>
      <c r="AT2236" s="95"/>
      <c r="AU2236" s="79"/>
      <c r="AV2236" s="117"/>
      <c r="AW2236" s="115"/>
      <c r="AX2236" s="106"/>
      <c r="AY2236" s="104"/>
      <c r="AZ2236" s="105"/>
    </row>
    <row r="2237" customHeight="1" spans="1:52">
      <c r="A2237" s="70">
        <v>2254</v>
      </c>
      <c r="B2237" s="70" t="s">
        <v>373</v>
      </c>
      <c r="C2237" s="70" t="s">
        <v>374</v>
      </c>
      <c r="D2237" s="71" t="s">
        <v>5515</v>
      </c>
      <c r="E2237" s="71" t="s">
        <v>376</v>
      </c>
      <c r="F2237" s="72"/>
      <c r="G2237" s="73"/>
      <c r="H2237" s="75"/>
      <c r="I2237" s="102">
        <v>46287</v>
      </c>
      <c r="J2237" s="70">
        <v>3</v>
      </c>
      <c r="K2237" s="106" t="s">
        <v>5516</v>
      </c>
      <c r="L2237" s="104">
        <f t="shared" si="545"/>
        <v>46378</v>
      </c>
      <c r="M2237" s="105">
        <f ca="1" t="shared" si="546"/>
        <v>65</v>
      </c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6"/>
      <c r="Z2237" s="133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5"/>
      <c r="AO2237" s="115"/>
      <c r="AP2237" s="115"/>
      <c r="AQ2237" s="93"/>
      <c r="AR2237" s="93"/>
      <c r="AS2237" s="94"/>
      <c r="AT2237" s="95"/>
      <c r="AU2237" s="79"/>
      <c r="AV2237" s="117"/>
      <c r="AW2237" s="115"/>
      <c r="AX2237" s="106"/>
      <c r="AY2237" s="104"/>
      <c r="AZ2237" s="105"/>
    </row>
    <row r="2238" customHeight="1" spans="1:52">
      <c r="A2238" s="70">
        <v>2255</v>
      </c>
      <c r="B2238" s="108" t="s">
        <v>4025</v>
      </c>
      <c r="C2238" s="70" t="s">
        <v>264</v>
      </c>
      <c r="D2238" s="108" t="s">
        <v>5517</v>
      </c>
      <c r="E2238" s="71" t="s">
        <v>5518</v>
      </c>
      <c r="F2238" s="72"/>
      <c r="G2238" s="73"/>
      <c r="H2238" s="79" t="s">
        <v>16</v>
      </c>
      <c r="I2238" s="102">
        <v>46287</v>
      </c>
      <c r="J2238" s="70">
        <v>3</v>
      </c>
      <c r="K2238" s="106" t="s">
        <v>5519</v>
      </c>
      <c r="L2238" s="104">
        <f t="shared" si="545"/>
        <v>46378</v>
      </c>
      <c r="M2238" s="105">
        <f ca="1" t="shared" si="546"/>
        <v>65</v>
      </c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6"/>
      <c r="Z2238" s="133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5"/>
      <c r="AO2238" s="115"/>
      <c r="AP2238" s="115"/>
      <c r="AQ2238" s="93"/>
      <c r="AR2238" s="93"/>
      <c r="AS2238" s="94"/>
      <c r="AT2238" s="95"/>
      <c r="AU2238" s="79"/>
      <c r="AV2238" s="117"/>
      <c r="AW2238" s="115"/>
      <c r="AX2238" s="106"/>
      <c r="AY2238" s="104"/>
      <c r="AZ2238" s="105"/>
    </row>
    <row r="2239" customHeight="1" spans="1:52">
      <c r="A2239" s="70">
        <v>2256</v>
      </c>
      <c r="B2239" s="108" t="s">
        <v>644</v>
      </c>
      <c r="C2239" s="70" t="s">
        <v>264</v>
      </c>
      <c r="D2239" s="108" t="s">
        <v>2433</v>
      </c>
      <c r="E2239" s="71" t="s">
        <v>753</v>
      </c>
      <c r="F2239" s="72"/>
      <c r="G2239" s="73"/>
      <c r="H2239" s="75"/>
      <c r="I2239" s="102">
        <v>46287</v>
      </c>
      <c r="J2239" s="70" t="s">
        <v>767</v>
      </c>
      <c r="K2239" s="106"/>
      <c r="L2239" s="104" t="e">
        <f t="shared" si="545"/>
        <v>#VALUE!</v>
      </c>
      <c r="M2239" s="105" t="e">
        <f ca="1" t="shared" si="546"/>
        <v>#VALUE!</v>
      </c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6"/>
      <c r="Z2239" s="133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5"/>
      <c r="AO2239" s="115"/>
      <c r="AP2239" s="115"/>
      <c r="AQ2239" s="93"/>
      <c r="AR2239" s="93"/>
      <c r="AS2239" s="94"/>
      <c r="AT2239" s="95"/>
      <c r="AU2239" s="79"/>
      <c r="AV2239" s="117"/>
      <c r="AW2239" s="115"/>
      <c r="AX2239" s="106"/>
      <c r="AY2239" s="104"/>
      <c r="AZ2239" s="105"/>
    </row>
    <row r="2240" customHeight="1" spans="1:52">
      <c r="A2240" s="70">
        <v>2257</v>
      </c>
      <c r="B2240" s="108" t="s">
        <v>644</v>
      </c>
      <c r="C2240" s="70" t="s">
        <v>264</v>
      </c>
      <c r="D2240" s="108" t="s">
        <v>1922</v>
      </c>
      <c r="E2240" s="71" t="s">
        <v>753</v>
      </c>
      <c r="F2240" s="72"/>
      <c r="G2240" s="73"/>
      <c r="H2240" s="75"/>
      <c r="I2240" s="102">
        <v>46287</v>
      </c>
      <c r="J2240" s="70" t="s">
        <v>767</v>
      </c>
      <c r="K2240" s="106"/>
      <c r="L2240" s="104" t="e">
        <f t="shared" si="545"/>
        <v>#VALUE!</v>
      </c>
      <c r="M2240" s="105" t="e">
        <f ca="1" t="shared" si="546"/>
        <v>#VALUE!</v>
      </c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6"/>
      <c r="Z2240" s="133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5"/>
      <c r="AO2240" s="115"/>
      <c r="AP2240" s="115"/>
      <c r="AQ2240" s="93"/>
      <c r="AR2240" s="93"/>
      <c r="AS2240" s="94"/>
      <c r="AT2240" s="95"/>
      <c r="AU2240" s="79"/>
      <c r="AV2240" s="117"/>
      <c r="AW2240" s="115"/>
      <c r="AX2240" s="106"/>
      <c r="AY2240" s="104"/>
      <c r="AZ2240" s="105"/>
    </row>
    <row r="2241" customHeight="1" spans="1:52">
      <c r="A2241" s="70">
        <v>2258</v>
      </c>
      <c r="B2241" s="70" t="s">
        <v>5240</v>
      </c>
      <c r="C2241" s="70" t="s">
        <v>38</v>
      </c>
      <c r="D2241" s="108" t="s">
        <v>5520</v>
      </c>
      <c r="E2241" s="71" t="s">
        <v>735</v>
      </c>
      <c r="F2241" s="72"/>
      <c r="G2241" s="73"/>
      <c r="H2241" s="75"/>
      <c r="I2241" s="102">
        <v>46288</v>
      </c>
      <c r="J2241" s="70">
        <v>3</v>
      </c>
      <c r="K2241" s="106" t="s">
        <v>5521</v>
      </c>
      <c r="L2241" s="104">
        <f t="shared" si="545"/>
        <v>46379</v>
      </c>
      <c r="M2241" s="105">
        <f ca="1" t="shared" si="546"/>
        <v>66</v>
      </c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6"/>
      <c r="Z2241" s="133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5"/>
      <c r="AO2241" s="115"/>
      <c r="AP2241" s="115"/>
      <c r="AQ2241" s="93"/>
      <c r="AR2241" s="93"/>
      <c r="AS2241" s="94"/>
      <c r="AT2241" s="95"/>
      <c r="AU2241" s="79"/>
      <c r="AV2241" s="117"/>
      <c r="AW2241" s="115"/>
      <c r="AX2241" s="106"/>
      <c r="AY2241" s="104"/>
      <c r="AZ2241" s="105"/>
    </row>
    <row r="2242" customHeight="1" spans="1:52">
      <c r="A2242" s="70">
        <v>2259</v>
      </c>
      <c r="B2242" s="70" t="s">
        <v>5240</v>
      </c>
      <c r="C2242" s="70" t="s">
        <v>38</v>
      </c>
      <c r="D2242" s="108" t="s">
        <v>5522</v>
      </c>
      <c r="E2242" s="71" t="s">
        <v>145</v>
      </c>
      <c r="F2242" s="72"/>
      <c r="G2242" s="73"/>
      <c r="H2242" s="74" t="s">
        <v>16</v>
      </c>
      <c r="I2242" s="102">
        <v>46288</v>
      </c>
      <c r="J2242" s="70">
        <v>3</v>
      </c>
      <c r="K2242" s="106" t="s">
        <v>5523</v>
      </c>
      <c r="L2242" s="104">
        <f t="shared" ref="L2242:L2249" si="547">EDATE(I2242,J2242)</f>
        <v>46379</v>
      </c>
      <c r="M2242" s="105">
        <f ca="1" t="shared" ref="M2242:M2249" si="548">L2242-TODAY()</f>
        <v>66</v>
      </c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6"/>
      <c r="Z2242" s="133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5"/>
      <c r="AO2242" s="115"/>
      <c r="AP2242" s="115"/>
      <c r="AQ2242" s="93"/>
      <c r="AR2242" s="93"/>
      <c r="AS2242" s="94"/>
      <c r="AT2242" s="95"/>
      <c r="AU2242" s="79"/>
      <c r="AV2242" s="117"/>
      <c r="AW2242" s="115"/>
      <c r="AX2242" s="106"/>
      <c r="AY2242" s="104"/>
      <c r="AZ2242" s="105"/>
    </row>
    <row r="2243" customHeight="1" spans="1:52">
      <c r="A2243" s="70">
        <v>2260</v>
      </c>
      <c r="B2243" s="70" t="s">
        <v>886</v>
      </c>
      <c r="C2243" s="70" t="s">
        <v>374</v>
      </c>
      <c r="D2243" s="71" t="s">
        <v>5524</v>
      </c>
      <c r="E2243" s="71" t="s">
        <v>568</v>
      </c>
      <c r="F2243" s="72"/>
      <c r="G2243" s="73"/>
      <c r="H2243" s="74" t="s">
        <v>16</v>
      </c>
      <c r="I2243" s="102">
        <v>46288</v>
      </c>
      <c r="J2243" s="70">
        <v>3</v>
      </c>
      <c r="K2243" s="106" t="s">
        <v>5525</v>
      </c>
      <c r="L2243" s="104">
        <f t="shared" si="547"/>
        <v>46379</v>
      </c>
      <c r="M2243" s="105">
        <f ca="1" t="shared" si="548"/>
        <v>66</v>
      </c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6"/>
      <c r="Z2243" s="133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5"/>
      <c r="AO2243" s="115"/>
      <c r="AP2243" s="115"/>
      <c r="AQ2243" s="93"/>
      <c r="AR2243" s="93"/>
      <c r="AS2243" s="94"/>
      <c r="AT2243" s="95"/>
      <c r="AU2243" s="79"/>
      <c r="AV2243" s="117"/>
      <c r="AW2243" s="115"/>
      <c r="AX2243" s="106"/>
      <c r="AY2243" s="104"/>
      <c r="AZ2243" s="105"/>
    </row>
    <row r="2244" customHeight="1" spans="1:52">
      <c r="A2244" s="70">
        <v>2261</v>
      </c>
      <c r="B2244" s="108" t="s">
        <v>270</v>
      </c>
      <c r="C2244" s="70" t="s">
        <v>264</v>
      </c>
      <c r="D2244" s="108" t="s">
        <v>958</v>
      </c>
      <c r="E2244" s="71" t="s">
        <v>1232</v>
      </c>
      <c r="F2244" s="72"/>
      <c r="G2244" s="73"/>
      <c r="H2244" s="75"/>
      <c r="I2244" s="102">
        <v>46288</v>
      </c>
      <c r="J2244" s="70" t="s">
        <v>767</v>
      </c>
      <c r="K2244" s="106"/>
      <c r="L2244" s="104" t="e">
        <f t="shared" si="547"/>
        <v>#VALUE!</v>
      </c>
      <c r="M2244" s="105" t="e">
        <f ca="1" t="shared" si="548"/>
        <v>#VALUE!</v>
      </c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6"/>
      <c r="Z2244" s="133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5"/>
      <c r="AO2244" s="115"/>
      <c r="AP2244" s="115"/>
      <c r="AQ2244" s="93"/>
      <c r="AR2244" s="93"/>
      <c r="AS2244" s="94"/>
      <c r="AT2244" s="95"/>
      <c r="AU2244" s="79"/>
      <c r="AV2244" s="117"/>
      <c r="AW2244" s="115"/>
      <c r="AX2244" s="106"/>
      <c r="AY2244" s="104"/>
      <c r="AZ2244" s="105"/>
    </row>
    <row r="2245" customHeight="1" spans="1:52">
      <c r="A2245" s="70">
        <v>2262</v>
      </c>
      <c r="B2245" s="108" t="s">
        <v>281</v>
      </c>
      <c r="C2245" s="70" t="s">
        <v>264</v>
      </c>
      <c r="D2245" s="108" t="s">
        <v>2417</v>
      </c>
      <c r="E2245" s="71" t="s">
        <v>2418</v>
      </c>
      <c r="F2245" s="72"/>
      <c r="G2245" s="73"/>
      <c r="H2245" s="75"/>
      <c r="I2245" s="102">
        <v>46288</v>
      </c>
      <c r="J2245" s="70" t="s">
        <v>767</v>
      </c>
      <c r="K2245" s="106"/>
      <c r="L2245" s="104" t="e">
        <f t="shared" si="547"/>
        <v>#VALUE!</v>
      </c>
      <c r="M2245" s="105" t="e">
        <f ca="1" t="shared" si="548"/>
        <v>#VALUE!</v>
      </c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6"/>
      <c r="Z2245" s="133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5"/>
      <c r="AO2245" s="115"/>
      <c r="AP2245" s="115"/>
      <c r="AQ2245" s="93"/>
      <c r="AR2245" s="93"/>
      <c r="AS2245" s="94"/>
      <c r="AT2245" s="95"/>
      <c r="AU2245" s="79"/>
      <c r="AV2245" s="117"/>
      <c r="AW2245" s="115"/>
      <c r="AX2245" s="106"/>
      <c r="AY2245" s="104"/>
      <c r="AZ2245" s="105"/>
    </row>
    <row r="2246" customHeight="1" spans="1:52">
      <c r="A2246" s="70">
        <v>2263</v>
      </c>
      <c r="B2246" s="108" t="s">
        <v>281</v>
      </c>
      <c r="C2246" s="70" t="s">
        <v>264</v>
      </c>
      <c r="D2246" s="108" t="s">
        <v>2422</v>
      </c>
      <c r="E2246" s="71" t="s">
        <v>5526</v>
      </c>
      <c r="F2246" s="72"/>
      <c r="G2246" s="73"/>
      <c r="H2246" s="75"/>
      <c r="I2246" s="102">
        <v>46288</v>
      </c>
      <c r="J2246" s="70" t="s">
        <v>767</v>
      </c>
      <c r="K2246" s="106"/>
      <c r="L2246" s="104" t="e">
        <f t="shared" si="547"/>
        <v>#VALUE!</v>
      </c>
      <c r="M2246" s="105" t="e">
        <f ca="1" t="shared" si="548"/>
        <v>#VALUE!</v>
      </c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6"/>
      <c r="Z2246" s="133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5"/>
      <c r="AO2246" s="115"/>
      <c r="AP2246" s="115"/>
      <c r="AQ2246" s="93"/>
      <c r="AR2246" s="93"/>
      <c r="AS2246" s="94"/>
      <c r="AT2246" s="95"/>
      <c r="AU2246" s="79"/>
      <c r="AV2246" s="117"/>
      <c r="AW2246" s="115"/>
      <c r="AX2246" s="106"/>
      <c r="AY2246" s="104"/>
      <c r="AZ2246" s="105"/>
    </row>
    <row r="2247" customHeight="1" spans="1:52">
      <c r="A2247" s="70">
        <v>2264</v>
      </c>
      <c r="B2247" s="108" t="s">
        <v>281</v>
      </c>
      <c r="C2247" s="70" t="s">
        <v>264</v>
      </c>
      <c r="D2247" s="108" t="s">
        <v>2512</v>
      </c>
      <c r="E2247" s="71" t="s">
        <v>2513</v>
      </c>
      <c r="F2247" s="72"/>
      <c r="G2247" s="73"/>
      <c r="H2247" s="75"/>
      <c r="I2247" s="102">
        <v>46288</v>
      </c>
      <c r="J2247" s="70" t="s">
        <v>767</v>
      </c>
      <c r="K2247" s="106"/>
      <c r="L2247" s="104" t="e">
        <f t="shared" si="547"/>
        <v>#VALUE!</v>
      </c>
      <c r="M2247" s="105" t="e">
        <f ca="1" t="shared" si="548"/>
        <v>#VALUE!</v>
      </c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6"/>
      <c r="Z2247" s="133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5"/>
      <c r="AO2247" s="115"/>
      <c r="AP2247" s="115"/>
      <c r="AQ2247" s="93"/>
      <c r="AR2247" s="93"/>
      <c r="AS2247" s="94"/>
      <c r="AT2247" s="95"/>
      <c r="AU2247" s="79"/>
      <c r="AV2247" s="117"/>
      <c r="AW2247" s="115"/>
      <c r="AX2247" s="106"/>
      <c r="AY2247" s="104"/>
      <c r="AZ2247" s="105"/>
    </row>
    <row r="2248" customHeight="1" spans="1:52">
      <c r="A2248" s="70">
        <v>2265</v>
      </c>
      <c r="B2248" s="108" t="s">
        <v>281</v>
      </c>
      <c r="C2248" s="70" t="s">
        <v>264</v>
      </c>
      <c r="D2248" s="108" t="s">
        <v>2518</v>
      </c>
      <c r="E2248" s="71" t="s">
        <v>5218</v>
      </c>
      <c r="F2248" s="72"/>
      <c r="G2248" s="73"/>
      <c r="H2248" s="75"/>
      <c r="I2248" s="102">
        <v>46288</v>
      </c>
      <c r="J2248" s="70" t="s">
        <v>767</v>
      </c>
      <c r="K2248" s="106"/>
      <c r="L2248" s="104" t="e">
        <f t="shared" si="547"/>
        <v>#VALUE!</v>
      </c>
      <c r="M2248" s="105" t="e">
        <f ca="1" t="shared" si="548"/>
        <v>#VALUE!</v>
      </c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6"/>
      <c r="Z2248" s="133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5"/>
      <c r="AO2248" s="115"/>
      <c r="AP2248" s="115"/>
      <c r="AQ2248" s="93"/>
      <c r="AR2248" s="93"/>
      <c r="AS2248" s="94"/>
      <c r="AT2248" s="95"/>
      <c r="AU2248" s="79"/>
      <c r="AV2248" s="117"/>
      <c r="AW2248" s="115"/>
      <c r="AX2248" s="106"/>
      <c r="AY2248" s="104"/>
      <c r="AZ2248" s="105"/>
    </row>
    <row r="2249" customHeight="1" spans="1:52">
      <c r="A2249" s="70">
        <v>2266</v>
      </c>
      <c r="B2249" s="108" t="s">
        <v>281</v>
      </c>
      <c r="C2249" s="70" t="s">
        <v>264</v>
      </c>
      <c r="D2249" s="108" t="s">
        <v>2508</v>
      </c>
      <c r="E2249" s="71" t="s">
        <v>2509</v>
      </c>
      <c r="F2249" s="72"/>
      <c r="G2249" s="73"/>
      <c r="H2249" s="75"/>
      <c r="I2249" s="102">
        <v>46288</v>
      </c>
      <c r="J2249" s="70" t="s">
        <v>767</v>
      </c>
      <c r="K2249" s="106"/>
      <c r="L2249" s="104" t="e">
        <f t="shared" ref="L2249:L2255" si="549">EDATE(I2249,J2249)</f>
        <v>#VALUE!</v>
      </c>
      <c r="M2249" s="105" t="e">
        <f ca="1" t="shared" ref="M2249:M2255" si="550">L2249-TODAY()</f>
        <v>#VALUE!</v>
      </c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6"/>
      <c r="Z2249" s="133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5"/>
      <c r="AO2249" s="115"/>
      <c r="AP2249" s="115"/>
      <c r="AQ2249" s="93"/>
      <c r="AR2249" s="93"/>
      <c r="AS2249" s="94"/>
      <c r="AT2249" s="95"/>
      <c r="AU2249" s="79"/>
      <c r="AV2249" s="117"/>
      <c r="AW2249" s="115"/>
      <c r="AX2249" s="106"/>
      <c r="AY2249" s="104"/>
      <c r="AZ2249" s="105"/>
    </row>
    <row r="2250" customHeight="1" spans="1:52">
      <c r="A2250" s="70">
        <v>2267</v>
      </c>
      <c r="B2250" s="108" t="s">
        <v>281</v>
      </c>
      <c r="C2250" s="70" t="s">
        <v>264</v>
      </c>
      <c r="D2250" s="108" t="s">
        <v>5527</v>
      </c>
      <c r="E2250" s="71" t="s">
        <v>364</v>
      </c>
      <c r="F2250" s="72"/>
      <c r="G2250" s="73"/>
      <c r="H2250" s="75"/>
      <c r="I2250" s="102">
        <v>46289</v>
      </c>
      <c r="J2250" s="70">
        <v>3</v>
      </c>
      <c r="K2250" s="106" t="s">
        <v>5528</v>
      </c>
      <c r="L2250" s="104">
        <f t="shared" si="549"/>
        <v>46380</v>
      </c>
      <c r="M2250" s="105">
        <f ca="1" t="shared" si="550"/>
        <v>67</v>
      </c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6"/>
      <c r="Z2250" s="133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5"/>
      <c r="AO2250" s="115"/>
      <c r="AP2250" s="115"/>
      <c r="AQ2250" s="93"/>
      <c r="AR2250" s="93"/>
      <c r="AS2250" s="94"/>
      <c r="AT2250" s="95"/>
      <c r="AU2250" s="79"/>
      <c r="AV2250" s="117"/>
      <c r="AW2250" s="115"/>
      <c r="AX2250" s="106"/>
      <c r="AY2250" s="104"/>
      <c r="AZ2250" s="105"/>
    </row>
    <row r="2251" customHeight="1" spans="1:52">
      <c r="A2251" s="70">
        <v>2268</v>
      </c>
      <c r="B2251" s="70" t="s">
        <v>4124</v>
      </c>
      <c r="C2251" s="70" t="s">
        <v>13</v>
      </c>
      <c r="D2251" s="71" t="s">
        <v>93</v>
      </c>
      <c r="E2251" s="71" t="s">
        <v>1003</v>
      </c>
      <c r="F2251" s="72"/>
      <c r="G2251" s="73"/>
      <c r="H2251" s="75"/>
      <c r="I2251" s="102">
        <v>46289</v>
      </c>
      <c r="J2251" s="70" t="s">
        <v>767</v>
      </c>
      <c r="K2251" s="106"/>
      <c r="L2251" s="104" t="e">
        <f t="shared" si="549"/>
        <v>#VALUE!</v>
      </c>
      <c r="M2251" s="105" t="e">
        <f ca="1" t="shared" si="550"/>
        <v>#VALUE!</v>
      </c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6"/>
      <c r="Z2251" s="133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5"/>
      <c r="AO2251" s="115"/>
      <c r="AP2251" s="115"/>
      <c r="AQ2251" s="93"/>
      <c r="AR2251" s="93"/>
      <c r="AS2251" s="94"/>
      <c r="AT2251" s="95"/>
      <c r="AU2251" s="79"/>
      <c r="AV2251" s="117"/>
      <c r="AW2251" s="115"/>
      <c r="AX2251" s="106"/>
      <c r="AY2251" s="104"/>
      <c r="AZ2251" s="105"/>
    </row>
    <row r="2252" customHeight="1" spans="1:52">
      <c r="A2252" s="70">
        <v>2269</v>
      </c>
      <c r="B2252" s="108" t="s">
        <v>263</v>
      </c>
      <c r="C2252" s="70" t="s">
        <v>264</v>
      </c>
      <c r="D2252" s="108" t="s">
        <v>1922</v>
      </c>
      <c r="E2252" s="71" t="s">
        <v>753</v>
      </c>
      <c r="F2252" s="72"/>
      <c r="G2252" s="73"/>
      <c r="H2252" s="75"/>
      <c r="I2252" s="102">
        <v>46289</v>
      </c>
      <c r="J2252" s="70" t="s">
        <v>767</v>
      </c>
      <c r="K2252" s="106"/>
      <c r="L2252" s="104" t="e">
        <f t="shared" si="549"/>
        <v>#VALUE!</v>
      </c>
      <c r="M2252" s="105" t="e">
        <f ca="1" t="shared" si="550"/>
        <v>#VALUE!</v>
      </c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6"/>
      <c r="Z2252" s="133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5"/>
      <c r="AO2252" s="115"/>
      <c r="AP2252" s="115"/>
      <c r="AQ2252" s="93"/>
      <c r="AR2252" s="93"/>
      <c r="AS2252" s="94"/>
      <c r="AT2252" s="95"/>
      <c r="AU2252" s="79"/>
      <c r="AV2252" s="117"/>
      <c r="AW2252" s="115"/>
      <c r="AX2252" s="106"/>
      <c r="AY2252" s="104"/>
      <c r="AZ2252" s="105"/>
    </row>
    <row r="2253" customHeight="1" spans="1:52">
      <c r="A2253" s="70">
        <v>2270</v>
      </c>
      <c r="B2253" s="108" t="s">
        <v>263</v>
      </c>
      <c r="C2253" s="70" t="s">
        <v>264</v>
      </c>
      <c r="D2253" s="108" t="s">
        <v>265</v>
      </c>
      <c r="E2253" s="71" t="s">
        <v>753</v>
      </c>
      <c r="F2253" s="72"/>
      <c r="G2253" s="73"/>
      <c r="H2253" s="75"/>
      <c r="I2253" s="102">
        <v>46289</v>
      </c>
      <c r="J2253" s="70" t="s">
        <v>767</v>
      </c>
      <c r="K2253" s="106"/>
      <c r="L2253" s="104" t="e">
        <f t="shared" si="549"/>
        <v>#VALUE!</v>
      </c>
      <c r="M2253" s="105" t="e">
        <f ca="1" t="shared" si="550"/>
        <v>#VALUE!</v>
      </c>
      <c r="N2253" s="70"/>
      <c r="O2253" s="70"/>
      <c r="P2253" s="70"/>
      <c r="Q2253" s="71"/>
      <c r="R2253" s="71"/>
      <c r="S2253" s="72"/>
      <c r="T2253" s="73"/>
      <c r="U2253" s="79"/>
      <c r="V2253" s="102"/>
      <c r="W2253" s="70"/>
      <c r="X2253" s="103"/>
      <c r="Y2253" s="226"/>
      <c r="Z2253" s="133"/>
      <c r="AA2253" s="70"/>
      <c r="AB2253" s="70"/>
      <c r="AC2253" s="70"/>
      <c r="AD2253" s="71"/>
      <c r="AE2253" s="71"/>
      <c r="AF2253" s="72"/>
      <c r="AG2253" s="73"/>
      <c r="AH2253" s="79"/>
      <c r="AI2253" s="102"/>
      <c r="AJ2253" s="70"/>
      <c r="AK2253" s="103"/>
      <c r="AL2253" s="104"/>
      <c r="AM2253" s="105"/>
      <c r="AN2253" s="115"/>
      <c r="AO2253" s="115"/>
      <c r="AP2253" s="115"/>
      <c r="AQ2253" s="93"/>
      <c r="AR2253" s="93"/>
      <c r="AS2253" s="94"/>
      <c r="AT2253" s="95"/>
      <c r="AU2253" s="79"/>
      <c r="AV2253" s="117"/>
      <c r="AW2253" s="115"/>
      <c r="AX2253" s="106"/>
      <c r="AY2253" s="104"/>
      <c r="AZ2253" s="105"/>
    </row>
    <row r="2254" customHeight="1" spans="1:52">
      <c r="A2254" s="70">
        <v>2271</v>
      </c>
      <c r="B2254" s="108" t="s">
        <v>366</v>
      </c>
      <c r="C2254" s="70" t="s">
        <v>264</v>
      </c>
      <c r="D2254" s="108" t="s">
        <v>367</v>
      </c>
      <c r="E2254" s="71" t="s">
        <v>4334</v>
      </c>
      <c r="F2254" s="72"/>
      <c r="G2254" s="73"/>
      <c r="H2254" s="75"/>
      <c r="I2254" s="102">
        <v>46289</v>
      </c>
      <c r="J2254" s="70" t="s">
        <v>767</v>
      </c>
      <c r="K2254" s="106"/>
      <c r="L2254" s="104" t="e">
        <f t="shared" si="549"/>
        <v>#VALUE!</v>
      </c>
      <c r="M2254" s="105" t="e">
        <f ca="1" t="shared" si="550"/>
        <v>#VALUE!</v>
      </c>
      <c r="N2254" s="70"/>
      <c r="O2254" s="70"/>
      <c r="P2254" s="70"/>
      <c r="Q2254" s="71"/>
      <c r="R2254" s="71"/>
      <c r="S2254" s="72"/>
      <c r="T2254" s="73"/>
      <c r="U2254" s="79"/>
      <c r="V2254" s="102"/>
      <c r="W2254" s="70"/>
      <c r="X2254" s="103"/>
      <c r="Y2254" s="226"/>
      <c r="Z2254" s="133"/>
      <c r="AA2254" s="70"/>
      <c r="AB2254" s="70"/>
      <c r="AC2254" s="70"/>
      <c r="AD2254" s="71"/>
      <c r="AE2254" s="71"/>
      <c r="AF2254" s="72"/>
      <c r="AG2254" s="73"/>
      <c r="AH2254" s="79"/>
      <c r="AI2254" s="102"/>
      <c r="AJ2254" s="70"/>
      <c r="AK2254" s="103"/>
      <c r="AL2254" s="104"/>
      <c r="AM2254" s="105"/>
      <c r="AN2254" s="115"/>
      <c r="AO2254" s="115"/>
      <c r="AP2254" s="115"/>
      <c r="AQ2254" s="93"/>
      <c r="AR2254" s="93"/>
      <c r="AS2254" s="94"/>
      <c r="AT2254" s="95"/>
      <c r="AU2254" s="79"/>
      <c r="AV2254" s="117"/>
      <c r="AW2254" s="115"/>
      <c r="AX2254" s="106"/>
      <c r="AY2254" s="104"/>
      <c r="AZ2254" s="105"/>
    </row>
    <row r="2255" customHeight="1" spans="1:52">
      <c r="A2255" s="70">
        <v>2272</v>
      </c>
      <c r="B2255" s="70" t="s">
        <v>886</v>
      </c>
      <c r="C2255" s="70" t="s">
        <v>374</v>
      </c>
      <c r="D2255" s="71" t="s">
        <v>5529</v>
      </c>
      <c r="E2255" s="71" t="s">
        <v>568</v>
      </c>
      <c r="F2255" s="72"/>
      <c r="G2255" s="73"/>
      <c r="H2255" s="74" t="s">
        <v>16</v>
      </c>
      <c r="I2255" s="102">
        <v>46291</v>
      </c>
      <c r="J2255" s="70">
        <v>3</v>
      </c>
      <c r="K2255" s="106" t="s">
        <v>5530</v>
      </c>
      <c r="L2255" s="104">
        <f t="shared" si="549"/>
        <v>46382</v>
      </c>
      <c r="M2255" s="105">
        <f ca="1" t="shared" si="550"/>
        <v>69</v>
      </c>
      <c r="N2255" s="70"/>
      <c r="O2255" s="70"/>
      <c r="P2255" s="70"/>
      <c r="Q2255" s="71"/>
      <c r="R2255" s="71"/>
      <c r="S2255" s="72"/>
      <c r="T2255" s="73"/>
      <c r="U2255" s="79"/>
      <c r="V2255" s="102"/>
      <c r="W2255" s="70"/>
      <c r="X2255" s="103"/>
      <c r="Y2255" s="226"/>
      <c r="Z2255" s="133"/>
      <c r="AA2255" s="70"/>
      <c r="AB2255" s="70"/>
      <c r="AC2255" s="70"/>
      <c r="AD2255" s="71"/>
      <c r="AE2255" s="71"/>
      <c r="AF2255" s="72"/>
      <c r="AG2255" s="73"/>
      <c r="AH2255" s="79"/>
      <c r="AI2255" s="102"/>
      <c r="AJ2255" s="70"/>
      <c r="AK2255" s="103"/>
      <c r="AL2255" s="104"/>
      <c r="AM2255" s="105"/>
      <c r="AN2255" s="115"/>
      <c r="AO2255" s="115"/>
      <c r="AP2255" s="115"/>
      <c r="AQ2255" s="93"/>
      <c r="AR2255" s="93"/>
      <c r="AS2255" s="94"/>
      <c r="AT2255" s="95"/>
      <c r="AU2255" s="79"/>
      <c r="AV2255" s="117"/>
      <c r="AW2255" s="115"/>
      <c r="AX2255" s="106"/>
      <c r="AY2255" s="104"/>
      <c r="AZ2255" s="105"/>
    </row>
    <row r="2256" customHeight="1" spans="1:52">
      <c r="A2256" s="70">
        <v>2273</v>
      </c>
      <c r="B2256" s="70" t="s">
        <v>844</v>
      </c>
      <c r="C2256" s="70" t="s">
        <v>13</v>
      </c>
      <c r="D2256" s="71" t="s">
        <v>5531</v>
      </c>
      <c r="E2256" s="71" t="s">
        <v>189</v>
      </c>
      <c r="F2256" s="72"/>
      <c r="G2256" s="73"/>
      <c r="H2256" s="74" t="s">
        <v>16</v>
      </c>
      <c r="I2256" s="102">
        <v>46291</v>
      </c>
      <c r="J2256" s="70">
        <v>3</v>
      </c>
      <c r="K2256" s="106" t="s">
        <v>5532</v>
      </c>
      <c r="L2256" s="104">
        <f t="shared" ref="L2256:L2266" si="551">EDATE(I2256,J2256)</f>
        <v>46382</v>
      </c>
      <c r="M2256" s="105">
        <f ca="1" t="shared" ref="M2256:M2266" si="552">L2256-TODAY()</f>
        <v>69</v>
      </c>
      <c r="N2256" s="70"/>
      <c r="O2256" s="70"/>
      <c r="P2256" s="70"/>
      <c r="Q2256" s="71"/>
      <c r="R2256" s="71"/>
      <c r="S2256" s="72"/>
      <c r="T2256" s="73"/>
      <c r="U2256" s="79"/>
      <c r="V2256" s="102"/>
      <c r="W2256" s="70"/>
      <c r="X2256" s="103"/>
      <c r="Y2256" s="226"/>
      <c r="Z2256" s="133"/>
      <c r="AA2256" s="70"/>
      <c r="AB2256" s="70"/>
      <c r="AC2256" s="70"/>
      <c r="AD2256" s="71"/>
      <c r="AE2256" s="71"/>
      <c r="AF2256" s="72"/>
      <c r="AG2256" s="73"/>
      <c r="AH2256" s="79"/>
      <c r="AI2256" s="102"/>
      <c r="AJ2256" s="70"/>
      <c r="AK2256" s="103"/>
      <c r="AL2256" s="104"/>
      <c r="AM2256" s="105"/>
      <c r="AN2256" s="115"/>
      <c r="AO2256" s="115"/>
      <c r="AP2256" s="115"/>
      <c r="AQ2256" s="93"/>
      <c r="AR2256" s="93"/>
      <c r="AS2256" s="94"/>
      <c r="AT2256" s="95"/>
      <c r="AU2256" s="79"/>
      <c r="AV2256" s="117"/>
      <c r="AW2256" s="115"/>
      <c r="AX2256" s="106"/>
      <c r="AY2256" s="104"/>
      <c r="AZ2256" s="105"/>
    </row>
    <row r="2257" customHeight="1" spans="1:52">
      <c r="A2257" s="70">
        <v>2274</v>
      </c>
      <c r="B2257" s="70" t="s">
        <v>4124</v>
      </c>
      <c r="C2257" s="70" t="s">
        <v>13</v>
      </c>
      <c r="D2257" s="71" t="s">
        <v>93</v>
      </c>
      <c r="E2257" s="71" t="s">
        <v>1003</v>
      </c>
      <c r="F2257" s="72"/>
      <c r="G2257" s="73"/>
      <c r="H2257" s="75"/>
      <c r="I2257" s="102">
        <v>46291</v>
      </c>
      <c r="J2257" s="70" t="s">
        <v>767</v>
      </c>
      <c r="K2257" s="106"/>
      <c r="L2257" s="104" t="e">
        <f t="shared" si="551"/>
        <v>#VALUE!</v>
      </c>
      <c r="M2257" s="105" t="e">
        <f ca="1" t="shared" si="552"/>
        <v>#VALUE!</v>
      </c>
      <c r="N2257" s="70"/>
      <c r="O2257" s="70"/>
      <c r="P2257" s="70"/>
      <c r="Q2257" s="71"/>
      <c r="R2257" s="71"/>
      <c r="S2257" s="72"/>
      <c r="T2257" s="73"/>
      <c r="U2257" s="79"/>
      <c r="V2257" s="102"/>
      <c r="W2257" s="70"/>
      <c r="X2257" s="103"/>
      <c r="Y2257" s="226"/>
      <c r="Z2257" s="133"/>
      <c r="AA2257" s="70"/>
      <c r="AB2257" s="70"/>
      <c r="AC2257" s="70"/>
      <c r="AD2257" s="71"/>
      <c r="AE2257" s="71"/>
      <c r="AF2257" s="72"/>
      <c r="AG2257" s="73"/>
      <c r="AH2257" s="79"/>
      <c r="AI2257" s="102"/>
      <c r="AJ2257" s="70"/>
      <c r="AK2257" s="103"/>
      <c r="AL2257" s="104"/>
      <c r="AM2257" s="105"/>
      <c r="AN2257" s="115"/>
      <c r="AO2257" s="115"/>
      <c r="AP2257" s="115"/>
      <c r="AQ2257" s="93"/>
      <c r="AR2257" s="93"/>
      <c r="AS2257" s="94"/>
      <c r="AT2257" s="95"/>
      <c r="AU2257" s="79"/>
      <c r="AV2257" s="117"/>
      <c r="AW2257" s="115"/>
      <c r="AX2257" s="106"/>
      <c r="AY2257" s="104"/>
      <c r="AZ2257" s="105"/>
    </row>
    <row r="2258" customHeight="1" spans="1:52">
      <c r="A2258" s="70">
        <v>2275</v>
      </c>
      <c r="B2258" s="108" t="s">
        <v>281</v>
      </c>
      <c r="C2258" s="70" t="s">
        <v>264</v>
      </c>
      <c r="D2258" s="71" t="s">
        <v>287</v>
      </c>
      <c r="E2258" s="71" t="s">
        <v>2516</v>
      </c>
      <c r="F2258" s="72"/>
      <c r="G2258" s="73"/>
      <c r="H2258" s="75"/>
      <c r="I2258" s="102">
        <v>46291</v>
      </c>
      <c r="J2258" s="70" t="s">
        <v>767</v>
      </c>
      <c r="K2258" s="106"/>
      <c r="L2258" s="104" t="e">
        <f t="shared" si="551"/>
        <v>#VALUE!</v>
      </c>
      <c r="M2258" s="105" t="e">
        <f ca="1" t="shared" si="552"/>
        <v>#VALUE!</v>
      </c>
      <c r="N2258" s="70"/>
      <c r="O2258" s="70"/>
      <c r="P2258" s="70"/>
      <c r="Q2258" s="71"/>
      <c r="R2258" s="71"/>
      <c r="S2258" s="72"/>
      <c r="T2258" s="73"/>
      <c r="U2258" s="79"/>
      <c r="V2258" s="102"/>
      <c r="W2258" s="70"/>
      <c r="X2258" s="103"/>
      <c r="Y2258" s="226"/>
      <c r="Z2258" s="133"/>
      <c r="AA2258" s="70"/>
      <c r="AB2258" s="70"/>
      <c r="AC2258" s="70"/>
      <c r="AD2258" s="71"/>
      <c r="AE2258" s="71"/>
      <c r="AF2258" s="72"/>
      <c r="AG2258" s="73"/>
      <c r="AH2258" s="79"/>
      <c r="AI2258" s="102"/>
      <c r="AJ2258" s="70"/>
      <c r="AK2258" s="103"/>
      <c r="AL2258" s="104"/>
      <c r="AM2258" s="105"/>
      <c r="AN2258" s="115"/>
      <c r="AO2258" s="115"/>
      <c r="AP2258" s="115"/>
      <c r="AQ2258" s="93"/>
      <c r="AR2258" s="93"/>
      <c r="AS2258" s="94"/>
      <c r="AT2258" s="95"/>
      <c r="AU2258" s="79"/>
      <c r="AV2258" s="117"/>
      <c r="AW2258" s="115"/>
      <c r="AX2258" s="106"/>
      <c r="AY2258" s="104"/>
      <c r="AZ2258" s="105"/>
    </row>
    <row r="2259" customHeight="1" spans="1:52">
      <c r="A2259" s="70">
        <v>2276</v>
      </c>
      <c r="B2259" s="70" t="s">
        <v>134</v>
      </c>
      <c r="C2259" s="70" t="s">
        <v>38</v>
      </c>
      <c r="D2259" s="71" t="s">
        <v>5533</v>
      </c>
      <c r="E2259" s="71" t="s">
        <v>51</v>
      </c>
      <c r="F2259" s="72"/>
      <c r="G2259" s="73"/>
      <c r="H2259" s="74" t="s">
        <v>16</v>
      </c>
      <c r="I2259" s="102">
        <v>46292</v>
      </c>
      <c r="J2259" s="70">
        <v>3</v>
      </c>
      <c r="K2259" s="106" t="s">
        <v>5534</v>
      </c>
      <c r="L2259" s="104">
        <f t="shared" si="551"/>
        <v>46383</v>
      </c>
      <c r="M2259" s="105">
        <f ca="1" t="shared" si="552"/>
        <v>70</v>
      </c>
      <c r="N2259" s="70"/>
      <c r="O2259" s="70"/>
      <c r="P2259" s="70"/>
      <c r="Q2259" s="71"/>
      <c r="R2259" s="71"/>
      <c r="S2259" s="72"/>
      <c r="T2259" s="73"/>
      <c r="U2259" s="79"/>
      <c r="V2259" s="102"/>
      <c r="W2259" s="70"/>
      <c r="X2259" s="103"/>
      <c r="Y2259" s="226"/>
      <c r="Z2259" s="133"/>
      <c r="AA2259" s="70"/>
      <c r="AB2259" s="70"/>
      <c r="AC2259" s="70"/>
      <c r="AD2259" s="71"/>
      <c r="AE2259" s="71"/>
      <c r="AF2259" s="72"/>
      <c r="AG2259" s="73"/>
      <c r="AH2259" s="79"/>
      <c r="AI2259" s="102"/>
      <c r="AJ2259" s="70"/>
      <c r="AK2259" s="103"/>
      <c r="AL2259" s="104"/>
      <c r="AM2259" s="105"/>
      <c r="AN2259" s="115"/>
      <c r="AO2259" s="115"/>
      <c r="AP2259" s="115"/>
      <c r="AQ2259" s="93"/>
      <c r="AR2259" s="93"/>
      <c r="AS2259" s="94"/>
      <c r="AT2259" s="95"/>
      <c r="AU2259" s="79"/>
      <c r="AV2259" s="117"/>
      <c r="AW2259" s="115"/>
      <c r="AX2259" s="106"/>
      <c r="AY2259" s="104"/>
      <c r="AZ2259" s="105"/>
    </row>
    <row r="2260" customHeight="1" spans="1:52">
      <c r="A2260" s="70">
        <v>2277</v>
      </c>
      <c r="B2260" s="70" t="s">
        <v>12</v>
      </c>
      <c r="C2260" s="70" t="s">
        <v>13</v>
      </c>
      <c r="D2260" s="71" t="s">
        <v>5535</v>
      </c>
      <c r="E2260" s="71" t="s">
        <v>45</v>
      </c>
      <c r="F2260" s="72"/>
      <c r="G2260" s="73"/>
      <c r="H2260" s="74" t="s">
        <v>16</v>
      </c>
      <c r="I2260" s="102">
        <v>46293</v>
      </c>
      <c r="J2260" s="70">
        <v>3</v>
      </c>
      <c r="K2260" s="106" t="s">
        <v>5536</v>
      </c>
      <c r="L2260" s="104">
        <f t="shared" si="551"/>
        <v>46384</v>
      </c>
      <c r="M2260" s="105">
        <f ca="1" t="shared" si="552"/>
        <v>71</v>
      </c>
      <c r="N2260" s="70"/>
      <c r="O2260" s="70"/>
      <c r="P2260" s="70"/>
      <c r="Q2260" s="71"/>
      <c r="R2260" s="71"/>
      <c r="S2260" s="72"/>
      <c r="T2260" s="73"/>
      <c r="U2260" s="79"/>
      <c r="V2260" s="102"/>
      <c r="W2260" s="70"/>
      <c r="X2260" s="103"/>
      <c r="Y2260" s="226"/>
      <c r="Z2260" s="133"/>
      <c r="AA2260" s="70"/>
      <c r="AB2260" s="70"/>
      <c r="AC2260" s="70"/>
      <c r="AD2260" s="71"/>
      <c r="AE2260" s="71"/>
      <c r="AF2260" s="72"/>
      <c r="AG2260" s="73"/>
      <c r="AH2260" s="79"/>
      <c r="AI2260" s="102"/>
      <c r="AJ2260" s="70"/>
      <c r="AK2260" s="103"/>
      <c r="AL2260" s="104"/>
      <c r="AM2260" s="105"/>
      <c r="AN2260" s="115"/>
      <c r="AO2260" s="115"/>
      <c r="AP2260" s="115"/>
      <c r="AQ2260" s="93"/>
      <c r="AR2260" s="93"/>
      <c r="AS2260" s="94"/>
      <c r="AT2260" s="95"/>
      <c r="AU2260" s="79"/>
      <c r="AV2260" s="117"/>
      <c r="AW2260" s="115"/>
      <c r="AX2260" s="106"/>
      <c r="AY2260" s="104"/>
      <c r="AZ2260" s="105"/>
    </row>
    <row r="2261" customHeight="1" spans="1:52">
      <c r="A2261" s="70">
        <v>2278</v>
      </c>
      <c r="B2261" s="70" t="s">
        <v>2447</v>
      </c>
      <c r="C2261" s="70" t="s">
        <v>5537</v>
      </c>
      <c r="D2261" s="71" t="s">
        <v>5538</v>
      </c>
      <c r="E2261" s="71" t="s">
        <v>2122</v>
      </c>
      <c r="F2261" s="72"/>
      <c r="G2261" s="73"/>
      <c r="H2261" s="74" t="s">
        <v>16</v>
      </c>
      <c r="I2261" s="102">
        <v>46293</v>
      </c>
      <c r="J2261" s="70">
        <v>3</v>
      </c>
      <c r="K2261" s="106" t="s">
        <v>5539</v>
      </c>
      <c r="L2261" s="104">
        <f t="shared" si="551"/>
        <v>46384</v>
      </c>
      <c r="M2261" s="105">
        <f ca="1" t="shared" si="552"/>
        <v>71</v>
      </c>
      <c r="N2261" s="70"/>
      <c r="O2261" s="70"/>
      <c r="P2261" s="70"/>
      <c r="Q2261" s="71"/>
      <c r="R2261" s="71"/>
      <c r="S2261" s="72"/>
      <c r="T2261" s="73"/>
      <c r="U2261" s="79"/>
      <c r="V2261" s="102"/>
      <c r="W2261" s="70"/>
      <c r="X2261" s="103"/>
      <c r="Y2261" s="226"/>
      <c r="Z2261" s="133"/>
      <c r="AA2261" s="70"/>
      <c r="AB2261" s="70"/>
      <c r="AC2261" s="70"/>
      <c r="AD2261" s="71"/>
      <c r="AE2261" s="71"/>
      <c r="AF2261" s="72"/>
      <c r="AG2261" s="73"/>
      <c r="AH2261" s="79"/>
      <c r="AI2261" s="102"/>
      <c r="AJ2261" s="70"/>
      <c r="AK2261" s="103"/>
      <c r="AL2261" s="104"/>
      <c r="AM2261" s="105"/>
      <c r="AN2261" s="115"/>
      <c r="AO2261" s="115"/>
      <c r="AP2261" s="115"/>
      <c r="AQ2261" s="93"/>
      <c r="AR2261" s="93"/>
      <c r="AS2261" s="94"/>
      <c r="AT2261" s="95"/>
      <c r="AU2261" s="79"/>
      <c r="AV2261" s="117"/>
      <c r="AW2261" s="115"/>
      <c r="AX2261" s="106"/>
      <c r="AY2261" s="104"/>
      <c r="AZ2261" s="105"/>
    </row>
    <row r="2262" customHeight="1" spans="1:52">
      <c r="A2262" s="70">
        <v>2279</v>
      </c>
      <c r="B2262" s="70" t="s">
        <v>1944</v>
      </c>
      <c r="C2262" s="70" t="s">
        <v>374</v>
      </c>
      <c r="D2262" s="71" t="s">
        <v>5540</v>
      </c>
      <c r="E2262" s="71" t="s">
        <v>1684</v>
      </c>
      <c r="F2262" s="72"/>
      <c r="G2262" s="73"/>
      <c r="H2262" s="75"/>
      <c r="I2262" s="102">
        <v>46293</v>
      </c>
      <c r="J2262" s="70">
        <v>3</v>
      </c>
      <c r="K2262" s="106" t="s">
        <v>5541</v>
      </c>
      <c r="L2262" s="104">
        <f t="shared" si="551"/>
        <v>46384</v>
      </c>
      <c r="M2262" s="105">
        <f ca="1" t="shared" si="552"/>
        <v>71</v>
      </c>
      <c r="N2262" s="70"/>
      <c r="O2262" s="70"/>
      <c r="P2262" s="70"/>
      <c r="Q2262" s="71"/>
      <c r="R2262" s="71"/>
      <c r="S2262" s="72"/>
      <c r="T2262" s="73"/>
      <c r="U2262" s="79"/>
      <c r="V2262" s="102"/>
      <c r="W2262" s="70"/>
      <c r="X2262" s="103"/>
      <c r="Y2262" s="226"/>
      <c r="Z2262" s="133"/>
      <c r="AA2262" s="70"/>
      <c r="AB2262" s="70"/>
      <c r="AC2262" s="70"/>
      <c r="AD2262" s="71"/>
      <c r="AE2262" s="71"/>
      <c r="AF2262" s="72"/>
      <c r="AG2262" s="73"/>
      <c r="AH2262" s="79"/>
      <c r="AI2262" s="102"/>
      <c r="AJ2262" s="70"/>
      <c r="AK2262" s="103"/>
      <c r="AL2262" s="104"/>
      <c r="AM2262" s="105"/>
      <c r="AN2262" s="115"/>
      <c r="AO2262" s="115"/>
      <c r="AP2262" s="115"/>
      <c r="AQ2262" s="93"/>
      <c r="AR2262" s="93"/>
      <c r="AS2262" s="94"/>
      <c r="AT2262" s="95"/>
      <c r="AU2262" s="79"/>
      <c r="AV2262" s="117"/>
      <c r="AW2262" s="115"/>
      <c r="AX2262" s="106"/>
      <c r="AY2262" s="104"/>
      <c r="AZ2262" s="105"/>
    </row>
    <row r="2263" customHeight="1" spans="1:52">
      <c r="A2263" s="70">
        <v>2280</v>
      </c>
      <c r="B2263" s="70" t="s">
        <v>4124</v>
      </c>
      <c r="C2263" s="70" t="s">
        <v>13</v>
      </c>
      <c r="D2263" s="71" t="s">
        <v>93</v>
      </c>
      <c r="E2263" s="71" t="s">
        <v>1003</v>
      </c>
      <c r="F2263" s="72"/>
      <c r="G2263" s="73"/>
      <c r="H2263" s="75"/>
      <c r="I2263" s="102">
        <v>46293</v>
      </c>
      <c r="J2263" s="70" t="s">
        <v>767</v>
      </c>
      <c r="K2263" s="106"/>
      <c r="L2263" s="104" t="e">
        <f t="shared" si="551"/>
        <v>#VALUE!</v>
      </c>
      <c r="M2263" s="105" t="e">
        <f ca="1" t="shared" si="552"/>
        <v>#VALUE!</v>
      </c>
      <c r="N2263" s="70"/>
      <c r="O2263" s="70"/>
      <c r="P2263" s="70"/>
      <c r="Q2263" s="71"/>
      <c r="R2263" s="71"/>
      <c r="S2263" s="72"/>
      <c r="T2263" s="73"/>
      <c r="U2263" s="79"/>
      <c r="V2263" s="102"/>
      <c r="W2263" s="70"/>
      <c r="X2263" s="103"/>
      <c r="Y2263" s="226"/>
      <c r="Z2263" s="133"/>
      <c r="AA2263" s="70"/>
      <c r="AB2263" s="70"/>
      <c r="AC2263" s="70"/>
      <c r="AD2263" s="71"/>
      <c r="AE2263" s="71"/>
      <c r="AF2263" s="72"/>
      <c r="AG2263" s="73"/>
      <c r="AH2263" s="79"/>
      <c r="AI2263" s="102"/>
      <c r="AJ2263" s="70"/>
      <c r="AK2263" s="103"/>
      <c r="AL2263" s="104"/>
      <c r="AM2263" s="105"/>
      <c r="AN2263" s="115"/>
      <c r="AO2263" s="115"/>
      <c r="AP2263" s="115"/>
      <c r="AQ2263" s="93"/>
      <c r="AR2263" s="93"/>
      <c r="AS2263" s="94"/>
      <c r="AT2263" s="95"/>
      <c r="AU2263" s="79"/>
      <c r="AV2263" s="117"/>
      <c r="AW2263" s="115"/>
      <c r="AX2263" s="106"/>
      <c r="AY2263" s="104"/>
      <c r="AZ2263" s="105"/>
    </row>
    <row r="2264" customHeight="1" spans="1:52">
      <c r="A2264" s="70">
        <v>2281</v>
      </c>
      <c r="B2264" s="70" t="s">
        <v>570</v>
      </c>
      <c r="C2264" s="70" t="s">
        <v>13</v>
      </c>
      <c r="D2264" s="71" t="s">
        <v>5542</v>
      </c>
      <c r="E2264" s="71" t="s">
        <v>45</v>
      </c>
      <c r="F2264" s="72"/>
      <c r="G2264" s="73"/>
      <c r="H2264" s="74" t="s">
        <v>16</v>
      </c>
      <c r="I2264" s="102">
        <v>46294</v>
      </c>
      <c r="J2264" s="70">
        <v>3</v>
      </c>
      <c r="K2264" s="106" t="s">
        <v>5543</v>
      </c>
      <c r="L2264" s="104">
        <f t="shared" si="551"/>
        <v>46385</v>
      </c>
      <c r="M2264" s="105">
        <f ca="1" t="shared" si="552"/>
        <v>72</v>
      </c>
      <c r="N2264" s="70"/>
      <c r="O2264" s="70"/>
      <c r="P2264" s="70"/>
      <c r="Q2264" s="71"/>
      <c r="R2264" s="71"/>
      <c r="S2264" s="72"/>
      <c r="T2264" s="73"/>
      <c r="U2264" s="79"/>
      <c r="V2264" s="102"/>
      <c r="W2264" s="70"/>
      <c r="X2264" s="103"/>
      <c r="Y2264" s="226"/>
      <c r="Z2264" s="133"/>
      <c r="AA2264" s="70"/>
      <c r="AB2264" s="70"/>
      <c r="AC2264" s="70"/>
      <c r="AD2264" s="71"/>
      <c r="AE2264" s="71"/>
      <c r="AF2264" s="72"/>
      <c r="AG2264" s="73"/>
      <c r="AH2264" s="79"/>
      <c r="AI2264" s="102"/>
      <c r="AJ2264" s="70"/>
      <c r="AK2264" s="103"/>
      <c r="AL2264" s="104"/>
      <c r="AM2264" s="105"/>
      <c r="AN2264" s="115"/>
      <c r="AO2264" s="115"/>
      <c r="AP2264" s="115"/>
      <c r="AQ2264" s="93"/>
      <c r="AR2264" s="93"/>
      <c r="AS2264" s="94"/>
      <c r="AT2264" s="95"/>
      <c r="AU2264" s="79"/>
      <c r="AV2264" s="117"/>
      <c r="AW2264" s="115"/>
      <c r="AX2264" s="106"/>
      <c r="AY2264" s="104"/>
      <c r="AZ2264" s="105"/>
    </row>
    <row r="2265" customHeight="1" spans="1:52">
      <c r="A2265" s="70">
        <v>2282</v>
      </c>
      <c r="B2265" s="70" t="s">
        <v>12</v>
      </c>
      <c r="C2265" s="70" t="s">
        <v>38</v>
      </c>
      <c r="D2265" s="71" t="s">
        <v>5544</v>
      </c>
      <c r="E2265" s="71" t="s">
        <v>28</v>
      </c>
      <c r="F2265" s="72"/>
      <c r="G2265" s="73"/>
      <c r="H2265" s="74" t="s">
        <v>16</v>
      </c>
      <c r="I2265" s="102">
        <v>46294</v>
      </c>
      <c r="J2265" s="70">
        <v>3</v>
      </c>
      <c r="K2265" s="106" t="s">
        <v>5545</v>
      </c>
      <c r="L2265" s="104">
        <f t="shared" si="551"/>
        <v>46385</v>
      </c>
      <c r="M2265" s="105">
        <f ca="1" t="shared" si="552"/>
        <v>72</v>
      </c>
      <c r="N2265" s="70"/>
      <c r="O2265" s="70"/>
      <c r="P2265" s="70"/>
      <c r="Q2265" s="71"/>
      <c r="R2265" s="71"/>
      <c r="S2265" s="72"/>
      <c r="T2265" s="73"/>
      <c r="U2265" s="79"/>
      <c r="V2265" s="102"/>
      <c r="W2265" s="70"/>
      <c r="X2265" s="103"/>
      <c r="Y2265" s="226"/>
      <c r="Z2265" s="133"/>
      <c r="AA2265" s="70"/>
      <c r="AB2265" s="70"/>
      <c r="AC2265" s="70"/>
      <c r="AD2265" s="71"/>
      <c r="AE2265" s="71"/>
      <c r="AF2265" s="72"/>
      <c r="AG2265" s="73"/>
      <c r="AH2265" s="79"/>
      <c r="AI2265" s="102"/>
      <c r="AJ2265" s="70"/>
      <c r="AK2265" s="103"/>
      <c r="AL2265" s="104"/>
      <c r="AM2265" s="105"/>
      <c r="AN2265" s="115"/>
      <c r="AO2265" s="115"/>
      <c r="AP2265" s="115"/>
      <c r="AQ2265" s="93"/>
      <c r="AR2265" s="93"/>
      <c r="AS2265" s="94"/>
      <c r="AT2265" s="95"/>
      <c r="AU2265" s="79"/>
      <c r="AV2265" s="117"/>
      <c r="AW2265" s="115"/>
      <c r="AX2265" s="106"/>
      <c r="AY2265" s="104"/>
      <c r="AZ2265" s="105"/>
    </row>
    <row r="2266" customHeight="1" spans="1:52">
      <c r="A2266" s="70">
        <v>2283</v>
      </c>
      <c r="B2266" s="70" t="s">
        <v>886</v>
      </c>
      <c r="C2266" s="70" t="s">
        <v>374</v>
      </c>
      <c r="D2266" s="71" t="s">
        <v>5546</v>
      </c>
      <c r="E2266" s="71" t="s">
        <v>568</v>
      </c>
      <c r="F2266" s="72"/>
      <c r="G2266" s="73"/>
      <c r="H2266" s="74" t="s">
        <v>16</v>
      </c>
      <c r="I2266" s="102">
        <v>46294</v>
      </c>
      <c r="J2266" s="70">
        <v>3</v>
      </c>
      <c r="K2266" s="106" t="s">
        <v>5547</v>
      </c>
      <c r="L2266" s="104">
        <f t="shared" si="551"/>
        <v>46385</v>
      </c>
      <c r="M2266" s="105">
        <f ca="1" t="shared" si="552"/>
        <v>72</v>
      </c>
      <c r="N2266" s="70"/>
      <c r="O2266" s="70"/>
      <c r="P2266" s="70"/>
      <c r="Q2266" s="71"/>
      <c r="R2266" s="71"/>
      <c r="S2266" s="72"/>
      <c r="T2266" s="73"/>
      <c r="U2266" s="79"/>
      <c r="V2266" s="102"/>
      <c r="W2266" s="70"/>
      <c r="X2266" s="103"/>
      <c r="Y2266" s="226"/>
      <c r="Z2266" s="133"/>
      <c r="AA2266" s="70"/>
      <c r="AB2266" s="70"/>
      <c r="AC2266" s="70"/>
      <c r="AD2266" s="71"/>
      <c r="AE2266" s="71"/>
      <c r="AF2266" s="72"/>
      <c r="AG2266" s="73"/>
      <c r="AH2266" s="79"/>
      <c r="AI2266" s="102"/>
      <c r="AJ2266" s="70"/>
      <c r="AK2266" s="103"/>
      <c r="AL2266" s="104"/>
      <c r="AM2266" s="105"/>
      <c r="AN2266" s="115"/>
      <c r="AO2266" s="115"/>
      <c r="AP2266" s="115"/>
      <c r="AQ2266" s="93"/>
      <c r="AR2266" s="93"/>
      <c r="AS2266" s="94"/>
      <c r="AT2266" s="95"/>
      <c r="AU2266" s="79"/>
      <c r="AV2266" s="117"/>
      <c r="AW2266" s="115"/>
      <c r="AX2266" s="106"/>
      <c r="AY2266" s="104"/>
      <c r="AZ2266" s="105"/>
    </row>
    <row r="2267" customHeight="1" spans="1:52">
      <c r="A2267" s="70">
        <v>2284</v>
      </c>
      <c r="B2267" s="108" t="s">
        <v>281</v>
      </c>
      <c r="C2267" s="70" t="s">
        <v>264</v>
      </c>
      <c r="D2267" s="108" t="s">
        <v>5548</v>
      </c>
      <c r="E2267" s="71" t="s">
        <v>1232</v>
      </c>
      <c r="F2267" s="72"/>
      <c r="G2267" s="73"/>
      <c r="H2267" s="75"/>
      <c r="I2267" s="102">
        <v>46294</v>
      </c>
      <c r="J2267" s="70">
        <v>3</v>
      </c>
      <c r="K2267" s="106" t="s">
        <v>5549</v>
      </c>
      <c r="L2267" s="104">
        <f t="shared" ref="L2267:L2286" si="553">EDATE(I2267,J2267)</f>
        <v>46385</v>
      </c>
      <c r="M2267" s="105">
        <f ca="1" t="shared" ref="M2267:M2286" si="554">L2267-TODAY()</f>
        <v>72</v>
      </c>
      <c r="N2267" s="70"/>
      <c r="O2267" s="70"/>
      <c r="P2267" s="70"/>
      <c r="Q2267" s="71"/>
      <c r="R2267" s="71"/>
      <c r="S2267" s="72"/>
      <c r="T2267" s="73"/>
      <c r="U2267" s="79"/>
      <c r="V2267" s="102"/>
      <c r="W2267" s="70"/>
      <c r="X2267" s="103"/>
      <c r="Y2267" s="226"/>
      <c r="Z2267" s="133"/>
      <c r="AA2267" s="70"/>
      <c r="AB2267" s="70"/>
      <c r="AC2267" s="70"/>
      <c r="AD2267" s="71"/>
      <c r="AE2267" s="71"/>
      <c r="AF2267" s="72"/>
      <c r="AG2267" s="73"/>
      <c r="AH2267" s="79"/>
      <c r="AI2267" s="102"/>
      <c r="AJ2267" s="70"/>
      <c r="AK2267" s="103"/>
      <c r="AL2267" s="104"/>
      <c r="AM2267" s="105"/>
      <c r="AN2267" s="115"/>
      <c r="AO2267" s="115"/>
      <c r="AP2267" s="115"/>
      <c r="AQ2267" s="93"/>
      <c r="AR2267" s="93"/>
      <c r="AS2267" s="94"/>
      <c r="AT2267" s="95"/>
      <c r="AU2267" s="79"/>
      <c r="AV2267" s="117"/>
      <c r="AW2267" s="115"/>
      <c r="AX2267" s="106"/>
      <c r="AY2267" s="104"/>
      <c r="AZ2267" s="105"/>
    </row>
    <row r="2268" customHeight="1" spans="1:52">
      <c r="A2268" s="70">
        <v>2285</v>
      </c>
      <c r="B2268" s="108" t="s">
        <v>5550</v>
      </c>
      <c r="C2268" s="70" t="s">
        <v>264</v>
      </c>
      <c r="D2268" s="108" t="s">
        <v>5551</v>
      </c>
      <c r="E2268" s="71" t="s">
        <v>264</v>
      </c>
      <c r="F2268" s="72"/>
      <c r="G2268" s="73"/>
      <c r="H2268" s="75"/>
      <c r="I2268" s="102">
        <v>46294</v>
      </c>
      <c r="J2268" s="70">
        <v>3</v>
      </c>
      <c r="K2268" s="106" t="s">
        <v>5552</v>
      </c>
      <c r="L2268" s="104">
        <f t="shared" si="553"/>
        <v>46385</v>
      </c>
      <c r="M2268" s="105">
        <f ca="1" t="shared" si="554"/>
        <v>72</v>
      </c>
      <c r="N2268" s="70"/>
      <c r="O2268" s="70"/>
      <c r="P2268" s="70"/>
      <c r="Q2268" s="71"/>
      <c r="R2268" s="71"/>
      <c r="S2268" s="72"/>
      <c r="T2268" s="73"/>
      <c r="U2268" s="79"/>
      <c r="V2268" s="102"/>
      <c r="W2268" s="70"/>
      <c r="X2268" s="103"/>
      <c r="Y2268" s="226"/>
      <c r="Z2268" s="133"/>
      <c r="AA2268" s="70"/>
      <c r="AB2268" s="70"/>
      <c r="AC2268" s="70"/>
      <c r="AD2268" s="71"/>
      <c r="AE2268" s="71"/>
      <c r="AF2268" s="72"/>
      <c r="AG2268" s="73"/>
      <c r="AH2268" s="79"/>
      <c r="AI2268" s="102"/>
      <c r="AJ2268" s="70"/>
      <c r="AK2268" s="103"/>
      <c r="AL2268" s="104"/>
      <c r="AM2268" s="105"/>
      <c r="AN2268" s="115"/>
      <c r="AO2268" s="115"/>
      <c r="AP2268" s="115"/>
      <c r="AQ2268" s="93"/>
      <c r="AR2268" s="93"/>
      <c r="AS2268" s="94"/>
      <c r="AT2268" s="95"/>
      <c r="AU2268" s="79"/>
      <c r="AV2268" s="117"/>
      <c r="AW2268" s="115"/>
      <c r="AX2268" s="106"/>
      <c r="AY2268" s="104"/>
      <c r="AZ2268" s="105"/>
    </row>
    <row r="2269" customHeight="1" spans="1:52">
      <c r="A2269" s="70">
        <v>2286</v>
      </c>
      <c r="B2269" s="108" t="s">
        <v>648</v>
      </c>
      <c r="C2269" s="70" t="s">
        <v>264</v>
      </c>
      <c r="D2269" s="108" t="s">
        <v>5517</v>
      </c>
      <c r="E2269" s="71" t="s">
        <v>5518</v>
      </c>
      <c r="F2269" s="72"/>
      <c r="G2269" s="73"/>
      <c r="H2269" s="75"/>
      <c r="I2269" s="102">
        <v>46294</v>
      </c>
      <c r="J2269" s="70">
        <v>3</v>
      </c>
      <c r="K2269" s="106" t="s">
        <v>5553</v>
      </c>
      <c r="L2269" s="104">
        <f t="shared" si="553"/>
        <v>46385</v>
      </c>
      <c r="M2269" s="105">
        <f ca="1" t="shared" si="554"/>
        <v>72</v>
      </c>
      <c r="N2269" s="70"/>
      <c r="O2269" s="70"/>
      <c r="P2269" s="70"/>
      <c r="Q2269" s="71"/>
      <c r="R2269" s="71"/>
      <c r="S2269" s="72"/>
      <c r="T2269" s="73"/>
      <c r="U2269" s="79"/>
      <c r="V2269" s="102"/>
      <c r="W2269" s="70"/>
      <c r="X2269" s="103"/>
      <c r="Y2269" s="226"/>
      <c r="Z2269" s="133"/>
      <c r="AA2269" s="70"/>
      <c r="AB2269" s="70"/>
      <c r="AC2269" s="70"/>
      <c r="AD2269" s="71"/>
      <c r="AE2269" s="71"/>
      <c r="AF2269" s="72"/>
      <c r="AG2269" s="73"/>
      <c r="AH2269" s="79"/>
      <c r="AI2269" s="102"/>
      <c r="AJ2269" s="70"/>
      <c r="AK2269" s="103"/>
      <c r="AL2269" s="104"/>
      <c r="AM2269" s="105"/>
      <c r="AN2269" s="115"/>
      <c r="AO2269" s="115"/>
      <c r="AP2269" s="115"/>
      <c r="AQ2269" s="93"/>
      <c r="AR2269" s="93"/>
      <c r="AS2269" s="94"/>
      <c r="AT2269" s="95"/>
      <c r="AU2269" s="79"/>
      <c r="AV2269" s="117"/>
      <c r="AW2269" s="115"/>
      <c r="AX2269" s="106"/>
      <c r="AY2269" s="104"/>
      <c r="AZ2269" s="105"/>
    </row>
    <row r="2270" customHeight="1" spans="1:52">
      <c r="A2270" s="70">
        <v>2287</v>
      </c>
      <c r="B2270" s="108" t="s">
        <v>295</v>
      </c>
      <c r="C2270" s="70" t="s">
        <v>264</v>
      </c>
      <c r="D2270" s="108" t="s">
        <v>3020</v>
      </c>
      <c r="E2270" s="71" t="s">
        <v>3655</v>
      </c>
      <c r="F2270" s="72"/>
      <c r="G2270" s="73"/>
      <c r="H2270" s="75"/>
      <c r="I2270" s="102">
        <v>46294</v>
      </c>
      <c r="J2270" s="70" t="s">
        <v>767</v>
      </c>
      <c r="K2270" s="106"/>
      <c r="L2270" s="104" t="e">
        <f t="shared" si="553"/>
        <v>#VALUE!</v>
      </c>
      <c r="M2270" s="105" t="e">
        <f ca="1" t="shared" si="554"/>
        <v>#VALUE!</v>
      </c>
      <c r="N2270" s="70"/>
      <c r="O2270" s="70"/>
      <c r="P2270" s="70"/>
      <c r="Q2270" s="71"/>
      <c r="R2270" s="71"/>
      <c r="S2270" s="72"/>
      <c r="T2270" s="73"/>
      <c r="U2270" s="79"/>
      <c r="V2270" s="102"/>
      <c r="W2270" s="70"/>
      <c r="X2270" s="103"/>
      <c r="Y2270" s="226"/>
      <c r="Z2270" s="133"/>
      <c r="AA2270" s="70"/>
      <c r="AB2270" s="70"/>
      <c r="AC2270" s="70"/>
      <c r="AD2270" s="71"/>
      <c r="AE2270" s="71"/>
      <c r="AF2270" s="72"/>
      <c r="AG2270" s="73"/>
      <c r="AH2270" s="79"/>
      <c r="AI2270" s="102"/>
      <c r="AJ2270" s="70"/>
      <c r="AK2270" s="103"/>
      <c r="AL2270" s="104"/>
      <c r="AM2270" s="105"/>
      <c r="AN2270" s="115"/>
      <c r="AO2270" s="115"/>
      <c r="AP2270" s="115"/>
      <c r="AQ2270" s="93"/>
      <c r="AR2270" s="93"/>
      <c r="AS2270" s="94"/>
      <c r="AT2270" s="95"/>
      <c r="AU2270" s="79"/>
      <c r="AV2270" s="117"/>
      <c r="AW2270" s="115"/>
      <c r="AX2270" s="106"/>
      <c r="AY2270" s="104"/>
      <c r="AZ2270" s="105"/>
    </row>
    <row r="2271" customHeight="1" spans="1:52">
      <c r="A2271" s="70">
        <v>2289</v>
      </c>
      <c r="B2271" s="108" t="s">
        <v>644</v>
      </c>
      <c r="C2271" s="70" t="s">
        <v>264</v>
      </c>
      <c r="D2271" s="108" t="s">
        <v>2433</v>
      </c>
      <c r="E2271" s="71" t="s">
        <v>753</v>
      </c>
      <c r="F2271" s="72"/>
      <c r="G2271" s="73"/>
      <c r="H2271" s="75"/>
      <c r="I2271" s="102">
        <v>46294</v>
      </c>
      <c r="J2271" s="70" t="s">
        <v>767</v>
      </c>
      <c r="K2271" s="106"/>
      <c r="L2271" s="104" t="e">
        <f t="shared" si="553"/>
        <v>#VALUE!</v>
      </c>
      <c r="M2271" s="105" t="e">
        <f ca="1" t="shared" si="554"/>
        <v>#VALUE!</v>
      </c>
      <c r="N2271" s="70"/>
      <c r="O2271" s="70"/>
      <c r="P2271" s="70"/>
      <c r="Q2271" s="71"/>
      <c r="R2271" s="71"/>
      <c r="S2271" s="72"/>
      <c r="T2271" s="73"/>
      <c r="U2271" s="79"/>
      <c r="V2271" s="102"/>
      <c r="W2271" s="70"/>
      <c r="X2271" s="103"/>
      <c r="Y2271" s="226"/>
      <c r="Z2271" s="133"/>
      <c r="AA2271" s="70"/>
      <c r="AB2271" s="70"/>
      <c r="AC2271" s="70"/>
      <c r="AD2271" s="71"/>
      <c r="AE2271" s="71"/>
      <c r="AF2271" s="72"/>
      <c r="AG2271" s="73"/>
      <c r="AH2271" s="79"/>
      <c r="AI2271" s="102"/>
      <c r="AJ2271" s="70"/>
      <c r="AK2271" s="103"/>
      <c r="AL2271" s="104"/>
      <c r="AM2271" s="105"/>
      <c r="AN2271" s="115"/>
      <c r="AO2271" s="115"/>
      <c r="AP2271" s="115"/>
      <c r="AQ2271" s="93"/>
      <c r="AR2271" s="93"/>
      <c r="AS2271" s="94"/>
      <c r="AT2271" s="95"/>
      <c r="AU2271" s="79"/>
      <c r="AV2271" s="117"/>
      <c r="AW2271" s="115"/>
      <c r="AX2271" s="106"/>
      <c r="AY2271" s="104"/>
      <c r="AZ2271" s="105"/>
    </row>
    <row r="2272" customHeight="1" spans="1:52">
      <c r="A2272" s="70">
        <v>2290</v>
      </c>
      <c r="B2272" s="108" t="s">
        <v>644</v>
      </c>
      <c r="C2272" s="70" t="s">
        <v>264</v>
      </c>
      <c r="D2272" s="108" t="s">
        <v>1922</v>
      </c>
      <c r="E2272" s="71" t="s">
        <v>753</v>
      </c>
      <c r="F2272" s="72"/>
      <c r="G2272" s="73"/>
      <c r="H2272" s="75"/>
      <c r="I2272" s="102">
        <v>46294</v>
      </c>
      <c r="J2272" s="70" t="s">
        <v>767</v>
      </c>
      <c r="K2272" s="106"/>
      <c r="L2272" s="104" t="e">
        <f t="shared" si="553"/>
        <v>#VALUE!</v>
      </c>
      <c r="M2272" s="105" t="e">
        <f ca="1" t="shared" si="554"/>
        <v>#VALUE!</v>
      </c>
      <c r="N2272" s="70"/>
      <c r="O2272" s="70"/>
      <c r="P2272" s="70"/>
      <c r="Q2272" s="71"/>
      <c r="R2272" s="71"/>
      <c r="S2272" s="72"/>
      <c r="T2272" s="73"/>
      <c r="U2272" s="79"/>
      <c r="V2272" s="102"/>
      <c r="W2272" s="70"/>
      <c r="X2272" s="103"/>
      <c r="Y2272" s="226"/>
      <c r="Z2272" s="133"/>
      <c r="AA2272" s="70"/>
      <c r="AB2272" s="70"/>
      <c r="AC2272" s="70"/>
      <c r="AD2272" s="71"/>
      <c r="AE2272" s="71"/>
      <c r="AF2272" s="72"/>
      <c r="AG2272" s="73"/>
      <c r="AH2272" s="79"/>
      <c r="AI2272" s="102"/>
      <c r="AJ2272" s="70"/>
      <c r="AK2272" s="103"/>
      <c r="AL2272" s="104"/>
      <c r="AM2272" s="105"/>
      <c r="AN2272" s="115"/>
      <c r="AO2272" s="115"/>
      <c r="AP2272" s="115"/>
      <c r="AQ2272" s="93"/>
      <c r="AR2272" s="93"/>
      <c r="AS2272" s="94"/>
      <c r="AT2272" s="95"/>
      <c r="AU2272" s="79"/>
      <c r="AV2272" s="117"/>
      <c r="AW2272" s="115"/>
      <c r="AX2272" s="106"/>
      <c r="AY2272" s="104"/>
      <c r="AZ2272" s="105"/>
    </row>
    <row r="2273" customHeight="1" spans="1:52">
      <c r="A2273" s="70">
        <v>2291</v>
      </c>
      <c r="B2273" s="108" t="s">
        <v>270</v>
      </c>
      <c r="C2273" s="70" t="s">
        <v>264</v>
      </c>
      <c r="D2273" s="108" t="s">
        <v>958</v>
      </c>
      <c r="E2273" s="71" t="s">
        <v>4334</v>
      </c>
      <c r="F2273" s="72"/>
      <c r="G2273" s="73"/>
      <c r="H2273" s="75"/>
      <c r="I2273" s="102">
        <v>46294</v>
      </c>
      <c r="J2273" s="70" t="s">
        <v>767</v>
      </c>
      <c r="K2273" s="106"/>
      <c r="L2273" s="104" t="e">
        <f t="shared" si="553"/>
        <v>#VALUE!</v>
      </c>
      <c r="M2273" s="105" t="e">
        <f ca="1" t="shared" si="554"/>
        <v>#VALUE!</v>
      </c>
      <c r="N2273" s="70"/>
      <c r="O2273" s="70"/>
      <c r="P2273" s="70"/>
      <c r="Q2273" s="71"/>
      <c r="R2273" s="71"/>
      <c r="S2273" s="72"/>
      <c r="T2273" s="73"/>
      <c r="U2273" s="79"/>
      <c r="V2273" s="102"/>
      <c r="W2273" s="70"/>
      <c r="X2273" s="103"/>
      <c r="Y2273" s="226"/>
      <c r="Z2273" s="133"/>
      <c r="AA2273" s="70"/>
      <c r="AB2273" s="70"/>
      <c r="AC2273" s="70"/>
      <c r="AD2273" s="71"/>
      <c r="AE2273" s="71"/>
      <c r="AF2273" s="72"/>
      <c r="AG2273" s="73"/>
      <c r="AH2273" s="79"/>
      <c r="AI2273" s="102"/>
      <c r="AJ2273" s="70"/>
      <c r="AK2273" s="103"/>
      <c r="AL2273" s="104"/>
      <c r="AM2273" s="105"/>
      <c r="AN2273" s="115"/>
      <c r="AO2273" s="115"/>
      <c r="AP2273" s="115"/>
      <c r="AQ2273" s="93"/>
      <c r="AR2273" s="93"/>
      <c r="AS2273" s="94"/>
      <c r="AT2273" s="95"/>
      <c r="AU2273" s="79"/>
      <c r="AV2273" s="117"/>
      <c r="AW2273" s="115"/>
      <c r="AX2273" s="106"/>
      <c r="AY2273" s="104"/>
      <c r="AZ2273" s="105"/>
    </row>
    <row r="2274" customHeight="1" spans="1:52">
      <c r="A2274" s="70">
        <v>2293</v>
      </c>
      <c r="B2274" s="108" t="s">
        <v>757</v>
      </c>
      <c r="C2274" s="70" t="s">
        <v>264</v>
      </c>
      <c r="D2274" s="108" t="s">
        <v>758</v>
      </c>
      <c r="E2274" s="71" t="s">
        <v>4334</v>
      </c>
      <c r="F2274" s="72"/>
      <c r="G2274" s="73"/>
      <c r="H2274" s="75"/>
      <c r="I2274" s="102">
        <v>46294</v>
      </c>
      <c r="J2274" s="70" t="s">
        <v>767</v>
      </c>
      <c r="K2274" s="106"/>
      <c r="L2274" s="104" t="e">
        <f t="shared" si="553"/>
        <v>#VALUE!</v>
      </c>
      <c r="M2274" s="105" t="e">
        <f ca="1" t="shared" si="554"/>
        <v>#VALUE!</v>
      </c>
      <c r="N2274" s="70"/>
      <c r="O2274" s="70"/>
      <c r="P2274" s="70"/>
      <c r="Q2274" s="71"/>
      <c r="R2274" s="71"/>
      <c r="S2274" s="72"/>
      <c r="T2274" s="73"/>
      <c r="U2274" s="79"/>
      <c r="V2274" s="102"/>
      <c r="W2274" s="70"/>
      <c r="X2274" s="103"/>
      <c r="Y2274" s="226"/>
      <c r="Z2274" s="133"/>
      <c r="AA2274" s="70"/>
      <c r="AB2274" s="70"/>
      <c r="AC2274" s="70"/>
      <c r="AD2274" s="71"/>
      <c r="AE2274" s="71"/>
      <c r="AF2274" s="72"/>
      <c r="AG2274" s="73"/>
      <c r="AH2274" s="79"/>
      <c r="AI2274" s="102"/>
      <c r="AJ2274" s="70"/>
      <c r="AK2274" s="103"/>
      <c r="AL2274" s="104"/>
      <c r="AM2274" s="105"/>
      <c r="AN2274" s="115"/>
      <c r="AO2274" s="115"/>
      <c r="AP2274" s="115"/>
      <c r="AQ2274" s="93"/>
      <c r="AR2274" s="93"/>
      <c r="AS2274" s="94"/>
      <c r="AT2274" s="95"/>
      <c r="AU2274" s="79"/>
      <c r="AV2274" s="117"/>
      <c r="AW2274" s="115"/>
      <c r="AX2274" s="106"/>
      <c r="AY2274" s="104"/>
      <c r="AZ2274" s="105"/>
    </row>
    <row r="2275" customHeight="1" spans="1:52">
      <c r="A2275" s="70">
        <v>2294</v>
      </c>
      <c r="B2275" s="108" t="s">
        <v>751</v>
      </c>
      <c r="C2275" s="70" t="s">
        <v>264</v>
      </c>
      <c r="D2275" s="108" t="s">
        <v>752</v>
      </c>
      <c r="E2275" s="71" t="s">
        <v>753</v>
      </c>
      <c r="F2275" s="72"/>
      <c r="G2275" s="73"/>
      <c r="H2275" s="75"/>
      <c r="I2275" s="102">
        <v>46294</v>
      </c>
      <c r="J2275" s="70" t="s">
        <v>767</v>
      </c>
      <c r="K2275" s="106"/>
      <c r="L2275" s="104" t="e">
        <f t="shared" si="553"/>
        <v>#VALUE!</v>
      </c>
      <c r="M2275" s="105" t="e">
        <f ca="1" t="shared" si="554"/>
        <v>#VALUE!</v>
      </c>
      <c r="N2275" s="70"/>
      <c r="O2275" s="70"/>
      <c r="P2275" s="70"/>
      <c r="Q2275" s="71"/>
      <c r="R2275" s="71"/>
      <c r="S2275" s="72"/>
      <c r="T2275" s="73"/>
      <c r="U2275" s="79"/>
      <c r="V2275" s="102"/>
      <c r="W2275" s="70"/>
      <c r="X2275" s="103"/>
      <c r="Y2275" s="226"/>
      <c r="Z2275" s="133"/>
      <c r="AA2275" s="70"/>
      <c r="AB2275" s="70"/>
      <c r="AC2275" s="70"/>
      <c r="AD2275" s="71"/>
      <c r="AE2275" s="71"/>
      <c r="AF2275" s="72"/>
      <c r="AG2275" s="73"/>
      <c r="AH2275" s="79"/>
      <c r="AI2275" s="102"/>
      <c r="AJ2275" s="70"/>
      <c r="AK2275" s="103"/>
      <c r="AL2275" s="104"/>
      <c r="AM2275" s="105"/>
      <c r="AN2275" s="115"/>
      <c r="AO2275" s="115"/>
      <c r="AP2275" s="115"/>
      <c r="AQ2275" s="93"/>
      <c r="AR2275" s="93"/>
      <c r="AS2275" s="94"/>
      <c r="AT2275" s="95"/>
      <c r="AU2275" s="79"/>
      <c r="AV2275" s="117"/>
      <c r="AW2275" s="115"/>
      <c r="AX2275" s="106"/>
      <c r="AY2275" s="104"/>
      <c r="AZ2275" s="105"/>
    </row>
    <row r="2276" customHeight="1" spans="1:52">
      <c r="A2276" s="70">
        <v>2295</v>
      </c>
      <c r="B2276" s="108" t="s">
        <v>5554</v>
      </c>
      <c r="C2276" s="70" t="s">
        <v>13</v>
      </c>
      <c r="D2276" s="108" t="s">
        <v>5555</v>
      </c>
      <c r="E2276" s="71" t="s">
        <v>45</v>
      </c>
      <c r="F2276" s="72"/>
      <c r="G2276" s="73"/>
      <c r="H2276" s="74" t="s">
        <v>16</v>
      </c>
      <c r="I2276" s="102">
        <v>46295</v>
      </c>
      <c r="J2276" s="70">
        <v>3</v>
      </c>
      <c r="K2276" s="106" t="s">
        <v>5556</v>
      </c>
      <c r="L2276" s="104">
        <f t="shared" si="553"/>
        <v>46386</v>
      </c>
      <c r="M2276" s="105">
        <f ca="1" t="shared" si="554"/>
        <v>73</v>
      </c>
      <c r="N2276" s="70"/>
      <c r="O2276" s="70"/>
      <c r="P2276" s="70"/>
      <c r="Q2276" s="71"/>
      <c r="R2276" s="71"/>
      <c r="S2276" s="72"/>
      <c r="T2276" s="73"/>
      <c r="U2276" s="79"/>
      <c r="V2276" s="102"/>
      <c r="W2276" s="70"/>
      <c r="X2276" s="103"/>
      <c r="Y2276" s="226"/>
      <c r="Z2276" s="133"/>
      <c r="AA2276" s="70"/>
      <c r="AB2276" s="70"/>
      <c r="AC2276" s="70"/>
      <c r="AD2276" s="71"/>
      <c r="AE2276" s="71"/>
      <c r="AF2276" s="72"/>
      <c r="AG2276" s="73"/>
      <c r="AH2276" s="79"/>
      <c r="AI2276" s="102"/>
      <c r="AJ2276" s="70"/>
      <c r="AK2276" s="103"/>
      <c r="AL2276" s="104"/>
      <c r="AM2276" s="105"/>
      <c r="AN2276" s="115"/>
      <c r="AO2276" s="115"/>
      <c r="AP2276" s="115"/>
      <c r="AQ2276" s="93"/>
      <c r="AR2276" s="93"/>
      <c r="AS2276" s="94"/>
      <c r="AT2276" s="95"/>
      <c r="AU2276" s="79"/>
      <c r="AV2276" s="117"/>
      <c r="AW2276" s="115"/>
      <c r="AX2276" s="106"/>
      <c r="AY2276" s="104"/>
      <c r="AZ2276" s="105"/>
    </row>
    <row r="2277" customHeight="1" spans="1:52">
      <c r="A2277" s="70">
        <v>2296</v>
      </c>
      <c r="B2277" s="70" t="s">
        <v>12</v>
      </c>
      <c r="C2277" s="70" t="s">
        <v>13</v>
      </c>
      <c r="D2277" s="71" t="s">
        <v>5557</v>
      </c>
      <c r="E2277" s="71" t="s">
        <v>45</v>
      </c>
      <c r="F2277" s="72"/>
      <c r="G2277" s="73"/>
      <c r="H2277" s="74" t="s">
        <v>16</v>
      </c>
      <c r="I2277" s="102">
        <v>46295</v>
      </c>
      <c r="J2277" s="70">
        <v>3</v>
      </c>
      <c r="K2277" s="106" t="s">
        <v>5558</v>
      </c>
      <c r="L2277" s="104">
        <f t="shared" si="553"/>
        <v>46386</v>
      </c>
      <c r="M2277" s="105">
        <f ca="1" t="shared" si="554"/>
        <v>73</v>
      </c>
      <c r="N2277" s="70"/>
      <c r="O2277" s="70"/>
      <c r="P2277" s="70"/>
      <c r="Q2277" s="71"/>
      <c r="R2277" s="71"/>
      <c r="S2277" s="72"/>
      <c r="T2277" s="73"/>
      <c r="U2277" s="79"/>
      <c r="V2277" s="102"/>
      <c r="W2277" s="70"/>
      <c r="X2277" s="103"/>
      <c r="Y2277" s="226"/>
      <c r="Z2277" s="133"/>
      <c r="AA2277" s="70"/>
      <c r="AB2277" s="70"/>
      <c r="AC2277" s="70"/>
      <c r="AD2277" s="71"/>
      <c r="AE2277" s="71"/>
      <c r="AF2277" s="72"/>
      <c r="AG2277" s="73"/>
      <c r="AH2277" s="79"/>
      <c r="AI2277" s="102"/>
      <c r="AJ2277" s="70"/>
      <c r="AK2277" s="103"/>
      <c r="AL2277" s="104"/>
      <c r="AM2277" s="105"/>
      <c r="AN2277" s="115"/>
      <c r="AO2277" s="115"/>
      <c r="AP2277" s="115"/>
      <c r="AQ2277" s="93"/>
      <c r="AR2277" s="93"/>
      <c r="AS2277" s="94"/>
      <c r="AT2277" s="95"/>
      <c r="AU2277" s="79"/>
      <c r="AV2277" s="117"/>
      <c r="AW2277" s="115"/>
      <c r="AX2277" s="106"/>
      <c r="AY2277" s="104"/>
      <c r="AZ2277" s="105"/>
    </row>
    <row r="2278" customHeight="1" spans="1:52">
      <c r="A2278" s="70">
        <v>2297</v>
      </c>
      <c r="B2278" s="70" t="s">
        <v>134</v>
      </c>
      <c r="C2278" s="70" t="s">
        <v>13</v>
      </c>
      <c r="D2278" s="71" t="s">
        <v>5559</v>
      </c>
      <c r="E2278" s="71" t="s">
        <v>5560</v>
      </c>
      <c r="F2278" s="72"/>
      <c r="G2278" s="73"/>
      <c r="H2278" s="74" t="s">
        <v>16</v>
      </c>
      <c r="I2278" s="102">
        <v>46295</v>
      </c>
      <c r="J2278" s="70">
        <v>3</v>
      </c>
      <c r="K2278" s="106" t="s">
        <v>5561</v>
      </c>
      <c r="L2278" s="104">
        <f t="shared" si="553"/>
        <v>46386</v>
      </c>
      <c r="M2278" s="105">
        <f ca="1" t="shared" si="554"/>
        <v>73</v>
      </c>
      <c r="N2278" s="70"/>
      <c r="O2278" s="70"/>
      <c r="P2278" s="70"/>
      <c r="Q2278" s="71"/>
      <c r="R2278" s="71"/>
      <c r="S2278" s="72"/>
      <c r="T2278" s="73"/>
      <c r="U2278" s="79"/>
      <c r="V2278" s="102"/>
      <c r="W2278" s="70"/>
      <c r="X2278" s="103"/>
      <c r="Y2278" s="226"/>
      <c r="Z2278" s="133"/>
      <c r="AA2278" s="70"/>
      <c r="AB2278" s="70"/>
      <c r="AC2278" s="70"/>
      <c r="AD2278" s="71"/>
      <c r="AE2278" s="71"/>
      <c r="AF2278" s="72"/>
      <c r="AG2278" s="73"/>
      <c r="AH2278" s="79"/>
      <c r="AI2278" s="102"/>
      <c r="AJ2278" s="70"/>
      <c r="AK2278" s="103"/>
      <c r="AL2278" s="104"/>
      <c r="AM2278" s="105"/>
      <c r="AN2278" s="115"/>
      <c r="AO2278" s="115"/>
      <c r="AP2278" s="115"/>
      <c r="AQ2278" s="93"/>
      <c r="AR2278" s="93"/>
      <c r="AS2278" s="94"/>
      <c r="AT2278" s="95"/>
      <c r="AU2278" s="79"/>
      <c r="AV2278" s="117"/>
      <c r="AW2278" s="115"/>
      <c r="AX2278" s="106"/>
      <c r="AY2278" s="104"/>
      <c r="AZ2278" s="105"/>
    </row>
    <row r="2279" customHeight="1" spans="1:52">
      <c r="A2279" s="70">
        <v>2298</v>
      </c>
      <c r="B2279" s="70" t="s">
        <v>1409</v>
      </c>
      <c r="C2279" s="70" t="s">
        <v>374</v>
      </c>
      <c r="D2279" s="71" t="s">
        <v>5562</v>
      </c>
      <c r="E2279" s="71" t="s">
        <v>1249</v>
      </c>
      <c r="F2279" s="72"/>
      <c r="G2279" s="73"/>
      <c r="H2279" s="74" t="s">
        <v>16</v>
      </c>
      <c r="I2279" s="102">
        <v>46295</v>
      </c>
      <c r="J2279" s="70">
        <v>3</v>
      </c>
      <c r="K2279" s="106" t="s">
        <v>5563</v>
      </c>
      <c r="L2279" s="104">
        <f t="shared" si="553"/>
        <v>46386</v>
      </c>
      <c r="M2279" s="105">
        <f ca="1" t="shared" si="554"/>
        <v>73</v>
      </c>
      <c r="N2279" s="70"/>
      <c r="O2279" s="70"/>
      <c r="P2279" s="70"/>
      <c r="Q2279" s="71"/>
      <c r="R2279" s="71"/>
      <c r="S2279" s="72"/>
      <c r="T2279" s="73"/>
      <c r="U2279" s="79"/>
      <c r="V2279" s="102"/>
      <c r="W2279" s="70"/>
      <c r="X2279" s="103"/>
      <c r="Y2279" s="226"/>
      <c r="Z2279" s="133"/>
      <c r="AA2279" s="70"/>
      <c r="AB2279" s="70"/>
      <c r="AC2279" s="70"/>
      <c r="AD2279" s="71"/>
      <c r="AE2279" s="71"/>
      <c r="AF2279" s="72"/>
      <c r="AG2279" s="73"/>
      <c r="AH2279" s="79"/>
      <c r="AI2279" s="102"/>
      <c r="AJ2279" s="70"/>
      <c r="AK2279" s="103"/>
      <c r="AL2279" s="104"/>
      <c r="AM2279" s="105"/>
      <c r="AN2279" s="115"/>
      <c r="AO2279" s="115"/>
      <c r="AP2279" s="115"/>
      <c r="AQ2279" s="93"/>
      <c r="AR2279" s="93"/>
      <c r="AS2279" s="94"/>
      <c r="AT2279" s="95"/>
      <c r="AU2279" s="79"/>
      <c r="AV2279" s="117"/>
      <c r="AW2279" s="115"/>
      <c r="AX2279" s="106"/>
      <c r="AY2279" s="104"/>
      <c r="AZ2279" s="105"/>
    </row>
    <row r="2280" customHeight="1" spans="1:52">
      <c r="A2280" s="70">
        <v>2299</v>
      </c>
      <c r="B2280" s="108" t="s">
        <v>281</v>
      </c>
      <c r="C2280" s="70" t="s">
        <v>264</v>
      </c>
      <c r="D2280" s="108" t="s">
        <v>5564</v>
      </c>
      <c r="E2280" s="71" t="s">
        <v>5565</v>
      </c>
      <c r="F2280" s="72"/>
      <c r="G2280" s="73"/>
      <c r="H2280" s="75"/>
      <c r="I2280" s="102">
        <v>46295</v>
      </c>
      <c r="J2280" s="70">
        <v>3</v>
      </c>
      <c r="K2280" s="106" t="s">
        <v>5566</v>
      </c>
      <c r="L2280" s="104">
        <f t="shared" si="553"/>
        <v>46386</v>
      </c>
      <c r="M2280" s="105">
        <f ca="1" t="shared" si="554"/>
        <v>73</v>
      </c>
      <c r="N2280" s="70"/>
      <c r="O2280" s="70"/>
      <c r="P2280" s="70"/>
      <c r="Q2280" s="71"/>
      <c r="R2280" s="71"/>
      <c r="S2280" s="72"/>
      <c r="T2280" s="73"/>
      <c r="U2280" s="79"/>
      <c r="V2280" s="102"/>
      <c r="W2280" s="70"/>
      <c r="X2280" s="103"/>
      <c r="Y2280" s="226"/>
      <c r="Z2280" s="133"/>
      <c r="AA2280" s="70"/>
      <c r="AB2280" s="70"/>
      <c r="AC2280" s="70"/>
      <c r="AD2280" s="71"/>
      <c r="AE2280" s="71"/>
      <c r="AF2280" s="72"/>
      <c r="AG2280" s="73"/>
      <c r="AH2280" s="79"/>
      <c r="AI2280" s="102"/>
      <c r="AJ2280" s="70"/>
      <c r="AK2280" s="103"/>
      <c r="AL2280" s="104"/>
      <c r="AM2280" s="105"/>
      <c r="AN2280" s="115"/>
      <c r="AO2280" s="115"/>
      <c r="AP2280" s="115"/>
      <c r="AQ2280" s="93"/>
      <c r="AR2280" s="93"/>
      <c r="AS2280" s="94"/>
      <c r="AT2280" s="95"/>
      <c r="AU2280" s="79"/>
      <c r="AV2280" s="117"/>
      <c r="AW2280" s="115"/>
      <c r="AX2280" s="106"/>
      <c r="AY2280" s="104"/>
      <c r="AZ2280" s="105"/>
    </row>
    <row r="2281" customHeight="1" spans="1:52">
      <c r="A2281" s="70">
        <v>2300</v>
      </c>
      <c r="B2281" s="108" t="s">
        <v>295</v>
      </c>
      <c r="C2281" s="70" t="s">
        <v>264</v>
      </c>
      <c r="D2281" s="108" t="s">
        <v>2694</v>
      </c>
      <c r="E2281" s="71" t="s">
        <v>5270</v>
      </c>
      <c r="F2281" s="72"/>
      <c r="G2281" s="73"/>
      <c r="H2281" s="75"/>
      <c r="I2281" s="102">
        <v>46295</v>
      </c>
      <c r="J2281" s="70" t="s">
        <v>767</v>
      </c>
      <c r="K2281" s="106"/>
      <c r="L2281" s="104" t="e">
        <f t="shared" si="553"/>
        <v>#VALUE!</v>
      </c>
      <c r="M2281" s="105" t="e">
        <f ca="1" t="shared" si="554"/>
        <v>#VALUE!</v>
      </c>
      <c r="N2281" s="70"/>
      <c r="O2281" s="70"/>
      <c r="P2281" s="70"/>
      <c r="Q2281" s="71"/>
      <c r="R2281" s="71"/>
      <c r="S2281" s="72"/>
      <c r="T2281" s="73"/>
      <c r="U2281" s="79"/>
      <c r="V2281" s="102"/>
      <c r="W2281" s="70"/>
      <c r="X2281" s="103"/>
      <c r="Y2281" s="226"/>
      <c r="Z2281" s="133"/>
      <c r="AA2281" s="70"/>
      <c r="AB2281" s="70"/>
      <c r="AC2281" s="70"/>
      <c r="AD2281" s="71"/>
      <c r="AE2281" s="71"/>
      <c r="AF2281" s="72"/>
      <c r="AG2281" s="73"/>
      <c r="AH2281" s="79"/>
      <c r="AI2281" s="102"/>
      <c r="AJ2281" s="70"/>
      <c r="AK2281" s="103"/>
      <c r="AL2281" s="104"/>
      <c r="AM2281" s="105"/>
      <c r="AN2281" s="115"/>
      <c r="AO2281" s="115"/>
      <c r="AP2281" s="115"/>
      <c r="AQ2281" s="93"/>
      <c r="AR2281" s="93"/>
      <c r="AS2281" s="94"/>
      <c r="AT2281" s="95"/>
      <c r="AU2281" s="79"/>
      <c r="AV2281" s="117"/>
      <c r="AW2281" s="115"/>
      <c r="AX2281" s="106"/>
      <c r="AY2281" s="104"/>
      <c r="AZ2281" s="105"/>
    </row>
    <row r="2282" customHeight="1" spans="1:52">
      <c r="A2282" s="70">
        <v>2301</v>
      </c>
      <c r="B2282" s="108" t="s">
        <v>295</v>
      </c>
      <c r="C2282" s="70" t="s">
        <v>264</v>
      </c>
      <c r="D2282" s="108" t="s">
        <v>3020</v>
      </c>
      <c r="E2282" s="71" t="s">
        <v>3024</v>
      </c>
      <c r="F2282" s="72"/>
      <c r="G2282" s="73"/>
      <c r="H2282" s="236"/>
      <c r="I2282" s="102">
        <v>46295</v>
      </c>
      <c r="J2282" s="70" t="s">
        <v>767</v>
      </c>
      <c r="K2282" s="106"/>
      <c r="L2282" s="104" t="e">
        <f t="shared" si="553"/>
        <v>#VALUE!</v>
      </c>
      <c r="M2282" s="105" t="e">
        <f ca="1" t="shared" si="554"/>
        <v>#VALUE!</v>
      </c>
      <c r="N2282" s="70"/>
      <c r="O2282" s="70"/>
      <c r="P2282" s="70"/>
      <c r="Q2282" s="71"/>
      <c r="R2282" s="71"/>
      <c r="S2282" s="72"/>
      <c r="T2282" s="73"/>
      <c r="U2282" s="79"/>
      <c r="V2282" s="102"/>
      <c r="W2282" s="70"/>
      <c r="X2282" s="103"/>
      <c r="Y2282" s="226"/>
      <c r="Z2282" s="133"/>
      <c r="AA2282" s="70"/>
      <c r="AB2282" s="70"/>
      <c r="AC2282" s="70"/>
      <c r="AD2282" s="71"/>
      <c r="AE2282" s="71"/>
      <c r="AF2282" s="72"/>
      <c r="AG2282" s="73"/>
      <c r="AH2282" s="79"/>
      <c r="AI2282" s="102"/>
      <c r="AJ2282" s="70"/>
      <c r="AK2282" s="103"/>
      <c r="AL2282" s="104"/>
      <c r="AM2282" s="105"/>
      <c r="AN2282" s="115"/>
      <c r="AO2282" s="115"/>
      <c r="AP2282" s="115"/>
      <c r="AQ2282" s="93"/>
      <c r="AR2282" s="93"/>
      <c r="AS2282" s="94"/>
      <c r="AT2282" s="95"/>
      <c r="AU2282" s="79"/>
      <c r="AV2282" s="117"/>
      <c r="AW2282" s="115"/>
      <c r="AX2282" s="106"/>
      <c r="AY2282" s="104"/>
      <c r="AZ2282" s="105"/>
    </row>
    <row r="2283" customHeight="1" spans="1:52">
      <c r="A2283" s="70">
        <v>2302</v>
      </c>
      <c r="B2283" s="108" t="s">
        <v>5567</v>
      </c>
      <c r="C2283" s="70" t="s">
        <v>13</v>
      </c>
      <c r="D2283" s="108" t="s">
        <v>5568</v>
      </c>
      <c r="E2283" s="71" t="s">
        <v>76</v>
      </c>
      <c r="F2283" s="72"/>
      <c r="G2283" s="73"/>
      <c r="H2283" s="74" t="s">
        <v>16</v>
      </c>
      <c r="I2283" s="102">
        <v>46299</v>
      </c>
      <c r="J2283" s="70">
        <v>3</v>
      </c>
      <c r="K2283" s="106" t="s">
        <v>5569</v>
      </c>
      <c r="L2283" s="104">
        <f t="shared" si="553"/>
        <v>46391</v>
      </c>
      <c r="M2283" s="105">
        <f ca="1" t="shared" si="554"/>
        <v>78</v>
      </c>
      <c r="N2283" s="70"/>
      <c r="O2283" s="70"/>
      <c r="P2283" s="70"/>
      <c r="Q2283" s="71"/>
      <c r="R2283" s="71"/>
      <c r="S2283" s="72"/>
      <c r="T2283" s="73"/>
      <c r="U2283" s="79"/>
      <c r="V2283" s="102"/>
      <c r="W2283" s="70"/>
      <c r="X2283" s="103"/>
      <c r="Y2283" s="226"/>
      <c r="Z2283" s="133"/>
      <c r="AA2283" s="70"/>
      <c r="AB2283" s="70"/>
      <c r="AC2283" s="70"/>
      <c r="AD2283" s="71"/>
      <c r="AE2283" s="71"/>
      <c r="AF2283" s="72"/>
      <c r="AG2283" s="73"/>
      <c r="AH2283" s="79"/>
      <c r="AI2283" s="102"/>
      <c r="AJ2283" s="70"/>
      <c r="AK2283" s="103"/>
      <c r="AL2283" s="104"/>
      <c r="AM2283" s="105"/>
      <c r="AN2283" s="115"/>
      <c r="AO2283" s="115"/>
      <c r="AP2283" s="115"/>
      <c r="AQ2283" s="93"/>
      <c r="AR2283" s="93"/>
      <c r="AS2283" s="94"/>
      <c r="AT2283" s="95"/>
      <c r="AU2283" s="79"/>
      <c r="AV2283" s="117"/>
      <c r="AW2283" s="115"/>
      <c r="AX2283" s="106"/>
      <c r="AY2283" s="104"/>
      <c r="AZ2283" s="105"/>
    </row>
    <row r="2284" customHeight="1" spans="1:52">
      <c r="A2284" s="70">
        <v>2303</v>
      </c>
      <c r="B2284" s="108" t="s">
        <v>644</v>
      </c>
      <c r="C2284" s="70" t="s">
        <v>264</v>
      </c>
      <c r="D2284" s="108" t="s">
        <v>1922</v>
      </c>
      <c r="E2284" s="71" t="s">
        <v>753</v>
      </c>
      <c r="F2284" s="72"/>
      <c r="G2284" s="73"/>
      <c r="H2284" s="75"/>
      <c r="I2284" s="102">
        <v>46299</v>
      </c>
      <c r="J2284" s="70" t="s">
        <v>767</v>
      </c>
      <c r="K2284" s="106"/>
      <c r="L2284" s="104" t="e">
        <f t="shared" si="553"/>
        <v>#VALUE!</v>
      </c>
      <c r="M2284" s="105" t="e">
        <f ca="1" t="shared" si="554"/>
        <v>#VALUE!</v>
      </c>
      <c r="N2284" s="70"/>
      <c r="O2284" s="70"/>
      <c r="P2284" s="70"/>
      <c r="Q2284" s="71"/>
      <c r="R2284" s="71"/>
      <c r="S2284" s="72"/>
      <c r="T2284" s="73"/>
      <c r="U2284" s="79"/>
      <c r="V2284" s="102"/>
      <c r="W2284" s="70"/>
      <c r="X2284" s="103"/>
      <c r="Y2284" s="226"/>
      <c r="Z2284" s="133"/>
      <c r="AA2284" s="70"/>
      <c r="AB2284" s="70"/>
      <c r="AC2284" s="70"/>
      <c r="AD2284" s="71"/>
      <c r="AE2284" s="71"/>
      <c r="AF2284" s="72"/>
      <c r="AG2284" s="73"/>
      <c r="AH2284" s="79"/>
      <c r="AI2284" s="102"/>
      <c r="AJ2284" s="70"/>
      <c r="AK2284" s="103"/>
      <c r="AL2284" s="104"/>
      <c r="AM2284" s="105"/>
      <c r="AN2284" s="115"/>
      <c r="AO2284" s="115"/>
      <c r="AP2284" s="115"/>
      <c r="AQ2284" s="93"/>
      <c r="AR2284" s="93"/>
      <c r="AS2284" s="94"/>
      <c r="AT2284" s="95"/>
      <c r="AU2284" s="79"/>
      <c r="AV2284" s="117"/>
      <c r="AW2284" s="115"/>
      <c r="AX2284" s="106"/>
      <c r="AY2284" s="104"/>
      <c r="AZ2284" s="105"/>
    </row>
    <row r="2285" customHeight="1" spans="1:52">
      <c r="A2285" s="70">
        <v>2304</v>
      </c>
      <c r="B2285" s="108" t="s">
        <v>263</v>
      </c>
      <c r="C2285" s="70" t="s">
        <v>264</v>
      </c>
      <c r="D2285" s="108" t="s">
        <v>2433</v>
      </c>
      <c r="E2285" s="71" t="s">
        <v>753</v>
      </c>
      <c r="F2285" s="72"/>
      <c r="G2285" s="73"/>
      <c r="H2285" s="75"/>
      <c r="I2285" s="102">
        <v>46299</v>
      </c>
      <c r="J2285" s="70" t="s">
        <v>767</v>
      </c>
      <c r="K2285" s="106"/>
      <c r="L2285" s="104" t="e">
        <f t="shared" si="553"/>
        <v>#VALUE!</v>
      </c>
      <c r="M2285" s="105" t="e">
        <f ca="1" t="shared" si="554"/>
        <v>#VALUE!</v>
      </c>
      <c r="N2285" s="70"/>
      <c r="O2285" s="70"/>
      <c r="P2285" s="70"/>
      <c r="Q2285" s="71"/>
      <c r="R2285" s="71"/>
      <c r="S2285" s="72"/>
      <c r="T2285" s="73"/>
      <c r="U2285" s="79"/>
      <c r="V2285" s="102"/>
      <c r="W2285" s="70"/>
      <c r="X2285" s="103"/>
      <c r="Y2285" s="226"/>
      <c r="Z2285" s="133"/>
      <c r="AA2285" s="70"/>
      <c r="AB2285" s="70"/>
      <c r="AC2285" s="70"/>
      <c r="AD2285" s="71"/>
      <c r="AE2285" s="71"/>
      <c r="AF2285" s="72"/>
      <c r="AG2285" s="73"/>
      <c r="AH2285" s="79"/>
      <c r="AI2285" s="102"/>
      <c r="AJ2285" s="70"/>
      <c r="AK2285" s="103"/>
      <c r="AL2285" s="104"/>
      <c r="AM2285" s="105"/>
      <c r="AN2285" s="115"/>
      <c r="AO2285" s="115"/>
      <c r="AP2285" s="115"/>
      <c r="AQ2285" s="93"/>
      <c r="AR2285" s="93"/>
      <c r="AS2285" s="94"/>
      <c r="AT2285" s="95"/>
      <c r="AU2285" s="79"/>
      <c r="AV2285" s="117"/>
      <c r="AW2285" s="115"/>
      <c r="AX2285" s="106"/>
      <c r="AY2285" s="104"/>
      <c r="AZ2285" s="105"/>
    </row>
    <row r="2286" customHeight="1" spans="1:52">
      <c r="A2286" s="70"/>
      <c r="B2286" s="237" t="s">
        <v>134</v>
      </c>
      <c r="C2286" s="70" t="s">
        <v>38</v>
      </c>
      <c r="D2286" s="237" t="s">
        <v>5570</v>
      </c>
      <c r="E2286" s="71" t="s">
        <v>189</v>
      </c>
      <c r="F2286" s="72"/>
      <c r="G2286" s="73"/>
      <c r="H2286" s="79"/>
      <c r="I2286" s="102">
        <v>46300</v>
      </c>
      <c r="J2286" s="70">
        <v>3</v>
      </c>
      <c r="K2286" s="106" t="s">
        <v>5571</v>
      </c>
      <c r="L2286" s="104">
        <f t="shared" si="553"/>
        <v>46392</v>
      </c>
      <c r="M2286" s="105">
        <f ca="1" t="shared" si="554"/>
        <v>79</v>
      </c>
      <c r="N2286" s="70"/>
      <c r="O2286" s="70"/>
      <c r="P2286" s="70"/>
      <c r="Q2286" s="71"/>
      <c r="R2286" s="71"/>
      <c r="S2286" s="72"/>
      <c r="T2286" s="73"/>
      <c r="U2286" s="79"/>
      <c r="V2286" s="102"/>
      <c r="W2286" s="70"/>
      <c r="X2286" s="103"/>
      <c r="Y2286" s="226"/>
      <c r="Z2286" s="133"/>
      <c r="AA2286" s="70"/>
      <c r="AB2286" s="70"/>
      <c r="AC2286" s="70"/>
      <c r="AD2286" s="71"/>
      <c r="AE2286" s="71"/>
      <c r="AF2286" s="72"/>
      <c r="AG2286" s="73"/>
      <c r="AH2286" s="79"/>
      <c r="AI2286" s="102"/>
      <c r="AJ2286" s="70"/>
      <c r="AK2286" s="103"/>
      <c r="AL2286" s="104"/>
      <c r="AM2286" s="105"/>
      <c r="AN2286" s="115"/>
      <c r="AO2286" s="115"/>
      <c r="AP2286" s="115"/>
      <c r="AQ2286" s="93"/>
      <c r="AR2286" s="93"/>
      <c r="AS2286" s="94"/>
      <c r="AT2286" s="95"/>
      <c r="AU2286" s="79"/>
      <c r="AV2286" s="117"/>
      <c r="AW2286" s="115"/>
      <c r="AX2286" s="106"/>
      <c r="AY2286" s="104"/>
      <c r="AZ2286" s="105"/>
    </row>
    <row r="2287" customHeight="1" spans="1:52">
      <c r="A2287" s="70">
        <v>2305</v>
      </c>
      <c r="B2287" s="70" t="s">
        <v>5572</v>
      </c>
      <c r="C2287" s="70" t="s">
        <v>38</v>
      </c>
      <c r="D2287" s="71" t="s">
        <v>5573</v>
      </c>
      <c r="E2287" s="71" t="s">
        <v>3387</v>
      </c>
      <c r="F2287" s="72"/>
      <c r="G2287" s="73"/>
      <c r="H2287" s="74" t="s">
        <v>16</v>
      </c>
      <c r="I2287" s="102">
        <v>46301</v>
      </c>
      <c r="J2287" s="70">
        <v>3</v>
      </c>
      <c r="K2287" s="106" t="s">
        <v>5574</v>
      </c>
      <c r="L2287" s="104">
        <f t="shared" ref="L2287:L2297" si="555">EDATE(I2287,J2287)</f>
        <v>46393</v>
      </c>
      <c r="M2287" s="105">
        <f ca="1" t="shared" ref="M2287:M2297" si="556">L2287-TODAY()</f>
        <v>80</v>
      </c>
      <c r="N2287" s="70"/>
      <c r="O2287" s="70"/>
      <c r="P2287" s="70"/>
      <c r="Q2287" s="71"/>
      <c r="R2287" s="71"/>
      <c r="S2287" s="72"/>
      <c r="T2287" s="73"/>
      <c r="U2287" s="79"/>
      <c r="V2287" s="102"/>
      <c r="W2287" s="70"/>
      <c r="X2287" s="103"/>
      <c r="Y2287" s="226"/>
      <c r="Z2287" s="133"/>
      <c r="AA2287" s="70"/>
      <c r="AB2287" s="70"/>
      <c r="AC2287" s="70"/>
      <c r="AD2287" s="71"/>
      <c r="AE2287" s="71"/>
      <c r="AF2287" s="72"/>
      <c r="AG2287" s="73"/>
      <c r="AH2287" s="79"/>
      <c r="AI2287" s="102"/>
      <c r="AJ2287" s="70"/>
      <c r="AK2287" s="103"/>
      <c r="AL2287" s="104"/>
      <c r="AM2287" s="105"/>
      <c r="AN2287" s="115"/>
      <c r="AO2287" s="115"/>
      <c r="AP2287" s="115"/>
      <c r="AQ2287" s="93"/>
      <c r="AR2287" s="93"/>
      <c r="AS2287" s="94"/>
      <c r="AT2287" s="95"/>
      <c r="AU2287" s="79"/>
      <c r="AV2287" s="117"/>
      <c r="AW2287" s="115"/>
      <c r="AX2287" s="106"/>
      <c r="AY2287" s="104"/>
      <c r="AZ2287" s="105"/>
    </row>
    <row r="2288" customHeight="1" spans="1:52">
      <c r="A2288" s="70">
        <v>2306</v>
      </c>
      <c r="B2288" s="70" t="s">
        <v>134</v>
      </c>
      <c r="C2288" s="70" t="s">
        <v>13</v>
      </c>
      <c r="D2288" s="71" t="s">
        <v>5575</v>
      </c>
      <c r="E2288" s="71" t="s">
        <v>45</v>
      </c>
      <c r="F2288" s="72"/>
      <c r="G2288" s="73"/>
      <c r="H2288" s="74" t="s">
        <v>16</v>
      </c>
      <c r="I2288" s="102">
        <v>46301</v>
      </c>
      <c r="J2288" s="70">
        <v>3</v>
      </c>
      <c r="K2288" s="106" t="s">
        <v>5576</v>
      </c>
      <c r="L2288" s="104">
        <f t="shared" si="555"/>
        <v>46393</v>
      </c>
      <c r="M2288" s="105">
        <f ca="1" t="shared" si="556"/>
        <v>80</v>
      </c>
      <c r="N2288" s="70"/>
      <c r="O2288" s="70"/>
      <c r="P2288" s="70"/>
      <c r="Q2288" s="71"/>
      <c r="R2288" s="71"/>
      <c r="S2288" s="72"/>
      <c r="T2288" s="73"/>
      <c r="U2288" s="79"/>
      <c r="V2288" s="102"/>
      <c r="W2288" s="70"/>
      <c r="X2288" s="103"/>
      <c r="Y2288" s="226"/>
      <c r="Z2288" s="133"/>
      <c r="AA2288" s="70"/>
      <c r="AB2288" s="70"/>
      <c r="AC2288" s="70"/>
      <c r="AD2288" s="71"/>
      <c r="AE2288" s="71"/>
      <c r="AF2288" s="72"/>
      <c r="AG2288" s="73"/>
      <c r="AH2288" s="79"/>
      <c r="AI2288" s="102"/>
      <c r="AJ2288" s="70"/>
      <c r="AK2288" s="103"/>
      <c r="AL2288" s="104"/>
      <c r="AM2288" s="105"/>
      <c r="AN2288" s="115"/>
      <c r="AO2288" s="115"/>
      <c r="AP2288" s="115"/>
      <c r="AQ2288" s="93"/>
      <c r="AR2288" s="93"/>
      <c r="AS2288" s="94"/>
      <c r="AT2288" s="95"/>
      <c r="AU2288" s="79"/>
      <c r="AV2288" s="117"/>
      <c r="AW2288" s="115"/>
      <c r="AX2288" s="106"/>
      <c r="AY2288" s="104"/>
      <c r="AZ2288" s="105"/>
    </row>
    <row r="2289" customHeight="1" spans="1:52">
      <c r="A2289" s="70">
        <v>2307</v>
      </c>
      <c r="B2289" s="70" t="s">
        <v>4124</v>
      </c>
      <c r="C2289" s="70" t="s">
        <v>13</v>
      </c>
      <c r="D2289" s="71" t="s">
        <v>93</v>
      </c>
      <c r="E2289" s="71" t="s">
        <v>1003</v>
      </c>
      <c r="F2289" s="72"/>
      <c r="G2289" s="73"/>
      <c r="H2289" s="75"/>
      <c r="I2289" s="102">
        <v>46301</v>
      </c>
      <c r="J2289" s="70" t="s">
        <v>767</v>
      </c>
      <c r="K2289" s="106"/>
      <c r="L2289" s="104" t="e">
        <f t="shared" si="555"/>
        <v>#VALUE!</v>
      </c>
      <c r="M2289" s="105" t="e">
        <f ca="1" t="shared" si="556"/>
        <v>#VALUE!</v>
      </c>
      <c r="N2289" s="70"/>
      <c r="O2289" s="70"/>
      <c r="P2289" s="70"/>
      <c r="Q2289" s="71"/>
      <c r="R2289" s="71"/>
      <c r="S2289" s="72"/>
      <c r="T2289" s="73"/>
      <c r="U2289" s="79"/>
      <c r="V2289" s="102"/>
      <c r="W2289" s="70"/>
      <c r="X2289" s="103"/>
      <c r="Y2289" s="226"/>
      <c r="Z2289" s="133"/>
      <c r="AA2289" s="70"/>
      <c r="AB2289" s="70"/>
      <c r="AC2289" s="70"/>
      <c r="AD2289" s="71"/>
      <c r="AE2289" s="71"/>
      <c r="AF2289" s="72"/>
      <c r="AG2289" s="73"/>
      <c r="AH2289" s="79"/>
      <c r="AI2289" s="102"/>
      <c r="AJ2289" s="70"/>
      <c r="AK2289" s="103"/>
      <c r="AL2289" s="104"/>
      <c r="AM2289" s="105"/>
      <c r="AN2289" s="115"/>
      <c r="AO2289" s="115"/>
      <c r="AP2289" s="115"/>
      <c r="AQ2289" s="93"/>
      <c r="AR2289" s="93"/>
      <c r="AS2289" s="94"/>
      <c r="AT2289" s="95"/>
      <c r="AU2289" s="79"/>
      <c r="AV2289" s="117"/>
      <c r="AW2289" s="115"/>
      <c r="AX2289" s="106"/>
      <c r="AY2289" s="104"/>
      <c r="AZ2289" s="105"/>
    </row>
    <row r="2290" customHeight="1" spans="1:52">
      <c r="A2290" s="70">
        <v>2308</v>
      </c>
      <c r="B2290" s="108" t="s">
        <v>270</v>
      </c>
      <c r="C2290" s="70" t="s">
        <v>264</v>
      </c>
      <c r="D2290" s="108" t="s">
        <v>958</v>
      </c>
      <c r="E2290" s="71" t="s">
        <v>368</v>
      </c>
      <c r="F2290" s="72"/>
      <c r="G2290" s="73"/>
      <c r="H2290" s="75"/>
      <c r="I2290" s="102">
        <v>46301</v>
      </c>
      <c r="J2290" s="70" t="s">
        <v>767</v>
      </c>
      <c r="K2290" s="106"/>
      <c r="L2290" s="104" t="e">
        <f t="shared" si="555"/>
        <v>#VALUE!</v>
      </c>
      <c r="M2290" s="105" t="e">
        <f ca="1" t="shared" si="556"/>
        <v>#VALUE!</v>
      </c>
      <c r="N2290" s="70"/>
      <c r="O2290" s="70"/>
      <c r="P2290" s="70"/>
      <c r="Q2290" s="71"/>
      <c r="R2290" s="71"/>
      <c r="S2290" s="72"/>
      <c r="T2290" s="73"/>
      <c r="U2290" s="79"/>
      <c r="V2290" s="102"/>
      <c r="W2290" s="70"/>
      <c r="X2290" s="103"/>
      <c r="Y2290" s="226"/>
      <c r="Z2290" s="133"/>
      <c r="AA2290" s="70"/>
      <c r="AB2290" s="70"/>
      <c r="AC2290" s="70"/>
      <c r="AD2290" s="71"/>
      <c r="AE2290" s="71"/>
      <c r="AF2290" s="72"/>
      <c r="AG2290" s="73"/>
      <c r="AH2290" s="79"/>
      <c r="AI2290" s="102"/>
      <c r="AJ2290" s="70"/>
      <c r="AK2290" s="103"/>
      <c r="AL2290" s="104"/>
      <c r="AM2290" s="105"/>
      <c r="AN2290" s="115"/>
      <c r="AO2290" s="115"/>
      <c r="AP2290" s="115"/>
      <c r="AQ2290" s="93"/>
      <c r="AR2290" s="93"/>
      <c r="AS2290" s="94"/>
      <c r="AT2290" s="95"/>
      <c r="AU2290" s="79"/>
      <c r="AV2290" s="117"/>
      <c r="AW2290" s="115"/>
      <c r="AX2290" s="106"/>
      <c r="AY2290" s="104"/>
      <c r="AZ2290" s="105"/>
    </row>
    <row r="2291" customHeight="1" spans="1:52">
      <c r="A2291" s="70">
        <v>2309</v>
      </c>
      <c r="B2291" s="108" t="s">
        <v>782</v>
      </c>
      <c r="C2291" s="70" t="s">
        <v>374</v>
      </c>
      <c r="D2291" s="108" t="s">
        <v>5577</v>
      </c>
      <c r="E2291" s="71" t="s">
        <v>3027</v>
      </c>
      <c r="F2291" s="72"/>
      <c r="G2291" s="73"/>
      <c r="H2291" s="74" t="s">
        <v>16</v>
      </c>
      <c r="I2291" s="102">
        <v>46302</v>
      </c>
      <c r="J2291" s="70">
        <v>3</v>
      </c>
      <c r="K2291" s="106" t="s">
        <v>5578</v>
      </c>
      <c r="L2291" s="104">
        <f t="shared" si="555"/>
        <v>46394</v>
      </c>
      <c r="M2291" s="105">
        <f ca="1" t="shared" si="556"/>
        <v>81</v>
      </c>
      <c r="N2291" s="70"/>
      <c r="O2291" s="70"/>
      <c r="P2291" s="70"/>
      <c r="Q2291" s="71"/>
      <c r="R2291" s="71"/>
      <c r="S2291" s="72"/>
      <c r="T2291" s="73"/>
      <c r="U2291" s="79"/>
      <c r="V2291" s="102"/>
      <c r="W2291" s="70"/>
      <c r="X2291" s="103"/>
      <c r="Y2291" s="226"/>
      <c r="Z2291" s="133"/>
      <c r="AA2291" s="70"/>
      <c r="AB2291" s="70"/>
      <c r="AC2291" s="70"/>
      <c r="AD2291" s="71"/>
      <c r="AE2291" s="71"/>
      <c r="AF2291" s="72"/>
      <c r="AG2291" s="73"/>
      <c r="AH2291" s="79"/>
      <c r="AI2291" s="102"/>
      <c r="AJ2291" s="70"/>
      <c r="AK2291" s="103"/>
      <c r="AL2291" s="104"/>
      <c r="AM2291" s="105"/>
      <c r="AN2291" s="115"/>
      <c r="AO2291" s="115"/>
      <c r="AP2291" s="115"/>
      <c r="AQ2291" s="93"/>
      <c r="AR2291" s="93"/>
      <c r="AS2291" s="94"/>
      <c r="AT2291" s="95"/>
      <c r="AU2291" s="79"/>
      <c r="AV2291" s="117"/>
      <c r="AW2291" s="115"/>
      <c r="AX2291" s="106"/>
      <c r="AY2291" s="104"/>
      <c r="AZ2291" s="105"/>
    </row>
    <row r="2292" customHeight="1" spans="1:52">
      <c r="A2292" s="70">
        <v>2310</v>
      </c>
      <c r="B2292" s="70" t="s">
        <v>555</v>
      </c>
      <c r="C2292" s="70" t="s">
        <v>374</v>
      </c>
      <c r="D2292" s="71" t="s">
        <v>5579</v>
      </c>
      <c r="E2292" s="71" t="s">
        <v>664</v>
      </c>
      <c r="F2292" s="72"/>
      <c r="G2292" s="73"/>
      <c r="H2292" s="74" t="s">
        <v>16</v>
      </c>
      <c r="I2292" s="102">
        <v>46302</v>
      </c>
      <c r="J2292" s="70">
        <v>3</v>
      </c>
      <c r="K2292" s="106" t="s">
        <v>5580</v>
      </c>
      <c r="L2292" s="104">
        <f t="shared" si="555"/>
        <v>46394</v>
      </c>
      <c r="M2292" s="105">
        <f ca="1" t="shared" si="556"/>
        <v>81</v>
      </c>
      <c r="N2292" s="70"/>
      <c r="O2292" s="70"/>
      <c r="P2292" s="70"/>
      <c r="Q2292" s="71"/>
      <c r="R2292" s="71"/>
      <c r="S2292" s="72"/>
      <c r="T2292" s="73"/>
      <c r="U2292" s="79"/>
      <c r="V2292" s="102"/>
      <c r="W2292" s="70"/>
      <c r="X2292" s="103"/>
      <c r="Y2292" s="226"/>
      <c r="Z2292" s="133"/>
      <c r="AA2292" s="70"/>
      <c r="AB2292" s="70"/>
      <c r="AC2292" s="70"/>
      <c r="AD2292" s="71"/>
      <c r="AE2292" s="71"/>
      <c r="AF2292" s="72"/>
      <c r="AG2292" s="73"/>
      <c r="AH2292" s="79"/>
      <c r="AI2292" s="102"/>
      <c r="AJ2292" s="70"/>
      <c r="AK2292" s="103"/>
      <c r="AL2292" s="104"/>
      <c r="AM2292" s="105"/>
      <c r="AN2292" s="115"/>
      <c r="AO2292" s="115"/>
      <c r="AP2292" s="115"/>
      <c r="AQ2292" s="93"/>
      <c r="AR2292" s="93"/>
      <c r="AS2292" s="94"/>
      <c r="AT2292" s="95"/>
      <c r="AU2292" s="79"/>
      <c r="AV2292" s="117"/>
      <c r="AW2292" s="115"/>
      <c r="AX2292" s="106"/>
      <c r="AY2292" s="104"/>
      <c r="AZ2292" s="105"/>
    </row>
    <row r="2293" customHeight="1" spans="1:52">
      <c r="A2293" s="70">
        <v>2311</v>
      </c>
      <c r="B2293" s="108" t="s">
        <v>270</v>
      </c>
      <c r="C2293" s="70" t="s">
        <v>264</v>
      </c>
      <c r="D2293" s="108" t="s">
        <v>958</v>
      </c>
      <c r="E2293" s="71" t="s">
        <v>4334</v>
      </c>
      <c r="F2293" s="72"/>
      <c r="G2293" s="73"/>
      <c r="H2293" s="75"/>
      <c r="I2293" s="102">
        <v>46303</v>
      </c>
      <c r="J2293" s="70" t="s">
        <v>767</v>
      </c>
      <c r="K2293" s="106"/>
      <c r="L2293" s="104" t="e">
        <f t="shared" si="555"/>
        <v>#VALUE!</v>
      </c>
      <c r="M2293" s="105" t="e">
        <f ca="1" t="shared" si="556"/>
        <v>#VALUE!</v>
      </c>
      <c r="N2293" s="70"/>
      <c r="O2293" s="70"/>
      <c r="P2293" s="70"/>
      <c r="Q2293" s="71"/>
      <c r="R2293" s="71"/>
      <c r="S2293" s="72"/>
      <c r="T2293" s="73"/>
      <c r="U2293" s="79"/>
      <c r="V2293" s="102"/>
      <c r="W2293" s="70"/>
      <c r="X2293" s="103"/>
      <c r="Y2293" s="226"/>
      <c r="Z2293" s="133"/>
      <c r="AA2293" s="70"/>
      <c r="AB2293" s="70"/>
      <c r="AC2293" s="70"/>
      <c r="AD2293" s="71"/>
      <c r="AE2293" s="71"/>
      <c r="AF2293" s="72"/>
      <c r="AG2293" s="73"/>
      <c r="AH2293" s="79"/>
      <c r="AI2293" s="102"/>
      <c r="AJ2293" s="70"/>
      <c r="AK2293" s="103"/>
      <c r="AL2293" s="104"/>
      <c r="AM2293" s="105"/>
      <c r="AN2293" s="115"/>
      <c r="AO2293" s="115"/>
      <c r="AP2293" s="115"/>
      <c r="AQ2293" s="93"/>
      <c r="AR2293" s="93"/>
      <c r="AS2293" s="94"/>
      <c r="AT2293" s="95"/>
      <c r="AU2293" s="79"/>
      <c r="AV2293" s="117"/>
      <c r="AW2293" s="115"/>
      <c r="AX2293" s="106"/>
      <c r="AY2293" s="104"/>
      <c r="AZ2293" s="105"/>
    </row>
    <row r="2294" customHeight="1" spans="1:52">
      <c r="A2294" s="70">
        <v>2312</v>
      </c>
      <c r="B2294" s="108" t="s">
        <v>263</v>
      </c>
      <c r="C2294" s="70" t="s">
        <v>264</v>
      </c>
      <c r="D2294" s="108" t="s">
        <v>1922</v>
      </c>
      <c r="E2294" s="71" t="s">
        <v>753</v>
      </c>
      <c r="F2294" s="72"/>
      <c r="G2294" s="73"/>
      <c r="H2294" s="75"/>
      <c r="I2294" s="102">
        <v>46303</v>
      </c>
      <c r="J2294" s="70" t="s">
        <v>767</v>
      </c>
      <c r="K2294" s="106"/>
      <c r="L2294" s="104" t="e">
        <f t="shared" si="555"/>
        <v>#VALUE!</v>
      </c>
      <c r="M2294" s="105" t="e">
        <f ca="1" t="shared" si="556"/>
        <v>#VALUE!</v>
      </c>
      <c r="N2294" s="70"/>
      <c r="O2294" s="70"/>
      <c r="P2294" s="70"/>
      <c r="Q2294" s="71"/>
      <c r="R2294" s="71"/>
      <c r="S2294" s="72"/>
      <c r="T2294" s="73"/>
      <c r="U2294" s="79"/>
      <c r="V2294" s="102"/>
      <c r="W2294" s="70"/>
      <c r="X2294" s="103"/>
      <c r="Y2294" s="226"/>
      <c r="Z2294" s="133"/>
      <c r="AA2294" s="70"/>
      <c r="AB2294" s="70"/>
      <c r="AC2294" s="70"/>
      <c r="AD2294" s="71"/>
      <c r="AE2294" s="71"/>
      <c r="AF2294" s="72"/>
      <c r="AG2294" s="73"/>
      <c r="AH2294" s="79"/>
      <c r="AI2294" s="102"/>
      <c r="AJ2294" s="70"/>
      <c r="AK2294" s="103"/>
      <c r="AL2294" s="104"/>
      <c r="AM2294" s="105"/>
      <c r="AN2294" s="115"/>
      <c r="AO2294" s="115"/>
      <c r="AP2294" s="115"/>
      <c r="AQ2294" s="93"/>
      <c r="AR2294" s="93"/>
      <c r="AS2294" s="94"/>
      <c r="AT2294" s="95"/>
      <c r="AU2294" s="79"/>
      <c r="AV2294" s="117"/>
      <c r="AW2294" s="115"/>
      <c r="AX2294" s="106"/>
      <c r="AY2294" s="104"/>
      <c r="AZ2294" s="105"/>
    </row>
    <row r="2295" customHeight="1" spans="1:52">
      <c r="A2295" s="70">
        <v>2313</v>
      </c>
      <c r="B2295" s="108" t="s">
        <v>263</v>
      </c>
      <c r="C2295" s="70" t="s">
        <v>264</v>
      </c>
      <c r="D2295" s="108" t="s">
        <v>955</v>
      </c>
      <c r="E2295" s="71" t="s">
        <v>753</v>
      </c>
      <c r="F2295" s="72"/>
      <c r="G2295" s="73"/>
      <c r="H2295" s="75"/>
      <c r="I2295" s="102">
        <v>46303</v>
      </c>
      <c r="J2295" s="70" t="s">
        <v>767</v>
      </c>
      <c r="K2295" s="106"/>
      <c r="L2295" s="104" t="e">
        <f t="shared" si="555"/>
        <v>#VALUE!</v>
      </c>
      <c r="M2295" s="105" t="e">
        <f ca="1" t="shared" si="556"/>
        <v>#VALUE!</v>
      </c>
      <c r="N2295" s="70"/>
      <c r="O2295" s="70"/>
      <c r="P2295" s="70"/>
      <c r="Q2295" s="71"/>
      <c r="R2295" s="71"/>
      <c r="S2295" s="72"/>
      <c r="T2295" s="73"/>
      <c r="U2295" s="79"/>
      <c r="V2295" s="102"/>
      <c r="W2295" s="70"/>
      <c r="X2295" s="103"/>
      <c r="Y2295" s="226"/>
      <c r="Z2295" s="133"/>
      <c r="AA2295" s="70"/>
      <c r="AB2295" s="70"/>
      <c r="AC2295" s="70"/>
      <c r="AD2295" s="71"/>
      <c r="AE2295" s="71"/>
      <c r="AF2295" s="72"/>
      <c r="AG2295" s="73"/>
      <c r="AH2295" s="79"/>
      <c r="AI2295" s="102"/>
      <c r="AJ2295" s="70"/>
      <c r="AK2295" s="103"/>
      <c r="AL2295" s="104"/>
      <c r="AM2295" s="105"/>
      <c r="AN2295" s="115"/>
      <c r="AO2295" s="115"/>
      <c r="AP2295" s="115"/>
      <c r="AQ2295" s="93"/>
      <c r="AR2295" s="93"/>
      <c r="AS2295" s="94"/>
      <c r="AT2295" s="95"/>
      <c r="AU2295" s="79"/>
      <c r="AV2295" s="117"/>
      <c r="AW2295" s="115"/>
      <c r="AX2295" s="106"/>
      <c r="AY2295" s="104"/>
      <c r="AZ2295" s="105"/>
    </row>
    <row r="2296" customHeight="1" spans="1:52">
      <c r="A2296" s="70">
        <v>2314</v>
      </c>
      <c r="B2296" s="108" t="s">
        <v>3780</v>
      </c>
      <c r="C2296" s="70" t="s">
        <v>264</v>
      </c>
      <c r="D2296" s="108" t="s">
        <v>367</v>
      </c>
      <c r="E2296" s="71" t="s">
        <v>4334</v>
      </c>
      <c r="F2296" s="72"/>
      <c r="G2296" s="73"/>
      <c r="H2296" s="75"/>
      <c r="I2296" s="102">
        <v>46303</v>
      </c>
      <c r="J2296" s="70" t="s">
        <v>767</v>
      </c>
      <c r="K2296" s="106"/>
      <c r="L2296" s="104" t="e">
        <f t="shared" si="555"/>
        <v>#VALUE!</v>
      </c>
      <c r="M2296" s="105" t="e">
        <f ca="1" t="shared" si="556"/>
        <v>#VALUE!</v>
      </c>
      <c r="N2296" s="70"/>
      <c r="O2296" s="70"/>
      <c r="P2296" s="70"/>
      <c r="Q2296" s="71"/>
      <c r="R2296" s="71"/>
      <c r="S2296" s="72"/>
      <c r="T2296" s="73"/>
      <c r="U2296" s="79"/>
      <c r="V2296" s="102"/>
      <c r="W2296" s="70"/>
      <c r="X2296" s="103"/>
      <c r="Y2296" s="226"/>
      <c r="Z2296" s="133"/>
      <c r="AA2296" s="70"/>
      <c r="AB2296" s="70"/>
      <c r="AC2296" s="70"/>
      <c r="AD2296" s="71"/>
      <c r="AE2296" s="71"/>
      <c r="AF2296" s="72"/>
      <c r="AG2296" s="73"/>
      <c r="AH2296" s="79"/>
      <c r="AI2296" s="102"/>
      <c r="AJ2296" s="70"/>
      <c r="AK2296" s="103"/>
      <c r="AL2296" s="104"/>
      <c r="AM2296" s="105"/>
      <c r="AN2296" s="115"/>
      <c r="AO2296" s="115"/>
      <c r="AP2296" s="115"/>
      <c r="AQ2296" s="93"/>
      <c r="AR2296" s="93"/>
      <c r="AS2296" s="94"/>
      <c r="AT2296" s="95"/>
      <c r="AU2296" s="79"/>
      <c r="AV2296" s="117"/>
      <c r="AW2296" s="115"/>
      <c r="AX2296" s="106"/>
      <c r="AY2296" s="104"/>
      <c r="AZ2296" s="105"/>
    </row>
    <row r="2297" customHeight="1" spans="1:52">
      <c r="A2297" s="70">
        <v>2315</v>
      </c>
      <c r="B2297" s="70" t="s">
        <v>4124</v>
      </c>
      <c r="C2297" s="70" t="s">
        <v>13</v>
      </c>
      <c r="D2297" s="71" t="s">
        <v>93</v>
      </c>
      <c r="E2297" s="71" t="s">
        <v>1003</v>
      </c>
      <c r="F2297" s="72"/>
      <c r="G2297" s="73"/>
      <c r="H2297" s="75"/>
      <c r="I2297" s="102">
        <v>46303</v>
      </c>
      <c r="J2297" s="70" t="s">
        <v>767</v>
      </c>
      <c r="K2297" s="106"/>
      <c r="L2297" s="104" t="e">
        <f t="shared" ref="L2297:L2311" si="557">EDATE(I2297,J2297)</f>
        <v>#VALUE!</v>
      </c>
      <c r="M2297" s="105" t="e">
        <f ca="1" t="shared" ref="M2297:M2311" si="558">L2297-TODAY()</f>
        <v>#VALUE!</v>
      </c>
      <c r="N2297" s="70"/>
      <c r="O2297" s="70"/>
      <c r="P2297" s="70"/>
      <c r="Q2297" s="71"/>
      <c r="R2297" s="71"/>
      <c r="S2297" s="72"/>
      <c r="T2297" s="73"/>
      <c r="U2297" s="79"/>
      <c r="V2297" s="102"/>
      <c r="W2297" s="70"/>
      <c r="X2297" s="103"/>
      <c r="Y2297" s="226"/>
      <c r="Z2297" s="133"/>
      <c r="AA2297" s="70"/>
      <c r="AB2297" s="70"/>
      <c r="AC2297" s="70"/>
      <c r="AD2297" s="71"/>
      <c r="AE2297" s="71"/>
      <c r="AF2297" s="72"/>
      <c r="AG2297" s="73"/>
      <c r="AH2297" s="79"/>
      <c r="AI2297" s="102"/>
      <c r="AJ2297" s="70"/>
      <c r="AK2297" s="103"/>
      <c r="AL2297" s="104"/>
      <c r="AM2297" s="105"/>
      <c r="AN2297" s="115"/>
      <c r="AO2297" s="115"/>
      <c r="AP2297" s="115"/>
      <c r="AQ2297" s="93"/>
      <c r="AR2297" s="93"/>
      <c r="AS2297" s="94"/>
      <c r="AT2297" s="95"/>
      <c r="AU2297" s="79"/>
      <c r="AV2297" s="117"/>
      <c r="AW2297" s="115"/>
      <c r="AX2297" s="106"/>
      <c r="AY2297" s="104"/>
      <c r="AZ2297" s="105"/>
    </row>
    <row r="2298" customHeight="1" spans="1:52">
      <c r="A2298" s="70">
        <v>2316</v>
      </c>
      <c r="B2298" s="70" t="s">
        <v>519</v>
      </c>
      <c r="C2298" s="70" t="s">
        <v>13</v>
      </c>
      <c r="D2298" s="71" t="s">
        <v>5581</v>
      </c>
      <c r="E2298" s="71" t="s">
        <v>45</v>
      </c>
      <c r="F2298" s="72"/>
      <c r="G2298" s="73"/>
      <c r="H2298" s="75"/>
      <c r="I2298" s="102">
        <v>46304</v>
      </c>
      <c r="J2298" s="70">
        <v>3</v>
      </c>
      <c r="K2298" s="106" t="s">
        <v>5582</v>
      </c>
      <c r="L2298" s="104">
        <f t="shared" si="557"/>
        <v>46396</v>
      </c>
      <c r="M2298" s="105">
        <f ca="1" t="shared" si="558"/>
        <v>83</v>
      </c>
      <c r="N2298" s="70"/>
      <c r="O2298" s="70"/>
      <c r="P2298" s="70"/>
      <c r="Q2298" s="71"/>
      <c r="R2298" s="71"/>
      <c r="S2298" s="72"/>
      <c r="T2298" s="73"/>
      <c r="U2298" s="79"/>
      <c r="V2298" s="102"/>
      <c r="W2298" s="70"/>
      <c r="X2298" s="103"/>
      <c r="Y2298" s="226"/>
      <c r="Z2298" s="133"/>
      <c r="AA2298" s="70"/>
      <c r="AB2298" s="70"/>
      <c r="AC2298" s="70"/>
      <c r="AD2298" s="71"/>
      <c r="AE2298" s="71"/>
      <c r="AF2298" s="72"/>
      <c r="AG2298" s="73"/>
      <c r="AH2298" s="79"/>
      <c r="AI2298" s="102"/>
      <c r="AJ2298" s="70"/>
      <c r="AK2298" s="103"/>
      <c r="AL2298" s="104"/>
      <c r="AM2298" s="105"/>
      <c r="AN2298" s="115"/>
      <c r="AO2298" s="115"/>
      <c r="AP2298" s="115"/>
      <c r="AQ2298" s="93"/>
      <c r="AR2298" s="93"/>
      <c r="AS2298" s="94"/>
      <c r="AT2298" s="95"/>
      <c r="AU2298" s="79"/>
      <c r="AV2298" s="117"/>
      <c r="AW2298" s="115"/>
      <c r="AX2298" s="106"/>
      <c r="AY2298" s="104"/>
      <c r="AZ2298" s="105"/>
    </row>
    <row r="2299" customHeight="1" spans="1:52">
      <c r="A2299" s="70">
        <v>2317</v>
      </c>
      <c r="B2299" s="70" t="s">
        <v>648</v>
      </c>
      <c r="C2299" s="70" t="s">
        <v>264</v>
      </c>
      <c r="D2299" s="71" t="s">
        <v>5583</v>
      </c>
      <c r="E2299" s="71" t="s">
        <v>4012</v>
      </c>
      <c r="F2299" s="72"/>
      <c r="G2299" s="73"/>
      <c r="H2299" s="75"/>
      <c r="I2299" s="102">
        <v>46304</v>
      </c>
      <c r="J2299" s="70">
        <v>3</v>
      </c>
      <c r="K2299" s="106" t="s">
        <v>5584</v>
      </c>
      <c r="L2299" s="104">
        <f t="shared" si="557"/>
        <v>46396</v>
      </c>
      <c r="M2299" s="105">
        <f ca="1" t="shared" si="558"/>
        <v>83</v>
      </c>
      <c r="N2299" s="70"/>
      <c r="O2299" s="70"/>
      <c r="P2299" s="70"/>
      <c r="Q2299" s="71"/>
      <c r="R2299" s="71"/>
      <c r="S2299" s="72"/>
      <c r="T2299" s="73"/>
      <c r="U2299" s="79"/>
      <c r="V2299" s="102"/>
      <c r="W2299" s="70"/>
      <c r="X2299" s="103"/>
      <c r="Y2299" s="226"/>
      <c r="Z2299" s="133"/>
      <c r="AA2299" s="70"/>
      <c r="AB2299" s="70"/>
      <c r="AC2299" s="70"/>
      <c r="AD2299" s="71"/>
      <c r="AE2299" s="71"/>
      <c r="AF2299" s="72"/>
      <c r="AG2299" s="73"/>
      <c r="AH2299" s="79"/>
      <c r="AI2299" s="102"/>
      <c r="AJ2299" s="70"/>
      <c r="AK2299" s="103"/>
      <c r="AL2299" s="104"/>
      <c r="AM2299" s="105"/>
      <c r="AN2299" s="115"/>
      <c r="AO2299" s="115"/>
      <c r="AP2299" s="115"/>
      <c r="AQ2299" s="93"/>
      <c r="AR2299" s="93"/>
      <c r="AS2299" s="94"/>
      <c r="AT2299" s="95"/>
      <c r="AU2299" s="79"/>
      <c r="AV2299" s="117"/>
      <c r="AW2299" s="115"/>
      <c r="AX2299" s="106"/>
      <c r="AY2299" s="104"/>
      <c r="AZ2299" s="105"/>
    </row>
    <row r="2300" customHeight="1" spans="1:52">
      <c r="A2300" s="70">
        <v>2318</v>
      </c>
      <c r="B2300" s="108" t="s">
        <v>270</v>
      </c>
      <c r="C2300" s="70" t="s">
        <v>264</v>
      </c>
      <c r="D2300" s="108" t="s">
        <v>5585</v>
      </c>
      <c r="E2300" s="71" t="s">
        <v>277</v>
      </c>
      <c r="F2300" s="72"/>
      <c r="G2300" s="73"/>
      <c r="H2300" s="75"/>
      <c r="I2300" s="102">
        <v>46304</v>
      </c>
      <c r="J2300" s="70">
        <v>3</v>
      </c>
      <c r="K2300" s="106" t="s">
        <v>5586</v>
      </c>
      <c r="L2300" s="104">
        <f t="shared" si="557"/>
        <v>46396</v>
      </c>
      <c r="M2300" s="105">
        <f ca="1" t="shared" si="558"/>
        <v>83</v>
      </c>
      <c r="N2300" s="70"/>
      <c r="O2300" s="70"/>
      <c r="P2300" s="70"/>
      <c r="Q2300" s="71"/>
      <c r="R2300" s="71"/>
      <c r="S2300" s="72"/>
      <c r="T2300" s="73"/>
      <c r="U2300" s="79"/>
      <c r="V2300" s="102"/>
      <c r="W2300" s="70"/>
      <c r="X2300" s="103"/>
      <c r="Y2300" s="226"/>
      <c r="Z2300" s="133"/>
      <c r="AA2300" s="70"/>
      <c r="AB2300" s="70"/>
      <c r="AC2300" s="70"/>
      <c r="AD2300" s="71"/>
      <c r="AE2300" s="71"/>
      <c r="AF2300" s="72"/>
      <c r="AG2300" s="73"/>
      <c r="AH2300" s="79"/>
      <c r="AI2300" s="102"/>
      <c r="AJ2300" s="70"/>
      <c r="AK2300" s="103"/>
      <c r="AL2300" s="104"/>
      <c r="AM2300" s="105"/>
      <c r="AN2300" s="115"/>
      <c r="AO2300" s="115"/>
      <c r="AP2300" s="115"/>
      <c r="AQ2300" s="93"/>
      <c r="AR2300" s="93"/>
      <c r="AS2300" s="94"/>
      <c r="AT2300" s="95"/>
      <c r="AU2300" s="79"/>
      <c r="AV2300" s="117"/>
      <c r="AW2300" s="115"/>
      <c r="AX2300" s="106"/>
      <c r="AY2300" s="104"/>
      <c r="AZ2300" s="105"/>
    </row>
    <row r="2301" customHeight="1" spans="1:52">
      <c r="A2301" s="70">
        <v>2319</v>
      </c>
      <c r="B2301" s="108" t="s">
        <v>281</v>
      </c>
      <c r="C2301" s="70" t="s">
        <v>264</v>
      </c>
      <c r="D2301" s="108" t="s">
        <v>4912</v>
      </c>
      <c r="E2301" s="71" t="s">
        <v>364</v>
      </c>
      <c r="F2301" s="72"/>
      <c r="G2301" s="73"/>
      <c r="H2301" s="75"/>
      <c r="I2301" s="102">
        <v>46304</v>
      </c>
      <c r="J2301" s="70" t="s">
        <v>767</v>
      </c>
      <c r="K2301" s="106"/>
      <c r="L2301" s="104" t="e">
        <f t="shared" si="557"/>
        <v>#VALUE!</v>
      </c>
      <c r="M2301" s="105" t="e">
        <f ca="1" t="shared" si="558"/>
        <v>#VALUE!</v>
      </c>
      <c r="N2301" s="70"/>
      <c r="O2301" s="70"/>
      <c r="P2301" s="70"/>
      <c r="Q2301" s="71"/>
      <c r="R2301" s="71"/>
      <c r="S2301" s="72"/>
      <c r="T2301" s="73"/>
      <c r="U2301" s="79"/>
      <c r="V2301" s="102"/>
      <c r="W2301" s="70"/>
      <c r="X2301" s="103"/>
      <c r="Y2301" s="226"/>
      <c r="Z2301" s="133"/>
      <c r="AA2301" s="70"/>
      <c r="AB2301" s="70"/>
      <c r="AC2301" s="70"/>
      <c r="AD2301" s="71"/>
      <c r="AE2301" s="71"/>
      <c r="AF2301" s="72"/>
      <c r="AG2301" s="73"/>
      <c r="AH2301" s="79"/>
      <c r="AI2301" s="102"/>
      <c r="AJ2301" s="70"/>
      <c r="AK2301" s="103"/>
      <c r="AL2301" s="104"/>
      <c r="AM2301" s="105"/>
      <c r="AN2301" s="115"/>
      <c r="AO2301" s="115"/>
      <c r="AP2301" s="115"/>
      <c r="AQ2301" s="93"/>
      <c r="AR2301" s="93"/>
      <c r="AS2301" s="94"/>
      <c r="AT2301" s="95"/>
      <c r="AU2301" s="79"/>
      <c r="AV2301" s="117"/>
      <c r="AW2301" s="115"/>
      <c r="AX2301" s="106"/>
      <c r="AY2301" s="104"/>
      <c r="AZ2301" s="105"/>
    </row>
    <row r="2302" customHeight="1" spans="1:52">
      <c r="A2302" s="70">
        <v>2320</v>
      </c>
      <c r="B2302" s="108" t="s">
        <v>270</v>
      </c>
      <c r="C2302" s="70" t="s">
        <v>264</v>
      </c>
      <c r="D2302" s="108" t="s">
        <v>958</v>
      </c>
      <c r="E2302" s="71" t="s">
        <v>1232</v>
      </c>
      <c r="F2302" s="72"/>
      <c r="G2302" s="73"/>
      <c r="H2302" s="75"/>
      <c r="I2302" s="102">
        <v>46304</v>
      </c>
      <c r="J2302" s="70" t="s">
        <v>767</v>
      </c>
      <c r="K2302" s="106"/>
      <c r="L2302" s="104" t="e">
        <f t="shared" si="557"/>
        <v>#VALUE!</v>
      </c>
      <c r="M2302" s="105" t="e">
        <f ca="1" t="shared" si="558"/>
        <v>#VALUE!</v>
      </c>
      <c r="N2302" s="70"/>
      <c r="O2302" s="70"/>
      <c r="P2302" s="70"/>
      <c r="Q2302" s="71"/>
      <c r="R2302" s="71"/>
      <c r="S2302" s="72"/>
      <c r="T2302" s="73"/>
      <c r="U2302" s="79"/>
      <c r="V2302" s="102"/>
      <c r="W2302" s="70"/>
      <c r="X2302" s="103"/>
      <c r="Y2302" s="226"/>
      <c r="Z2302" s="133"/>
      <c r="AA2302" s="70"/>
      <c r="AB2302" s="70"/>
      <c r="AC2302" s="70"/>
      <c r="AD2302" s="71"/>
      <c r="AE2302" s="71"/>
      <c r="AF2302" s="72"/>
      <c r="AG2302" s="73"/>
      <c r="AH2302" s="79"/>
      <c r="AI2302" s="102"/>
      <c r="AJ2302" s="70"/>
      <c r="AK2302" s="103"/>
      <c r="AL2302" s="104"/>
      <c r="AM2302" s="105"/>
      <c r="AN2302" s="115"/>
      <c r="AO2302" s="115"/>
      <c r="AP2302" s="115"/>
      <c r="AQ2302" s="93"/>
      <c r="AR2302" s="93"/>
      <c r="AS2302" s="94"/>
      <c r="AT2302" s="95"/>
      <c r="AU2302" s="79"/>
      <c r="AV2302" s="117"/>
      <c r="AW2302" s="115"/>
      <c r="AX2302" s="106"/>
      <c r="AY2302" s="104"/>
      <c r="AZ2302" s="105"/>
    </row>
    <row r="2303" customHeight="1" spans="1:52">
      <c r="A2303" s="70">
        <v>2321</v>
      </c>
      <c r="B2303" s="108" t="s">
        <v>270</v>
      </c>
      <c r="C2303" s="70" t="s">
        <v>264</v>
      </c>
      <c r="D2303" s="108" t="s">
        <v>1580</v>
      </c>
      <c r="E2303" s="71" t="s">
        <v>1707</v>
      </c>
      <c r="F2303" s="72"/>
      <c r="G2303" s="73"/>
      <c r="H2303" s="75"/>
      <c r="I2303" s="102">
        <v>46304</v>
      </c>
      <c r="J2303" s="70" t="s">
        <v>767</v>
      </c>
      <c r="K2303" s="106"/>
      <c r="L2303" s="104" t="e">
        <f t="shared" si="557"/>
        <v>#VALUE!</v>
      </c>
      <c r="M2303" s="105" t="e">
        <f ca="1" t="shared" si="558"/>
        <v>#VALUE!</v>
      </c>
      <c r="N2303" s="70"/>
      <c r="O2303" s="70"/>
      <c r="P2303" s="70"/>
      <c r="Q2303" s="71"/>
      <c r="R2303" s="71"/>
      <c r="S2303" s="72"/>
      <c r="T2303" s="73"/>
      <c r="U2303" s="79"/>
      <c r="V2303" s="102"/>
      <c r="W2303" s="70"/>
      <c r="X2303" s="103"/>
      <c r="Y2303" s="226"/>
      <c r="Z2303" s="133"/>
      <c r="AA2303" s="70"/>
      <c r="AB2303" s="70"/>
      <c r="AC2303" s="70"/>
      <c r="AD2303" s="71"/>
      <c r="AE2303" s="71"/>
      <c r="AF2303" s="72"/>
      <c r="AG2303" s="73"/>
      <c r="AH2303" s="79"/>
      <c r="AI2303" s="102"/>
      <c r="AJ2303" s="70"/>
      <c r="AK2303" s="103"/>
      <c r="AL2303" s="104"/>
      <c r="AM2303" s="105"/>
      <c r="AN2303" s="115"/>
      <c r="AO2303" s="115"/>
      <c r="AP2303" s="115"/>
      <c r="AQ2303" s="93"/>
      <c r="AR2303" s="93"/>
      <c r="AS2303" s="94"/>
      <c r="AT2303" s="95"/>
      <c r="AU2303" s="79"/>
      <c r="AV2303" s="117"/>
      <c r="AW2303" s="115"/>
      <c r="AX2303" s="106"/>
      <c r="AY2303" s="104"/>
      <c r="AZ2303" s="105"/>
    </row>
    <row r="2304" customHeight="1" spans="1:52">
      <c r="A2304" s="70">
        <v>2322</v>
      </c>
      <c r="B2304" s="108" t="s">
        <v>535</v>
      </c>
      <c r="C2304" s="70" t="s">
        <v>13</v>
      </c>
      <c r="D2304" s="108" t="s">
        <v>5587</v>
      </c>
      <c r="E2304" s="71" t="s">
        <v>5588</v>
      </c>
      <c r="F2304" s="72"/>
      <c r="G2304" s="73"/>
      <c r="H2304" s="75"/>
      <c r="I2304" s="102">
        <v>46305</v>
      </c>
      <c r="J2304" s="70">
        <v>3</v>
      </c>
      <c r="K2304" s="106"/>
      <c r="L2304" s="104">
        <f t="shared" si="557"/>
        <v>46397</v>
      </c>
      <c r="M2304" s="105">
        <f ca="1" t="shared" si="558"/>
        <v>84</v>
      </c>
      <c r="N2304" s="70"/>
      <c r="O2304" s="70"/>
      <c r="P2304" s="70"/>
      <c r="Q2304" s="71"/>
      <c r="R2304" s="71"/>
      <c r="S2304" s="72"/>
      <c r="T2304" s="73"/>
      <c r="U2304" s="79"/>
      <c r="V2304" s="102"/>
      <c r="W2304" s="70"/>
      <c r="X2304" s="103"/>
      <c r="Y2304" s="226"/>
      <c r="Z2304" s="133"/>
      <c r="AA2304" s="70"/>
      <c r="AB2304" s="70"/>
      <c r="AC2304" s="70"/>
      <c r="AD2304" s="71"/>
      <c r="AE2304" s="71"/>
      <c r="AF2304" s="72"/>
      <c r="AG2304" s="73"/>
      <c r="AH2304" s="79"/>
      <c r="AI2304" s="102"/>
      <c r="AJ2304" s="70"/>
      <c r="AK2304" s="103"/>
      <c r="AL2304" s="104"/>
      <c r="AM2304" s="105"/>
      <c r="AN2304" s="115"/>
      <c r="AO2304" s="115"/>
      <c r="AP2304" s="115"/>
      <c r="AQ2304" s="93"/>
      <c r="AR2304" s="93"/>
      <c r="AS2304" s="94"/>
      <c r="AT2304" s="95"/>
      <c r="AU2304" s="79"/>
      <c r="AV2304" s="117"/>
      <c r="AW2304" s="115"/>
      <c r="AX2304" s="106"/>
      <c r="AY2304" s="104"/>
      <c r="AZ2304" s="105"/>
    </row>
    <row r="2305" customHeight="1" spans="1:52">
      <c r="A2305" s="70">
        <v>2323</v>
      </c>
      <c r="B2305" s="108" t="s">
        <v>134</v>
      </c>
      <c r="C2305" s="70" t="s">
        <v>13</v>
      </c>
      <c r="D2305" s="108" t="s">
        <v>5589</v>
      </c>
      <c r="E2305" s="71" t="s">
        <v>34</v>
      </c>
      <c r="F2305" s="72"/>
      <c r="G2305" s="73"/>
      <c r="H2305" s="74" t="s">
        <v>16</v>
      </c>
      <c r="I2305" s="102">
        <v>46305</v>
      </c>
      <c r="J2305" s="70">
        <v>3</v>
      </c>
      <c r="K2305" s="106"/>
      <c r="L2305" s="104">
        <f t="shared" si="557"/>
        <v>46397</v>
      </c>
      <c r="M2305" s="105">
        <f ca="1" t="shared" si="558"/>
        <v>84</v>
      </c>
      <c r="N2305" s="70"/>
      <c r="O2305" s="70"/>
      <c r="P2305" s="70"/>
      <c r="Q2305" s="71"/>
      <c r="R2305" s="71"/>
      <c r="S2305" s="72"/>
      <c r="T2305" s="73"/>
      <c r="U2305" s="79"/>
      <c r="V2305" s="102"/>
      <c r="W2305" s="70"/>
      <c r="X2305" s="103"/>
      <c r="Y2305" s="226"/>
      <c r="Z2305" s="133"/>
      <c r="AA2305" s="70"/>
      <c r="AB2305" s="70"/>
      <c r="AC2305" s="70"/>
      <c r="AD2305" s="71"/>
      <c r="AE2305" s="71"/>
      <c r="AF2305" s="72"/>
      <c r="AG2305" s="73"/>
      <c r="AH2305" s="79"/>
      <c r="AI2305" s="102"/>
      <c r="AJ2305" s="70"/>
      <c r="AK2305" s="103"/>
      <c r="AL2305" s="104"/>
      <c r="AM2305" s="105"/>
      <c r="AN2305" s="115"/>
      <c r="AO2305" s="115"/>
      <c r="AP2305" s="115"/>
      <c r="AQ2305" s="93"/>
      <c r="AR2305" s="93"/>
      <c r="AS2305" s="94"/>
      <c r="AT2305" s="95"/>
      <c r="AU2305" s="79"/>
      <c r="AV2305" s="117"/>
      <c r="AW2305" s="115"/>
      <c r="AX2305" s="106"/>
      <c r="AY2305" s="104"/>
      <c r="AZ2305" s="105"/>
    </row>
    <row r="2306" customHeight="1" spans="1:52">
      <c r="A2306" s="70">
        <v>2324</v>
      </c>
      <c r="B2306" s="108" t="s">
        <v>3780</v>
      </c>
      <c r="C2306" s="70" t="s">
        <v>264</v>
      </c>
      <c r="D2306" s="108" t="s">
        <v>367</v>
      </c>
      <c r="E2306" s="71" t="s">
        <v>4334</v>
      </c>
      <c r="F2306" s="72"/>
      <c r="G2306" s="73"/>
      <c r="H2306" s="75"/>
      <c r="I2306" s="102">
        <v>46305</v>
      </c>
      <c r="J2306" s="70" t="s">
        <v>767</v>
      </c>
      <c r="K2306" s="106"/>
      <c r="L2306" s="104" t="e">
        <f t="shared" si="557"/>
        <v>#VALUE!</v>
      </c>
      <c r="M2306" s="105" t="e">
        <f ca="1" t="shared" si="558"/>
        <v>#VALUE!</v>
      </c>
      <c r="N2306" s="70"/>
      <c r="O2306" s="70"/>
      <c r="P2306" s="70"/>
      <c r="Q2306" s="71"/>
      <c r="R2306" s="71"/>
      <c r="S2306" s="72"/>
      <c r="T2306" s="73"/>
      <c r="U2306" s="79"/>
      <c r="V2306" s="102"/>
      <c r="W2306" s="70"/>
      <c r="X2306" s="103"/>
      <c r="Y2306" s="226"/>
      <c r="Z2306" s="133"/>
      <c r="AA2306" s="70"/>
      <c r="AB2306" s="70"/>
      <c r="AC2306" s="70"/>
      <c r="AD2306" s="71"/>
      <c r="AE2306" s="71"/>
      <c r="AF2306" s="72"/>
      <c r="AG2306" s="73"/>
      <c r="AH2306" s="79"/>
      <c r="AI2306" s="102"/>
      <c r="AJ2306" s="70"/>
      <c r="AK2306" s="103"/>
      <c r="AL2306" s="104"/>
      <c r="AM2306" s="105"/>
      <c r="AN2306" s="115"/>
      <c r="AO2306" s="115"/>
      <c r="AP2306" s="115"/>
      <c r="AQ2306" s="93"/>
      <c r="AR2306" s="93"/>
      <c r="AS2306" s="94"/>
      <c r="AT2306" s="95"/>
      <c r="AU2306" s="79"/>
      <c r="AV2306" s="117"/>
      <c r="AW2306" s="115"/>
      <c r="AX2306" s="106"/>
      <c r="AY2306" s="104"/>
      <c r="AZ2306" s="105"/>
    </row>
    <row r="2307" customHeight="1" spans="1:52">
      <c r="A2307" s="70">
        <v>2325</v>
      </c>
      <c r="B2307" s="108" t="s">
        <v>295</v>
      </c>
      <c r="C2307" s="70" t="s">
        <v>264</v>
      </c>
      <c r="D2307" s="108" t="s">
        <v>3020</v>
      </c>
      <c r="E2307" s="71" t="s">
        <v>3655</v>
      </c>
      <c r="F2307" s="72"/>
      <c r="G2307" s="73"/>
      <c r="H2307" s="75"/>
      <c r="I2307" s="102">
        <v>46305</v>
      </c>
      <c r="J2307" s="70" t="s">
        <v>767</v>
      </c>
      <c r="K2307" s="106"/>
      <c r="L2307" s="104" t="e">
        <f t="shared" si="557"/>
        <v>#VALUE!</v>
      </c>
      <c r="M2307" s="105" t="e">
        <f ca="1" t="shared" si="558"/>
        <v>#VALUE!</v>
      </c>
      <c r="N2307" s="70"/>
      <c r="O2307" s="70"/>
      <c r="P2307" s="70"/>
      <c r="Q2307" s="71"/>
      <c r="R2307" s="71"/>
      <c r="S2307" s="72"/>
      <c r="T2307" s="73"/>
      <c r="U2307" s="79"/>
      <c r="V2307" s="102"/>
      <c r="W2307" s="70"/>
      <c r="X2307" s="103"/>
      <c r="Y2307" s="226"/>
      <c r="Z2307" s="133"/>
      <c r="AA2307" s="70"/>
      <c r="AB2307" s="70"/>
      <c r="AC2307" s="70"/>
      <c r="AD2307" s="71"/>
      <c r="AE2307" s="71"/>
      <c r="AF2307" s="72"/>
      <c r="AG2307" s="73"/>
      <c r="AH2307" s="79"/>
      <c r="AI2307" s="102"/>
      <c r="AJ2307" s="70"/>
      <c r="AK2307" s="103"/>
      <c r="AL2307" s="104"/>
      <c r="AM2307" s="105"/>
      <c r="AN2307" s="115"/>
      <c r="AO2307" s="115"/>
      <c r="AP2307" s="115"/>
      <c r="AQ2307" s="93"/>
      <c r="AR2307" s="93"/>
      <c r="AS2307" s="94"/>
      <c r="AT2307" s="95"/>
      <c r="AU2307" s="79"/>
      <c r="AV2307" s="117"/>
      <c r="AW2307" s="115"/>
      <c r="AX2307" s="106"/>
      <c r="AY2307" s="104"/>
      <c r="AZ2307" s="105"/>
    </row>
    <row r="2308" customHeight="1" spans="1:52">
      <c r="A2308" s="70">
        <v>2326</v>
      </c>
      <c r="B2308" s="108" t="s">
        <v>721</v>
      </c>
      <c r="C2308" s="70" t="s">
        <v>38</v>
      </c>
      <c r="D2308" s="108" t="s">
        <v>5590</v>
      </c>
      <c r="E2308" s="71" t="s">
        <v>526</v>
      </c>
      <c r="F2308" s="72"/>
      <c r="G2308" s="73"/>
      <c r="H2308" s="74" t="s">
        <v>16</v>
      </c>
      <c r="I2308" s="102">
        <v>46307</v>
      </c>
      <c r="J2308" s="70">
        <v>3</v>
      </c>
      <c r="K2308" s="106"/>
      <c r="L2308" s="104">
        <f t="shared" si="557"/>
        <v>46399</v>
      </c>
      <c r="M2308" s="105">
        <f ca="1" t="shared" si="558"/>
        <v>86</v>
      </c>
      <c r="N2308" s="70"/>
      <c r="O2308" s="70"/>
      <c r="P2308" s="70"/>
      <c r="Q2308" s="71"/>
      <c r="R2308" s="71"/>
      <c r="S2308" s="72"/>
      <c r="T2308" s="73"/>
      <c r="U2308" s="79"/>
      <c r="V2308" s="102"/>
      <c r="W2308" s="70"/>
      <c r="X2308" s="103"/>
      <c r="Y2308" s="226"/>
      <c r="Z2308" s="133"/>
      <c r="AA2308" s="70"/>
      <c r="AB2308" s="70"/>
      <c r="AC2308" s="70"/>
      <c r="AD2308" s="71"/>
      <c r="AE2308" s="71"/>
      <c r="AF2308" s="72"/>
      <c r="AG2308" s="73"/>
      <c r="AH2308" s="79"/>
      <c r="AI2308" s="102"/>
      <c r="AJ2308" s="70"/>
      <c r="AK2308" s="103"/>
      <c r="AL2308" s="104"/>
      <c r="AM2308" s="105"/>
      <c r="AN2308" s="115"/>
      <c r="AO2308" s="115"/>
      <c r="AP2308" s="115"/>
      <c r="AQ2308" s="93"/>
      <c r="AR2308" s="93"/>
      <c r="AS2308" s="94"/>
      <c r="AT2308" s="95"/>
      <c r="AU2308" s="79"/>
      <c r="AV2308" s="117"/>
      <c r="AW2308" s="115"/>
      <c r="AX2308" s="106"/>
      <c r="AY2308" s="104"/>
      <c r="AZ2308" s="105"/>
    </row>
    <row r="2309" customHeight="1" spans="1:52">
      <c r="A2309" s="70">
        <v>2327</v>
      </c>
      <c r="B2309" s="70" t="s">
        <v>561</v>
      </c>
      <c r="C2309" s="70" t="s">
        <v>374</v>
      </c>
      <c r="D2309" s="71" t="s">
        <v>5591</v>
      </c>
      <c r="E2309" s="71" t="s">
        <v>568</v>
      </c>
      <c r="F2309" s="72"/>
      <c r="G2309" s="73"/>
      <c r="H2309" s="74" t="s">
        <v>16</v>
      </c>
      <c r="I2309" s="102">
        <v>46307</v>
      </c>
      <c r="J2309" s="70">
        <v>3</v>
      </c>
      <c r="K2309" s="106"/>
      <c r="L2309" s="104">
        <f t="shared" si="557"/>
        <v>46399</v>
      </c>
      <c r="M2309" s="105">
        <f ca="1" t="shared" si="558"/>
        <v>86</v>
      </c>
      <c r="N2309" s="70"/>
      <c r="O2309" s="70"/>
      <c r="P2309" s="70"/>
      <c r="Q2309" s="71"/>
      <c r="R2309" s="71"/>
      <c r="S2309" s="72"/>
      <c r="T2309" s="73"/>
      <c r="U2309" s="79"/>
      <c r="V2309" s="102"/>
      <c r="W2309" s="70"/>
      <c r="X2309" s="103"/>
      <c r="Y2309" s="226"/>
      <c r="Z2309" s="133"/>
      <c r="AA2309" s="70"/>
      <c r="AB2309" s="70"/>
      <c r="AC2309" s="70"/>
      <c r="AD2309" s="71"/>
      <c r="AE2309" s="71"/>
      <c r="AF2309" s="72"/>
      <c r="AG2309" s="73"/>
      <c r="AH2309" s="79"/>
      <c r="AI2309" s="102"/>
      <c r="AJ2309" s="70"/>
      <c r="AK2309" s="103"/>
      <c r="AL2309" s="104"/>
      <c r="AM2309" s="105"/>
      <c r="AN2309" s="115"/>
      <c r="AO2309" s="115"/>
      <c r="AP2309" s="115"/>
      <c r="AQ2309" s="93"/>
      <c r="AR2309" s="93"/>
      <c r="AS2309" s="94"/>
      <c r="AT2309" s="95"/>
      <c r="AU2309" s="79"/>
      <c r="AV2309" s="117"/>
      <c r="AW2309" s="115"/>
      <c r="AX2309" s="106"/>
      <c r="AY2309" s="104"/>
      <c r="AZ2309" s="105"/>
    </row>
    <row r="2310" customHeight="1" spans="1:52">
      <c r="A2310" s="70">
        <v>2328</v>
      </c>
      <c r="B2310" s="70" t="s">
        <v>263</v>
      </c>
      <c r="C2310" s="70" t="s">
        <v>264</v>
      </c>
      <c r="D2310" s="71" t="s">
        <v>2433</v>
      </c>
      <c r="E2310" s="71" t="s">
        <v>753</v>
      </c>
      <c r="F2310" s="72"/>
      <c r="G2310" s="73"/>
      <c r="H2310" s="75"/>
      <c r="I2310" s="102">
        <v>46307</v>
      </c>
      <c r="J2310" s="70" t="s">
        <v>767</v>
      </c>
      <c r="K2310" s="106"/>
      <c r="L2310" s="104" t="e">
        <f t="shared" ref="L2310:L2322" si="559">EDATE(I2310,J2310)</f>
        <v>#VALUE!</v>
      </c>
      <c r="M2310" s="105" t="e">
        <f ca="1" t="shared" ref="M2310:M2322" si="560">L2310-TODAY()</f>
        <v>#VALUE!</v>
      </c>
      <c r="N2310" s="70"/>
      <c r="O2310" s="70"/>
      <c r="P2310" s="70"/>
      <c r="Q2310" s="71"/>
      <c r="R2310" s="71"/>
      <c r="S2310" s="72"/>
      <c r="T2310" s="73"/>
      <c r="U2310" s="79"/>
      <c r="V2310" s="102"/>
      <c r="W2310" s="70"/>
      <c r="X2310" s="103"/>
      <c r="Y2310" s="226"/>
      <c r="Z2310" s="133"/>
      <c r="AA2310" s="70"/>
      <c r="AB2310" s="70"/>
      <c r="AC2310" s="70"/>
      <c r="AD2310" s="71"/>
      <c r="AE2310" s="71"/>
      <c r="AF2310" s="72"/>
      <c r="AG2310" s="73"/>
      <c r="AH2310" s="79"/>
      <c r="AI2310" s="102"/>
      <c r="AJ2310" s="70"/>
      <c r="AK2310" s="103"/>
      <c r="AL2310" s="104"/>
      <c r="AM2310" s="105"/>
      <c r="AN2310" s="115"/>
      <c r="AO2310" s="115"/>
      <c r="AP2310" s="115"/>
      <c r="AQ2310" s="93"/>
      <c r="AR2310" s="93"/>
      <c r="AS2310" s="94"/>
      <c r="AT2310" s="95"/>
      <c r="AU2310" s="79"/>
      <c r="AV2310" s="117"/>
      <c r="AW2310" s="115"/>
      <c r="AX2310" s="106"/>
      <c r="AY2310" s="104"/>
      <c r="AZ2310" s="105"/>
    </row>
    <row r="2311" customHeight="1" spans="1:52">
      <c r="A2311" s="70">
        <v>2329</v>
      </c>
      <c r="B2311" s="70" t="s">
        <v>134</v>
      </c>
      <c r="C2311" s="70" t="s">
        <v>38</v>
      </c>
      <c r="D2311" s="71" t="s">
        <v>4145</v>
      </c>
      <c r="E2311" s="71" t="s">
        <v>3837</v>
      </c>
      <c r="F2311" s="72"/>
      <c r="G2311" s="73"/>
      <c r="H2311" s="75"/>
      <c r="I2311" s="102">
        <v>46307</v>
      </c>
      <c r="J2311" s="70" t="s">
        <v>434</v>
      </c>
      <c r="K2311" s="106"/>
      <c r="L2311" s="104" t="e">
        <f t="shared" si="559"/>
        <v>#VALUE!</v>
      </c>
      <c r="M2311" s="105" t="e">
        <f ca="1" t="shared" si="560"/>
        <v>#VALUE!</v>
      </c>
      <c r="N2311" s="70"/>
      <c r="O2311" s="70"/>
      <c r="P2311" s="70"/>
      <c r="Q2311" s="71"/>
      <c r="R2311" s="71"/>
      <c r="S2311" s="72"/>
      <c r="T2311" s="73"/>
      <c r="U2311" s="79"/>
      <c r="V2311" s="102"/>
      <c r="W2311" s="70"/>
      <c r="X2311" s="103"/>
      <c r="Y2311" s="226"/>
      <c r="Z2311" s="133"/>
      <c r="AA2311" s="70"/>
      <c r="AB2311" s="70"/>
      <c r="AC2311" s="70"/>
      <c r="AD2311" s="71"/>
      <c r="AE2311" s="71"/>
      <c r="AF2311" s="72"/>
      <c r="AG2311" s="73"/>
      <c r="AH2311" s="79"/>
      <c r="AI2311" s="102"/>
      <c r="AJ2311" s="70"/>
      <c r="AK2311" s="103"/>
      <c r="AL2311" s="104"/>
      <c r="AM2311" s="105"/>
      <c r="AN2311" s="115"/>
      <c r="AO2311" s="115"/>
      <c r="AP2311" s="115"/>
      <c r="AQ2311" s="93"/>
      <c r="AR2311" s="93"/>
      <c r="AS2311" s="94"/>
      <c r="AT2311" s="95"/>
      <c r="AU2311" s="79"/>
      <c r="AV2311" s="117"/>
      <c r="AW2311" s="115"/>
      <c r="AX2311" s="106"/>
      <c r="AY2311" s="104"/>
      <c r="AZ2311" s="105"/>
    </row>
    <row r="2312" customHeight="1" spans="1:52">
      <c r="A2312" s="70">
        <v>2331</v>
      </c>
      <c r="B2312" s="108" t="s">
        <v>263</v>
      </c>
      <c r="C2312" s="70" t="s">
        <v>264</v>
      </c>
      <c r="D2312" s="108" t="s">
        <v>763</v>
      </c>
      <c r="E2312" s="71" t="s">
        <v>753</v>
      </c>
      <c r="F2312" s="72"/>
      <c r="G2312" s="73"/>
      <c r="H2312" s="75"/>
      <c r="I2312" s="102">
        <v>46308</v>
      </c>
      <c r="J2312" s="70" t="s">
        <v>767</v>
      </c>
      <c r="K2312" s="106"/>
      <c r="L2312" s="104" t="e">
        <f t="shared" si="559"/>
        <v>#VALUE!</v>
      </c>
      <c r="M2312" s="105" t="e">
        <f ca="1" t="shared" si="560"/>
        <v>#VALUE!</v>
      </c>
      <c r="N2312" s="70"/>
      <c r="O2312" s="70"/>
      <c r="P2312" s="70"/>
      <c r="Q2312" s="71"/>
      <c r="R2312" s="71"/>
      <c r="S2312" s="72"/>
      <c r="T2312" s="73"/>
      <c r="U2312" s="79"/>
      <c r="V2312" s="102"/>
      <c r="W2312" s="70"/>
      <c r="X2312" s="103"/>
      <c r="Y2312" s="226"/>
      <c r="Z2312" s="133"/>
      <c r="AA2312" s="70"/>
      <c r="AB2312" s="70"/>
      <c r="AC2312" s="70"/>
      <c r="AD2312" s="71"/>
      <c r="AE2312" s="71"/>
      <c r="AF2312" s="72"/>
      <c r="AG2312" s="73"/>
      <c r="AH2312" s="79"/>
      <c r="AI2312" s="102"/>
      <c r="AJ2312" s="70"/>
      <c r="AK2312" s="103"/>
      <c r="AL2312" s="104"/>
      <c r="AM2312" s="105"/>
      <c r="AN2312" s="115"/>
      <c r="AO2312" s="115"/>
      <c r="AP2312" s="115"/>
      <c r="AQ2312" s="93"/>
      <c r="AR2312" s="93"/>
      <c r="AS2312" s="94"/>
      <c r="AT2312" s="95"/>
      <c r="AU2312" s="79"/>
      <c r="AV2312" s="117"/>
      <c r="AW2312" s="115"/>
      <c r="AX2312" s="106"/>
      <c r="AY2312" s="104"/>
      <c r="AZ2312" s="105"/>
    </row>
    <row r="2313" customHeight="1" spans="1:52">
      <c r="A2313" s="70">
        <v>2333</v>
      </c>
      <c r="B2313" s="108" t="s">
        <v>4025</v>
      </c>
      <c r="C2313" s="70" t="s">
        <v>264</v>
      </c>
      <c r="D2313" s="108" t="s">
        <v>5517</v>
      </c>
      <c r="E2313" s="71" t="s">
        <v>5518</v>
      </c>
      <c r="F2313" s="72"/>
      <c r="G2313" s="73"/>
      <c r="H2313" s="75"/>
      <c r="I2313" s="102">
        <v>46308</v>
      </c>
      <c r="J2313" s="70" t="s">
        <v>767</v>
      </c>
      <c r="K2313" s="106"/>
      <c r="L2313" s="104" t="e">
        <f t="shared" si="559"/>
        <v>#VALUE!</v>
      </c>
      <c r="M2313" s="105" t="e">
        <f ca="1" t="shared" si="560"/>
        <v>#VALUE!</v>
      </c>
      <c r="N2313" s="70"/>
      <c r="O2313" s="70"/>
      <c r="P2313" s="70"/>
      <c r="Q2313" s="71"/>
      <c r="R2313" s="71"/>
      <c r="S2313" s="72"/>
      <c r="T2313" s="73"/>
      <c r="U2313" s="79"/>
      <c r="V2313" s="102"/>
      <c r="W2313" s="70"/>
      <c r="X2313" s="103"/>
      <c r="Y2313" s="226"/>
      <c r="Z2313" s="133"/>
      <c r="AA2313" s="70"/>
      <c r="AB2313" s="70"/>
      <c r="AC2313" s="70"/>
      <c r="AD2313" s="71"/>
      <c r="AE2313" s="71"/>
      <c r="AF2313" s="72"/>
      <c r="AG2313" s="73"/>
      <c r="AH2313" s="79"/>
      <c r="AI2313" s="102"/>
      <c r="AJ2313" s="70"/>
      <c r="AK2313" s="103"/>
      <c r="AL2313" s="104"/>
      <c r="AM2313" s="105"/>
      <c r="AN2313" s="115"/>
      <c r="AO2313" s="115"/>
      <c r="AP2313" s="115"/>
      <c r="AQ2313" s="93"/>
      <c r="AR2313" s="93"/>
      <c r="AS2313" s="94"/>
      <c r="AT2313" s="95"/>
      <c r="AU2313" s="79"/>
      <c r="AV2313" s="117"/>
      <c r="AW2313" s="115"/>
      <c r="AX2313" s="106"/>
      <c r="AY2313" s="104"/>
      <c r="AZ2313" s="105"/>
    </row>
    <row r="2314" customHeight="1" spans="1:52">
      <c r="A2314" s="70">
        <v>2334</v>
      </c>
      <c r="B2314" s="108" t="s">
        <v>281</v>
      </c>
      <c r="C2314" s="70" t="s">
        <v>264</v>
      </c>
      <c r="D2314" s="108" t="s">
        <v>4912</v>
      </c>
      <c r="E2314" s="71" t="s">
        <v>364</v>
      </c>
      <c r="F2314" s="72"/>
      <c r="G2314" s="73"/>
      <c r="H2314" s="75"/>
      <c r="I2314" s="102">
        <v>46308</v>
      </c>
      <c r="J2314" s="70" t="s">
        <v>767</v>
      </c>
      <c r="K2314" s="106"/>
      <c r="L2314" s="104" t="e">
        <f t="shared" si="559"/>
        <v>#VALUE!</v>
      </c>
      <c r="M2314" s="105" t="e">
        <f ca="1" t="shared" si="560"/>
        <v>#VALUE!</v>
      </c>
      <c r="N2314" s="70"/>
      <c r="O2314" s="70"/>
      <c r="P2314" s="70"/>
      <c r="Q2314" s="71"/>
      <c r="R2314" s="71"/>
      <c r="S2314" s="72"/>
      <c r="T2314" s="73"/>
      <c r="U2314" s="79"/>
      <c r="V2314" s="102"/>
      <c r="W2314" s="70"/>
      <c r="X2314" s="103"/>
      <c r="Y2314" s="226"/>
      <c r="Z2314" s="133"/>
      <c r="AA2314" s="70"/>
      <c r="AB2314" s="70"/>
      <c r="AC2314" s="70"/>
      <c r="AD2314" s="71"/>
      <c r="AE2314" s="71"/>
      <c r="AF2314" s="72"/>
      <c r="AG2314" s="73"/>
      <c r="AH2314" s="79"/>
      <c r="AI2314" s="102"/>
      <c r="AJ2314" s="70"/>
      <c r="AK2314" s="103"/>
      <c r="AL2314" s="104"/>
      <c r="AM2314" s="105"/>
      <c r="AN2314" s="115"/>
      <c r="AO2314" s="115"/>
      <c r="AP2314" s="115"/>
      <c r="AQ2314" s="93"/>
      <c r="AR2314" s="93"/>
      <c r="AS2314" s="94"/>
      <c r="AT2314" s="95"/>
      <c r="AU2314" s="79"/>
      <c r="AV2314" s="117"/>
      <c r="AW2314" s="115"/>
      <c r="AX2314" s="106"/>
      <c r="AY2314" s="104"/>
      <c r="AZ2314" s="105"/>
    </row>
    <row r="2315" customHeight="1" spans="1:52">
      <c r="A2315" s="70">
        <v>2335</v>
      </c>
      <c r="B2315" s="108" t="s">
        <v>751</v>
      </c>
      <c r="C2315" s="70" t="s">
        <v>264</v>
      </c>
      <c r="D2315" s="108" t="s">
        <v>5592</v>
      </c>
      <c r="E2315" s="71" t="s">
        <v>753</v>
      </c>
      <c r="F2315" s="72"/>
      <c r="G2315" s="73"/>
      <c r="H2315" s="75"/>
      <c r="I2315" s="102">
        <v>46309</v>
      </c>
      <c r="J2315" s="70">
        <v>3</v>
      </c>
      <c r="K2315" s="106"/>
      <c r="L2315" s="104">
        <f t="shared" si="559"/>
        <v>46401</v>
      </c>
      <c r="M2315" s="105">
        <f ca="1" t="shared" si="560"/>
        <v>88</v>
      </c>
      <c r="N2315" s="70"/>
      <c r="O2315" s="70"/>
      <c r="P2315" s="70"/>
      <c r="Q2315" s="71"/>
      <c r="R2315" s="71"/>
      <c r="S2315" s="72"/>
      <c r="T2315" s="73"/>
      <c r="U2315" s="79"/>
      <c r="V2315" s="102"/>
      <c r="W2315" s="70"/>
      <c r="X2315" s="103"/>
      <c r="Y2315" s="226"/>
      <c r="Z2315" s="133"/>
      <c r="AA2315" s="70"/>
      <c r="AB2315" s="70"/>
      <c r="AC2315" s="70"/>
      <c r="AD2315" s="71"/>
      <c r="AE2315" s="71"/>
      <c r="AF2315" s="72"/>
      <c r="AG2315" s="73"/>
      <c r="AH2315" s="79"/>
      <c r="AI2315" s="102"/>
      <c r="AJ2315" s="70"/>
      <c r="AK2315" s="103"/>
      <c r="AL2315" s="104"/>
      <c r="AM2315" s="105"/>
      <c r="AN2315" s="115"/>
      <c r="AO2315" s="115"/>
      <c r="AP2315" s="115"/>
      <c r="AQ2315" s="93"/>
      <c r="AR2315" s="93"/>
      <c r="AS2315" s="94"/>
      <c r="AT2315" s="95"/>
      <c r="AU2315" s="79"/>
      <c r="AV2315" s="117"/>
      <c r="AW2315" s="115"/>
      <c r="AX2315" s="106"/>
      <c r="AY2315" s="104"/>
      <c r="AZ2315" s="105"/>
    </row>
    <row r="2316" customHeight="1" spans="1:52">
      <c r="A2316" s="70">
        <v>2336</v>
      </c>
      <c r="B2316" s="108" t="s">
        <v>3559</v>
      </c>
      <c r="C2316" s="70" t="s">
        <v>264</v>
      </c>
      <c r="D2316" s="108" t="s">
        <v>5593</v>
      </c>
      <c r="E2316" s="71" t="s">
        <v>5250</v>
      </c>
      <c r="F2316" s="72"/>
      <c r="G2316" s="73"/>
      <c r="H2316" s="75"/>
      <c r="I2316" s="102">
        <v>46309</v>
      </c>
      <c r="J2316" s="70">
        <v>3</v>
      </c>
      <c r="K2316" s="106"/>
      <c r="L2316" s="104">
        <f t="shared" si="559"/>
        <v>46401</v>
      </c>
      <c r="M2316" s="105">
        <f ca="1" t="shared" si="560"/>
        <v>88</v>
      </c>
      <c r="N2316" s="70"/>
      <c r="O2316" s="70"/>
      <c r="P2316" s="70"/>
      <c r="Q2316" s="71"/>
      <c r="R2316" s="71"/>
      <c r="S2316" s="72"/>
      <c r="T2316" s="73"/>
      <c r="U2316" s="79"/>
      <c r="V2316" s="102"/>
      <c r="W2316" s="70"/>
      <c r="X2316" s="103"/>
      <c r="Y2316" s="226"/>
      <c r="Z2316" s="133"/>
      <c r="AA2316" s="70"/>
      <c r="AB2316" s="70"/>
      <c r="AC2316" s="70"/>
      <c r="AD2316" s="71"/>
      <c r="AE2316" s="71"/>
      <c r="AF2316" s="72"/>
      <c r="AG2316" s="73"/>
      <c r="AH2316" s="79"/>
      <c r="AI2316" s="102"/>
      <c r="AJ2316" s="70"/>
      <c r="AK2316" s="103"/>
      <c r="AL2316" s="104"/>
      <c r="AM2316" s="105"/>
      <c r="AN2316" s="115"/>
      <c r="AO2316" s="115"/>
      <c r="AP2316" s="115"/>
      <c r="AQ2316" s="93"/>
      <c r="AR2316" s="93"/>
      <c r="AS2316" s="94"/>
      <c r="AT2316" s="95"/>
      <c r="AU2316" s="79"/>
      <c r="AV2316" s="117"/>
      <c r="AW2316" s="115"/>
      <c r="AX2316" s="106"/>
      <c r="AY2316" s="104"/>
      <c r="AZ2316" s="105"/>
    </row>
    <row r="2317" customHeight="1" spans="1:52">
      <c r="A2317" s="70">
        <v>2337</v>
      </c>
      <c r="B2317" s="108" t="s">
        <v>3559</v>
      </c>
      <c r="C2317" s="70" t="s">
        <v>264</v>
      </c>
      <c r="D2317" s="108" t="s">
        <v>2709</v>
      </c>
      <c r="E2317" s="71" t="s">
        <v>4577</v>
      </c>
      <c r="F2317" s="72"/>
      <c r="G2317" s="73"/>
      <c r="H2317" s="75"/>
      <c r="I2317" s="102">
        <v>46309</v>
      </c>
      <c r="J2317" s="70" t="s">
        <v>767</v>
      </c>
      <c r="K2317" s="106"/>
      <c r="L2317" s="104" t="e">
        <f t="shared" si="559"/>
        <v>#VALUE!</v>
      </c>
      <c r="M2317" s="105" t="e">
        <f ca="1" t="shared" si="560"/>
        <v>#VALUE!</v>
      </c>
      <c r="N2317" s="70"/>
      <c r="O2317" s="70"/>
      <c r="P2317" s="70"/>
      <c r="Q2317" s="71"/>
      <c r="R2317" s="71"/>
      <c r="S2317" s="72"/>
      <c r="T2317" s="73"/>
      <c r="U2317" s="79"/>
      <c r="V2317" s="102"/>
      <c r="W2317" s="70"/>
      <c r="X2317" s="103"/>
      <c r="Y2317" s="226"/>
      <c r="Z2317" s="133"/>
      <c r="AA2317" s="70"/>
      <c r="AB2317" s="70"/>
      <c r="AC2317" s="70"/>
      <c r="AD2317" s="71"/>
      <c r="AE2317" s="71"/>
      <c r="AF2317" s="72"/>
      <c r="AG2317" s="73"/>
      <c r="AH2317" s="79"/>
      <c r="AI2317" s="102"/>
      <c r="AJ2317" s="70"/>
      <c r="AK2317" s="103"/>
      <c r="AL2317" s="104"/>
      <c r="AM2317" s="105"/>
      <c r="AN2317" s="115"/>
      <c r="AO2317" s="115"/>
      <c r="AP2317" s="115"/>
      <c r="AQ2317" s="93"/>
      <c r="AR2317" s="93"/>
      <c r="AS2317" s="94"/>
      <c r="AT2317" s="95"/>
      <c r="AU2317" s="79"/>
      <c r="AV2317" s="117"/>
      <c r="AW2317" s="115"/>
      <c r="AX2317" s="106"/>
      <c r="AY2317" s="104"/>
      <c r="AZ2317" s="105"/>
    </row>
    <row r="2318" customHeight="1" spans="1:52">
      <c r="A2318" s="70">
        <v>2338</v>
      </c>
      <c r="B2318" s="108" t="s">
        <v>868</v>
      </c>
      <c r="C2318" s="70" t="s">
        <v>264</v>
      </c>
      <c r="D2318" s="108" t="s">
        <v>5453</v>
      </c>
      <c r="E2318" s="71" t="s">
        <v>5250</v>
      </c>
      <c r="F2318" s="72"/>
      <c r="G2318" s="73"/>
      <c r="H2318" s="75"/>
      <c r="I2318" s="102">
        <v>46309</v>
      </c>
      <c r="J2318" s="70" t="s">
        <v>767</v>
      </c>
      <c r="K2318" s="106"/>
      <c r="L2318" s="104" t="e">
        <f t="shared" si="559"/>
        <v>#VALUE!</v>
      </c>
      <c r="M2318" s="105" t="e">
        <f ca="1" t="shared" si="560"/>
        <v>#VALUE!</v>
      </c>
      <c r="N2318" s="70"/>
      <c r="O2318" s="70"/>
      <c r="P2318" s="70"/>
      <c r="Q2318" s="71"/>
      <c r="R2318" s="71"/>
      <c r="S2318" s="72"/>
      <c r="T2318" s="73"/>
      <c r="U2318" s="79"/>
      <c r="V2318" s="102"/>
      <c r="W2318" s="70"/>
      <c r="X2318" s="103"/>
      <c r="Y2318" s="226"/>
      <c r="Z2318" s="133"/>
      <c r="AA2318" s="70"/>
      <c r="AB2318" s="70"/>
      <c r="AC2318" s="70"/>
      <c r="AD2318" s="71"/>
      <c r="AE2318" s="71"/>
      <c r="AF2318" s="72"/>
      <c r="AG2318" s="73"/>
      <c r="AH2318" s="79"/>
      <c r="AI2318" s="102"/>
      <c r="AJ2318" s="70"/>
      <c r="AK2318" s="103"/>
      <c r="AL2318" s="104"/>
      <c r="AM2318" s="105"/>
      <c r="AN2318" s="115"/>
      <c r="AO2318" s="115"/>
      <c r="AP2318" s="115"/>
      <c r="AQ2318" s="93"/>
      <c r="AR2318" s="93"/>
      <c r="AS2318" s="94"/>
      <c r="AT2318" s="95"/>
      <c r="AU2318" s="79"/>
      <c r="AV2318" s="117"/>
      <c r="AW2318" s="115"/>
      <c r="AX2318" s="106"/>
      <c r="AY2318" s="104"/>
      <c r="AZ2318" s="105"/>
    </row>
    <row r="2319" customHeight="1" spans="1:52">
      <c r="A2319" s="70">
        <v>2339</v>
      </c>
      <c r="B2319" s="108" t="s">
        <v>263</v>
      </c>
      <c r="C2319" s="70" t="s">
        <v>264</v>
      </c>
      <c r="D2319" s="108" t="s">
        <v>1922</v>
      </c>
      <c r="E2319" s="71" t="s">
        <v>753</v>
      </c>
      <c r="F2319" s="72"/>
      <c r="G2319" s="73"/>
      <c r="H2319" s="75"/>
      <c r="I2319" s="102">
        <v>46309</v>
      </c>
      <c r="J2319" s="70" t="s">
        <v>767</v>
      </c>
      <c r="K2319" s="106"/>
      <c r="L2319" s="104" t="e">
        <f t="shared" si="559"/>
        <v>#VALUE!</v>
      </c>
      <c r="M2319" s="105" t="e">
        <f ca="1" t="shared" si="560"/>
        <v>#VALUE!</v>
      </c>
      <c r="N2319" s="70"/>
      <c r="O2319" s="70"/>
      <c r="P2319" s="70"/>
      <c r="Q2319" s="71"/>
      <c r="R2319" s="71"/>
      <c r="S2319" s="72"/>
      <c r="T2319" s="73"/>
      <c r="U2319" s="79"/>
      <c r="V2319" s="102"/>
      <c r="W2319" s="70"/>
      <c r="X2319" s="103"/>
      <c r="Y2319" s="226"/>
      <c r="Z2319" s="133"/>
      <c r="AA2319" s="70"/>
      <c r="AB2319" s="70"/>
      <c r="AC2319" s="70"/>
      <c r="AD2319" s="71"/>
      <c r="AE2319" s="71"/>
      <c r="AF2319" s="72"/>
      <c r="AG2319" s="73"/>
      <c r="AH2319" s="79"/>
      <c r="AI2319" s="102"/>
      <c r="AJ2319" s="70"/>
      <c r="AK2319" s="103"/>
      <c r="AL2319" s="104"/>
      <c r="AM2319" s="105"/>
      <c r="AN2319" s="115"/>
      <c r="AO2319" s="115"/>
      <c r="AP2319" s="115"/>
      <c r="AQ2319" s="93"/>
      <c r="AR2319" s="93"/>
      <c r="AS2319" s="94"/>
      <c r="AT2319" s="95"/>
      <c r="AU2319" s="79"/>
      <c r="AV2319" s="117"/>
      <c r="AW2319" s="115"/>
      <c r="AX2319" s="106"/>
      <c r="AY2319" s="104"/>
      <c r="AZ2319" s="105"/>
    </row>
    <row r="2320" customHeight="1" spans="1:52">
      <c r="A2320" s="70">
        <v>2340</v>
      </c>
      <c r="B2320" s="108" t="s">
        <v>4124</v>
      </c>
      <c r="C2320" s="70" t="s">
        <v>13</v>
      </c>
      <c r="D2320" s="108" t="s">
        <v>93</v>
      </c>
      <c r="E2320" s="71" t="s">
        <v>1003</v>
      </c>
      <c r="F2320" s="72"/>
      <c r="G2320" s="73"/>
      <c r="H2320" s="75"/>
      <c r="I2320" s="102">
        <v>46309</v>
      </c>
      <c r="J2320" s="70" t="s">
        <v>767</v>
      </c>
      <c r="K2320" s="106"/>
      <c r="L2320" s="104" t="e">
        <f t="shared" si="559"/>
        <v>#VALUE!</v>
      </c>
      <c r="M2320" s="105" t="e">
        <f ca="1" t="shared" si="560"/>
        <v>#VALUE!</v>
      </c>
      <c r="N2320" s="70"/>
      <c r="O2320" s="70"/>
      <c r="P2320" s="70"/>
      <c r="Q2320" s="71"/>
      <c r="R2320" s="71"/>
      <c r="S2320" s="72"/>
      <c r="T2320" s="73"/>
      <c r="U2320" s="79"/>
      <c r="V2320" s="102"/>
      <c r="W2320" s="70"/>
      <c r="X2320" s="103"/>
      <c r="Y2320" s="226"/>
      <c r="Z2320" s="133"/>
      <c r="AA2320" s="70"/>
      <c r="AB2320" s="70"/>
      <c r="AC2320" s="70"/>
      <c r="AD2320" s="71"/>
      <c r="AE2320" s="71"/>
      <c r="AF2320" s="72"/>
      <c r="AG2320" s="73"/>
      <c r="AH2320" s="79"/>
      <c r="AI2320" s="102"/>
      <c r="AJ2320" s="70"/>
      <c r="AK2320" s="103"/>
      <c r="AL2320" s="104"/>
      <c r="AM2320" s="105"/>
      <c r="AN2320" s="115"/>
      <c r="AO2320" s="115"/>
      <c r="AP2320" s="115"/>
      <c r="AQ2320" s="93"/>
      <c r="AR2320" s="93"/>
      <c r="AS2320" s="94"/>
      <c r="AT2320" s="95"/>
      <c r="AU2320" s="79"/>
      <c r="AV2320" s="117"/>
      <c r="AW2320" s="115"/>
      <c r="AX2320" s="106"/>
      <c r="AY2320" s="104"/>
      <c r="AZ2320" s="105"/>
    </row>
    <row r="2321" customHeight="1" spans="1:52">
      <c r="A2321" s="70">
        <v>2341</v>
      </c>
      <c r="B2321" s="70" t="s">
        <v>1275</v>
      </c>
      <c r="C2321" s="70" t="s">
        <v>38</v>
      </c>
      <c r="D2321" s="71" t="s">
        <v>3101</v>
      </c>
      <c r="E2321" s="71" t="s">
        <v>189</v>
      </c>
      <c r="F2321" s="72"/>
      <c r="G2321" s="73"/>
      <c r="H2321" s="74" t="s">
        <v>16</v>
      </c>
      <c r="I2321" s="102">
        <v>46310</v>
      </c>
      <c r="J2321" s="70">
        <v>3</v>
      </c>
      <c r="K2321" s="106"/>
      <c r="L2321" s="104">
        <f t="shared" si="559"/>
        <v>46402</v>
      </c>
      <c r="M2321" s="105">
        <f ca="1" t="shared" si="560"/>
        <v>89</v>
      </c>
      <c r="N2321" s="70"/>
      <c r="O2321" s="70"/>
      <c r="P2321" s="70"/>
      <c r="Q2321" s="71"/>
      <c r="R2321" s="71"/>
      <c r="S2321" s="72"/>
      <c r="T2321" s="73"/>
      <c r="U2321" s="79"/>
      <c r="V2321" s="102"/>
      <c r="W2321" s="70"/>
      <c r="X2321" s="103"/>
      <c r="Y2321" s="226"/>
      <c r="Z2321" s="133"/>
      <c r="AA2321" s="70"/>
      <c r="AB2321" s="70"/>
      <c r="AC2321" s="70"/>
      <c r="AD2321" s="71"/>
      <c r="AE2321" s="71"/>
      <c r="AF2321" s="72"/>
      <c r="AG2321" s="73"/>
      <c r="AH2321" s="79"/>
      <c r="AI2321" s="102"/>
      <c r="AJ2321" s="70"/>
      <c r="AK2321" s="103"/>
      <c r="AL2321" s="104"/>
      <c r="AM2321" s="105"/>
      <c r="AN2321" s="115"/>
      <c r="AO2321" s="115"/>
      <c r="AP2321" s="115"/>
      <c r="AQ2321" s="93"/>
      <c r="AR2321" s="93"/>
      <c r="AS2321" s="94"/>
      <c r="AT2321" s="95"/>
      <c r="AU2321" s="79"/>
      <c r="AV2321" s="117"/>
      <c r="AW2321" s="115"/>
      <c r="AX2321" s="106"/>
      <c r="AY2321" s="104"/>
      <c r="AZ2321" s="105"/>
    </row>
    <row r="2322" customHeight="1" spans="1:52">
      <c r="A2322" s="70">
        <v>2342</v>
      </c>
      <c r="B2322" s="108" t="s">
        <v>648</v>
      </c>
      <c r="C2322" s="70" t="s">
        <v>264</v>
      </c>
      <c r="D2322" s="108" t="s">
        <v>5594</v>
      </c>
      <c r="E2322" s="71" t="s">
        <v>5595</v>
      </c>
      <c r="F2322" s="72"/>
      <c r="G2322" s="73"/>
      <c r="H2322" s="75"/>
      <c r="I2322" s="102">
        <v>46310</v>
      </c>
      <c r="J2322" s="70">
        <v>3</v>
      </c>
      <c r="K2322" s="106"/>
      <c r="L2322" s="104">
        <f t="shared" si="559"/>
        <v>46402</v>
      </c>
      <c r="M2322" s="105">
        <f ca="1" t="shared" si="560"/>
        <v>89</v>
      </c>
      <c r="N2322" s="70"/>
      <c r="O2322" s="70"/>
      <c r="P2322" s="70"/>
      <c r="Q2322" s="71"/>
      <c r="R2322" s="71"/>
      <c r="S2322" s="72"/>
      <c r="T2322" s="73"/>
      <c r="U2322" s="79"/>
      <c r="V2322" s="102"/>
      <c r="W2322" s="70"/>
      <c r="X2322" s="103"/>
      <c r="Y2322" s="226"/>
      <c r="Z2322" s="133"/>
      <c r="AA2322" s="70"/>
      <c r="AB2322" s="70"/>
      <c r="AC2322" s="70"/>
      <c r="AD2322" s="71"/>
      <c r="AE2322" s="71"/>
      <c r="AF2322" s="72"/>
      <c r="AG2322" s="73"/>
      <c r="AH2322" s="79"/>
      <c r="AI2322" s="102"/>
      <c r="AJ2322" s="70"/>
      <c r="AK2322" s="103"/>
      <c r="AL2322" s="104"/>
      <c r="AM2322" s="105"/>
      <c r="AN2322" s="115"/>
      <c r="AO2322" s="115"/>
      <c r="AP2322" s="115"/>
      <c r="AQ2322" s="93"/>
      <c r="AR2322" s="93"/>
      <c r="AS2322" s="94"/>
      <c r="AT2322" s="95"/>
      <c r="AU2322" s="79"/>
      <c r="AV2322" s="117"/>
      <c r="AW2322" s="115"/>
      <c r="AX2322" s="106"/>
      <c r="AY2322" s="104"/>
      <c r="AZ2322" s="105"/>
    </row>
    <row r="2323" customHeight="1" spans="1:52">
      <c r="A2323" s="70">
        <v>2343</v>
      </c>
      <c r="B2323" s="108" t="s">
        <v>281</v>
      </c>
      <c r="C2323" s="70" t="s">
        <v>264</v>
      </c>
      <c r="D2323" s="108" t="s">
        <v>5596</v>
      </c>
      <c r="E2323" s="71" t="s">
        <v>5597</v>
      </c>
      <c r="F2323" s="72"/>
      <c r="G2323" s="73"/>
      <c r="H2323" s="75"/>
      <c r="I2323" s="102">
        <v>46310</v>
      </c>
      <c r="J2323" s="70">
        <v>3</v>
      </c>
      <c r="K2323" s="106"/>
      <c r="L2323" s="104">
        <f t="shared" ref="L2323:L2337" si="561">EDATE(I2323,J2323)</f>
        <v>46402</v>
      </c>
      <c r="M2323" s="105">
        <f ca="1" t="shared" ref="M2323:M2337" si="562">L2323-TODAY()</f>
        <v>89</v>
      </c>
      <c r="N2323" s="70"/>
      <c r="O2323" s="70"/>
      <c r="P2323" s="70"/>
      <c r="Q2323" s="71"/>
      <c r="R2323" s="71"/>
      <c r="S2323" s="72"/>
      <c r="T2323" s="73"/>
      <c r="U2323" s="79"/>
      <c r="V2323" s="102"/>
      <c r="W2323" s="70"/>
      <c r="X2323" s="103"/>
      <c r="Y2323" s="226"/>
      <c r="Z2323" s="133"/>
      <c r="AA2323" s="70"/>
      <c r="AB2323" s="70"/>
      <c r="AC2323" s="70"/>
      <c r="AD2323" s="71"/>
      <c r="AE2323" s="71"/>
      <c r="AF2323" s="72"/>
      <c r="AG2323" s="73"/>
      <c r="AH2323" s="79"/>
      <c r="AI2323" s="102"/>
      <c r="AJ2323" s="70"/>
      <c r="AK2323" s="103"/>
      <c r="AL2323" s="104"/>
      <c r="AM2323" s="105"/>
      <c r="AN2323" s="115"/>
      <c r="AO2323" s="115"/>
      <c r="AP2323" s="115"/>
      <c r="AQ2323" s="93"/>
      <c r="AR2323" s="93"/>
      <c r="AS2323" s="94"/>
      <c r="AT2323" s="95"/>
      <c r="AU2323" s="79"/>
      <c r="AV2323" s="117"/>
      <c r="AW2323" s="115"/>
      <c r="AX2323" s="106"/>
      <c r="AY2323" s="104"/>
      <c r="AZ2323" s="105"/>
    </row>
    <row r="2324" customHeight="1" spans="1:52">
      <c r="A2324" s="70">
        <v>2344</v>
      </c>
      <c r="B2324" s="108" t="s">
        <v>263</v>
      </c>
      <c r="C2324" s="70" t="s">
        <v>264</v>
      </c>
      <c r="D2324" s="108" t="s">
        <v>2433</v>
      </c>
      <c r="E2324" s="71" t="s">
        <v>753</v>
      </c>
      <c r="F2324" s="72"/>
      <c r="G2324" s="73"/>
      <c r="H2324" s="75"/>
      <c r="I2324" s="102">
        <v>46310</v>
      </c>
      <c r="J2324" s="70" t="s">
        <v>767</v>
      </c>
      <c r="K2324" s="106"/>
      <c r="L2324" s="104" t="e">
        <f t="shared" si="561"/>
        <v>#VALUE!</v>
      </c>
      <c r="M2324" s="105" t="e">
        <f ca="1" t="shared" si="562"/>
        <v>#VALUE!</v>
      </c>
      <c r="N2324" s="70"/>
      <c r="O2324" s="70"/>
      <c r="P2324" s="70"/>
      <c r="Q2324" s="71"/>
      <c r="R2324" s="71"/>
      <c r="S2324" s="72"/>
      <c r="T2324" s="73"/>
      <c r="U2324" s="79"/>
      <c r="V2324" s="102"/>
      <c r="W2324" s="70"/>
      <c r="X2324" s="103"/>
      <c r="Y2324" s="226"/>
      <c r="Z2324" s="133"/>
      <c r="AA2324" s="70"/>
      <c r="AB2324" s="70"/>
      <c r="AC2324" s="70"/>
      <c r="AD2324" s="71"/>
      <c r="AE2324" s="71"/>
      <c r="AF2324" s="72"/>
      <c r="AG2324" s="73"/>
      <c r="AH2324" s="79"/>
      <c r="AI2324" s="102"/>
      <c r="AJ2324" s="70"/>
      <c r="AK2324" s="103"/>
      <c r="AL2324" s="104"/>
      <c r="AM2324" s="105"/>
      <c r="AN2324" s="115"/>
      <c r="AO2324" s="115"/>
      <c r="AP2324" s="115"/>
      <c r="AQ2324" s="93"/>
      <c r="AR2324" s="93"/>
      <c r="AS2324" s="94"/>
      <c r="AT2324" s="95"/>
      <c r="AU2324" s="79"/>
      <c r="AV2324" s="117"/>
      <c r="AW2324" s="115"/>
      <c r="AX2324" s="106"/>
      <c r="AY2324" s="104"/>
      <c r="AZ2324" s="105"/>
    </row>
    <row r="2325" customHeight="1" spans="1:52">
      <c r="A2325" s="70">
        <v>2345</v>
      </c>
      <c r="B2325" s="108" t="s">
        <v>270</v>
      </c>
      <c r="C2325" s="70" t="s">
        <v>264</v>
      </c>
      <c r="D2325" s="108" t="s">
        <v>271</v>
      </c>
      <c r="E2325" s="71" t="s">
        <v>272</v>
      </c>
      <c r="F2325" s="72"/>
      <c r="G2325" s="73"/>
      <c r="H2325" s="75"/>
      <c r="I2325" s="102">
        <v>46310</v>
      </c>
      <c r="J2325" s="70" t="s">
        <v>767</v>
      </c>
      <c r="K2325" s="106"/>
      <c r="L2325" s="104" t="e">
        <f t="shared" si="561"/>
        <v>#VALUE!</v>
      </c>
      <c r="M2325" s="105" t="e">
        <f ca="1" t="shared" si="562"/>
        <v>#VALUE!</v>
      </c>
      <c r="N2325" s="70"/>
      <c r="O2325" s="70"/>
      <c r="P2325" s="70"/>
      <c r="Q2325" s="71"/>
      <c r="R2325" s="71"/>
      <c r="S2325" s="72"/>
      <c r="T2325" s="73"/>
      <c r="U2325" s="79"/>
      <c r="V2325" s="102"/>
      <c r="W2325" s="70"/>
      <c r="X2325" s="103"/>
      <c r="Y2325" s="226"/>
      <c r="Z2325" s="133"/>
      <c r="AA2325" s="70"/>
      <c r="AB2325" s="70"/>
      <c r="AC2325" s="70"/>
      <c r="AD2325" s="71"/>
      <c r="AE2325" s="71"/>
      <c r="AF2325" s="72"/>
      <c r="AG2325" s="73"/>
      <c r="AH2325" s="79"/>
      <c r="AI2325" s="102"/>
      <c r="AJ2325" s="70"/>
      <c r="AK2325" s="103"/>
      <c r="AL2325" s="104"/>
      <c r="AM2325" s="105"/>
      <c r="AN2325" s="115"/>
      <c r="AO2325" s="115"/>
      <c r="AP2325" s="115"/>
      <c r="AQ2325" s="93"/>
      <c r="AR2325" s="93"/>
      <c r="AS2325" s="94"/>
      <c r="AT2325" s="95"/>
      <c r="AU2325" s="79"/>
      <c r="AV2325" s="117"/>
      <c r="AW2325" s="115"/>
      <c r="AX2325" s="106"/>
      <c r="AY2325" s="104"/>
      <c r="AZ2325" s="105"/>
    </row>
    <row r="2326" customHeight="1" spans="1:52">
      <c r="A2326" s="70">
        <v>2346</v>
      </c>
      <c r="B2326" s="108" t="s">
        <v>648</v>
      </c>
      <c r="C2326" s="70" t="s">
        <v>264</v>
      </c>
      <c r="D2326" s="108" t="s">
        <v>5091</v>
      </c>
      <c r="E2326" s="71" t="s">
        <v>5092</v>
      </c>
      <c r="F2326" s="72"/>
      <c r="G2326" s="73"/>
      <c r="H2326" s="75"/>
      <c r="I2326" s="102">
        <v>46310</v>
      </c>
      <c r="J2326" s="70" t="s">
        <v>767</v>
      </c>
      <c r="K2326" s="106"/>
      <c r="L2326" s="104" t="e">
        <f t="shared" si="561"/>
        <v>#VALUE!</v>
      </c>
      <c r="M2326" s="105" t="e">
        <f ca="1" t="shared" si="562"/>
        <v>#VALUE!</v>
      </c>
      <c r="N2326" s="70"/>
      <c r="O2326" s="70"/>
      <c r="P2326" s="70"/>
      <c r="Q2326" s="71"/>
      <c r="R2326" s="71"/>
      <c r="S2326" s="72"/>
      <c r="T2326" s="73"/>
      <c r="U2326" s="79"/>
      <c r="V2326" s="102"/>
      <c r="W2326" s="70"/>
      <c r="X2326" s="103"/>
      <c r="Y2326" s="226"/>
      <c r="Z2326" s="133"/>
      <c r="AA2326" s="70"/>
      <c r="AB2326" s="70"/>
      <c r="AC2326" s="70"/>
      <c r="AD2326" s="71"/>
      <c r="AE2326" s="71"/>
      <c r="AF2326" s="72"/>
      <c r="AG2326" s="73"/>
      <c r="AH2326" s="79"/>
      <c r="AI2326" s="102"/>
      <c r="AJ2326" s="70"/>
      <c r="AK2326" s="103"/>
      <c r="AL2326" s="104"/>
      <c r="AM2326" s="105"/>
      <c r="AN2326" s="115"/>
      <c r="AO2326" s="115"/>
      <c r="AP2326" s="115"/>
      <c r="AQ2326" s="93"/>
      <c r="AR2326" s="93"/>
      <c r="AS2326" s="94"/>
      <c r="AT2326" s="95"/>
      <c r="AU2326" s="79"/>
      <c r="AV2326" s="117"/>
      <c r="AW2326" s="115"/>
      <c r="AX2326" s="106"/>
      <c r="AY2326" s="104"/>
      <c r="AZ2326" s="105"/>
    </row>
    <row r="2327" customHeight="1" spans="1:52">
      <c r="A2327" s="70">
        <v>2347</v>
      </c>
      <c r="B2327" s="108" t="s">
        <v>281</v>
      </c>
      <c r="C2327" s="70" t="s">
        <v>264</v>
      </c>
      <c r="D2327" s="108" t="s">
        <v>2518</v>
      </c>
      <c r="E2327" s="71" t="s">
        <v>5218</v>
      </c>
      <c r="F2327" s="72"/>
      <c r="G2327" s="73"/>
      <c r="H2327" s="75"/>
      <c r="I2327" s="102">
        <v>46310</v>
      </c>
      <c r="J2327" s="70" t="s">
        <v>767</v>
      </c>
      <c r="K2327" s="106"/>
      <c r="L2327" s="104" t="e">
        <f t="shared" si="561"/>
        <v>#VALUE!</v>
      </c>
      <c r="M2327" s="105" t="e">
        <f ca="1" t="shared" si="562"/>
        <v>#VALUE!</v>
      </c>
      <c r="N2327" s="70"/>
      <c r="O2327" s="70"/>
      <c r="P2327" s="70"/>
      <c r="Q2327" s="71"/>
      <c r="R2327" s="71"/>
      <c r="S2327" s="72"/>
      <c r="T2327" s="73"/>
      <c r="U2327" s="79"/>
      <c r="V2327" s="102"/>
      <c r="W2327" s="70"/>
      <c r="X2327" s="103"/>
      <c r="Y2327" s="226"/>
      <c r="Z2327" s="133"/>
      <c r="AA2327" s="70"/>
      <c r="AB2327" s="70"/>
      <c r="AC2327" s="70"/>
      <c r="AD2327" s="71"/>
      <c r="AE2327" s="71"/>
      <c r="AF2327" s="72"/>
      <c r="AG2327" s="73"/>
      <c r="AH2327" s="79"/>
      <c r="AI2327" s="102"/>
      <c r="AJ2327" s="70"/>
      <c r="AK2327" s="103"/>
      <c r="AL2327" s="104"/>
      <c r="AM2327" s="105"/>
      <c r="AN2327" s="115"/>
      <c r="AO2327" s="115"/>
      <c r="AP2327" s="115"/>
      <c r="AQ2327" s="93"/>
      <c r="AR2327" s="93"/>
      <c r="AS2327" s="94"/>
      <c r="AT2327" s="95"/>
      <c r="AU2327" s="79"/>
      <c r="AV2327" s="117"/>
      <c r="AW2327" s="115"/>
      <c r="AX2327" s="106"/>
      <c r="AY2327" s="104"/>
      <c r="AZ2327" s="105"/>
    </row>
    <row r="2328" customHeight="1" spans="1:52">
      <c r="A2328" s="70">
        <v>2348</v>
      </c>
      <c r="B2328" s="108" t="s">
        <v>281</v>
      </c>
      <c r="C2328" s="70" t="s">
        <v>264</v>
      </c>
      <c r="D2328" s="108" t="s">
        <v>287</v>
      </c>
      <c r="E2328" s="71" t="s">
        <v>2516</v>
      </c>
      <c r="F2328" s="72"/>
      <c r="G2328" s="73"/>
      <c r="H2328" s="75"/>
      <c r="I2328" s="102">
        <v>46310</v>
      </c>
      <c r="J2328" s="70" t="s">
        <v>767</v>
      </c>
      <c r="K2328" s="106"/>
      <c r="L2328" s="104" t="e">
        <f t="shared" si="561"/>
        <v>#VALUE!</v>
      </c>
      <c r="M2328" s="105" t="e">
        <f ca="1" t="shared" si="562"/>
        <v>#VALUE!</v>
      </c>
      <c r="N2328" s="70"/>
      <c r="O2328" s="70"/>
      <c r="P2328" s="70"/>
      <c r="Q2328" s="71"/>
      <c r="R2328" s="71"/>
      <c r="S2328" s="72"/>
      <c r="T2328" s="73"/>
      <c r="U2328" s="79"/>
      <c r="V2328" s="102"/>
      <c r="W2328" s="70"/>
      <c r="X2328" s="103"/>
      <c r="Y2328" s="226"/>
      <c r="Z2328" s="133"/>
      <c r="AA2328" s="70"/>
      <c r="AB2328" s="70"/>
      <c r="AC2328" s="70"/>
      <c r="AD2328" s="71"/>
      <c r="AE2328" s="71"/>
      <c r="AF2328" s="72"/>
      <c r="AG2328" s="73"/>
      <c r="AH2328" s="79"/>
      <c r="AI2328" s="102"/>
      <c r="AJ2328" s="70"/>
      <c r="AK2328" s="103"/>
      <c r="AL2328" s="104"/>
      <c r="AM2328" s="105"/>
      <c r="AN2328" s="115"/>
      <c r="AO2328" s="115"/>
      <c r="AP2328" s="115"/>
      <c r="AQ2328" s="93"/>
      <c r="AR2328" s="93"/>
      <c r="AS2328" s="94"/>
      <c r="AT2328" s="95"/>
      <c r="AU2328" s="79"/>
      <c r="AV2328" s="117"/>
      <c r="AW2328" s="115"/>
      <c r="AX2328" s="106"/>
      <c r="AY2328" s="104"/>
      <c r="AZ2328" s="105"/>
    </row>
    <row r="2329" customHeight="1" spans="1:52">
      <c r="A2329" s="70">
        <v>2349</v>
      </c>
      <c r="B2329" s="108" t="s">
        <v>281</v>
      </c>
      <c r="C2329" s="70" t="s">
        <v>264</v>
      </c>
      <c r="D2329" s="108" t="s">
        <v>2417</v>
      </c>
      <c r="E2329" s="71" t="s">
        <v>5598</v>
      </c>
      <c r="F2329" s="72"/>
      <c r="G2329" s="73"/>
      <c r="H2329" s="75"/>
      <c r="I2329" s="102">
        <v>46310</v>
      </c>
      <c r="J2329" s="70" t="s">
        <v>767</v>
      </c>
      <c r="K2329" s="106"/>
      <c r="L2329" s="104" t="e">
        <f t="shared" si="561"/>
        <v>#VALUE!</v>
      </c>
      <c r="M2329" s="105" t="e">
        <f ca="1" t="shared" si="562"/>
        <v>#VALUE!</v>
      </c>
      <c r="N2329" s="70"/>
      <c r="O2329" s="70"/>
      <c r="P2329" s="70"/>
      <c r="Q2329" s="71"/>
      <c r="R2329" s="71"/>
      <c r="S2329" s="72"/>
      <c r="T2329" s="73"/>
      <c r="U2329" s="79"/>
      <c r="V2329" s="102"/>
      <c r="W2329" s="70"/>
      <c r="X2329" s="103"/>
      <c r="Y2329" s="226"/>
      <c r="Z2329" s="133"/>
      <c r="AA2329" s="70"/>
      <c r="AB2329" s="70"/>
      <c r="AC2329" s="70"/>
      <c r="AD2329" s="71"/>
      <c r="AE2329" s="71"/>
      <c r="AF2329" s="72"/>
      <c r="AG2329" s="73"/>
      <c r="AH2329" s="79"/>
      <c r="AI2329" s="102"/>
      <c r="AJ2329" s="70"/>
      <c r="AK2329" s="103"/>
      <c r="AL2329" s="104"/>
      <c r="AM2329" s="105"/>
      <c r="AN2329" s="115"/>
      <c r="AO2329" s="115"/>
      <c r="AP2329" s="115"/>
      <c r="AQ2329" s="93"/>
      <c r="AR2329" s="93"/>
      <c r="AS2329" s="94"/>
      <c r="AT2329" s="95"/>
      <c r="AU2329" s="79"/>
      <c r="AV2329" s="117"/>
      <c r="AW2329" s="115"/>
      <c r="AX2329" s="106"/>
      <c r="AY2329" s="104"/>
      <c r="AZ2329" s="105"/>
    </row>
    <row r="2330" customHeight="1" spans="1:52">
      <c r="A2330" s="70">
        <v>2350</v>
      </c>
      <c r="B2330" s="70" t="s">
        <v>4124</v>
      </c>
      <c r="C2330" s="70" t="s">
        <v>13</v>
      </c>
      <c r="D2330" s="71" t="s">
        <v>93</v>
      </c>
      <c r="E2330" s="71" t="s">
        <v>1003</v>
      </c>
      <c r="F2330" s="72"/>
      <c r="G2330" s="73"/>
      <c r="H2330" s="75"/>
      <c r="I2330" s="102">
        <v>46311</v>
      </c>
      <c r="J2330" s="70">
        <v>3</v>
      </c>
      <c r="K2330" s="106"/>
      <c r="L2330" s="104">
        <f t="shared" si="561"/>
        <v>46403</v>
      </c>
      <c r="M2330" s="105">
        <f ca="1" t="shared" si="562"/>
        <v>90</v>
      </c>
      <c r="N2330" s="70"/>
      <c r="O2330" s="70"/>
      <c r="P2330" s="70"/>
      <c r="Q2330" s="71"/>
      <c r="R2330" s="71"/>
      <c r="S2330" s="72"/>
      <c r="T2330" s="73"/>
      <c r="U2330" s="79"/>
      <c r="V2330" s="102"/>
      <c r="W2330" s="70"/>
      <c r="X2330" s="103"/>
      <c r="Y2330" s="226"/>
      <c r="Z2330" s="133"/>
      <c r="AA2330" s="70"/>
      <c r="AB2330" s="70"/>
      <c r="AC2330" s="70"/>
      <c r="AD2330" s="71"/>
      <c r="AE2330" s="71"/>
      <c r="AF2330" s="72"/>
      <c r="AG2330" s="73"/>
      <c r="AH2330" s="79"/>
      <c r="AI2330" s="102"/>
      <c r="AJ2330" s="70"/>
      <c r="AK2330" s="103"/>
      <c r="AL2330" s="104"/>
      <c r="AM2330" s="105"/>
      <c r="AN2330" s="115"/>
      <c r="AO2330" s="115"/>
      <c r="AP2330" s="115"/>
      <c r="AQ2330" s="93"/>
      <c r="AR2330" s="93"/>
      <c r="AS2330" s="94"/>
      <c r="AT2330" s="95"/>
      <c r="AU2330" s="79"/>
      <c r="AV2330" s="117"/>
      <c r="AW2330" s="115"/>
      <c r="AX2330" s="106"/>
      <c r="AY2330" s="104"/>
      <c r="AZ2330" s="105"/>
    </row>
    <row r="2331" customHeight="1" spans="1:52">
      <c r="A2331" s="70">
        <v>2351</v>
      </c>
      <c r="B2331" s="108" t="s">
        <v>263</v>
      </c>
      <c r="C2331" s="70" t="s">
        <v>264</v>
      </c>
      <c r="D2331" s="108" t="s">
        <v>1922</v>
      </c>
      <c r="E2331" s="71" t="s">
        <v>753</v>
      </c>
      <c r="F2331" s="72"/>
      <c r="G2331" s="73"/>
      <c r="H2331" s="75"/>
      <c r="I2331" s="102">
        <v>46311</v>
      </c>
      <c r="J2331" s="70" t="s">
        <v>767</v>
      </c>
      <c r="K2331" s="106"/>
      <c r="L2331" s="104" t="e">
        <f t="shared" si="561"/>
        <v>#VALUE!</v>
      </c>
      <c r="M2331" s="105" t="e">
        <f ca="1" t="shared" si="562"/>
        <v>#VALUE!</v>
      </c>
      <c r="N2331" s="70"/>
      <c r="O2331" s="70"/>
      <c r="P2331" s="70"/>
      <c r="Q2331" s="71"/>
      <c r="R2331" s="71"/>
      <c r="S2331" s="72"/>
      <c r="T2331" s="73"/>
      <c r="U2331" s="79"/>
      <c r="V2331" s="102"/>
      <c r="W2331" s="70"/>
      <c r="X2331" s="103"/>
      <c r="Y2331" s="226"/>
      <c r="Z2331" s="133"/>
      <c r="AA2331" s="70"/>
      <c r="AB2331" s="70"/>
      <c r="AC2331" s="70"/>
      <c r="AD2331" s="71"/>
      <c r="AE2331" s="71"/>
      <c r="AF2331" s="72"/>
      <c r="AG2331" s="73"/>
      <c r="AH2331" s="79"/>
      <c r="AI2331" s="102"/>
      <c r="AJ2331" s="70"/>
      <c r="AK2331" s="103"/>
      <c r="AL2331" s="104"/>
      <c r="AM2331" s="105"/>
      <c r="AN2331" s="115"/>
      <c r="AO2331" s="115"/>
      <c r="AP2331" s="115"/>
      <c r="AQ2331" s="93"/>
      <c r="AR2331" s="93"/>
      <c r="AS2331" s="94"/>
      <c r="AT2331" s="95"/>
      <c r="AU2331" s="79"/>
      <c r="AV2331" s="117"/>
      <c r="AW2331" s="115"/>
      <c r="AX2331" s="106"/>
      <c r="AY2331" s="104"/>
      <c r="AZ2331" s="105"/>
    </row>
    <row r="2332" customHeight="1" spans="1:52">
      <c r="A2332" s="70">
        <v>2352</v>
      </c>
      <c r="B2332" s="108" t="s">
        <v>757</v>
      </c>
      <c r="C2332" s="70" t="s">
        <v>264</v>
      </c>
      <c r="D2332" s="108" t="s">
        <v>758</v>
      </c>
      <c r="E2332" s="71" t="s">
        <v>4334</v>
      </c>
      <c r="F2332" s="72"/>
      <c r="G2332" s="73"/>
      <c r="H2332" s="75"/>
      <c r="I2332" s="102">
        <v>46311</v>
      </c>
      <c r="J2332" s="70" t="s">
        <v>767</v>
      </c>
      <c r="K2332" s="106"/>
      <c r="L2332" s="104" t="e">
        <f t="shared" si="561"/>
        <v>#VALUE!</v>
      </c>
      <c r="M2332" s="105" t="e">
        <f ca="1" t="shared" si="562"/>
        <v>#VALUE!</v>
      </c>
      <c r="N2332" s="70"/>
      <c r="O2332" s="70"/>
      <c r="P2332" s="70"/>
      <c r="Q2332" s="71"/>
      <c r="R2332" s="71"/>
      <c r="S2332" s="72"/>
      <c r="T2332" s="73"/>
      <c r="U2332" s="79"/>
      <c r="V2332" s="102"/>
      <c r="W2332" s="70"/>
      <c r="X2332" s="103"/>
      <c r="Y2332" s="226"/>
      <c r="Z2332" s="133"/>
      <c r="AA2332" s="70"/>
      <c r="AB2332" s="70"/>
      <c r="AC2332" s="70"/>
      <c r="AD2332" s="71"/>
      <c r="AE2332" s="71"/>
      <c r="AF2332" s="72"/>
      <c r="AG2332" s="73"/>
      <c r="AH2332" s="79"/>
      <c r="AI2332" s="102"/>
      <c r="AJ2332" s="70"/>
      <c r="AK2332" s="103"/>
      <c r="AL2332" s="104"/>
      <c r="AM2332" s="105"/>
      <c r="AN2332" s="115"/>
      <c r="AO2332" s="115"/>
      <c r="AP2332" s="115"/>
      <c r="AQ2332" s="93"/>
      <c r="AR2332" s="93"/>
      <c r="AS2332" s="94"/>
      <c r="AT2332" s="95"/>
      <c r="AU2332" s="79"/>
      <c r="AV2332" s="117"/>
      <c r="AW2332" s="115"/>
      <c r="AX2332" s="106"/>
      <c r="AY2332" s="104"/>
      <c r="AZ2332" s="105"/>
    </row>
    <row r="2333" customHeight="1" spans="1:52">
      <c r="A2333" s="70"/>
      <c r="B2333" s="70"/>
      <c r="C2333" s="70"/>
      <c r="D2333" s="71"/>
      <c r="E2333" s="71"/>
      <c r="F2333" s="72"/>
      <c r="G2333" s="73"/>
      <c r="H2333" s="74"/>
      <c r="I2333" s="102"/>
      <c r="J2333" s="70"/>
      <c r="K2333" s="106"/>
      <c r="L2333" s="104">
        <f t="shared" si="561"/>
        <v>0</v>
      </c>
      <c r="M2333" s="105">
        <f ca="1" t="shared" si="562"/>
        <v>-46313</v>
      </c>
      <c r="N2333" s="70"/>
      <c r="O2333" s="70"/>
      <c r="P2333" s="70"/>
      <c r="Q2333" s="71"/>
      <c r="R2333" s="71"/>
      <c r="S2333" s="72"/>
      <c r="T2333" s="73"/>
      <c r="U2333" s="79"/>
      <c r="V2333" s="102"/>
      <c r="W2333" s="70"/>
      <c r="X2333" s="103"/>
      <c r="Y2333" s="226"/>
      <c r="Z2333" s="133"/>
      <c r="AA2333" s="70"/>
      <c r="AB2333" s="70"/>
      <c r="AC2333" s="70"/>
      <c r="AD2333" s="71"/>
      <c r="AE2333" s="71"/>
      <c r="AF2333" s="72"/>
      <c r="AG2333" s="73"/>
      <c r="AH2333" s="79"/>
      <c r="AI2333" s="102"/>
      <c r="AJ2333" s="70"/>
      <c r="AK2333" s="103"/>
      <c r="AL2333" s="104"/>
      <c r="AM2333" s="105"/>
      <c r="AN2333" s="115"/>
      <c r="AO2333" s="115"/>
      <c r="AP2333" s="115"/>
      <c r="AQ2333" s="93"/>
      <c r="AR2333" s="93"/>
      <c r="AS2333" s="94"/>
      <c r="AT2333" s="95"/>
      <c r="AU2333" s="79"/>
      <c r="AV2333" s="117"/>
      <c r="AW2333" s="115"/>
      <c r="AX2333" s="106"/>
      <c r="AY2333" s="104"/>
      <c r="AZ2333" s="105"/>
    </row>
    <row r="2334" customHeight="1" spans="1:52">
      <c r="A2334" s="70"/>
      <c r="B2334" s="70"/>
      <c r="C2334" s="70"/>
      <c r="D2334" s="71"/>
      <c r="E2334" s="71"/>
      <c r="F2334" s="72"/>
      <c r="G2334" s="73"/>
      <c r="H2334" s="74"/>
      <c r="I2334" s="102"/>
      <c r="J2334" s="70"/>
      <c r="K2334" s="106"/>
      <c r="L2334" s="104">
        <f t="shared" si="561"/>
        <v>0</v>
      </c>
      <c r="M2334" s="105">
        <f ca="1" t="shared" si="562"/>
        <v>-46313</v>
      </c>
      <c r="N2334" s="70"/>
      <c r="O2334" s="70"/>
      <c r="P2334" s="70"/>
      <c r="Q2334" s="71"/>
      <c r="R2334" s="71"/>
      <c r="S2334" s="72"/>
      <c r="T2334" s="73"/>
      <c r="U2334" s="79"/>
      <c r="V2334" s="102"/>
      <c r="W2334" s="70"/>
      <c r="X2334" s="103"/>
      <c r="Y2334" s="226"/>
      <c r="Z2334" s="133"/>
      <c r="AA2334" s="70"/>
      <c r="AB2334" s="70"/>
      <c r="AC2334" s="70"/>
      <c r="AD2334" s="71"/>
      <c r="AE2334" s="71"/>
      <c r="AF2334" s="72"/>
      <c r="AG2334" s="73"/>
      <c r="AH2334" s="79"/>
      <c r="AI2334" s="102"/>
      <c r="AJ2334" s="70"/>
      <c r="AK2334" s="103"/>
      <c r="AL2334" s="104"/>
      <c r="AM2334" s="105"/>
      <c r="AN2334" s="115"/>
      <c r="AO2334" s="115"/>
      <c r="AP2334" s="115"/>
      <c r="AQ2334" s="93"/>
      <c r="AR2334" s="93"/>
      <c r="AS2334" s="94"/>
      <c r="AT2334" s="95"/>
      <c r="AU2334" s="79"/>
      <c r="AV2334" s="117"/>
      <c r="AW2334" s="115"/>
      <c r="AX2334" s="106"/>
      <c r="AY2334" s="104"/>
      <c r="AZ2334" s="105"/>
    </row>
    <row r="2335" customHeight="1" spans="1:52">
      <c r="A2335" s="70"/>
      <c r="B2335" s="70"/>
      <c r="C2335" s="70"/>
      <c r="D2335" s="71"/>
      <c r="E2335" s="71"/>
      <c r="F2335" s="72"/>
      <c r="G2335" s="73"/>
      <c r="H2335" s="74"/>
      <c r="I2335" s="102"/>
      <c r="J2335" s="70"/>
      <c r="K2335" s="106"/>
      <c r="L2335" s="104">
        <f t="shared" si="561"/>
        <v>0</v>
      </c>
      <c r="M2335" s="105">
        <f ca="1" t="shared" si="562"/>
        <v>-46313</v>
      </c>
      <c r="N2335" s="70"/>
      <c r="O2335" s="70"/>
      <c r="P2335" s="70"/>
      <c r="Q2335" s="71"/>
      <c r="R2335" s="71"/>
      <c r="S2335" s="72"/>
      <c r="T2335" s="73"/>
      <c r="U2335" s="79"/>
      <c r="V2335" s="102"/>
      <c r="W2335" s="70"/>
      <c r="X2335" s="103"/>
      <c r="Y2335" s="226"/>
      <c r="Z2335" s="133"/>
      <c r="AA2335" s="70"/>
      <c r="AB2335" s="70"/>
      <c r="AC2335" s="70"/>
      <c r="AD2335" s="71"/>
      <c r="AE2335" s="71"/>
      <c r="AF2335" s="72"/>
      <c r="AG2335" s="73"/>
      <c r="AH2335" s="79"/>
      <c r="AI2335" s="102"/>
      <c r="AJ2335" s="70"/>
      <c r="AK2335" s="103"/>
      <c r="AL2335" s="104"/>
      <c r="AM2335" s="105"/>
      <c r="AN2335" s="115"/>
      <c r="AO2335" s="115"/>
      <c r="AP2335" s="115"/>
      <c r="AQ2335" s="93"/>
      <c r="AR2335" s="93"/>
      <c r="AS2335" s="94"/>
      <c r="AT2335" s="95"/>
      <c r="AU2335" s="79"/>
      <c r="AV2335" s="117"/>
      <c r="AW2335" s="115"/>
      <c r="AX2335" s="106"/>
      <c r="AY2335" s="104"/>
      <c r="AZ2335" s="105"/>
    </row>
    <row r="2336" customHeight="1" spans="1:52">
      <c r="A2336" s="70"/>
      <c r="B2336" s="70"/>
      <c r="C2336" s="70"/>
      <c r="D2336" s="71"/>
      <c r="E2336" s="71"/>
      <c r="F2336" s="72"/>
      <c r="G2336" s="73"/>
      <c r="H2336" s="74"/>
      <c r="I2336" s="102"/>
      <c r="J2336" s="70"/>
      <c r="K2336" s="106"/>
      <c r="L2336" s="104">
        <f t="shared" si="561"/>
        <v>0</v>
      </c>
      <c r="M2336" s="105">
        <f ca="1" t="shared" si="562"/>
        <v>-46313</v>
      </c>
      <c r="N2336" s="70"/>
      <c r="O2336" s="70"/>
      <c r="P2336" s="70"/>
      <c r="Q2336" s="71"/>
      <c r="R2336" s="71"/>
      <c r="S2336" s="72"/>
      <c r="T2336" s="73"/>
      <c r="U2336" s="79"/>
      <c r="V2336" s="102"/>
      <c r="W2336" s="70"/>
      <c r="X2336" s="103"/>
      <c r="Y2336" s="226"/>
      <c r="Z2336" s="133"/>
      <c r="AA2336" s="70"/>
      <c r="AB2336" s="70"/>
      <c r="AC2336" s="70"/>
      <c r="AD2336" s="71"/>
      <c r="AE2336" s="71"/>
      <c r="AF2336" s="72"/>
      <c r="AG2336" s="73"/>
      <c r="AH2336" s="79"/>
      <c r="AI2336" s="102"/>
      <c r="AJ2336" s="70"/>
      <c r="AK2336" s="103"/>
      <c r="AL2336" s="104"/>
      <c r="AM2336" s="105"/>
      <c r="AN2336" s="115"/>
      <c r="AO2336" s="115"/>
      <c r="AP2336" s="115"/>
      <c r="AQ2336" s="93"/>
      <c r="AR2336" s="93"/>
      <c r="AS2336" s="94"/>
      <c r="AT2336" s="95"/>
      <c r="AU2336" s="79"/>
      <c r="AV2336" s="117"/>
      <c r="AW2336" s="115"/>
      <c r="AX2336" s="106"/>
      <c r="AY2336" s="104"/>
      <c r="AZ2336" s="105"/>
    </row>
    <row r="2337" customHeight="1" spans="1:52">
      <c r="A2337" s="70"/>
      <c r="B2337" s="70"/>
      <c r="C2337" s="70"/>
      <c r="D2337" s="71"/>
      <c r="E2337" s="71"/>
      <c r="F2337" s="72"/>
      <c r="G2337" s="73"/>
      <c r="H2337" s="74"/>
      <c r="I2337" s="102"/>
      <c r="J2337" s="70"/>
      <c r="K2337" s="106"/>
      <c r="L2337" s="104"/>
      <c r="M2337" s="105"/>
      <c r="N2337" s="70"/>
      <c r="O2337" s="70"/>
      <c r="P2337" s="70"/>
      <c r="Q2337" s="71"/>
      <c r="R2337" s="71"/>
      <c r="S2337" s="72"/>
      <c r="T2337" s="73"/>
      <c r="U2337" s="79"/>
      <c r="V2337" s="102"/>
      <c r="W2337" s="70"/>
      <c r="X2337" s="103"/>
      <c r="Y2337" s="226"/>
      <c r="Z2337" s="133"/>
      <c r="AA2337" s="70"/>
      <c r="AB2337" s="70"/>
      <c r="AC2337" s="70"/>
      <c r="AD2337" s="71"/>
      <c r="AE2337" s="71"/>
      <c r="AF2337" s="72"/>
      <c r="AG2337" s="73"/>
      <c r="AH2337" s="79"/>
      <c r="AI2337" s="102"/>
      <c r="AJ2337" s="70"/>
      <c r="AK2337" s="103"/>
      <c r="AL2337" s="104"/>
      <c r="AM2337" s="105"/>
      <c r="AN2337" s="115"/>
      <c r="AO2337" s="115"/>
      <c r="AP2337" s="115"/>
      <c r="AQ2337" s="93"/>
      <c r="AR2337" s="93"/>
      <c r="AS2337" s="94"/>
      <c r="AT2337" s="95"/>
      <c r="AU2337" s="79"/>
      <c r="AV2337" s="117"/>
      <c r="AW2337" s="115"/>
      <c r="AX2337" s="106"/>
      <c r="AY2337" s="104"/>
      <c r="AZ2337" s="105"/>
    </row>
    <row r="2338" customHeight="1" spans="1:52">
      <c r="A2338" s="70"/>
      <c r="B2338" s="70"/>
      <c r="C2338" s="70"/>
      <c r="D2338" s="71"/>
      <c r="E2338" s="71"/>
      <c r="F2338" s="72"/>
      <c r="G2338" s="73"/>
      <c r="H2338" s="74"/>
      <c r="I2338" s="102"/>
      <c r="J2338" s="70"/>
      <c r="K2338" s="106"/>
      <c r="L2338" s="104"/>
      <c r="M2338" s="105"/>
      <c r="N2338" s="70"/>
      <c r="O2338" s="70"/>
      <c r="P2338" s="70"/>
      <c r="Q2338" s="71"/>
      <c r="R2338" s="71"/>
      <c r="S2338" s="72"/>
      <c r="T2338" s="73"/>
      <c r="U2338" s="79"/>
      <c r="V2338" s="102"/>
      <c r="W2338" s="70"/>
      <c r="X2338" s="103"/>
      <c r="Y2338" s="226"/>
      <c r="Z2338" s="133"/>
      <c r="AA2338" s="70"/>
      <c r="AB2338" s="70"/>
      <c r="AC2338" s="70"/>
      <c r="AD2338" s="71"/>
      <c r="AE2338" s="71"/>
      <c r="AF2338" s="72"/>
      <c r="AG2338" s="73"/>
      <c r="AH2338" s="79"/>
      <c r="AI2338" s="102"/>
      <c r="AJ2338" s="70"/>
      <c r="AK2338" s="103"/>
      <c r="AL2338" s="104"/>
      <c r="AM2338" s="105"/>
      <c r="AN2338" s="115"/>
      <c r="AO2338" s="115"/>
      <c r="AP2338" s="115"/>
      <c r="AQ2338" s="93"/>
      <c r="AR2338" s="93"/>
      <c r="AS2338" s="94"/>
      <c r="AT2338" s="95"/>
      <c r="AU2338" s="79"/>
      <c r="AV2338" s="117"/>
      <c r="AW2338" s="115"/>
      <c r="AX2338" s="106"/>
      <c r="AY2338" s="104"/>
      <c r="AZ2338" s="105"/>
    </row>
    <row r="2339" customHeight="1" spans="1:52">
      <c r="A2339" s="70"/>
      <c r="B2339" s="70"/>
      <c r="C2339" s="70"/>
      <c r="D2339" s="71"/>
      <c r="E2339" s="71"/>
      <c r="F2339" s="72"/>
      <c r="G2339" s="73"/>
      <c r="H2339" s="74"/>
      <c r="I2339" s="102"/>
      <c r="J2339" s="70"/>
      <c r="K2339" s="106"/>
      <c r="L2339" s="104"/>
      <c r="M2339" s="105"/>
      <c r="N2339" s="70"/>
      <c r="O2339" s="70"/>
      <c r="P2339" s="70"/>
      <c r="Q2339" s="71"/>
      <c r="R2339" s="71"/>
      <c r="S2339" s="72"/>
      <c r="T2339" s="73"/>
      <c r="U2339" s="79"/>
      <c r="V2339" s="102"/>
      <c r="W2339" s="70"/>
      <c r="X2339" s="103"/>
      <c r="Y2339" s="226"/>
      <c r="Z2339" s="133"/>
      <c r="AA2339" s="70"/>
      <c r="AB2339" s="70"/>
      <c r="AC2339" s="70"/>
      <c r="AD2339" s="71"/>
      <c r="AE2339" s="71"/>
      <c r="AF2339" s="72"/>
      <c r="AG2339" s="73"/>
      <c r="AH2339" s="79"/>
      <c r="AI2339" s="102"/>
      <c r="AJ2339" s="70"/>
      <c r="AK2339" s="103"/>
      <c r="AL2339" s="104"/>
      <c r="AM2339" s="105"/>
      <c r="AN2339" s="115"/>
      <c r="AO2339" s="115"/>
      <c r="AP2339" s="115"/>
      <c r="AQ2339" s="93"/>
      <c r="AR2339" s="93"/>
      <c r="AS2339" s="94"/>
      <c r="AT2339" s="95"/>
      <c r="AU2339" s="79"/>
      <c r="AV2339" s="117"/>
      <c r="AW2339" s="115"/>
      <c r="AX2339" s="106"/>
      <c r="AY2339" s="104"/>
      <c r="AZ2339" s="105"/>
    </row>
    <row r="2340" customHeight="1" spans="1:52">
      <c r="A2340" s="70"/>
      <c r="B2340" s="70"/>
      <c r="C2340" s="70"/>
      <c r="D2340" s="71"/>
      <c r="E2340" s="71"/>
      <c r="F2340" s="72"/>
      <c r="G2340" s="73"/>
      <c r="H2340" s="74"/>
      <c r="I2340" s="102"/>
      <c r="J2340" s="70"/>
      <c r="K2340" s="106"/>
      <c r="L2340" s="104"/>
      <c r="M2340" s="105"/>
      <c r="N2340" s="70"/>
      <c r="O2340" s="70"/>
      <c r="P2340" s="70"/>
      <c r="Q2340" s="71"/>
      <c r="R2340" s="71"/>
      <c r="S2340" s="72"/>
      <c r="T2340" s="73"/>
      <c r="U2340" s="79"/>
      <c r="V2340" s="102"/>
      <c r="W2340" s="70"/>
      <c r="X2340" s="103"/>
      <c r="Y2340" s="226"/>
      <c r="Z2340" s="133"/>
      <c r="AA2340" s="70"/>
      <c r="AB2340" s="70"/>
      <c r="AC2340" s="70"/>
      <c r="AD2340" s="71"/>
      <c r="AE2340" s="71"/>
      <c r="AF2340" s="72"/>
      <c r="AG2340" s="73"/>
      <c r="AH2340" s="79"/>
      <c r="AI2340" s="102"/>
      <c r="AJ2340" s="70"/>
      <c r="AK2340" s="103"/>
      <c r="AL2340" s="104"/>
      <c r="AM2340" s="105"/>
      <c r="AN2340" s="115"/>
      <c r="AO2340" s="115"/>
      <c r="AP2340" s="115"/>
      <c r="AQ2340" s="93"/>
      <c r="AR2340" s="93"/>
      <c r="AS2340" s="94"/>
      <c r="AT2340" s="95"/>
      <c r="AU2340" s="79"/>
      <c r="AV2340" s="117"/>
      <c r="AW2340" s="115"/>
      <c r="AX2340" s="106"/>
      <c r="AY2340" s="104"/>
      <c r="AZ2340" s="105"/>
    </row>
    <row r="2341" customHeight="1" spans="1:52">
      <c r="A2341" s="70"/>
      <c r="B2341" s="70"/>
      <c r="C2341" s="70"/>
      <c r="D2341" s="71"/>
      <c r="E2341" s="71"/>
      <c r="F2341" s="72"/>
      <c r="G2341" s="73"/>
      <c r="H2341" s="74"/>
      <c r="I2341" s="102"/>
      <c r="J2341" s="70"/>
      <c r="K2341" s="106"/>
      <c r="L2341" s="104"/>
      <c r="M2341" s="105"/>
      <c r="N2341" s="70"/>
      <c r="O2341" s="70"/>
      <c r="P2341" s="70"/>
      <c r="Q2341" s="71"/>
      <c r="R2341" s="71"/>
      <c r="S2341" s="72"/>
      <c r="T2341" s="73"/>
      <c r="U2341" s="79"/>
      <c r="V2341" s="102"/>
      <c r="W2341" s="70"/>
      <c r="X2341" s="103"/>
      <c r="Y2341" s="226"/>
      <c r="Z2341" s="133"/>
      <c r="AA2341" s="70"/>
      <c r="AB2341" s="70"/>
      <c r="AC2341" s="70"/>
      <c r="AD2341" s="71"/>
      <c r="AE2341" s="71"/>
      <c r="AF2341" s="72"/>
      <c r="AG2341" s="73"/>
      <c r="AH2341" s="79"/>
      <c r="AI2341" s="102"/>
      <c r="AJ2341" s="70"/>
      <c r="AK2341" s="103"/>
      <c r="AL2341" s="104"/>
      <c r="AM2341" s="105"/>
      <c r="AN2341" s="115"/>
      <c r="AO2341" s="115"/>
      <c r="AP2341" s="115"/>
      <c r="AQ2341" s="93"/>
      <c r="AR2341" s="93"/>
      <c r="AS2341" s="94"/>
      <c r="AT2341" s="95"/>
      <c r="AU2341" s="79"/>
      <c r="AV2341" s="117"/>
      <c r="AW2341" s="115"/>
      <c r="AX2341" s="106"/>
      <c r="AY2341" s="104"/>
      <c r="AZ2341" s="105"/>
    </row>
    <row r="2342" customHeight="1" spans="1:52">
      <c r="A2342" s="70"/>
      <c r="B2342" s="70"/>
      <c r="C2342" s="70"/>
      <c r="D2342" s="71"/>
      <c r="E2342" s="71"/>
      <c r="F2342" s="72"/>
      <c r="G2342" s="73"/>
      <c r="H2342" s="74"/>
      <c r="I2342" s="102"/>
      <c r="J2342" s="70"/>
      <c r="K2342" s="106"/>
      <c r="L2342" s="104"/>
      <c r="M2342" s="105"/>
      <c r="N2342" s="70"/>
      <c r="O2342" s="70"/>
      <c r="P2342" s="70"/>
      <c r="Q2342" s="71"/>
      <c r="R2342" s="71"/>
      <c r="S2342" s="72"/>
      <c r="T2342" s="73"/>
      <c r="U2342" s="79"/>
      <c r="V2342" s="102"/>
      <c r="W2342" s="70"/>
      <c r="X2342" s="103"/>
      <c r="Y2342" s="226"/>
      <c r="Z2342" s="133"/>
      <c r="AA2342" s="70"/>
      <c r="AB2342" s="70"/>
      <c r="AC2342" s="70"/>
      <c r="AD2342" s="71"/>
      <c r="AE2342" s="71"/>
      <c r="AF2342" s="72"/>
      <c r="AG2342" s="73"/>
      <c r="AH2342" s="79"/>
      <c r="AI2342" s="102"/>
      <c r="AJ2342" s="70"/>
      <c r="AK2342" s="103"/>
      <c r="AL2342" s="104"/>
      <c r="AM2342" s="105"/>
      <c r="AN2342" s="115"/>
      <c r="AO2342" s="115"/>
      <c r="AP2342" s="115"/>
      <c r="AQ2342" s="93"/>
      <c r="AR2342" s="93"/>
      <c r="AS2342" s="94"/>
      <c r="AT2342" s="95"/>
      <c r="AU2342" s="79"/>
      <c r="AV2342" s="117"/>
      <c r="AW2342" s="115"/>
      <c r="AX2342" s="106"/>
      <c r="AY2342" s="104"/>
      <c r="AZ2342" s="105"/>
    </row>
    <row r="2343" customHeight="1" spans="1:52">
      <c r="A2343" s="70"/>
      <c r="B2343" s="70"/>
      <c r="C2343" s="70"/>
      <c r="D2343" s="71"/>
      <c r="E2343" s="71"/>
      <c r="F2343" s="72"/>
      <c r="G2343" s="73"/>
      <c r="H2343" s="74"/>
      <c r="I2343" s="102"/>
      <c r="J2343" s="70"/>
      <c r="K2343" s="106"/>
      <c r="L2343" s="104"/>
      <c r="M2343" s="105"/>
      <c r="N2343" s="70"/>
      <c r="O2343" s="70"/>
      <c r="P2343" s="70"/>
      <c r="Q2343" s="71"/>
      <c r="R2343" s="71"/>
      <c r="S2343" s="72"/>
      <c r="T2343" s="73"/>
      <c r="U2343" s="79"/>
      <c r="V2343" s="102"/>
      <c r="W2343" s="70"/>
      <c r="X2343" s="103"/>
      <c r="Y2343" s="226"/>
      <c r="Z2343" s="133"/>
      <c r="AA2343" s="70"/>
      <c r="AB2343" s="70"/>
      <c r="AC2343" s="70"/>
      <c r="AD2343" s="71"/>
      <c r="AE2343" s="71"/>
      <c r="AF2343" s="72"/>
      <c r="AG2343" s="73"/>
      <c r="AH2343" s="79"/>
      <c r="AI2343" s="102"/>
      <c r="AJ2343" s="70"/>
      <c r="AK2343" s="103"/>
      <c r="AL2343" s="104"/>
      <c r="AM2343" s="105"/>
      <c r="AN2343" s="115"/>
      <c r="AO2343" s="115"/>
      <c r="AP2343" s="115"/>
      <c r="AQ2343" s="93"/>
      <c r="AR2343" s="93"/>
      <c r="AS2343" s="94"/>
      <c r="AT2343" s="95"/>
      <c r="AU2343" s="79"/>
      <c r="AV2343" s="117"/>
      <c r="AW2343" s="115"/>
      <c r="AX2343" s="106"/>
      <c r="AY2343" s="104"/>
      <c r="AZ2343" s="105"/>
    </row>
    <row r="2344" customHeight="1" spans="1:52">
      <c r="A2344" s="70"/>
      <c r="B2344" s="70"/>
      <c r="C2344" s="70"/>
      <c r="D2344" s="71"/>
      <c r="E2344" s="71"/>
      <c r="F2344" s="72"/>
      <c r="G2344" s="73"/>
      <c r="H2344" s="74"/>
      <c r="I2344" s="102"/>
      <c r="J2344" s="70"/>
      <c r="K2344" s="106"/>
      <c r="L2344" s="104"/>
      <c r="M2344" s="105"/>
      <c r="N2344" s="70"/>
      <c r="O2344" s="70"/>
      <c r="P2344" s="70"/>
      <c r="Q2344" s="71"/>
      <c r="R2344" s="71"/>
      <c r="S2344" s="72"/>
      <c r="T2344" s="73"/>
      <c r="U2344" s="79"/>
      <c r="V2344" s="102"/>
      <c r="W2344" s="70"/>
      <c r="X2344" s="103"/>
      <c r="Y2344" s="226"/>
      <c r="Z2344" s="133"/>
      <c r="AA2344" s="70"/>
      <c r="AB2344" s="70"/>
      <c r="AC2344" s="70"/>
      <c r="AD2344" s="71"/>
      <c r="AE2344" s="71"/>
      <c r="AF2344" s="72"/>
      <c r="AG2344" s="73"/>
      <c r="AH2344" s="79"/>
      <c r="AI2344" s="102"/>
      <c r="AJ2344" s="70"/>
      <c r="AK2344" s="103"/>
      <c r="AL2344" s="104"/>
      <c r="AM2344" s="105"/>
      <c r="AN2344" s="115"/>
      <c r="AO2344" s="115"/>
      <c r="AP2344" s="115"/>
      <c r="AQ2344" s="93"/>
      <c r="AR2344" s="93"/>
      <c r="AS2344" s="94"/>
      <c r="AT2344" s="95"/>
      <c r="AU2344" s="79"/>
      <c r="AV2344" s="117"/>
      <c r="AW2344" s="115"/>
      <c r="AX2344" s="106"/>
      <c r="AY2344" s="104"/>
      <c r="AZ2344" s="105"/>
    </row>
    <row r="2345" customHeight="1" spans="1:52">
      <c r="A2345" s="70"/>
      <c r="B2345" s="70"/>
      <c r="C2345" s="70"/>
      <c r="D2345" s="71"/>
      <c r="E2345" s="71"/>
      <c r="F2345" s="72"/>
      <c r="G2345" s="73"/>
      <c r="H2345" s="74"/>
      <c r="I2345" s="102"/>
      <c r="J2345" s="70"/>
      <c r="K2345" s="106"/>
      <c r="L2345" s="104"/>
      <c r="M2345" s="105"/>
      <c r="N2345" s="70"/>
      <c r="O2345" s="70"/>
      <c r="P2345" s="70"/>
      <c r="Q2345" s="71"/>
      <c r="R2345" s="71"/>
      <c r="S2345" s="72"/>
      <c r="T2345" s="73"/>
      <c r="U2345" s="79"/>
      <c r="V2345" s="102"/>
      <c r="W2345" s="70"/>
      <c r="X2345" s="103"/>
      <c r="Y2345" s="226"/>
      <c r="Z2345" s="133"/>
      <c r="AA2345" s="70"/>
      <c r="AB2345" s="70"/>
      <c r="AC2345" s="70"/>
      <c r="AD2345" s="71"/>
      <c r="AE2345" s="71"/>
      <c r="AF2345" s="72"/>
      <c r="AG2345" s="73"/>
      <c r="AH2345" s="79"/>
      <c r="AI2345" s="102"/>
      <c r="AJ2345" s="70"/>
      <c r="AK2345" s="103"/>
      <c r="AL2345" s="104"/>
      <c r="AM2345" s="105"/>
      <c r="AN2345" s="115"/>
      <c r="AO2345" s="115"/>
      <c r="AP2345" s="115"/>
      <c r="AQ2345" s="93"/>
      <c r="AR2345" s="93"/>
      <c r="AS2345" s="94"/>
      <c r="AT2345" s="95"/>
      <c r="AU2345" s="79"/>
      <c r="AV2345" s="117"/>
      <c r="AW2345" s="115"/>
      <c r="AX2345" s="106"/>
      <c r="AY2345" s="104"/>
      <c r="AZ2345" s="105"/>
    </row>
    <row r="2346" customHeight="1" spans="1:52">
      <c r="A2346" s="70"/>
      <c r="B2346" s="70"/>
      <c r="C2346" s="70"/>
      <c r="D2346" s="71"/>
      <c r="E2346" s="71"/>
      <c r="F2346" s="72"/>
      <c r="G2346" s="73"/>
      <c r="H2346" s="74"/>
      <c r="I2346" s="102"/>
      <c r="J2346" s="70"/>
      <c r="K2346" s="106"/>
      <c r="L2346" s="104"/>
      <c r="M2346" s="105"/>
      <c r="N2346" s="70"/>
      <c r="O2346" s="70"/>
      <c r="P2346" s="70"/>
      <c r="Q2346" s="71"/>
      <c r="R2346" s="71"/>
      <c r="S2346" s="72"/>
      <c r="T2346" s="73"/>
      <c r="U2346" s="79"/>
      <c r="V2346" s="102"/>
      <c r="W2346" s="70"/>
      <c r="X2346" s="103"/>
      <c r="Y2346" s="226"/>
      <c r="Z2346" s="133"/>
      <c r="AA2346" s="70"/>
      <c r="AB2346" s="70"/>
      <c r="AC2346" s="70"/>
      <c r="AD2346" s="71"/>
      <c r="AE2346" s="71"/>
      <c r="AF2346" s="72"/>
      <c r="AG2346" s="73"/>
      <c r="AH2346" s="79"/>
      <c r="AI2346" s="102"/>
      <c r="AJ2346" s="70"/>
      <c r="AK2346" s="103"/>
      <c r="AL2346" s="104"/>
      <c r="AM2346" s="105"/>
      <c r="AN2346" s="115"/>
      <c r="AO2346" s="115"/>
      <c r="AP2346" s="115"/>
      <c r="AQ2346" s="93"/>
      <c r="AR2346" s="93"/>
      <c r="AS2346" s="94"/>
      <c r="AT2346" s="95"/>
      <c r="AU2346" s="79"/>
      <c r="AV2346" s="117"/>
      <c r="AW2346" s="115"/>
      <c r="AX2346" s="106"/>
      <c r="AY2346" s="104"/>
      <c r="AZ2346" s="105"/>
    </row>
    <row r="2347" customHeight="1" spans="1:52">
      <c r="A2347" s="70"/>
      <c r="B2347" s="70"/>
      <c r="C2347" s="70"/>
      <c r="D2347" s="71"/>
      <c r="E2347" s="71"/>
      <c r="F2347" s="72"/>
      <c r="G2347" s="73"/>
      <c r="H2347" s="74"/>
      <c r="I2347" s="102"/>
      <c r="J2347" s="70"/>
      <c r="K2347" s="106"/>
      <c r="L2347" s="104"/>
      <c r="M2347" s="105"/>
      <c r="N2347" s="70"/>
      <c r="O2347" s="70"/>
      <c r="P2347" s="70"/>
      <c r="Q2347" s="71"/>
      <c r="R2347" s="71"/>
      <c r="S2347" s="72"/>
      <c r="T2347" s="73"/>
      <c r="U2347" s="79"/>
      <c r="V2347" s="102"/>
      <c r="W2347" s="70"/>
      <c r="X2347" s="103"/>
      <c r="Y2347" s="226"/>
      <c r="Z2347" s="133"/>
      <c r="AA2347" s="70"/>
      <c r="AB2347" s="70"/>
      <c r="AC2347" s="70"/>
      <c r="AD2347" s="71"/>
      <c r="AE2347" s="71"/>
      <c r="AF2347" s="72"/>
      <c r="AG2347" s="73"/>
      <c r="AH2347" s="79"/>
      <c r="AI2347" s="102"/>
      <c r="AJ2347" s="70"/>
      <c r="AK2347" s="103"/>
      <c r="AL2347" s="104"/>
      <c r="AM2347" s="105"/>
      <c r="AN2347" s="115"/>
      <c r="AO2347" s="115"/>
      <c r="AP2347" s="115"/>
      <c r="AQ2347" s="93"/>
      <c r="AR2347" s="93"/>
      <c r="AS2347" s="94"/>
      <c r="AT2347" s="95"/>
      <c r="AU2347" s="79"/>
      <c r="AV2347" s="117"/>
      <c r="AW2347" s="115"/>
      <c r="AX2347" s="106"/>
      <c r="AY2347" s="104"/>
      <c r="AZ2347" s="105"/>
    </row>
    <row r="2348" customHeight="1" spans="1:52">
      <c r="A2348" s="70"/>
      <c r="B2348" s="70"/>
      <c r="C2348" s="70"/>
      <c r="D2348" s="71"/>
      <c r="E2348" s="71"/>
      <c r="F2348" s="72"/>
      <c r="G2348" s="73"/>
      <c r="H2348" s="74"/>
      <c r="I2348" s="102"/>
      <c r="J2348" s="70"/>
      <c r="K2348" s="106"/>
      <c r="L2348" s="104"/>
      <c r="M2348" s="105"/>
      <c r="N2348" s="70"/>
      <c r="O2348" s="70"/>
      <c r="P2348" s="70"/>
      <c r="Q2348" s="71"/>
      <c r="R2348" s="71"/>
      <c r="S2348" s="72"/>
      <c r="T2348" s="73"/>
      <c r="U2348" s="79"/>
      <c r="V2348" s="102"/>
      <c r="W2348" s="70"/>
      <c r="X2348" s="103"/>
      <c r="Y2348" s="226"/>
      <c r="Z2348" s="133"/>
      <c r="AA2348" s="70"/>
      <c r="AB2348" s="70"/>
      <c r="AC2348" s="70"/>
      <c r="AD2348" s="71"/>
      <c r="AE2348" s="71"/>
      <c r="AF2348" s="72"/>
      <c r="AG2348" s="73"/>
      <c r="AH2348" s="79"/>
      <c r="AI2348" s="102"/>
      <c r="AJ2348" s="70"/>
      <c r="AK2348" s="103"/>
      <c r="AL2348" s="104"/>
      <c r="AM2348" s="105"/>
      <c r="AN2348" s="115"/>
      <c r="AO2348" s="115"/>
      <c r="AP2348" s="115"/>
      <c r="AQ2348" s="93"/>
      <c r="AR2348" s="93"/>
      <c r="AS2348" s="94"/>
      <c r="AT2348" s="95"/>
      <c r="AU2348" s="79"/>
      <c r="AV2348" s="117"/>
      <c r="AW2348" s="115"/>
      <c r="AX2348" s="106"/>
      <c r="AY2348" s="104"/>
      <c r="AZ2348" s="105"/>
    </row>
    <row r="2349" customHeight="1" spans="1:52">
      <c r="A2349" s="70"/>
      <c r="B2349" s="70"/>
      <c r="C2349" s="70"/>
      <c r="D2349" s="71"/>
      <c r="E2349" s="71"/>
      <c r="F2349" s="72"/>
      <c r="G2349" s="73"/>
      <c r="H2349" s="74"/>
      <c r="I2349" s="102"/>
      <c r="J2349" s="70"/>
      <c r="K2349" s="106"/>
      <c r="L2349" s="104"/>
      <c r="M2349" s="105"/>
      <c r="N2349" s="70"/>
      <c r="O2349" s="70"/>
      <c r="P2349" s="70"/>
      <c r="Q2349" s="71"/>
      <c r="R2349" s="71"/>
      <c r="S2349" s="72"/>
      <c r="T2349" s="73"/>
      <c r="U2349" s="79"/>
      <c r="V2349" s="102"/>
      <c r="W2349" s="70"/>
      <c r="X2349" s="103"/>
      <c r="Y2349" s="226"/>
      <c r="Z2349" s="133"/>
      <c r="AA2349" s="70"/>
      <c r="AB2349" s="70"/>
      <c r="AC2349" s="70"/>
      <c r="AD2349" s="71"/>
      <c r="AE2349" s="71"/>
      <c r="AF2349" s="72"/>
      <c r="AG2349" s="73"/>
      <c r="AH2349" s="79"/>
      <c r="AI2349" s="102"/>
      <c r="AJ2349" s="70"/>
      <c r="AK2349" s="103"/>
      <c r="AL2349" s="104"/>
      <c r="AM2349" s="105"/>
      <c r="AN2349" s="115"/>
      <c r="AO2349" s="115"/>
      <c r="AP2349" s="115"/>
      <c r="AQ2349" s="93"/>
      <c r="AR2349" s="93"/>
      <c r="AS2349" s="94"/>
      <c r="AT2349" s="95"/>
      <c r="AU2349" s="79"/>
      <c r="AV2349" s="117"/>
      <c r="AW2349" s="115"/>
      <c r="AX2349" s="106"/>
      <c r="AY2349" s="104"/>
      <c r="AZ2349" s="105"/>
    </row>
    <row r="2350" customHeight="1" spans="1:52">
      <c r="A2350" s="70"/>
      <c r="B2350" s="70"/>
      <c r="C2350" s="70"/>
      <c r="D2350" s="71"/>
      <c r="E2350" s="71"/>
      <c r="F2350" s="72"/>
      <c r="G2350" s="73"/>
      <c r="H2350" s="74"/>
      <c r="I2350" s="102"/>
      <c r="J2350" s="70"/>
      <c r="K2350" s="106"/>
      <c r="L2350" s="104"/>
      <c r="M2350" s="105"/>
      <c r="N2350" s="70"/>
      <c r="O2350" s="70"/>
      <c r="P2350" s="70"/>
      <c r="Q2350" s="71"/>
      <c r="R2350" s="71"/>
      <c r="S2350" s="72"/>
      <c r="T2350" s="73"/>
      <c r="U2350" s="79"/>
      <c r="V2350" s="102"/>
      <c r="W2350" s="70"/>
      <c r="X2350" s="103"/>
      <c r="Y2350" s="226"/>
      <c r="Z2350" s="133"/>
      <c r="AA2350" s="70"/>
      <c r="AB2350" s="70"/>
      <c r="AC2350" s="70"/>
      <c r="AD2350" s="71"/>
      <c r="AE2350" s="71"/>
      <c r="AF2350" s="72"/>
      <c r="AG2350" s="73"/>
      <c r="AH2350" s="79"/>
      <c r="AI2350" s="102"/>
      <c r="AJ2350" s="70"/>
      <c r="AK2350" s="103"/>
      <c r="AL2350" s="104"/>
      <c r="AM2350" s="105"/>
      <c r="AN2350" s="115"/>
      <c r="AO2350" s="115"/>
      <c r="AP2350" s="115"/>
      <c r="AQ2350" s="93"/>
      <c r="AR2350" s="93"/>
      <c r="AS2350" s="94"/>
      <c r="AT2350" s="95"/>
      <c r="AU2350" s="79"/>
      <c r="AV2350" s="117"/>
      <c r="AW2350" s="115"/>
      <c r="AX2350" s="106"/>
      <c r="AY2350" s="104"/>
      <c r="AZ2350" s="105"/>
    </row>
    <row r="2351" customHeight="1" spans="1:52">
      <c r="A2351" s="70"/>
      <c r="B2351" s="70"/>
      <c r="C2351" s="70"/>
      <c r="D2351" s="71"/>
      <c r="E2351" s="71"/>
      <c r="F2351" s="72"/>
      <c r="G2351" s="73"/>
      <c r="H2351" s="74"/>
      <c r="I2351" s="102"/>
      <c r="J2351" s="70"/>
      <c r="K2351" s="106"/>
      <c r="L2351" s="104"/>
      <c r="M2351" s="105"/>
      <c r="N2351" s="70"/>
      <c r="O2351" s="70"/>
      <c r="P2351" s="70"/>
      <c r="Q2351" s="71"/>
      <c r="R2351" s="71"/>
      <c r="S2351" s="72"/>
      <c r="T2351" s="73"/>
      <c r="U2351" s="79"/>
      <c r="V2351" s="102"/>
      <c r="W2351" s="70"/>
      <c r="X2351" s="103"/>
      <c r="Y2351" s="226"/>
      <c r="Z2351" s="133"/>
      <c r="AA2351" s="70"/>
      <c r="AB2351" s="70"/>
      <c r="AC2351" s="70"/>
      <c r="AD2351" s="71"/>
      <c r="AE2351" s="71"/>
      <c r="AF2351" s="72"/>
      <c r="AG2351" s="73"/>
      <c r="AH2351" s="79"/>
      <c r="AI2351" s="102"/>
      <c r="AJ2351" s="70"/>
      <c r="AK2351" s="103"/>
      <c r="AL2351" s="104"/>
      <c r="AM2351" s="105"/>
      <c r="AN2351" s="115"/>
      <c r="AO2351" s="115"/>
      <c r="AP2351" s="115"/>
      <c r="AQ2351" s="93"/>
      <c r="AR2351" s="93"/>
      <c r="AS2351" s="94"/>
      <c r="AT2351" s="95"/>
      <c r="AU2351" s="79"/>
      <c r="AV2351" s="117"/>
      <c r="AW2351" s="115"/>
      <c r="AX2351" s="106"/>
      <c r="AY2351" s="104"/>
      <c r="AZ2351" s="105"/>
    </row>
    <row r="2352" customHeight="1" spans="1:52">
      <c r="A2352" s="70"/>
      <c r="B2352" s="70"/>
      <c r="C2352" s="70"/>
      <c r="D2352" s="71"/>
      <c r="E2352" s="71"/>
      <c r="F2352" s="72"/>
      <c r="G2352" s="73"/>
      <c r="H2352" s="74"/>
      <c r="I2352" s="102"/>
      <c r="J2352" s="70"/>
      <c r="K2352" s="106"/>
      <c r="L2352" s="104"/>
      <c r="M2352" s="105"/>
      <c r="N2352" s="70"/>
      <c r="O2352" s="70"/>
      <c r="P2352" s="70"/>
      <c r="Q2352" s="71"/>
      <c r="R2352" s="71"/>
      <c r="S2352" s="72"/>
      <c r="T2352" s="73"/>
      <c r="U2352" s="79"/>
      <c r="V2352" s="102"/>
      <c r="W2352" s="70"/>
      <c r="X2352" s="103"/>
      <c r="Y2352" s="226"/>
      <c r="Z2352" s="133"/>
      <c r="AA2352" s="70"/>
      <c r="AB2352" s="70"/>
      <c r="AC2352" s="70"/>
      <c r="AD2352" s="71"/>
      <c r="AE2352" s="71"/>
      <c r="AF2352" s="72"/>
      <c r="AG2352" s="73"/>
      <c r="AH2352" s="79"/>
      <c r="AI2352" s="102"/>
      <c r="AJ2352" s="70"/>
      <c r="AK2352" s="103"/>
      <c r="AL2352" s="104"/>
      <c r="AM2352" s="105"/>
      <c r="AN2352" s="115"/>
      <c r="AO2352" s="115"/>
      <c r="AP2352" s="115"/>
      <c r="AQ2352" s="93"/>
      <c r="AR2352" s="93"/>
      <c r="AS2352" s="94"/>
      <c r="AT2352" s="95"/>
      <c r="AU2352" s="79"/>
      <c r="AV2352" s="117"/>
      <c r="AW2352" s="115"/>
      <c r="AX2352" s="106"/>
      <c r="AY2352" s="104"/>
      <c r="AZ2352" s="105"/>
    </row>
    <row r="2353" customHeight="1" spans="1:52">
      <c r="A2353" s="70"/>
      <c r="B2353" s="70"/>
      <c r="C2353" s="70"/>
      <c r="D2353" s="71"/>
      <c r="E2353" s="71"/>
      <c r="F2353" s="72"/>
      <c r="G2353" s="73"/>
      <c r="H2353" s="74"/>
      <c r="I2353" s="102"/>
      <c r="J2353" s="70"/>
      <c r="K2353" s="106"/>
      <c r="L2353" s="104"/>
      <c r="M2353" s="105"/>
      <c r="N2353" s="70"/>
      <c r="O2353" s="70"/>
      <c r="P2353" s="70"/>
      <c r="Q2353" s="71"/>
      <c r="R2353" s="71"/>
      <c r="S2353" s="72"/>
      <c r="T2353" s="73"/>
      <c r="U2353" s="79"/>
      <c r="V2353" s="102"/>
      <c r="W2353" s="70"/>
      <c r="X2353" s="103"/>
      <c r="Y2353" s="226"/>
      <c r="Z2353" s="133"/>
      <c r="AA2353" s="70"/>
      <c r="AB2353" s="70"/>
      <c r="AC2353" s="70"/>
      <c r="AD2353" s="71"/>
      <c r="AE2353" s="71"/>
      <c r="AF2353" s="72"/>
      <c r="AG2353" s="73"/>
      <c r="AH2353" s="79"/>
      <c r="AI2353" s="102"/>
      <c r="AJ2353" s="70"/>
      <c r="AK2353" s="103"/>
      <c r="AL2353" s="104"/>
      <c r="AM2353" s="105"/>
      <c r="AN2353" s="115"/>
      <c r="AO2353" s="115"/>
      <c r="AP2353" s="115"/>
      <c r="AQ2353" s="93"/>
      <c r="AR2353" s="93"/>
      <c r="AS2353" s="94"/>
      <c r="AT2353" s="95"/>
      <c r="AU2353" s="79"/>
      <c r="AV2353" s="117"/>
      <c r="AW2353" s="115"/>
      <c r="AX2353" s="106"/>
      <c r="AY2353" s="104"/>
      <c r="AZ2353" s="105"/>
    </row>
    <row r="2354" customHeight="1" spans="1:52">
      <c r="A2354" s="70"/>
      <c r="B2354" s="70"/>
      <c r="C2354" s="70"/>
      <c r="D2354" s="71"/>
      <c r="E2354" s="71"/>
      <c r="F2354" s="72"/>
      <c r="G2354" s="73"/>
      <c r="H2354" s="74"/>
      <c r="I2354" s="102"/>
      <c r="J2354" s="70"/>
      <c r="K2354" s="106"/>
      <c r="L2354" s="104"/>
      <c r="M2354" s="105"/>
      <c r="N2354" s="70"/>
      <c r="O2354" s="70"/>
      <c r="P2354" s="70"/>
      <c r="Q2354" s="71"/>
      <c r="R2354" s="71"/>
      <c r="S2354" s="72"/>
      <c r="T2354" s="73"/>
      <c r="U2354" s="79"/>
      <c r="V2354" s="102"/>
      <c r="W2354" s="70"/>
      <c r="X2354" s="103"/>
      <c r="Y2354" s="226"/>
      <c r="Z2354" s="133"/>
      <c r="AA2354" s="70"/>
      <c r="AB2354" s="70"/>
      <c r="AC2354" s="70"/>
      <c r="AD2354" s="71"/>
      <c r="AE2354" s="71"/>
      <c r="AF2354" s="72"/>
      <c r="AG2354" s="73"/>
      <c r="AH2354" s="79"/>
      <c r="AI2354" s="102"/>
      <c r="AJ2354" s="70"/>
      <c r="AK2354" s="103"/>
      <c r="AL2354" s="104"/>
      <c r="AM2354" s="105"/>
      <c r="AN2354" s="115"/>
      <c r="AO2354" s="115"/>
      <c r="AP2354" s="115"/>
      <c r="AQ2354" s="93"/>
      <c r="AR2354" s="93"/>
      <c r="AS2354" s="94"/>
      <c r="AT2354" s="95"/>
      <c r="AU2354" s="79"/>
      <c r="AV2354" s="117"/>
      <c r="AW2354" s="115"/>
      <c r="AX2354" s="106"/>
      <c r="AY2354" s="104"/>
      <c r="AZ2354" s="105"/>
    </row>
    <row r="2355" customHeight="1" spans="1:52">
      <c r="A2355" s="70"/>
      <c r="B2355" s="70"/>
      <c r="C2355" s="70"/>
      <c r="D2355" s="71"/>
      <c r="E2355" s="71"/>
      <c r="F2355" s="72"/>
      <c r="G2355" s="73"/>
      <c r="H2355" s="74"/>
      <c r="I2355" s="102"/>
      <c r="J2355" s="70"/>
      <c r="K2355" s="106"/>
      <c r="L2355" s="104"/>
      <c r="M2355" s="105"/>
      <c r="N2355" s="70"/>
      <c r="O2355" s="70"/>
      <c r="P2355" s="70"/>
      <c r="Q2355" s="71"/>
      <c r="R2355" s="71"/>
      <c r="S2355" s="72"/>
      <c r="T2355" s="73"/>
      <c r="U2355" s="79"/>
      <c r="V2355" s="102"/>
      <c r="W2355" s="70"/>
      <c r="X2355" s="103"/>
      <c r="Y2355" s="226"/>
      <c r="Z2355" s="133"/>
      <c r="AA2355" s="70"/>
      <c r="AB2355" s="70"/>
      <c r="AC2355" s="70"/>
      <c r="AD2355" s="71"/>
      <c r="AE2355" s="71"/>
      <c r="AF2355" s="72"/>
      <c r="AG2355" s="73"/>
      <c r="AH2355" s="79"/>
      <c r="AI2355" s="102"/>
      <c r="AJ2355" s="70"/>
      <c r="AK2355" s="103"/>
      <c r="AL2355" s="104"/>
      <c r="AM2355" s="105"/>
      <c r="AN2355" s="115"/>
      <c r="AO2355" s="115"/>
      <c r="AP2355" s="115"/>
      <c r="AQ2355" s="93"/>
      <c r="AR2355" s="93"/>
      <c r="AS2355" s="94"/>
      <c r="AT2355" s="95"/>
      <c r="AU2355" s="79"/>
      <c r="AV2355" s="117"/>
      <c r="AW2355" s="115"/>
      <c r="AX2355" s="106"/>
      <c r="AY2355" s="104"/>
      <c r="AZ2355" s="105"/>
    </row>
    <row r="2356" customHeight="1" spans="1:52">
      <c r="A2356" s="70"/>
      <c r="B2356" s="70"/>
      <c r="C2356" s="70"/>
      <c r="D2356" s="71"/>
      <c r="E2356" s="71"/>
      <c r="F2356" s="72"/>
      <c r="G2356" s="73"/>
      <c r="H2356" s="74"/>
      <c r="I2356" s="102"/>
      <c r="J2356" s="70"/>
      <c r="K2356" s="106"/>
      <c r="L2356" s="104"/>
      <c r="M2356" s="105"/>
      <c r="N2356" s="70"/>
      <c r="O2356" s="70"/>
      <c r="P2356" s="70"/>
      <c r="Q2356" s="71"/>
      <c r="R2356" s="71"/>
      <c r="S2356" s="72"/>
      <c r="T2356" s="73"/>
      <c r="U2356" s="79"/>
      <c r="V2356" s="102"/>
      <c r="W2356" s="70"/>
      <c r="X2356" s="103"/>
      <c r="Y2356" s="226"/>
      <c r="Z2356" s="133"/>
      <c r="AA2356" s="70"/>
      <c r="AB2356" s="70"/>
      <c r="AC2356" s="70"/>
      <c r="AD2356" s="71"/>
      <c r="AE2356" s="71"/>
      <c r="AF2356" s="72"/>
      <c r="AG2356" s="73"/>
      <c r="AH2356" s="79"/>
      <c r="AI2356" s="102"/>
      <c r="AJ2356" s="70"/>
      <c r="AK2356" s="103"/>
      <c r="AL2356" s="104"/>
      <c r="AM2356" s="105"/>
      <c r="AN2356" s="115"/>
      <c r="AO2356" s="115"/>
      <c r="AP2356" s="115"/>
      <c r="AQ2356" s="93"/>
      <c r="AR2356" s="93"/>
      <c r="AS2356" s="94"/>
      <c r="AT2356" s="95"/>
      <c r="AU2356" s="79"/>
      <c r="AV2356" s="117"/>
      <c r="AW2356" s="115"/>
      <c r="AX2356" s="106"/>
      <c r="AY2356" s="104"/>
      <c r="AZ2356" s="105"/>
    </row>
    <row r="2357" customHeight="1" spans="1:52">
      <c r="A2357" s="70"/>
      <c r="B2357" s="70"/>
      <c r="C2357" s="70"/>
      <c r="D2357" s="71"/>
      <c r="E2357" s="71"/>
      <c r="F2357" s="72"/>
      <c r="G2357" s="73"/>
      <c r="H2357" s="74"/>
      <c r="I2357" s="102"/>
      <c r="J2357" s="70"/>
      <c r="K2357" s="106"/>
      <c r="L2357" s="104"/>
      <c r="M2357" s="105"/>
      <c r="N2357" s="70"/>
      <c r="O2357" s="70"/>
      <c r="P2357" s="70"/>
      <c r="Q2357" s="71"/>
      <c r="R2357" s="71"/>
      <c r="S2357" s="72"/>
      <c r="T2357" s="73"/>
      <c r="U2357" s="79"/>
      <c r="V2357" s="102"/>
      <c r="W2357" s="70"/>
      <c r="X2357" s="103"/>
      <c r="Y2357" s="226"/>
      <c r="Z2357" s="133"/>
      <c r="AA2357" s="70"/>
      <c r="AB2357" s="70"/>
      <c r="AC2357" s="70"/>
      <c r="AD2357" s="71"/>
      <c r="AE2357" s="71"/>
      <c r="AF2357" s="72"/>
      <c r="AG2357" s="73"/>
      <c r="AH2357" s="79"/>
      <c r="AI2357" s="102"/>
      <c r="AJ2357" s="70"/>
      <c r="AK2357" s="103"/>
      <c r="AL2357" s="104"/>
      <c r="AM2357" s="105"/>
      <c r="AN2357" s="115"/>
      <c r="AO2357" s="115"/>
      <c r="AP2357" s="115"/>
      <c r="AQ2357" s="93"/>
      <c r="AR2357" s="93"/>
      <c r="AS2357" s="94"/>
      <c r="AT2357" s="95"/>
      <c r="AU2357" s="79"/>
      <c r="AV2357" s="117"/>
      <c r="AW2357" s="115"/>
      <c r="AX2357" s="106"/>
      <c r="AY2357" s="104"/>
      <c r="AZ2357" s="105"/>
    </row>
    <row r="2358" customHeight="1" spans="1:52">
      <c r="A2358" s="70"/>
      <c r="B2358" s="70"/>
      <c r="C2358" s="70"/>
      <c r="D2358" s="71"/>
      <c r="E2358" s="71"/>
      <c r="F2358" s="72"/>
      <c r="G2358" s="73"/>
      <c r="H2358" s="74"/>
      <c r="I2358" s="102"/>
      <c r="J2358" s="70"/>
      <c r="K2358" s="106"/>
      <c r="L2358" s="104"/>
      <c r="M2358" s="105"/>
      <c r="N2358" s="70"/>
      <c r="O2358" s="70"/>
      <c r="P2358" s="70"/>
      <c r="Q2358" s="71"/>
      <c r="R2358" s="71"/>
      <c r="S2358" s="72"/>
      <c r="T2358" s="73"/>
      <c r="U2358" s="79"/>
      <c r="V2358" s="102"/>
      <c r="W2358" s="70"/>
      <c r="X2358" s="103"/>
      <c r="Y2358" s="226"/>
      <c r="Z2358" s="133"/>
      <c r="AA2358" s="70"/>
      <c r="AB2358" s="70"/>
      <c r="AC2358" s="70"/>
      <c r="AD2358" s="71"/>
      <c r="AE2358" s="71"/>
      <c r="AF2358" s="72"/>
      <c r="AG2358" s="73"/>
      <c r="AH2358" s="79"/>
      <c r="AI2358" s="102"/>
      <c r="AJ2358" s="70"/>
      <c r="AK2358" s="103"/>
      <c r="AL2358" s="104"/>
      <c r="AM2358" s="105"/>
      <c r="AN2358" s="115"/>
      <c r="AO2358" s="115"/>
      <c r="AP2358" s="115"/>
      <c r="AQ2358" s="93"/>
      <c r="AR2358" s="93"/>
      <c r="AS2358" s="94"/>
      <c r="AT2358" s="95"/>
      <c r="AU2358" s="79"/>
      <c r="AV2358" s="117"/>
      <c r="AW2358" s="115"/>
      <c r="AX2358" s="106"/>
      <c r="AY2358" s="104"/>
      <c r="AZ2358" s="105"/>
    </row>
    <row r="2359" customHeight="1" spans="1:52">
      <c r="A2359" s="70"/>
      <c r="B2359" s="70"/>
      <c r="C2359" s="70"/>
      <c r="D2359" s="71"/>
      <c r="E2359" s="71"/>
      <c r="F2359" s="72"/>
      <c r="G2359" s="73"/>
      <c r="H2359" s="74"/>
      <c r="I2359" s="102"/>
      <c r="J2359" s="70"/>
      <c r="K2359" s="106"/>
      <c r="L2359" s="104"/>
      <c r="M2359" s="105"/>
      <c r="N2359" s="70"/>
      <c r="O2359" s="70"/>
      <c r="P2359" s="70"/>
      <c r="Q2359" s="71"/>
      <c r="R2359" s="71"/>
      <c r="S2359" s="72"/>
      <c r="T2359" s="73"/>
      <c r="U2359" s="79"/>
      <c r="V2359" s="102"/>
      <c r="W2359" s="70"/>
      <c r="X2359" s="103"/>
      <c r="Y2359" s="226"/>
      <c r="Z2359" s="133"/>
      <c r="AA2359" s="70"/>
      <c r="AB2359" s="70"/>
      <c r="AC2359" s="70"/>
      <c r="AD2359" s="71"/>
      <c r="AE2359" s="71"/>
      <c r="AF2359" s="72"/>
      <c r="AG2359" s="73"/>
      <c r="AH2359" s="79"/>
      <c r="AI2359" s="102"/>
      <c r="AJ2359" s="70"/>
      <c r="AK2359" s="103"/>
      <c r="AL2359" s="104"/>
      <c r="AM2359" s="105"/>
      <c r="AN2359" s="115"/>
      <c r="AO2359" s="115"/>
      <c r="AP2359" s="115"/>
      <c r="AQ2359" s="93"/>
      <c r="AR2359" s="93"/>
      <c r="AS2359" s="94"/>
      <c r="AT2359" s="95"/>
      <c r="AU2359" s="79"/>
      <c r="AV2359" s="117"/>
      <c r="AW2359" s="115"/>
      <c r="AX2359" s="106"/>
      <c r="AY2359" s="104"/>
      <c r="AZ2359" s="105"/>
    </row>
    <row r="2360" customHeight="1" spans="1:52">
      <c r="A2360" s="70"/>
      <c r="B2360" s="70"/>
      <c r="C2360" s="70"/>
      <c r="D2360" s="71"/>
      <c r="E2360" s="71"/>
      <c r="F2360" s="72"/>
      <c r="G2360" s="73"/>
      <c r="H2360" s="74"/>
      <c r="I2360" s="102"/>
      <c r="J2360" s="70"/>
      <c r="K2360" s="106"/>
      <c r="L2360" s="104"/>
      <c r="M2360" s="105"/>
      <c r="N2360" s="70"/>
      <c r="O2360" s="70"/>
      <c r="P2360" s="70"/>
      <c r="Q2360" s="71"/>
      <c r="R2360" s="71"/>
      <c r="S2360" s="72"/>
      <c r="T2360" s="73"/>
      <c r="U2360" s="79"/>
      <c r="V2360" s="102"/>
      <c r="W2360" s="70"/>
      <c r="X2360" s="103"/>
      <c r="Y2360" s="226"/>
      <c r="Z2360" s="133"/>
      <c r="AA2360" s="70"/>
      <c r="AB2360" s="70"/>
      <c r="AC2360" s="70"/>
      <c r="AD2360" s="71"/>
      <c r="AE2360" s="71"/>
      <c r="AF2360" s="72"/>
      <c r="AG2360" s="73"/>
      <c r="AH2360" s="79"/>
      <c r="AI2360" s="102"/>
      <c r="AJ2360" s="70"/>
      <c r="AK2360" s="103"/>
      <c r="AL2360" s="104"/>
      <c r="AM2360" s="105"/>
      <c r="AN2360" s="115"/>
      <c r="AO2360" s="115"/>
      <c r="AP2360" s="115"/>
      <c r="AQ2360" s="93"/>
      <c r="AR2360" s="93"/>
      <c r="AS2360" s="94"/>
      <c r="AT2360" s="95"/>
      <c r="AU2360" s="79"/>
      <c r="AV2360" s="117"/>
      <c r="AW2360" s="115"/>
      <c r="AX2360" s="106"/>
      <c r="AY2360" s="104"/>
      <c r="AZ2360" s="105"/>
    </row>
    <row r="2361" customHeight="1" spans="1:52">
      <c r="A2361" s="70"/>
      <c r="B2361" s="70"/>
      <c r="C2361" s="70"/>
      <c r="D2361" s="71"/>
      <c r="E2361" s="71"/>
      <c r="F2361" s="72"/>
      <c r="G2361" s="73"/>
      <c r="H2361" s="74"/>
      <c r="I2361" s="102"/>
      <c r="J2361" s="70"/>
      <c r="K2361" s="106"/>
      <c r="L2361" s="104"/>
      <c r="M2361" s="105"/>
      <c r="N2361" s="70"/>
      <c r="O2361" s="70"/>
      <c r="P2361" s="70"/>
      <c r="Q2361" s="71"/>
      <c r="R2361" s="71"/>
      <c r="S2361" s="72"/>
      <c r="T2361" s="73"/>
      <c r="U2361" s="79"/>
      <c r="V2361" s="102"/>
      <c r="W2361" s="70"/>
      <c r="X2361" s="103"/>
      <c r="Y2361" s="226"/>
      <c r="Z2361" s="133"/>
      <c r="AA2361" s="70"/>
      <c r="AB2361" s="70"/>
      <c r="AC2361" s="70"/>
      <c r="AD2361" s="71"/>
      <c r="AE2361" s="71"/>
      <c r="AF2361" s="72"/>
      <c r="AG2361" s="73"/>
      <c r="AH2361" s="79"/>
      <c r="AI2361" s="102"/>
      <c r="AJ2361" s="70"/>
      <c r="AK2361" s="103"/>
      <c r="AL2361" s="104"/>
      <c r="AM2361" s="105"/>
      <c r="AN2361" s="115"/>
      <c r="AO2361" s="115"/>
      <c r="AP2361" s="115"/>
      <c r="AQ2361" s="93"/>
      <c r="AR2361" s="93"/>
      <c r="AS2361" s="94"/>
      <c r="AT2361" s="95"/>
      <c r="AU2361" s="79"/>
      <c r="AV2361" s="117"/>
      <c r="AW2361" s="115"/>
      <c r="AX2361" s="106"/>
      <c r="AY2361" s="104"/>
      <c r="AZ2361" s="105"/>
    </row>
    <row r="2362" customHeight="1" spans="1:52">
      <c r="A2362" s="70"/>
      <c r="B2362" s="70"/>
      <c r="C2362" s="70"/>
      <c r="D2362" s="71"/>
      <c r="E2362" s="71"/>
      <c r="F2362" s="72"/>
      <c r="G2362" s="73"/>
      <c r="H2362" s="74"/>
      <c r="I2362" s="102"/>
      <c r="J2362" s="70"/>
      <c r="K2362" s="106"/>
      <c r="L2362" s="104"/>
      <c r="M2362" s="105"/>
      <c r="N2362" s="70"/>
      <c r="O2362" s="70"/>
      <c r="P2362" s="70"/>
      <c r="Q2362" s="71"/>
      <c r="R2362" s="71"/>
      <c r="S2362" s="72"/>
      <c r="T2362" s="73"/>
      <c r="U2362" s="79"/>
      <c r="V2362" s="102"/>
      <c r="W2362" s="70"/>
      <c r="X2362" s="103"/>
      <c r="Y2362" s="226"/>
      <c r="Z2362" s="133"/>
      <c r="AA2362" s="70"/>
      <c r="AB2362" s="70"/>
      <c r="AC2362" s="70"/>
      <c r="AD2362" s="71"/>
      <c r="AE2362" s="71"/>
      <c r="AF2362" s="72"/>
      <c r="AG2362" s="73"/>
      <c r="AH2362" s="79"/>
      <c r="AI2362" s="102"/>
      <c r="AJ2362" s="70"/>
      <c r="AK2362" s="103"/>
      <c r="AL2362" s="104"/>
      <c r="AM2362" s="105"/>
      <c r="AN2362" s="115"/>
      <c r="AO2362" s="115"/>
      <c r="AP2362" s="115"/>
      <c r="AQ2362" s="93"/>
      <c r="AR2362" s="93"/>
      <c r="AS2362" s="94"/>
      <c r="AT2362" s="95"/>
      <c r="AU2362" s="79"/>
      <c r="AV2362" s="117"/>
      <c r="AW2362" s="115"/>
      <c r="AX2362" s="106"/>
      <c r="AY2362" s="104"/>
      <c r="AZ2362" s="105"/>
    </row>
    <row r="2363" customHeight="1" spans="1:52">
      <c r="A2363" s="70"/>
      <c r="B2363" s="70"/>
      <c r="C2363" s="70"/>
      <c r="D2363" s="71"/>
      <c r="E2363" s="71"/>
      <c r="F2363" s="72"/>
      <c r="G2363" s="73"/>
      <c r="H2363" s="74"/>
      <c r="I2363" s="102"/>
      <c r="J2363" s="70"/>
      <c r="K2363" s="106"/>
      <c r="L2363" s="104"/>
      <c r="M2363" s="105"/>
      <c r="N2363" s="70"/>
      <c r="O2363" s="70"/>
      <c r="P2363" s="70"/>
      <c r="Q2363" s="71"/>
      <c r="R2363" s="71"/>
      <c r="S2363" s="72"/>
      <c r="T2363" s="73"/>
      <c r="U2363" s="79"/>
      <c r="V2363" s="102"/>
      <c r="W2363" s="70"/>
      <c r="X2363" s="103"/>
      <c r="Y2363" s="226"/>
      <c r="Z2363" s="133"/>
      <c r="AA2363" s="70"/>
      <c r="AB2363" s="70"/>
      <c r="AC2363" s="70"/>
      <c r="AD2363" s="71"/>
      <c r="AE2363" s="71"/>
      <c r="AF2363" s="72"/>
      <c r="AG2363" s="73"/>
      <c r="AH2363" s="79"/>
      <c r="AI2363" s="102"/>
      <c r="AJ2363" s="70"/>
      <c r="AK2363" s="103"/>
      <c r="AL2363" s="104"/>
      <c r="AM2363" s="105"/>
      <c r="AN2363" s="115"/>
      <c r="AO2363" s="115"/>
      <c r="AP2363" s="115"/>
      <c r="AQ2363" s="93"/>
      <c r="AR2363" s="93"/>
      <c r="AS2363" s="94"/>
      <c r="AT2363" s="95"/>
      <c r="AU2363" s="79"/>
      <c r="AV2363" s="117"/>
      <c r="AW2363" s="115"/>
      <c r="AX2363" s="106"/>
      <c r="AY2363" s="104"/>
      <c r="AZ2363" s="105"/>
    </row>
    <row r="2364" customHeight="1" spans="1:52">
      <c r="A2364" s="70"/>
      <c r="B2364" s="70"/>
      <c r="C2364" s="70"/>
      <c r="D2364" s="71"/>
      <c r="E2364" s="71"/>
      <c r="F2364" s="72"/>
      <c r="G2364" s="73"/>
      <c r="H2364" s="74"/>
      <c r="I2364" s="102"/>
      <c r="J2364" s="70"/>
      <c r="K2364" s="106"/>
      <c r="L2364" s="104"/>
      <c r="M2364" s="105"/>
      <c r="N2364" s="70"/>
      <c r="O2364" s="70"/>
      <c r="P2364" s="70"/>
      <c r="Q2364" s="71"/>
      <c r="R2364" s="71"/>
      <c r="S2364" s="72"/>
      <c r="T2364" s="73"/>
      <c r="U2364" s="79"/>
      <c r="V2364" s="102"/>
      <c r="W2364" s="70"/>
      <c r="X2364" s="103"/>
      <c r="Y2364" s="226"/>
      <c r="Z2364" s="133"/>
      <c r="AA2364" s="70"/>
      <c r="AB2364" s="70"/>
      <c r="AC2364" s="70"/>
      <c r="AD2364" s="71"/>
      <c r="AE2364" s="71"/>
      <c r="AF2364" s="72"/>
      <c r="AG2364" s="73"/>
      <c r="AH2364" s="79"/>
      <c r="AI2364" s="102"/>
      <c r="AJ2364" s="70"/>
      <c r="AK2364" s="103"/>
      <c r="AL2364" s="104"/>
      <c r="AM2364" s="105"/>
      <c r="AN2364" s="115"/>
      <c r="AO2364" s="115"/>
      <c r="AP2364" s="115"/>
      <c r="AQ2364" s="93"/>
      <c r="AR2364" s="93"/>
      <c r="AS2364" s="94"/>
      <c r="AT2364" s="95"/>
      <c r="AU2364" s="79"/>
      <c r="AV2364" s="117"/>
      <c r="AW2364" s="115"/>
      <c r="AX2364" s="106"/>
      <c r="AY2364" s="104"/>
      <c r="AZ2364" s="105"/>
    </row>
    <row r="2365" customHeight="1" spans="1:52">
      <c r="A2365" s="70"/>
      <c r="B2365" s="70"/>
      <c r="C2365" s="70"/>
      <c r="D2365" s="71"/>
      <c r="E2365" s="71"/>
      <c r="F2365" s="72"/>
      <c r="G2365" s="73"/>
      <c r="H2365" s="74"/>
      <c r="I2365" s="102"/>
      <c r="J2365" s="70"/>
      <c r="K2365" s="106"/>
      <c r="L2365" s="104"/>
      <c r="M2365" s="105"/>
      <c r="N2365" s="70"/>
      <c r="O2365" s="70"/>
      <c r="P2365" s="70"/>
      <c r="Q2365" s="71"/>
      <c r="R2365" s="71"/>
      <c r="S2365" s="72"/>
      <c r="T2365" s="73"/>
      <c r="U2365" s="79"/>
      <c r="V2365" s="102"/>
      <c r="W2365" s="70"/>
      <c r="X2365" s="103"/>
      <c r="Y2365" s="226"/>
      <c r="Z2365" s="133"/>
      <c r="AA2365" s="70"/>
      <c r="AB2365" s="70"/>
      <c r="AC2365" s="70"/>
      <c r="AD2365" s="71"/>
      <c r="AE2365" s="71"/>
      <c r="AF2365" s="72"/>
      <c r="AG2365" s="73"/>
      <c r="AH2365" s="79"/>
      <c r="AI2365" s="102"/>
      <c r="AJ2365" s="70"/>
      <c r="AK2365" s="103"/>
      <c r="AL2365" s="104"/>
      <c r="AM2365" s="105"/>
      <c r="AN2365" s="115"/>
      <c r="AO2365" s="115"/>
      <c r="AP2365" s="115"/>
      <c r="AQ2365" s="93"/>
      <c r="AR2365" s="93"/>
      <c r="AS2365" s="94"/>
      <c r="AT2365" s="95"/>
      <c r="AU2365" s="79"/>
      <c r="AV2365" s="117"/>
      <c r="AW2365" s="115"/>
      <c r="AX2365" s="106"/>
      <c r="AY2365" s="104"/>
      <c r="AZ2365" s="105"/>
    </row>
    <row r="2366" customHeight="1" spans="1:52">
      <c r="A2366" s="70"/>
      <c r="B2366" s="70"/>
      <c r="C2366" s="70"/>
      <c r="D2366" s="71"/>
      <c r="E2366" s="71"/>
      <c r="F2366" s="72"/>
      <c r="G2366" s="73"/>
      <c r="H2366" s="74"/>
      <c r="I2366" s="102"/>
      <c r="J2366" s="70"/>
      <c r="K2366" s="106"/>
      <c r="L2366" s="104"/>
      <c r="M2366" s="105"/>
      <c r="N2366" s="70"/>
      <c r="O2366" s="70"/>
      <c r="P2366" s="70"/>
      <c r="Q2366" s="71"/>
      <c r="R2366" s="71"/>
      <c r="S2366" s="72"/>
      <c r="T2366" s="73"/>
      <c r="U2366" s="79"/>
      <c r="V2366" s="102"/>
      <c r="W2366" s="70"/>
      <c r="X2366" s="103"/>
      <c r="Y2366" s="226"/>
      <c r="Z2366" s="133"/>
      <c r="AA2366" s="70"/>
      <c r="AB2366" s="70"/>
      <c r="AC2366" s="70"/>
      <c r="AD2366" s="71"/>
      <c r="AE2366" s="71"/>
      <c r="AF2366" s="72"/>
      <c r="AG2366" s="73"/>
      <c r="AH2366" s="79"/>
      <c r="AI2366" s="102"/>
      <c r="AJ2366" s="70"/>
      <c r="AK2366" s="103"/>
      <c r="AL2366" s="104"/>
      <c r="AM2366" s="105"/>
      <c r="AN2366" s="115"/>
      <c r="AO2366" s="115"/>
      <c r="AP2366" s="115"/>
      <c r="AQ2366" s="93"/>
      <c r="AR2366" s="93"/>
      <c r="AS2366" s="94"/>
      <c r="AT2366" s="95"/>
      <c r="AU2366" s="79"/>
      <c r="AV2366" s="117"/>
      <c r="AW2366" s="115"/>
      <c r="AX2366" s="106"/>
      <c r="AY2366" s="104"/>
      <c r="AZ2366" s="105"/>
    </row>
    <row r="2367" customHeight="1" spans="1:52">
      <c r="A2367" s="70"/>
      <c r="B2367" s="70"/>
      <c r="C2367" s="70"/>
      <c r="D2367" s="71"/>
      <c r="E2367" s="71"/>
      <c r="F2367" s="72"/>
      <c r="G2367" s="73"/>
      <c r="H2367" s="74"/>
      <c r="I2367" s="102"/>
      <c r="J2367" s="70"/>
      <c r="K2367" s="106"/>
      <c r="L2367" s="104"/>
      <c r="M2367" s="105"/>
      <c r="N2367" s="70"/>
      <c r="O2367" s="70"/>
      <c r="P2367" s="70"/>
      <c r="Q2367" s="71"/>
      <c r="R2367" s="71"/>
      <c r="S2367" s="72"/>
      <c r="T2367" s="73"/>
      <c r="U2367" s="79"/>
      <c r="V2367" s="102"/>
      <c r="W2367" s="70"/>
      <c r="X2367" s="103"/>
      <c r="Y2367" s="226"/>
      <c r="Z2367" s="133"/>
      <c r="AA2367" s="70"/>
      <c r="AB2367" s="70"/>
      <c r="AC2367" s="70"/>
      <c r="AD2367" s="71"/>
      <c r="AE2367" s="71"/>
      <c r="AF2367" s="72"/>
      <c r="AG2367" s="73"/>
      <c r="AH2367" s="79"/>
      <c r="AI2367" s="102"/>
      <c r="AJ2367" s="70"/>
      <c r="AK2367" s="103"/>
      <c r="AL2367" s="104"/>
      <c r="AM2367" s="105"/>
      <c r="AN2367" s="115"/>
      <c r="AO2367" s="115"/>
      <c r="AP2367" s="115"/>
      <c r="AQ2367" s="93"/>
      <c r="AR2367" s="93"/>
      <c r="AS2367" s="94"/>
      <c r="AT2367" s="95"/>
      <c r="AU2367" s="79"/>
      <c r="AV2367" s="117"/>
      <c r="AW2367" s="115"/>
      <c r="AX2367" s="106"/>
      <c r="AY2367" s="104"/>
      <c r="AZ2367" s="105"/>
    </row>
    <row r="2368" customHeight="1" spans="1:52">
      <c r="A2368" s="70"/>
      <c r="B2368" s="70"/>
      <c r="C2368" s="70"/>
      <c r="D2368" s="71"/>
      <c r="E2368" s="71"/>
      <c r="F2368" s="72"/>
      <c r="G2368" s="73"/>
      <c r="H2368" s="74"/>
      <c r="I2368" s="102"/>
      <c r="J2368" s="70"/>
      <c r="K2368" s="106"/>
      <c r="L2368" s="104"/>
      <c r="M2368" s="105"/>
      <c r="N2368" s="70"/>
      <c r="O2368" s="70"/>
      <c r="P2368" s="70"/>
      <c r="Q2368" s="71"/>
      <c r="R2368" s="71"/>
      <c r="S2368" s="72"/>
      <c r="T2368" s="73"/>
      <c r="U2368" s="79"/>
      <c r="V2368" s="102"/>
      <c r="W2368" s="70"/>
      <c r="X2368" s="103"/>
      <c r="Y2368" s="226"/>
      <c r="Z2368" s="133"/>
      <c r="AA2368" s="70"/>
      <c r="AB2368" s="70"/>
      <c r="AC2368" s="70"/>
      <c r="AD2368" s="71"/>
      <c r="AE2368" s="71"/>
      <c r="AF2368" s="72"/>
      <c r="AG2368" s="73"/>
      <c r="AH2368" s="79"/>
      <c r="AI2368" s="102"/>
      <c r="AJ2368" s="70"/>
      <c r="AK2368" s="103"/>
      <c r="AL2368" s="104"/>
      <c r="AM2368" s="105"/>
      <c r="AN2368" s="115"/>
      <c r="AO2368" s="115"/>
      <c r="AP2368" s="115"/>
      <c r="AQ2368" s="93"/>
      <c r="AR2368" s="93"/>
      <c r="AS2368" s="94"/>
      <c r="AT2368" s="95"/>
      <c r="AU2368" s="79"/>
      <c r="AV2368" s="117"/>
      <c r="AW2368" s="115"/>
      <c r="AX2368" s="106"/>
      <c r="AY2368" s="104"/>
      <c r="AZ2368" s="105"/>
    </row>
    <row r="2369" customHeight="1" spans="1:52">
      <c r="A2369" s="70"/>
      <c r="B2369" s="70"/>
      <c r="C2369" s="70"/>
      <c r="D2369" s="71"/>
      <c r="E2369" s="71"/>
      <c r="F2369" s="72"/>
      <c r="G2369" s="73"/>
      <c r="H2369" s="74"/>
      <c r="I2369" s="102"/>
      <c r="J2369" s="70"/>
      <c r="K2369" s="106"/>
      <c r="L2369" s="104"/>
      <c r="M2369" s="105"/>
      <c r="N2369" s="70"/>
      <c r="O2369" s="70"/>
      <c r="P2369" s="70"/>
      <c r="Q2369" s="71"/>
      <c r="R2369" s="71"/>
      <c r="S2369" s="72"/>
      <c r="T2369" s="73"/>
      <c r="U2369" s="79"/>
      <c r="V2369" s="102"/>
      <c r="W2369" s="70"/>
      <c r="X2369" s="103"/>
      <c r="Y2369" s="226"/>
      <c r="Z2369" s="133"/>
      <c r="AA2369" s="70"/>
      <c r="AB2369" s="70"/>
      <c r="AC2369" s="70"/>
      <c r="AD2369" s="71"/>
      <c r="AE2369" s="71"/>
      <c r="AF2369" s="72"/>
      <c r="AG2369" s="73"/>
      <c r="AH2369" s="79"/>
      <c r="AI2369" s="102"/>
      <c r="AJ2369" s="70"/>
      <c r="AK2369" s="103"/>
      <c r="AL2369" s="104"/>
      <c r="AM2369" s="105"/>
      <c r="AN2369" s="115"/>
      <c r="AO2369" s="115"/>
      <c r="AP2369" s="115"/>
      <c r="AQ2369" s="93"/>
      <c r="AR2369" s="93"/>
      <c r="AS2369" s="94"/>
      <c r="AT2369" s="95"/>
      <c r="AU2369" s="79"/>
      <c r="AV2369" s="117"/>
      <c r="AW2369" s="115"/>
      <c r="AX2369" s="106"/>
      <c r="AY2369" s="104"/>
      <c r="AZ2369" s="105"/>
    </row>
    <row r="2370" customHeight="1" spans="1:52">
      <c r="A2370" s="70"/>
      <c r="B2370" s="70"/>
      <c r="C2370" s="70"/>
      <c r="D2370" s="71"/>
      <c r="E2370" s="71"/>
      <c r="F2370" s="72"/>
      <c r="G2370" s="73"/>
      <c r="H2370" s="74"/>
      <c r="I2370" s="102"/>
      <c r="J2370" s="70"/>
      <c r="K2370" s="106"/>
      <c r="L2370" s="104"/>
      <c r="M2370" s="105"/>
      <c r="N2370" s="70"/>
      <c r="O2370" s="70"/>
      <c r="P2370" s="70"/>
      <c r="Q2370" s="71"/>
      <c r="R2370" s="71"/>
      <c r="S2370" s="72"/>
      <c r="T2370" s="73"/>
      <c r="U2370" s="79"/>
      <c r="V2370" s="102"/>
      <c r="W2370" s="70"/>
      <c r="X2370" s="103"/>
      <c r="Y2370" s="226"/>
      <c r="Z2370" s="133"/>
      <c r="AA2370" s="70"/>
      <c r="AB2370" s="70"/>
      <c r="AC2370" s="70"/>
      <c r="AD2370" s="71"/>
      <c r="AE2370" s="71"/>
      <c r="AF2370" s="72"/>
      <c r="AG2370" s="73"/>
      <c r="AH2370" s="79"/>
      <c r="AI2370" s="102"/>
      <c r="AJ2370" s="70"/>
      <c r="AK2370" s="103"/>
      <c r="AL2370" s="104"/>
      <c r="AM2370" s="105"/>
      <c r="AN2370" s="115"/>
      <c r="AO2370" s="115"/>
      <c r="AP2370" s="115"/>
      <c r="AQ2370" s="93"/>
      <c r="AR2370" s="93"/>
      <c r="AS2370" s="94"/>
      <c r="AT2370" s="95"/>
      <c r="AU2370" s="79"/>
      <c r="AV2370" s="117"/>
      <c r="AW2370" s="115"/>
      <c r="AX2370" s="106"/>
      <c r="AY2370" s="104"/>
      <c r="AZ2370" s="105"/>
    </row>
    <row r="2371" customHeight="1" spans="1:52">
      <c r="A2371" s="70"/>
      <c r="B2371" s="70"/>
      <c r="C2371" s="70"/>
      <c r="D2371" s="71"/>
      <c r="E2371" s="71"/>
      <c r="F2371" s="72"/>
      <c r="G2371" s="73"/>
      <c r="H2371" s="74"/>
      <c r="I2371" s="102"/>
      <c r="J2371" s="70"/>
      <c r="K2371" s="106"/>
      <c r="L2371" s="104"/>
      <c r="M2371" s="105"/>
      <c r="N2371" s="70"/>
      <c r="O2371" s="70"/>
      <c r="P2371" s="70"/>
      <c r="Q2371" s="71"/>
      <c r="R2371" s="71"/>
      <c r="S2371" s="72"/>
      <c r="T2371" s="73"/>
      <c r="U2371" s="79"/>
      <c r="V2371" s="102"/>
      <c r="W2371" s="70"/>
      <c r="X2371" s="103"/>
      <c r="Y2371" s="226"/>
      <c r="Z2371" s="133"/>
      <c r="AA2371" s="70"/>
      <c r="AB2371" s="70"/>
      <c r="AC2371" s="70"/>
      <c r="AD2371" s="71"/>
      <c r="AE2371" s="71"/>
      <c r="AF2371" s="72"/>
      <c r="AG2371" s="73"/>
      <c r="AH2371" s="79"/>
      <c r="AI2371" s="102"/>
      <c r="AJ2371" s="70"/>
      <c r="AK2371" s="103"/>
      <c r="AL2371" s="104"/>
      <c r="AM2371" s="105"/>
      <c r="AN2371" s="115"/>
      <c r="AO2371" s="115"/>
      <c r="AP2371" s="115"/>
      <c r="AQ2371" s="93"/>
      <c r="AR2371" s="93"/>
      <c r="AS2371" s="94"/>
      <c r="AT2371" s="95"/>
      <c r="AU2371" s="79"/>
      <c r="AV2371" s="117"/>
      <c r="AW2371" s="115"/>
      <c r="AX2371" s="106"/>
      <c r="AY2371" s="104"/>
      <c r="AZ2371" s="105"/>
    </row>
    <row r="2372" customHeight="1" spans="1:52">
      <c r="A2372" s="70"/>
      <c r="B2372" s="70"/>
      <c r="C2372" s="70"/>
      <c r="D2372" s="71"/>
      <c r="E2372" s="71"/>
      <c r="F2372" s="72"/>
      <c r="G2372" s="73"/>
      <c r="H2372" s="74"/>
      <c r="I2372" s="102"/>
      <c r="J2372" s="70"/>
      <c r="K2372" s="106"/>
      <c r="L2372" s="104"/>
      <c r="M2372" s="105"/>
      <c r="N2372" s="70"/>
      <c r="O2372" s="70"/>
      <c r="P2372" s="70"/>
      <c r="Q2372" s="71"/>
      <c r="R2372" s="71"/>
      <c r="S2372" s="72"/>
      <c r="T2372" s="73"/>
      <c r="U2372" s="79"/>
      <c r="V2372" s="102"/>
      <c r="W2372" s="70"/>
      <c r="X2372" s="103"/>
      <c r="Y2372" s="226"/>
      <c r="Z2372" s="133"/>
      <c r="AA2372" s="70"/>
      <c r="AB2372" s="70"/>
      <c r="AC2372" s="70"/>
      <c r="AD2372" s="71"/>
      <c r="AE2372" s="71"/>
      <c r="AF2372" s="72"/>
      <c r="AG2372" s="73"/>
      <c r="AH2372" s="79"/>
      <c r="AI2372" s="102"/>
      <c r="AJ2372" s="70"/>
      <c r="AK2372" s="103"/>
      <c r="AL2372" s="104"/>
      <c r="AM2372" s="105"/>
      <c r="AN2372" s="115"/>
      <c r="AO2372" s="115"/>
      <c r="AP2372" s="115"/>
      <c r="AQ2372" s="93"/>
      <c r="AR2372" s="93"/>
      <c r="AS2372" s="94"/>
      <c r="AT2372" s="95"/>
      <c r="AU2372" s="79"/>
      <c r="AV2372" s="117"/>
      <c r="AW2372" s="115"/>
      <c r="AX2372" s="106"/>
      <c r="AY2372" s="104"/>
      <c r="AZ2372" s="105"/>
    </row>
    <row r="2373" customHeight="1" spans="1:52">
      <c r="A2373" s="70"/>
      <c r="B2373" s="70"/>
      <c r="C2373" s="70"/>
      <c r="D2373" s="71"/>
      <c r="E2373" s="71"/>
      <c r="F2373" s="72"/>
      <c r="G2373" s="73"/>
      <c r="H2373" s="74"/>
      <c r="I2373" s="102"/>
      <c r="J2373" s="70"/>
      <c r="K2373" s="106"/>
      <c r="L2373" s="104"/>
      <c r="M2373" s="105"/>
      <c r="N2373" s="70"/>
      <c r="O2373" s="70"/>
      <c r="P2373" s="70"/>
      <c r="Q2373" s="71"/>
      <c r="R2373" s="71"/>
      <c r="S2373" s="72"/>
      <c r="T2373" s="73"/>
      <c r="U2373" s="79"/>
      <c r="V2373" s="102"/>
      <c r="W2373" s="70"/>
      <c r="X2373" s="103"/>
      <c r="Y2373" s="226"/>
      <c r="Z2373" s="133"/>
      <c r="AA2373" s="70"/>
      <c r="AB2373" s="70"/>
      <c r="AC2373" s="70"/>
      <c r="AD2373" s="71"/>
      <c r="AE2373" s="71"/>
      <c r="AF2373" s="72"/>
      <c r="AG2373" s="73"/>
      <c r="AH2373" s="79"/>
      <c r="AI2373" s="102"/>
      <c r="AJ2373" s="70"/>
      <c r="AK2373" s="103"/>
      <c r="AL2373" s="104"/>
      <c r="AM2373" s="105"/>
      <c r="AN2373" s="115"/>
      <c r="AO2373" s="115"/>
      <c r="AP2373" s="115"/>
      <c r="AQ2373" s="93"/>
      <c r="AR2373" s="93"/>
      <c r="AS2373" s="94"/>
      <c r="AT2373" s="95"/>
      <c r="AU2373" s="79"/>
      <c r="AV2373" s="117"/>
      <c r="AW2373" s="115"/>
      <c r="AX2373" s="106"/>
      <c r="AY2373" s="104"/>
      <c r="AZ2373" s="105"/>
    </row>
    <row r="2374" customHeight="1" spans="1:52">
      <c r="A2374" s="70"/>
      <c r="B2374" s="70"/>
      <c r="C2374" s="70"/>
      <c r="D2374" s="71"/>
      <c r="E2374" s="71"/>
      <c r="F2374" s="72"/>
      <c r="G2374" s="73"/>
      <c r="H2374" s="74"/>
      <c r="I2374" s="102"/>
      <c r="J2374" s="70"/>
      <c r="K2374" s="106"/>
      <c r="L2374" s="104"/>
      <c r="M2374" s="105"/>
      <c r="N2374" s="70"/>
      <c r="O2374" s="70"/>
      <c r="P2374" s="70"/>
      <c r="Q2374" s="71"/>
      <c r="R2374" s="71"/>
      <c r="S2374" s="72"/>
      <c r="T2374" s="73"/>
      <c r="U2374" s="79"/>
      <c r="V2374" s="102"/>
      <c r="W2374" s="70"/>
      <c r="X2374" s="103"/>
      <c r="Y2374" s="226"/>
      <c r="Z2374" s="133"/>
      <c r="AA2374" s="70"/>
      <c r="AB2374" s="70"/>
      <c r="AC2374" s="70"/>
      <c r="AD2374" s="71"/>
      <c r="AE2374" s="71"/>
      <c r="AF2374" s="72"/>
      <c r="AG2374" s="73"/>
      <c r="AH2374" s="79"/>
      <c r="AI2374" s="102"/>
      <c r="AJ2374" s="70"/>
      <c r="AK2374" s="103"/>
      <c r="AL2374" s="104"/>
      <c r="AM2374" s="105"/>
      <c r="AN2374" s="115"/>
      <c r="AO2374" s="115"/>
      <c r="AP2374" s="115"/>
      <c r="AQ2374" s="93"/>
      <c r="AR2374" s="93"/>
      <c r="AS2374" s="94"/>
      <c r="AT2374" s="95"/>
      <c r="AU2374" s="79"/>
      <c r="AV2374" s="117"/>
      <c r="AW2374" s="115"/>
      <c r="AX2374" s="106"/>
      <c r="AY2374" s="104"/>
      <c r="AZ2374" s="105"/>
    </row>
    <row r="2375" customHeight="1" spans="1:52">
      <c r="A2375" s="70"/>
      <c r="B2375" s="70"/>
      <c r="C2375" s="70"/>
      <c r="D2375" s="71"/>
      <c r="E2375" s="71"/>
      <c r="F2375" s="72"/>
      <c r="G2375" s="73"/>
      <c r="H2375" s="74"/>
      <c r="I2375" s="102"/>
      <c r="J2375" s="70"/>
      <c r="K2375" s="106"/>
      <c r="L2375" s="104"/>
      <c r="M2375" s="105"/>
      <c r="N2375" s="70"/>
      <c r="O2375" s="70"/>
      <c r="P2375" s="70"/>
      <c r="Q2375" s="71"/>
      <c r="R2375" s="71"/>
      <c r="S2375" s="72"/>
      <c r="T2375" s="73"/>
      <c r="U2375" s="79"/>
      <c r="V2375" s="102"/>
      <c r="W2375" s="70"/>
      <c r="X2375" s="103"/>
      <c r="Y2375" s="226"/>
      <c r="Z2375" s="133"/>
      <c r="AA2375" s="70"/>
      <c r="AB2375" s="70"/>
      <c r="AC2375" s="70"/>
      <c r="AD2375" s="71"/>
      <c r="AE2375" s="71"/>
      <c r="AF2375" s="72"/>
      <c r="AG2375" s="73"/>
      <c r="AH2375" s="79"/>
      <c r="AI2375" s="102"/>
      <c r="AJ2375" s="70"/>
      <c r="AK2375" s="103"/>
      <c r="AL2375" s="104"/>
      <c r="AM2375" s="105"/>
      <c r="AN2375" s="115"/>
      <c r="AO2375" s="115"/>
      <c r="AP2375" s="115"/>
      <c r="AQ2375" s="93"/>
      <c r="AR2375" s="93"/>
      <c r="AS2375" s="94"/>
      <c r="AT2375" s="95"/>
      <c r="AU2375" s="79"/>
      <c r="AV2375" s="117"/>
      <c r="AW2375" s="115"/>
      <c r="AX2375" s="106"/>
      <c r="AY2375" s="104"/>
      <c r="AZ2375" s="105"/>
    </row>
    <row r="2376" customHeight="1" spans="1:52">
      <c r="A2376" s="70"/>
      <c r="B2376" s="70"/>
      <c r="C2376" s="70"/>
      <c r="D2376" s="71"/>
      <c r="E2376" s="71"/>
      <c r="F2376" s="72"/>
      <c r="G2376" s="73"/>
      <c r="H2376" s="74"/>
      <c r="I2376" s="102"/>
      <c r="J2376" s="70"/>
      <c r="K2376" s="106"/>
      <c r="L2376" s="104"/>
      <c r="M2376" s="105"/>
      <c r="N2376" s="70"/>
      <c r="O2376" s="70"/>
      <c r="P2376" s="70"/>
      <c r="Q2376" s="71"/>
      <c r="R2376" s="71"/>
      <c r="S2376" s="72"/>
      <c r="T2376" s="73"/>
      <c r="U2376" s="79"/>
      <c r="V2376" s="102"/>
      <c r="W2376" s="70"/>
      <c r="X2376" s="103"/>
      <c r="Y2376" s="226"/>
      <c r="Z2376" s="133"/>
      <c r="AA2376" s="70"/>
      <c r="AB2376" s="70"/>
      <c r="AC2376" s="70"/>
      <c r="AD2376" s="71"/>
      <c r="AE2376" s="71"/>
      <c r="AF2376" s="72"/>
      <c r="AG2376" s="73"/>
      <c r="AH2376" s="79"/>
      <c r="AI2376" s="102"/>
      <c r="AJ2376" s="70"/>
      <c r="AK2376" s="103"/>
      <c r="AL2376" s="104"/>
      <c r="AM2376" s="105"/>
      <c r="AN2376" s="115"/>
      <c r="AO2376" s="115"/>
      <c r="AP2376" s="115"/>
      <c r="AQ2376" s="93"/>
      <c r="AR2376" s="93"/>
      <c r="AS2376" s="94"/>
      <c r="AT2376" s="95"/>
      <c r="AU2376" s="79"/>
      <c r="AV2376" s="117"/>
      <c r="AW2376" s="115"/>
      <c r="AX2376" s="106"/>
      <c r="AY2376" s="104"/>
      <c r="AZ2376" s="105"/>
    </row>
    <row r="2377" customHeight="1" spans="1:52">
      <c r="A2377" s="70"/>
      <c r="B2377" s="70"/>
      <c r="C2377" s="70"/>
      <c r="D2377" s="71"/>
      <c r="E2377" s="71"/>
      <c r="F2377" s="72"/>
      <c r="G2377" s="73"/>
      <c r="H2377" s="74"/>
      <c r="I2377" s="102"/>
      <c r="J2377" s="70"/>
      <c r="K2377" s="106"/>
      <c r="L2377" s="104"/>
      <c r="M2377" s="105"/>
      <c r="N2377" s="70"/>
      <c r="O2377" s="70"/>
      <c r="P2377" s="70"/>
      <c r="Q2377" s="71"/>
      <c r="R2377" s="71"/>
      <c r="S2377" s="72"/>
      <c r="T2377" s="73"/>
      <c r="U2377" s="79"/>
      <c r="V2377" s="102"/>
      <c r="W2377" s="70"/>
      <c r="X2377" s="103"/>
      <c r="Y2377" s="226"/>
      <c r="Z2377" s="133"/>
      <c r="AA2377" s="70"/>
      <c r="AB2377" s="70"/>
      <c r="AC2377" s="70"/>
      <c r="AD2377" s="71"/>
      <c r="AE2377" s="71"/>
      <c r="AF2377" s="72"/>
      <c r="AG2377" s="73"/>
      <c r="AH2377" s="79"/>
      <c r="AI2377" s="102"/>
      <c r="AJ2377" s="70"/>
      <c r="AK2377" s="103"/>
      <c r="AL2377" s="104"/>
      <c r="AM2377" s="105"/>
      <c r="AN2377" s="115"/>
      <c r="AO2377" s="115"/>
      <c r="AP2377" s="115"/>
      <c r="AQ2377" s="93"/>
      <c r="AR2377" s="93"/>
      <c r="AS2377" s="94"/>
      <c r="AT2377" s="95"/>
      <c r="AU2377" s="79"/>
      <c r="AV2377" s="117"/>
      <c r="AW2377" s="115"/>
      <c r="AX2377" s="106"/>
      <c r="AY2377" s="104"/>
      <c r="AZ2377" s="105"/>
    </row>
    <row r="2378" customHeight="1" spans="1:52">
      <c r="A2378" s="70"/>
      <c r="B2378" s="70"/>
      <c r="C2378" s="70"/>
      <c r="D2378" s="71"/>
      <c r="E2378" s="71"/>
      <c r="F2378" s="72"/>
      <c r="G2378" s="73"/>
      <c r="H2378" s="74"/>
      <c r="I2378" s="102"/>
      <c r="J2378" s="70"/>
      <c r="K2378" s="106"/>
      <c r="L2378" s="104"/>
      <c r="M2378" s="105"/>
      <c r="N2378" s="70"/>
      <c r="O2378" s="70"/>
      <c r="P2378" s="70"/>
      <c r="Q2378" s="71"/>
      <c r="R2378" s="71"/>
      <c r="S2378" s="72"/>
      <c r="T2378" s="73"/>
      <c r="U2378" s="79"/>
      <c r="V2378" s="102"/>
      <c r="W2378" s="70"/>
      <c r="X2378" s="103"/>
      <c r="Y2378" s="226"/>
      <c r="Z2378" s="133"/>
      <c r="AA2378" s="70"/>
      <c r="AB2378" s="70"/>
      <c r="AC2378" s="70"/>
      <c r="AD2378" s="71"/>
      <c r="AE2378" s="71"/>
      <c r="AF2378" s="72"/>
      <c r="AG2378" s="73"/>
      <c r="AH2378" s="79"/>
      <c r="AI2378" s="102"/>
      <c r="AJ2378" s="70"/>
      <c r="AK2378" s="103"/>
      <c r="AL2378" s="104"/>
      <c r="AM2378" s="105"/>
      <c r="AN2378" s="115"/>
      <c r="AO2378" s="115"/>
      <c r="AP2378" s="115"/>
      <c r="AQ2378" s="93"/>
      <c r="AR2378" s="93"/>
      <c r="AS2378" s="94"/>
      <c r="AT2378" s="95"/>
      <c r="AU2378" s="79"/>
      <c r="AV2378" s="117"/>
      <c r="AW2378" s="115"/>
      <c r="AX2378" s="106"/>
      <c r="AY2378" s="104"/>
      <c r="AZ2378" s="105"/>
    </row>
    <row r="2379" customHeight="1" spans="1:52">
      <c r="A2379" s="70"/>
      <c r="B2379" s="70"/>
      <c r="C2379" s="70"/>
      <c r="D2379" s="71"/>
      <c r="E2379" s="71"/>
      <c r="F2379" s="72"/>
      <c r="G2379" s="73"/>
      <c r="H2379" s="74"/>
      <c r="I2379" s="102"/>
      <c r="J2379" s="70"/>
      <c r="K2379" s="106"/>
      <c r="L2379" s="104"/>
      <c r="M2379" s="105"/>
      <c r="N2379" s="70"/>
      <c r="O2379" s="70"/>
      <c r="P2379" s="70"/>
      <c r="Q2379" s="71"/>
      <c r="R2379" s="71"/>
      <c r="S2379" s="72"/>
      <c r="T2379" s="73"/>
      <c r="U2379" s="79"/>
      <c r="V2379" s="102"/>
      <c r="W2379" s="70"/>
      <c r="X2379" s="103"/>
      <c r="Y2379" s="226"/>
      <c r="Z2379" s="133"/>
      <c r="AA2379" s="70"/>
      <c r="AB2379" s="70"/>
      <c r="AC2379" s="70"/>
      <c r="AD2379" s="71"/>
      <c r="AE2379" s="71"/>
      <c r="AF2379" s="72"/>
      <c r="AG2379" s="73"/>
      <c r="AH2379" s="79"/>
      <c r="AI2379" s="102"/>
      <c r="AJ2379" s="70"/>
      <c r="AK2379" s="103"/>
      <c r="AL2379" s="104"/>
      <c r="AM2379" s="105"/>
      <c r="AN2379" s="115"/>
      <c r="AO2379" s="115"/>
      <c r="AP2379" s="115"/>
      <c r="AQ2379" s="93"/>
      <c r="AR2379" s="93"/>
      <c r="AS2379" s="94"/>
      <c r="AT2379" s="95"/>
      <c r="AU2379" s="79"/>
      <c r="AV2379" s="117"/>
      <c r="AW2379" s="115"/>
      <c r="AX2379" s="106"/>
      <c r="AY2379" s="104"/>
      <c r="AZ2379" s="105"/>
    </row>
    <row r="2380" customHeight="1" spans="1:52">
      <c r="A2380" s="70"/>
      <c r="B2380" s="70"/>
      <c r="C2380" s="70"/>
      <c r="D2380" s="71"/>
      <c r="E2380" s="71"/>
      <c r="F2380" s="72"/>
      <c r="G2380" s="73"/>
      <c r="H2380" s="74"/>
      <c r="I2380" s="102"/>
      <c r="J2380" s="70"/>
      <c r="K2380" s="106"/>
      <c r="L2380" s="104"/>
      <c r="M2380" s="105"/>
      <c r="N2380" s="70"/>
      <c r="O2380" s="70"/>
      <c r="P2380" s="70"/>
      <c r="Q2380" s="71"/>
      <c r="R2380" s="71"/>
      <c r="S2380" s="72"/>
      <c r="T2380" s="73"/>
      <c r="U2380" s="79"/>
      <c r="V2380" s="102"/>
      <c r="W2380" s="70"/>
      <c r="X2380" s="103"/>
      <c r="Y2380" s="226"/>
      <c r="Z2380" s="133"/>
      <c r="AA2380" s="70"/>
      <c r="AB2380" s="70"/>
      <c r="AC2380" s="70"/>
      <c r="AD2380" s="71"/>
      <c r="AE2380" s="71"/>
      <c r="AF2380" s="72"/>
      <c r="AG2380" s="73"/>
      <c r="AH2380" s="79"/>
      <c r="AI2380" s="102"/>
      <c r="AJ2380" s="70"/>
      <c r="AK2380" s="103"/>
      <c r="AL2380" s="104"/>
      <c r="AM2380" s="105"/>
      <c r="AN2380" s="115"/>
      <c r="AO2380" s="115"/>
      <c r="AP2380" s="115"/>
      <c r="AQ2380" s="93"/>
      <c r="AR2380" s="93"/>
      <c r="AS2380" s="94"/>
      <c r="AT2380" s="95"/>
      <c r="AU2380" s="79"/>
      <c r="AV2380" s="117"/>
      <c r="AW2380" s="115"/>
      <c r="AX2380" s="106"/>
      <c r="AY2380" s="104"/>
      <c r="AZ2380" s="105"/>
    </row>
    <row r="2381" customHeight="1" spans="1:52">
      <c r="A2381" s="70"/>
      <c r="B2381" s="70"/>
      <c r="C2381" s="70"/>
      <c r="D2381" s="71"/>
      <c r="E2381" s="71"/>
      <c r="F2381" s="72"/>
      <c r="G2381" s="73"/>
      <c r="H2381" s="74"/>
      <c r="I2381" s="102"/>
      <c r="J2381" s="70"/>
      <c r="K2381" s="106"/>
      <c r="L2381" s="104"/>
      <c r="M2381" s="105"/>
      <c r="N2381" s="70"/>
      <c r="O2381" s="70"/>
      <c r="P2381" s="70"/>
      <c r="Q2381" s="71"/>
      <c r="R2381" s="71"/>
      <c r="S2381" s="72"/>
      <c r="T2381" s="73"/>
      <c r="U2381" s="79"/>
      <c r="V2381" s="102"/>
      <c r="W2381" s="70"/>
      <c r="X2381" s="103"/>
      <c r="Y2381" s="226"/>
      <c r="Z2381" s="133"/>
      <c r="AA2381" s="70"/>
      <c r="AB2381" s="70"/>
      <c r="AC2381" s="70"/>
      <c r="AD2381" s="71"/>
      <c r="AE2381" s="71"/>
      <c r="AF2381" s="72"/>
      <c r="AG2381" s="73"/>
      <c r="AH2381" s="79"/>
      <c r="AI2381" s="102"/>
      <c r="AJ2381" s="70"/>
      <c r="AK2381" s="103"/>
      <c r="AL2381" s="104"/>
      <c r="AM2381" s="105"/>
      <c r="AN2381" s="115"/>
      <c r="AO2381" s="115"/>
      <c r="AP2381" s="115"/>
      <c r="AQ2381" s="93"/>
      <c r="AR2381" s="93"/>
      <c r="AS2381" s="94"/>
      <c r="AT2381" s="95"/>
      <c r="AU2381" s="79"/>
      <c r="AV2381" s="117"/>
      <c r="AW2381" s="115"/>
      <c r="AX2381" s="106"/>
      <c r="AY2381" s="104"/>
      <c r="AZ2381" s="105"/>
    </row>
    <row r="2382" customHeight="1" spans="1:52">
      <c r="A2382" s="70"/>
      <c r="B2382" s="70"/>
      <c r="C2382" s="70"/>
      <c r="D2382" s="71"/>
      <c r="E2382" s="71"/>
      <c r="F2382" s="72"/>
      <c r="G2382" s="73"/>
      <c r="H2382" s="74"/>
      <c r="I2382" s="102"/>
      <c r="J2382" s="70"/>
      <c r="K2382" s="106"/>
      <c r="L2382" s="104"/>
      <c r="M2382" s="105"/>
      <c r="N2382" s="70"/>
      <c r="O2382" s="70"/>
      <c r="P2382" s="70"/>
      <c r="Q2382" s="71"/>
      <c r="R2382" s="71"/>
      <c r="S2382" s="72"/>
      <c r="T2382" s="73"/>
      <c r="U2382" s="79"/>
      <c r="V2382" s="102"/>
      <c r="W2382" s="70"/>
      <c r="X2382" s="103"/>
      <c r="Y2382" s="226"/>
      <c r="Z2382" s="133"/>
      <c r="AA2382" s="70"/>
      <c r="AB2382" s="70"/>
      <c r="AC2382" s="70"/>
      <c r="AD2382" s="71"/>
      <c r="AE2382" s="71"/>
      <c r="AF2382" s="72"/>
      <c r="AG2382" s="73"/>
      <c r="AH2382" s="79"/>
      <c r="AI2382" s="102"/>
      <c r="AJ2382" s="70"/>
      <c r="AK2382" s="103"/>
      <c r="AL2382" s="104"/>
      <c r="AM2382" s="105"/>
      <c r="AN2382" s="115"/>
      <c r="AO2382" s="115"/>
      <c r="AP2382" s="115"/>
      <c r="AQ2382" s="93"/>
      <c r="AR2382" s="93"/>
      <c r="AS2382" s="94"/>
      <c r="AT2382" s="95"/>
      <c r="AU2382" s="79"/>
      <c r="AV2382" s="117"/>
      <c r="AW2382" s="115"/>
      <c r="AX2382" s="106"/>
      <c r="AY2382" s="104"/>
      <c r="AZ2382" s="105"/>
    </row>
    <row r="2383" customHeight="1" spans="1:52">
      <c r="A2383" s="70"/>
      <c r="B2383" s="70"/>
      <c r="C2383" s="70"/>
      <c r="D2383" s="71"/>
      <c r="E2383" s="71"/>
      <c r="F2383" s="72"/>
      <c r="G2383" s="73"/>
      <c r="H2383" s="74"/>
      <c r="I2383" s="102"/>
      <c r="J2383" s="70"/>
      <c r="K2383" s="106"/>
      <c r="L2383" s="104"/>
      <c r="M2383" s="105"/>
      <c r="N2383" s="70"/>
      <c r="O2383" s="70"/>
      <c r="P2383" s="70"/>
      <c r="Q2383" s="71"/>
      <c r="R2383" s="71"/>
      <c r="S2383" s="72"/>
      <c r="T2383" s="73"/>
      <c r="U2383" s="79"/>
      <c r="V2383" s="102"/>
      <c r="W2383" s="70"/>
      <c r="X2383" s="103"/>
      <c r="Y2383" s="226"/>
      <c r="Z2383" s="133"/>
      <c r="AA2383" s="70"/>
      <c r="AB2383" s="70"/>
      <c r="AC2383" s="70"/>
      <c r="AD2383" s="71"/>
      <c r="AE2383" s="71"/>
      <c r="AF2383" s="72"/>
      <c r="AG2383" s="73"/>
      <c r="AH2383" s="79"/>
      <c r="AI2383" s="102"/>
      <c r="AJ2383" s="70"/>
      <c r="AK2383" s="103"/>
      <c r="AL2383" s="104"/>
      <c r="AM2383" s="105"/>
      <c r="AN2383" s="115"/>
      <c r="AO2383" s="115"/>
      <c r="AP2383" s="115"/>
      <c r="AQ2383" s="93"/>
      <c r="AR2383" s="93"/>
      <c r="AS2383" s="94"/>
      <c r="AT2383" s="95"/>
      <c r="AU2383" s="79"/>
      <c r="AV2383" s="117"/>
      <c r="AW2383" s="115"/>
      <c r="AX2383" s="106"/>
      <c r="AY2383" s="104"/>
      <c r="AZ2383" s="105"/>
    </row>
    <row r="2384" customHeight="1" spans="1:52">
      <c r="A2384" s="70"/>
      <c r="B2384" s="70"/>
      <c r="C2384" s="70"/>
      <c r="D2384" s="71"/>
      <c r="E2384" s="71"/>
      <c r="F2384" s="72"/>
      <c r="G2384" s="73"/>
      <c r="H2384" s="74"/>
      <c r="I2384" s="102"/>
      <c r="J2384" s="70"/>
      <c r="K2384" s="106"/>
      <c r="L2384" s="104"/>
      <c r="M2384" s="105"/>
      <c r="N2384" s="70"/>
      <c r="O2384" s="70"/>
      <c r="P2384" s="70"/>
      <c r="Q2384" s="71"/>
      <c r="R2384" s="71"/>
      <c r="S2384" s="72"/>
      <c r="T2384" s="73"/>
      <c r="U2384" s="79"/>
      <c r="V2384" s="102"/>
      <c r="W2384" s="70"/>
      <c r="X2384" s="103"/>
      <c r="Y2384" s="226"/>
      <c r="Z2384" s="133"/>
      <c r="AA2384" s="70"/>
      <c r="AB2384" s="70"/>
      <c r="AC2384" s="70"/>
      <c r="AD2384" s="71"/>
      <c r="AE2384" s="71"/>
      <c r="AF2384" s="72"/>
      <c r="AG2384" s="73"/>
      <c r="AH2384" s="79"/>
      <c r="AI2384" s="102"/>
      <c r="AJ2384" s="70"/>
      <c r="AK2384" s="103"/>
      <c r="AL2384" s="104"/>
      <c r="AM2384" s="105"/>
      <c r="AN2384" s="115"/>
      <c r="AO2384" s="115"/>
      <c r="AP2384" s="115"/>
      <c r="AQ2384" s="93"/>
      <c r="AR2384" s="93"/>
      <c r="AS2384" s="94"/>
      <c r="AT2384" s="95"/>
      <c r="AU2384" s="79"/>
      <c r="AV2384" s="117"/>
      <c r="AW2384" s="115"/>
      <c r="AX2384" s="106"/>
      <c r="AY2384" s="104"/>
      <c r="AZ2384" s="105"/>
    </row>
    <row r="2385" customHeight="1" spans="1:52">
      <c r="A2385" s="70"/>
      <c r="B2385" s="70"/>
      <c r="C2385" s="70"/>
      <c r="D2385" s="71"/>
      <c r="E2385" s="71"/>
      <c r="F2385" s="72"/>
      <c r="G2385" s="73"/>
      <c r="H2385" s="74"/>
      <c r="I2385" s="102"/>
      <c r="J2385" s="70"/>
      <c r="K2385" s="106"/>
      <c r="L2385" s="104"/>
      <c r="M2385" s="105"/>
      <c r="N2385" s="70"/>
      <c r="O2385" s="70"/>
      <c r="P2385" s="70"/>
      <c r="Q2385" s="71"/>
      <c r="R2385" s="71"/>
      <c r="S2385" s="72"/>
      <c r="T2385" s="73"/>
      <c r="U2385" s="79"/>
      <c r="V2385" s="102"/>
      <c r="W2385" s="70"/>
      <c r="X2385" s="103"/>
      <c r="Y2385" s="226"/>
      <c r="Z2385" s="133"/>
      <c r="AA2385" s="70"/>
      <c r="AB2385" s="70"/>
      <c r="AC2385" s="70"/>
      <c r="AD2385" s="71"/>
      <c r="AE2385" s="71"/>
      <c r="AF2385" s="72"/>
      <c r="AG2385" s="73"/>
      <c r="AH2385" s="79"/>
      <c r="AI2385" s="102"/>
      <c r="AJ2385" s="70"/>
      <c r="AK2385" s="103"/>
      <c r="AL2385" s="104"/>
      <c r="AM2385" s="105"/>
      <c r="AN2385" s="115"/>
      <c r="AO2385" s="115"/>
      <c r="AP2385" s="115"/>
      <c r="AQ2385" s="93"/>
      <c r="AR2385" s="93"/>
      <c r="AS2385" s="94"/>
      <c r="AT2385" s="95"/>
      <c r="AU2385" s="79"/>
      <c r="AV2385" s="117"/>
      <c r="AW2385" s="115"/>
      <c r="AX2385" s="106"/>
      <c r="AY2385" s="104"/>
      <c r="AZ2385" s="105"/>
    </row>
    <row r="2386" customHeight="1" spans="1:52">
      <c r="A2386" s="70"/>
      <c r="B2386" s="70"/>
      <c r="C2386" s="70"/>
      <c r="D2386" s="71"/>
      <c r="E2386" s="71"/>
      <c r="F2386" s="72"/>
      <c r="G2386" s="73"/>
      <c r="H2386" s="74"/>
      <c r="I2386" s="102"/>
      <c r="J2386" s="70"/>
      <c r="K2386" s="106"/>
      <c r="L2386" s="104"/>
      <c r="M2386" s="105"/>
      <c r="N2386" s="70"/>
      <c r="O2386" s="70"/>
      <c r="P2386" s="70"/>
      <c r="Q2386" s="71"/>
      <c r="R2386" s="71"/>
      <c r="S2386" s="72"/>
      <c r="T2386" s="73"/>
      <c r="U2386" s="79"/>
      <c r="V2386" s="102"/>
      <c r="W2386" s="70"/>
      <c r="X2386" s="103"/>
      <c r="Y2386" s="226"/>
      <c r="Z2386" s="133"/>
      <c r="AA2386" s="70"/>
      <c r="AB2386" s="70"/>
      <c r="AC2386" s="70"/>
      <c r="AD2386" s="71"/>
      <c r="AE2386" s="71"/>
      <c r="AF2386" s="72"/>
      <c r="AG2386" s="73"/>
      <c r="AH2386" s="79"/>
      <c r="AI2386" s="102"/>
      <c r="AJ2386" s="70"/>
      <c r="AK2386" s="103"/>
      <c r="AL2386" s="104"/>
      <c r="AM2386" s="105"/>
      <c r="AN2386" s="115"/>
      <c r="AO2386" s="115"/>
      <c r="AP2386" s="115"/>
      <c r="AQ2386" s="93"/>
      <c r="AR2386" s="93"/>
      <c r="AS2386" s="94"/>
      <c r="AT2386" s="95"/>
      <c r="AU2386" s="79"/>
      <c r="AV2386" s="117"/>
      <c r="AW2386" s="115"/>
      <c r="AX2386" s="106"/>
      <c r="AY2386" s="104"/>
      <c r="AZ2386" s="105"/>
    </row>
    <row r="2387" customHeight="1" spans="1:52">
      <c r="A2387" s="70"/>
      <c r="B2387" s="70"/>
      <c r="C2387" s="70"/>
      <c r="D2387" s="71"/>
      <c r="E2387" s="71"/>
      <c r="F2387" s="72"/>
      <c r="G2387" s="73"/>
      <c r="H2387" s="74"/>
      <c r="I2387" s="102"/>
      <c r="J2387" s="70"/>
      <c r="K2387" s="106"/>
      <c r="L2387" s="104"/>
      <c r="M2387" s="105"/>
      <c r="N2387" s="70"/>
      <c r="O2387" s="70"/>
      <c r="P2387" s="70"/>
      <c r="Q2387" s="71"/>
      <c r="R2387" s="71"/>
      <c r="S2387" s="72"/>
      <c r="T2387" s="73"/>
      <c r="U2387" s="79"/>
      <c r="V2387" s="102"/>
      <c r="W2387" s="70"/>
      <c r="X2387" s="103"/>
      <c r="Y2387" s="226"/>
      <c r="Z2387" s="133"/>
      <c r="AA2387" s="70"/>
      <c r="AB2387" s="70"/>
      <c r="AC2387" s="70"/>
      <c r="AD2387" s="71"/>
      <c r="AE2387" s="71"/>
      <c r="AF2387" s="72"/>
      <c r="AG2387" s="73"/>
      <c r="AH2387" s="79"/>
      <c r="AI2387" s="102"/>
      <c r="AJ2387" s="70"/>
      <c r="AK2387" s="103"/>
      <c r="AL2387" s="104"/>
      <c r="AM2387" s="105"/>
      <c r="AN2387" s="115"/>
      <c r="AO2387" s="115"/>
      <c r="AP2387" s="115"/>
      <c r="AQ2387" s="93"/>
      <c r="AR2387" s="93"/>
      <c r="AS2387" s="94"/>
      <c r="AT2387" s="95"/>
      <c r="AU2387" s="79"/>
      <c r="AV2387" s="117"/>
      <c r="AW2387" s="115"/>
      <c r="AX2387" s="106"/>
      <c r="AY2387" s="104"/>
      <c r="AZ2387" s="105"/>
    </row>
    <row r="2388" customHeight="1" spans="1:52">
      <c r="A2388" s="70"/>
      <c r="B2388" s="70"/>
      <c r="C2388" s="70"/>
      <c r="D2388" s="71"/>
      <c r="E2388" s="71"/>
      <c r="F2388" s="72"/>
      <c r="G2388" s="73"/>
      <c r="H2388" s="74"/>
      <c r="I2388" s="102"/>
      <c r="J2388" s="70"/>
      <c r="K2388" s="106"/>
      <c r="L2388" s="104"/>
      <c r="M2388" s="105"/>
      <c r="N2388" s="70"/>
      <c r="O2388" s="70"/>
      <c r="P2388" s="70"/>
      <c r="Q2388" s="71"/>
      <c r="R2388" s="71"/>
      <c r="S2388" s="72"/>
      <c r="T2388" s="73"/>
      <c r="U2388" s="79"/>
      <c r="V2388" s="102"/>
      <c r="W2388" s="70"/>
      <c r="X2388" s="103"/>
      <c r="Y2388" s="226"/>
      <c r="Z2388" s="133"/>
      <c r="AA2388" s="70"/>
      <c r="AB2388" s="70"/>
      <c r="AC2388" s="70"/>
      <c r="AD2388" s="71"/>
      <c r="AE2388" s="71"/>
      <c r="AF2388" s="72"/>
      <c r="AG2388" s="73"/>
      <c r="AH2388" s="79"/>
      <c r="AI2388" s="102"/>
      <c r="AJ2388" s="70"/>
      <c r="AK2388" s="103"/>
      <c r="AL2388" s="104"/>
      <c r="AM2388" s="105"/>
      <c r="AN2388" s="115"/>
      <c r="AO2388" s="115"/>
      <c r="AP2388" s="115"/>
      <c r="AQ2388" s="93"/>
      <c r="AR2388" s="93"/>
      <c r="AS2388" s="94"/>
      <c r="AT2388" s="95"/>
      <c r="AU2388" s="79"/>
      <c r="AV2388" s="117"/>
      <c r="AW2388" s="115"/>
      <c r="AX2388" s="106"/>
      <c r="AY2388" s="104"/>
      <c r="AZ2388" s="105"/>
    </row>
    <row r="2389" customHeight="1" spans="1:52">
      <c r="A2389" s="70"/>
      <c r="B2389" s="70"/>
      <c r="C2389" s="70"/>
      <c r="D2389" s="71"/>
      <c r="E2389" s="71"/>
      <c r="F2389" s="72"/>
      <c r="G2389" s="73"/>
      <c r="H2389" s="74"/>
      <c r="I2389" s="102"/>
      <c r="J2389" s="70"/>
      <c r="K2389" s="106"/>
      <c r="L2389" s="104"/>
      <c r="M2389" s="105"/>
      <c r="N2389" s="70"/>
      <c r="O2389" s="70"/>
      <c r="P2389" s="70"/>
      <c r="Q2389" s="71"/>
      <c r="R2389" s="71"/>
      <c r="S2389" s="72"/>
      <c r="T2389" s="73"/>
      <c r="U2389" s="79"/>
      <c r="V2389" s="102"/>
      <c r="W2389" s="70"/>
      <c r="X2389" s="103"/>
      <c r="Y2389" s="226"/>
      <c r="Z2389" s="133"/>
      <c r="AA2389" s="70"/>
      <c r="AB2389" s="70"/>
      <c r="AC2389" s="70"/>
      <c r="AD2389" s="71"/>
      <c r="AE2389" s="71"/>
      <c r="AF2389" s="72"/>
      <c r="AG2389" s="73"/>
      <c r="AH2389" s="79"/>
      <c r="AI2389" s="102"/>
      <c r="AJ2389" s="70"/>
      <c r="AK2389" s="103"/>
      <c r="AL2389" s="104"/>
      <c r="AM2389" s="105"/>
      <c r="AN2389" s="115"/>
      <c r="AO2389" s="115"/>
      <c r="AP2389" s="115"/>
      <c r="AQ2389" s="93"/>
      <c r="AR2389" s="93"/>
      <c r="AS2389" s="94"/>
      <c r="AT2389" s="95"/>
      <c r="AU2389" s="79"/>
      <c r="AV2389" s="117"/>
      <c r="AW2389" s="115"/>
      <c r="AX2389" s="106"/>
      <c r="AY2389" s="104"/>
      <c r="AZ2389" s="105"/>
    </row>
    <row r="2390" customHeight="1" spans="1:52">
      <c r="A2390" s="70"/>
      <c r="B2390" s="70"/>
      <c r="C2390" s="70"/>
      <c r="D2390" s="71"/>
      <c r="E2390" s="71"/>
      <c r="F2390" s="72"/>
      <c r="G2390" s="73"/>
      <c r="H2390" s="74"/>
      <c r="I2390" s="102"/>
      <c r="J2390" s="70"/>
      <c r="K2390" s="106"/>
      <c r="L2390" s="104"/>
      <c r="M2390" s="105"/>
      <c r="N2390" s="70"/>
      <c r="O2390" s="70"/>
      <c r="P2390" s="70"/>
      <c r="Q2390" s="71"/>
      <c r="R2390" s="71"/>
      <c r="S2390" s="72"/>
      <c r="T2390" s="73"/>
      <c r="U2390" s="79"/>
      <c r="V2390" s="102"/>
      <c r="W2390" s="70"/>
      <c r="X2390" s="103"/>
      <c r="Y2390" s="226"/>
      <c r="Z2390" s="133"/>
      <c r="AA2390" s="70"/>
      <c r="AB2390" s="70"/>
      <c r="AC2390" s="70"/>
      <c r="AD2390" s="71"/>
      <c r="AE2390" s="71"/>
      <c r="AF2390" s="72"/>
      <c r="AG2390" s="73"/>
      <c r="AH2390" s="79"/>
      <c r="AI2390" s="102"/>
      <c r="AJ2390" s="70"/>
      <c r="AK2390" s="103"/>
      <c r="AL2390" s="104"/>
      <c r="AM2390" s="105"/>
      <c r="AN2390" s="115"/>
      <c r="AO2390" s="115"/>
      <c r="AP2390" s="115"/>
      <c r="AQ2390" s="93"/>
      <c r="AR2390" s="93"/>
      <c r="AS2390" s="94"/>
      <c r="AT2390" s="95"/>
      <c r="AU2390" s="79"/>
      <c r="AV2390" s="117"/>
      <c r="AW2390" s="115"/>
      <c r="AX2390" s="106"/>
      <c r="AY2390" s="104"/>
      <c r="AZ2390" s="105"/>
    </row>
    <row r="2391" customHeight="1" spans="1:52">
      <c r="A2391" s="70"/>
      <c r="B2391" s="70"/>
      <c r="C2391" s="70"/>
      <c r="D2391" s="71"/>
      <c r="E2391" s="71"/>
      <c r="F2391" s="72"/>
      <c r="G2391" s="73"/>
      <c r="H2391" s="74"/>
      <c r="I2391" s="102"/>
      <c r="J2391" s="70"/>
      <c r="K2391" s="106"/>
      <c r="L2391" s="104"/>
      <c r="M2391" s="105"/>
      <c r="N2391" s="70"/>
      <c r="O2391" s="70"/>
      <c r="P2391" s="70"/>
      <c r="Q2391" s="71"/>
      <c r="R2391" s="71"/>
      <c r="S2391" s="72"/>
      <c r="T2391" s="73"/>
      <c r="U2391" s="79"/>
      <c r="V2391" s="102"/>
      <c r="W2391" s="70"/>
      <c r="X2391" s="103"/>
      <c r="Y2391" s="226"/>
      <c r="Z2391" s="133"/>
      <c r="AA2391" s="70"/>
      <c r="AB2391" s="70"/>
      <c r="AC2391" s="70"/>
      <c r="AD2391" s="71"/>
      <c r="AE2391" s="71"/>
      <c r="AF2391" s="72"/>
      <c r="AG2391" s="73"/>
      <c r="AH2391" s="79"/>
      <c r="AI2391" s="102"/>
      <c r="AJ2391" s="70"/>
      <c r="AK2391" s="103"/>
      <c r="AL2391" s="104"/>
      <c r="AM2391" s="105"/>
      <c r="AN2391" s="115"/>
      <c r="AO2391" s="115"/>
      <c r="AP2391" s="115"/>
      <c r="AQ2391" s="93"/>
      <c r="AR2391" s="93"/>
      <c r="AS2391" s="94"/>
      <c r="AT2391" s="95"/>
      <c r="AU2391" s="79"/>
      <c r="AV2391" s="117"/>
      <c r="AW2391" s="115"/>
      <c r="AX2391" s="106"/>
      <c r="AY2391" s="104"/>
      <c r="AZ2391" s="105"/>
    </row>
    <row r="2392" customHeight="1" spans="1:52">
      <c r="A2392" s="70"/>
      <c r="B2392" s="70"/>
      <c r="C2392" s="70"/>
      <c r="D2392" s="71"/>
      <c r="E2392" s="71"/>
      <c r="F2392" s="72"/>
      <c r="G2392" s="73"/>
      <c r="H2392" s="74"/>
      <c r="I2392" s="102"/>
      <c r="J2392" s="70"/>
      <c r="K2392" s="106"/>
      <c r="L2392" s="104"/>
      <c r="M2392" s="105"/>
      <c r="N2392" s="70"/>
      <c r="O2392" s="70"/>
      <c r="P2392" s="70"/>
      <c r="Q2392" s="71"/>
      <c r="R2392" s="71"/>
      <c r="S2392" s="72"/>
      <c r="T2392" s="73"/>
      <c r="U2392" s="79"/>
      <c r="V2392" s="102"/>
      <c r="W2392" s="70"/>
      <c r="X2392" s="103"/>
      <c r="Y2392" s="226"/>
      <c r="Z2392" s="133"/>
      <c r="AA2392" s="70"/>
      <c r="AB2392" s="70"/>
      <c r="AC2392" s="70"/>
      <c r="AD2392" s="71"/>
      <c r="AE2392" s="71"/>
      <c r="AF2392" s="72"/>
      <c r="AG2392" s="73"/>
      <c r="AH2392" s="79"/>
      <c r="AI2392" s="102"/>
      <c r="AJ2392" s="70"/>
      <c r="AK2392" s="103"/>
      <c r="AL2392" s="104"/>
      <c r="AM2392" s="105"/>
      <c r="AN2392" s="115"/>
      <c r="AO2392" s="115"/>
      <c r="AP2392" s="115"/>
      <c r="AQ2392" s="93"/>
      <c r="AR2392" s="93"/>
      <c r="AS2392" s="94"/>
      <c r="AT2392" s="95"/>
      <c r="AU2392" s="79"/>
      <c r="AV2392" s="117"/>
      <c r="AW2392" s="115"/>
      <c r="AX2392" s="106"/>
      <c r="AY2392" s="104"/>
      <c r="AZ2392" s="105"/>
    </row>
    <row r="2393" customHeight="1" spans="1:52">
      <c r="A2393" s="70"/>
      <c r="B2393" s="70"/>
      <c r="C2393" s="70"/>
      <c r="D2393" s="71"/>
      <c r="E2393" s="71"/>
      <c r="F2393" s="72"/>
      <c r="G2393" s="73"/>
      <c r="H2393" s="74"/>
      <c r="I2393" s="102"/>
      <c r="J2393" s="70"/>
      <c r="K2393" s="106"/>
      <c r="L2393" s="104"/>
      <c r="M2393" s="105"/>
      <c r="N2393" s="70"/>
      <c r="O2393" s="70"/>
      <c r="P2393" s="70"/>
      <c r="Q2393" s="71"/>
      <c r="R2393" s="71"/>
      <c r="S2393" s="72"/>
      <c r="T2393" s="73"/>
      <c r="U2393" s="79"/>
      <c r="V2393" s="102"/>
      <c r="W2393" s="70"/>
      <c r="X2393" s="103"/>
      <c r="Y2393" s="226"/>
      <c r="Z2393" s="133"/>
      <c r="AA2393" s="70"/>
      <c r="AB2393" s="70"/>
      <c r="AC2393" s="70"/>
      <c r="AD2393" s="71"/>
      <c r="AE2393" s="71"/>
      <c r="AF2393" s="72"/>
      <c r="AG2393" s="73"/>
      <c r="AH2393" s="79"/>
      <c r="AI2393" s="102"/>
      <c r="AJ2393" s="70"/>
      <c r="AK2393" s="103"/>
      <c r="AL2393" s="104"/>
      <c r="AM2393" s="105"/>
      <c r="AN2393" s="115"/>
      <c r="AO2393" s="115"/>
      <c r="AP2393" s="115"/>
      <c r="AQ2393" s="93"/>
      <c r="AR2393" s="93"/>
      <c r="AS2393" s="94"/>
      <c r="AT2393" s="95"/>
      <c r="AU2393" s="79"/>
      <c r="AV2393" s="117"/>
      <c r="AW2393" s="115"/>
      <c r="AX2393" s="106"/>
      <c r="AY2393" s="104"/>
      <c r="AZ2393" s="105"/>
    </row>
    <row r="2394" customHeight="1" spans="1:52">
      <c r="A2394" s="70"/>
      <c r="B2394" s="70"/>
      <c r="C2394" s="70"/>
      <c r="D2394" s="71"/>
      <c r="E2394" s="71"/>
      <c r="F2394" s="72"/>
      <c r="G2394" s="73"/>
      <c r="H2394" s="74"/>
      <c r="I2394" s="102"/>
      <c r="J2394" s="70"/>
      <c r="K2394" s="106"/>
      <c r="L2394" s="104"/>
      <c r="M2394" s="105"/>
      <c r="N2394" s="70"/>
      <c r="O2394" s="70"/>
      <c r="P2394" s="70"/>
      <c r="Q2394" s="71"/>
      <c r="R2394" s="71"/>
      <c r="S2394" s="72"/>
      <c r="T2394" s="73"/>
      <c r="U2394" s="79"/>
      <c r="V2394" s="102"/>
      <c r="W2394" s="70"/>
      <c r="X2394" s="103"/>
      <c r="Y2394" s="226"/>
      <c r="Z2394" s="133"/>
      <c r="AA2394" s="70"/>
      <c r="AB2394" s="70"/>
      <c r="AC2394" s="70"/>
      <c r="AD2394" s="71"/>
      <c r="AE2394" s="71"/>
      <c r="AF2394" s="72"/>
      <c r="AG2394" s="73"/>
      <c r="AH2394" s="79"/>
      <c r="AI2394" s="102"/>
      <c r="AJ2394" s="70"/>
      <c r="AK2394" s="103"/>
      <c r="AL2394" s="104"/>
      <c r="AM2394" s="105"/>
      <c r="AN2394" s="115"/>
      <c r="AO2394" s="115"/>
      <c r="AP2394" s="115"/>
      <c r="AQ2394" s="93"/>
      <c r="AR2394" s="93"/>
      <c r="AS2394" s="94"/>
      <c r="AT2394" s="95"/>
      <c r="AU2394" s="79"/>
      <c r="AV2394" s="117"/>
      <c r="AW2394" s="115"/>
      <c r="AX2394" s="106"/>
      <c r="AY2394" s="104"/>
      <c r="AZ2394" s="105"/>
    </row>
    <row r="2395" customHeight="1" spans="1:52">
      <c r="A2395" s="70"/>
      <c r="B2395" s="70"/>
      <c r="C2395" s="70"/>
      <c r="D2395" s="71"/>
      <c r="E2395" s="71"/>
      <c r="F2395" s="72"/>
      <c r="G2395" s="73"/>
      <c r="H2395" s="74"/>
      <c r="I2395" s="102"/>
      <c r="J2395" s="70"/>
      <c r="K2395" s="106"/>
      <c r="L2395" s="104"/>
      <c r="M2395" s="105"/>
      <c r="N2395" s="70"/>
      <c r="O2395" s="70"/>
      <c r="P2395" s="70"/>
      <c r="Q2395" s="71"/>
      <c r="R2395" s="71"/>
      <c r="S2395" s="72"/>
      <c r="T2395" s="73"/>
      <c r="U2395" s="79"/>
      <c r="V2395" s="102"/>
      <c r="W2395" s="70"/>
      <c r="X2395" s="103"/>
      <c r="Y2395" s="226"/>
      <c r="Z2395" s="133"/>
      <c r="AA2395" s="70"/>
      <c r="AB2395" s="70"/>
      <c r="AC2395" s="70"/>
      <c r="AD2395" s="71"/>
      <c r="AE2395" s="71"/>
      <c r="AF2395" s="72"/>
      <c r="AG2395" s="73"/>
      <c r="AH2395" s="79"/>
      <c r="AI2395" s="102"/>
      <c r="AJ2395" s="70"/>
      <c r="AK2395" s="103"/>
      <c r="AL2395" s="104"/>
      <c r="AM2395" s="105"/>
      <c r="AN2395" s="115"/>
      <c r="AO2395" s="115"/>
      <c r="AP2395" s="115"/>
      <c r="AQ2395" s="93"/>
      <c r="AR2395" s="93"/>
      <c r="AS2395" s="94"/>
      <c r="AT2395" s="95"/>
      <c r="AU2395" s="79"/>
      <c r="AV2395" s="117"/>
      <c r="AW2395" s="115"/>
      <c r="AX2395" s="106"/>
      <c r="AY2395" s="104"/>
      <c r="AZ2395" s="105"/>
    </row>
    <row r="2396" customHeight="1" spans="1:52">
      <c r="A2396" s="70"/>
      <c r="B2396" s="70"/>
      <c r="C2396" s="70"/>
      <c r="D2396" s="71"/>
      <c r="E2396" s="71"/>
      <c r="F2396" s="72"/>
      <c r="G2396" s="73"/>
      <c r="H2396" s="74"/>
      <c r="I2396" s="102"/>
      <c r="J2396" s="70"/>
      <c r="K2396" s="106"/>
      <c r="L2396" s="104"/>
      <c r="M2396" s="105"/>
      <c r="N2396" s="70"/>
      <c r="O2396" s="70"/>
      <c r="P2396" s="70"/>
      <c r="Q2396" s="71"/>
      <c r="R2396" s="71"/>
      <c r="S2396" s="72"/>
      <c r="T2396" s="73"/>
      <c r="U2396" s="79"/>
      <c r="V2396" s="102"/>
      <c r="W2396" s="70"/>
      <c r="X2396" s="103"/>
      <c r="Y2396" s="226"/>
      <c r="Z2396" s="133"/>
      <c r="AA2396" s="70"/>
      <c r="AB2396" s="70"/>
      <c r="AC2396" s="70"/>
      <c r="AD2396" s="71"/>
      <c r="AE2396" s="71"/>
      <c r="AF2396" s="72"/>
      <c r="AG2396" s="73"/>
      <c r="AH2396" s="79"/>
      <c r="AI2396" s="102"/>
      <c r="AJ2396" s="70"/>
      <c r="AK2396" s="103"/>
      <c r="AL2396" s="104"/>
      <c r="AM2396" s="105"/>
      <c r="AN2396" s="115"/>
      <c r="AO2396" s="115"/>
      <c r="AP2396" s="115"/>
      <c r="AQ2396" s="93"/>
      <c r="AR2396" s="93"/>
      <c r="AS2396" s="94"/>
      <c r="AT2396" s="95"/>
      <c r="AU2396" s="79"/>
      <c r="AV2396" s="117"/>
      <c r="AW2396" s="115"/>
      <c r="AX2396" s="106"/>
      <c r="AY2396" s="104"/>
      <c r="AZ2396" s="105"/>
    </row>
    <row r="2397" customHeight="1" spans="1:52">
      <c r="A2397" s="70"/>
      <c r="B2397" s="70"/>
      <c r="C2397" s="70"/>
      <c r="D2397" s="71"/>
      <c r="E2397" s="71"/>
      <c r="F2397" s="72"/>
      <c r="G2397" s="73"/>
      <c r="H2397" s="74"/>
      <c r="I2397" s="102"/>
      <c r="J2397" s="70"/>
      <c r="K2397" s="106"/>
      <c r="L2397" s="104"/>
      <c r="M2397" s="105"/>
      <c r="N2397" s="70"/>
      <c r="O2397" s="70"/>
      <c r="P2397" s="70"/>
      <c r="Q2397" s="71"/>
      <c r="R2397" s="71"/>
      <c r="S2397" s="72"/>
      <c r="T2397" s="73"/>
      <c r="U2397" s="79"/>
      <c r="V2397" s="102"/>
      <c r="W2397" s="70"/>
      <c r="X2397" s="103"/>
      <c r="Y2397" s="226"/>
      <c r="Z2397" s="133"/>
      <c r="AA2397" s="70"/>
      <c r="AB2397" s="70"/>
      <c r="AC2397" s="70"/>
      <c r="AD2397" s="71"/>
      <c r="AE2397" s="71"/>
      <c r="AF2397" s="72"/>
      <c r="AG2397" s="73"/>
      <c r="AH2397" s="79"/>
      <c r="AI2397" s="102"/>
      <c r="AJ2397" s="70"/>
      <c r="AK2397" s="103"/>
      <c r="AL2397" s="104"/>
      <c r="AM2397" s="105"/>
      <c r="AN2397" s="115"/>
      <c r="AO2397" s="115"/>
      <c r="AP2397" s="115"/>
      <c r="AQ2397" s="93"/>
      <c r="AR2397" s="93"/>
      <c r="AS2397" s="94"/>
      <c r="AT2397" s="95"/>
      <c r="AU2397" s="79"/>
      <c r="AV2397" s="117"/>
      <c r="AW2397" s="115"/>
      <c r="AX2397" s="106"/>
      <c r="AY2397" s="104"/>
      <c r="AZ2397" s="105"/>
    </row>
    <row r="2398" customHeight="1" spans="1:52">
      <c r="A2398" s="70"/>
      <c r="B2398" s="70"/>
      <c r="C2398" s="70"/>
      <c r="D2398" s="71"/>
      <c r="E2398" s="71"/>
      <c r="F2398" s="72"/>
      <c r="G2398" s="73"/>
      <c r="H2398" s="74"/>
      <c r="I2398" s="102"/>
      <c r="J2398" s="70"/>
      <c r="K2398" s="106"/>
      <c r="L2398" s="104"/>
      <c r="M2398" s="105"/>
      <c r="N2398" s="70"/>
      <c r="O2398" s="70"/>
      <c r="P2398" s="70"/>
      <c r="Q2398" s="71"/>
      <c r="R2398" s="71"/>
      <c r="S2398" s="72"/>
      <c r="T2398" s="73"/>
      <c r="U2398" s="79"/>
      <c r="V2398" s="102"/>
      <c r="W2398" s="70"/>
      <c r="X2398" s="103"/>
      <c r="Y2398" s="226"/>
      <c r="Z2398" s="133"/>
      <c r="AA2398" s="70"/>
      <c r="AB2398" s="70"/>
      <c r="AC2398" s="70"/>
      <c r="AD2398" s="71"/>
      <c r="AE2398" s="71"/>
      <c r="AF2398" s="72"/>
      <c r="AG2398" s="73"/>
      <c r="AH2398" s="79"/>
      <c r="AI2398" s="102"/>
      <c r="AJ2398" s="70"/>
      <c r="AK2398" s="103"/>
      <c r="AL2398" s="104"/>
      <c r="AM2398" s="105"/>
      <c r="AN2398" s="115"/>
      <c r="AO2398" s="115"/>
      <c r="AP2398" s="115"/>
      <c r="AQ2398" s="93"/>
      <c r="AR2398" s="93"/>
      <c r="AS2398" s="94"/>
      <c r="AT2398" s="95"/>
      <c r="AU2398" s="79"/>
      <c r="AV2398" s="117"/>
      <c r="AW2398" s="115"/>
      <c r="AX2398" s="106"/>
      <c r="AY2398" s="104"/>
      <c r="AZ2398" s="105"/>
    </row>
    <row r="2399" customHeight="1" spans="1:52">
      <c r="A2399" s="70"/>
      <c r="B2399" s="70"/>
      <c r="C2399" s="70"/>
      <c r="D2399" s="71"/>
      <c r="E2399" s="71"/>
      <c r="F2399" s="72"/>
      <c r="G2399" s="73"/>
      <c r="H2399" s="74"/>
      <c r="I2399" s="102"/>
      <c r="J2399" s="70"/>
      <c r="K2399" s="106"/>
      <c r="L2399" s="104"/>
      <c r="M2399" s="105"/>
      <c r="N2399" s="70"/>
      <c r="O2399" s="70"/>
      <c r="P2399" s="70"/>
      <c r="Q2399" s="71"/>
      <c r="R2399" s="71"/>
      <c r="S2399" s="72"/>
      <c r="T2399" s="73"/>
      <c r="U2399" s="79"/>
      <c r="V2399" s="102"/>
      <c r="W2399" s="70"/>
      <c r="X2399" s="103"/>
      <c r="Y2399" s="226"/>
      <c r="Z2399" s="133"/>
      <c r="AA2399" s="70"/>
      <c r="AB2399" s="70"/>
      <c r="AC2399" s="70"/>
      <c r="AD2399" s="71"/>
      <c r="AE2399" s="71"/>
      <c r="AF2399" s="72"/>
      <c r="AG2399" s="73"/>
      <c r="AH2399" s="79"/>
      <c r="AI2399" s="102"/>
      <c r="AJ2399" s="70"/>
      <c r="AK2399" s="103"/>
      <c r="AL2399" s="104"/>
      <c r="AM2399" s="105"/>
      <c r="AN2399" s="115"/>
      <c r="AO2399" s="115"/>
      <c r="AP2399" s="115"/>
      <c r="AQ2399" s="93"/>
      <c r="AR2399" s="93"/>
      <c r="AS2399" s="94"/>
      <c r="AT2399" s="95"/>
      <c r="AU2399" s="79"/>
      <c r="AV2399" s="117"/>
      <c r="AW2399" s="115"/>
      <c r="AX2399" s="106"/>
      <c r="AY2399" s="104"/>
      <c r="AZ2399" s="105"/>
    </row>
    <row r="2400" customHeight="1" spans="1:52">
      <c r="A2400" s="70"/>
      <c r="B2400" s="70"/>
      <c r="C2400" s="70"/>
      <c r="D2400" s="71"/>
      <c r="E2400" s="71"/>
      <c r="F2400" s="72"/>
      <c r="G2400" s="73"/>
      <c r="H2400" s="74"/>
      <c r="I2400" s="102"/>
      <c r="J2400" s="70"/>
      <c r="K2400" s="106"/>
      <c r="L2400" s="104"/>
      <c r="M2400" s="105"/>
      <c r="N2400" s="70"/>
      <c r="O2400" s="70"/>
      <c r="P2400" s="70"/>
      <c r="Q2400" s="71"/>
      <c r="R2400" s="71"/>
      <c r="S2400" s="72"/>
      <c r="T2400" s="73"/>
      <c r="U2400" s="79"/>
      <c r="V2400" s="102"/>
      <c r="W2400" s="70"/>
      <c r="X2400" s="103"/>
      <c r="Y2400" s="226"/>
      <c r="Z2400" s="133"/>
      <c r="AA2400" s="70"/>
      <c r="AB2400" s="70"/>
      <c r="AC2400" s="70"/>
      <c r="AD2400" s="71"/>
      <c r="AE2400" s="71"/>
      <c r="AF2400" s="72"/>
      <c r="AG2400" s="73"/>
      <c r="AH2400" s="79"/>
      <c r="AI2400" s="102"/>
      <c r="AJ2400" s="70"/>
      <c r="AK2400" s="103"/>
      <c r="AL2400" s="104"/>
      <c r="AM2400" s="105"/>
      <c r="AN2400" s="115"/>
      <c r="AO2400" s="115"/>
      <c r="AP2400" s="115"/>
      <c r="AQ2400" s="93"/>
      <c r="AR2400" s="93"/>
      <c r="AS2400" s="94"/>
      <c r="AT2400" s="95"/>
      <c r="AU2400" s="79"/>
      <c r="AV2400" s="117"/>
      <c r="AW2400" s="115"/>
      <c r="AX2400" s="106"/>
      <c r="AY2400" s="104"/>
      <c r="AZ2400" s="105"/>
    </row>
    <row r="2401" customHeight="1" spans="1:52">
      <c r="A2401" s="70"/>
      <c r="B2401" s="70"/>
      <c r="C2401" s="70"/>
      <c r="D2401" s="71"/>
      <c r="E2401" s="71"/>
      <c r="F2401" s="72"/>
      <c r="G2401" s="73"/>
      <c r="H2401" s="74"/>
      <c r="I2401" s="102"/>
      <c r="J2401" s="70"/>
      <c r="K2401" s="106"/>
      <c r="L2401" s="104"/>
      <c r="M2401" s="105"/>
      <c r="N2401" s="70"/>
      <c r="O2401" s="70"/>
      <c r="P2401" s="70"/>
      <c r="Q2401" s="71"/>
      <c r="R2401" s="71"/>
      <c r="S2401" s="72"/>
      <c r="T2401" s="73"/>
      <c r="U2401" s="79"/>
      <c r="V2401" s="102"/>
      <c r="W2401" s="70"/>
      <c r="X2401" s="103"/>
      <c r="Y2401" s="226"/>
      <c r="Z2401" s="133"/>
      <c r="AA2401" s="70"/>
      <c r="AB2401" s="70"/>
      <c r="AC2401" s="70"/>
      <c r="AD2401" s="71"/>
      <c r="AE2401" s="71"/>
      <c r="AF2401" s="72"/>
      <c r="AG2401" s="73"/>
      <c r="AH2401" s="79"/>
      <c r="AI2401" s="102"/>
      <c r="AJ2401" s="70"/>
      <c r="AK2401" s="103"/>
      <c r="AL2401" s="104"/>
      <c r="AM2401" s="105"/>
      <c r="AN2401" s="115"/>
      <c r="AO2401" s="115"/>
      <c r="AP2401" s="115"/>
      <c r="AQ2401" s="93"/>
      <c r="AR2401" s="93"/>
      <c r="AS2401" s="94"/>
      <c r="AT2401" s="95"/>
      <c r="AU2401" s="79"/>
      <c r="AV2401" s="117"/>
      <c r="AW2401" s="115"/>
      <c r="AX2401" s="106"/>
      <c r="AY2401" s="104"/>
      <c r="AZ2401" s="105"/>
    </row>
    <row r="2402" customHeight="1" spans="1:52">
      <c r="A2402" s="70"/>
      <c r="B2402" s="70"/>
      <c r="C2402" s="70"/>
      <c r="D2402" s="71"/>
      <c r="E2402" s="71"/>
      <c r="F2402" s="72"/>
      <c r="G2402" s="73"/>
      <c r="H2402" s="74"/>
      <c r="I2402" s="102"/>
      <c r="J2402" s="70"/>
      <c r="K2402" s="106"/>
      <c r="L2402" s="104"/>
      <c r="M2402" s="105"/>
      <c r="N2402" s="70"/>
      <c r="O2402" s="70"/>
      <c r="P2402" s="70"/>
      <c r="Q2402" s="71"/>
      <c r="R2402" s="71"/>
      <c r="S2402" s="72"/>
      <c r="T2402" s="73"/>
      <c r="U2402" s="79"/>
      <c r="V2402" s="102"/>
      <c r="W2402" s="70"/>
      <c r="X2402" s="103"/>
      <c r="Y2402" s="226"/>
      <c r="Z2402" s="133"/>
      <c r="AA2402" s="70"/>
      <c r="AB2402" s="70"/>
      <c r="AC2402" s="70"/>
      <c r="AD2402" s="71"/>
      <c r="AE2402" s="71"/>
      <c r="AF2402" s="72"/>
      <c r="AG2402" s="73"/>
      <c r="AH2402" s="79"/>
      <c r="AI2402" s="102"/>
      <c r="AJ2402" s="70"/>
      <c r="AK2402" s="103"/>
      <c r="AL2402" s="104"/>
      <c r="AM2402" s="105"/>
      <c r="AN2402" s="115"/>
      <c r="AO2402" s="115"/>
      <c r="AP2402" s="115"/>
      <c r="AQ2402" s="93"/>
      <c r="AR2402" s="93"/>
      <c r="AS2402" s="94"/>
      <c r="AT2402" s="95"/>
      <c r="AU2402" s="79"/>
      <c r="AV2402" s="117"/>
      <c r="AW2402" s="115"/>
      <c r="AX2402" s="106"/>
      <c r="AY2402" s="104"/>
      <c r="AZ2402" s="105"/>
    </row>
    <row r="2403" customHeight="1" spans="1:52">
      <c r="A2403" s="70"/>
      <c r="B2403" s="70"/>
      <c r="C2403" s="70"/>
      <c r="D2403" s="71"/>
      <c r="E2403" s="71"/>
      <c r="F2403" s="72"/>
      <c r="G2403" s="73"/>
      <c r="H2403" s="74"/>
      <c r="I2403" s="102"/>
      <c r="J2403" s="70"/>
      <c r="K2403" s="106"/>
      <c r="L2403" s="104"/>
      <c r="M2403" s="105"/>
      <c r="N2403" s="70"/>
      <c r="O2403" s="70"/>
      <c r="P2403" s="70"/>
      <c r="Q2403" s="71"/>
      <c r="R2403" s="71"/>
      <c r="S2403" s="72"/>
      <c r="T2403" s="73"/>
      <c r="U2403" s="79"/>
      <c r="V2403" s="102"/>
      <c r="W2403" s="70"/>
      <c r="X2403" s="103"/>
      <c r="Y2403" s="226"/>
      <c r="Z2403" s="133"/>
      <c r="AA2403" s="70"/>
      <c r="AB2403" s="70"/>
      <c r="AC2403" s="70"/>
      <c r="AD2403" s="71"/>
      <c r="AE2403" s="71"/>
      <c r="AF2403" s="72"/>
      <c r="AG2403" s="73"/>
      <c r="AH2403" s="79"/>
      <c r="AI2403" s="102"/>
      <c r="AJ2403" s="70"/>
      <c r="AK2403" s="103"/>
      <c r="AL2403" s="104"/>
      <c r="AM2403" s="105"/>
      <c r="AN2403" s="115"/>
      <c r="AO2403" s="115"/>
      <c r="AP2403" s="115"/>
      <c r="AQ2403" s="93"/>
      <c r="AR2403" s="93"/>
      <c r="AS2403" s="94"/>
      <c r="AT2403" s="95"/>
      <c r="AU2403" s="79"/>
      <c r="AV2403" s="117"/>
      <c r="AW2403" s="115"/>
      <c r="AX2403" s="106"/>
      <c r="AY2403" s="104"/>
      <c r="AZ2403" s="105"/>
    </row>
    <row r="2404" customHeight="1" spans="1:52">
      <c r="A2404" s="70"/>
      <c r="B2404" s="70"/>
      <c r="C2404" s="70"/>
      <c r="D2404" s="71"/>
      <c r="E2404" s="71"/>
      <c r="F2404" s="72"/>
      <c r="G2404" s="73"/>
      <c r="H2404" s="74"/>
      <c r="I2404" s="102"/>
      <c r="J2404" s="70"/>
      <c r="K2404" s="106"/>
      <c r="L2404" s="104"/>
      <c r="M2404" s="105"/>
      <c r="N2404" s="70"/>
      <c r="O2404" s="70"/>
      <c r="P2404" s="70"/>
      <c r="Q2404" s="71"/>
      <c r="R2404" s="71"/>
      <c r="S2404" s="72"/>
      <c r="T2404" s="73"/>
      <c r="U2404" s="79"/>
      <c r="V2404" s="102"/>
      <c r="W2404" s="70"/>
      <c r="X2404" s="103"/>
      <c r="Y2404" s="226"/>
      <c r="Z2404" s="133"/>
      <c r="AA2404" s="70"/>
      <c r="AB2404" s="70"/>
      <c r="AC2404" s="70"/>
      <c r="AD2404" s="71"/>
      <c r="AE2404" s="71"/>
      <c r="AF2404" s="72"/>
      <c r="AG2404" s="73"/>
      <c r="AH2404" s="79"/>
      <c r="AI2404" s="102"/>
      <c r="AJ2404" s="70"/>
      <c r="AK2404" s="103"/>
      <c r="AL2404" s="104"/>
      <c r="AM2404" s="105"/>
      <c r="AN2404" s="115"/>
      <c r="AO2404" s="115"/>
      <c r="AP2404" s="115"/>
      <c r="AQ2404" s="93"/>
      <c r="AR2404" s="93"/>
      <c r="AS2404" s="94"/>
      <c r="AT2404" s="95"/>
      <c r="AU2404" s="79"/>
      <c r="AV2404" s="117"/>
      <c r="AW2404" s="115"/>
      <c r="AX2404" s="106"/>
      <c r="AY2404" s="104"/>
      <c r="AZ2404" s="105"/>
    </row>
    <row r="2405" customHeight="1" spans="1:52">
      <c r="A2405" s="70"/>
      <c r="B2405" s="70"/>
      <c r="C2405" s="70"/>
      <c r="D2405" s="71"/>
      <c r="E2405" s="71"/>
      <c r="F2405" s="72"/>
      <c r="G2405" s="73"/>
      <c r="H2405" s="74"/>
      <c r="I2405" s="102"/>
      <c r="J2405" s="70"/>
      <c r="K2405" s="106"/>
      <c r="L2405" s="104"/>
      <c r="M2405" s="105"/>
      <c r="N2405" s="70"/>
      <c r="O2405" s="70"/>
      <c r="P2405" s="70"/>
      <c r="Q2405" s="71"/>
      <c r="R2405" s="71"/>
      <c r="S2405" s="72"/>
      <c r="T2405" s="73"/>
      <c r="U2405" s="79"/>
      <c r="V2405" s="102"/>
      <c r="W2405" s="70"/>
      <c r="X2405" s="103"/>
      <c r="Y2405" s="226"/>
      <c r="Z2405" s="133"/>
      <c r="AA2405" s="70"/>
      <c r="AB2405" s="70"/>
      <c r="AC2405" s="70"/>
      <c r="AD2405" s="71"/>
      <c r="AE2405" s="71"/>
      <c r="AF2405" s="72"/>
      <c r="AG2405" s="73"/>
      <c r="AH2405" s="79"/>
      <c r="AI2405" s="102"/>
      <c r="AJ2405" s="70"/>
      <c r="AK2405" s="103"/>
      <c r="AL2405" s="104"/>
      <c r="AM2405" s="105"/>
      <c r="AN2405" s="115"/>
      <c r="AO2405" s="115"/>
      <c r="AP2405" s="115"/>
      <c r="AQ2405" s="93"/>
      <c r="AR2405" s="93"/>
      <c r="AS2405" s="94"/>
      <c r="AT2405" s="95"/>
      <c r="AU2405" s="79"/>
      <c r="AV2405" s="117"/>
      <c r="AW2405" s="115"/>
      <c r="AX2405" s="106"/>
      <c r="AY2405" s="104"/>
      <c r="AZ2405" s="105"/>
    </row>
    <row r="2406" customHeight="1" spans="1:52">
      <c r="A2406" s="70"/>
      <c r="B2406" s="70"/>
      <c r="C2406" s="70"/>
      <c r="D2406" s="71"/>
      <c r="E2406" s="71"/>
      <c r="F2406" s="72"/>
      <c r="G2406" s="73"/>
      <c r="H2406" s="74"/>
      <c r="I2406" s="102"/>
      <c r="J2406" s="70"/>
      <c r="K2406" s="106"/>
      <c r="L2406" s="104"/>
      <c r="M2406" s="105"/>
      <c r="N2406" s="70"/>
      <c r="O2406" s="70"/>
      <c r="P2406" s="70"/>
      <c r="Q2406" s="71"/>
      <c r="R2406" s="71"/>
      <c r="S2406" s="72"/>
      <c r="T2406" s="73"/>
      <c r="U2406" s="79"/>
      <c r="V2406" s="102"/>
      <c r="W2406" s="70"/>
      <c r="X2406" s="103"/>
      <c r="Y2406" s="226"/>
      <c r="Z2406" s="133"/>
      <c r="AA2406" s="70"/>
      <c r="AB2406" s="70"/>
      <c r="AC2406" s="70"/>
      <c r="AD2406" s="71"/>
      <c r="AE2406" s="71"/>
      <c r="AF2406" s="72"/>
      <c r="AG2406" s="73"/>
      <c r="AH2406" s="79"/>
      <c r="AI2406" s="102"/>
      <c r="AJ2406" s="70"/>
      <c r="AK2406" s="103"/>
      <c r="AL2406" s="104"/>
      <c r="AM2406" s="105"/>
      <c r="AN2406" s="115"/>
      <c r="AO2406" s="115"/>
      <c r="AP2406" s="115"/>
      <c r="AQ2406" s="93"/>
      <c r="AR2406" s="93"/>
      <c r="AS2406" s="94"/>
      <c r="AT2406" s="95"/>
      <c r="AU2406" s="79"/>
      <c r="AV2406" s="117"/>
      <c r="AW2406" s="115"/>
      <c r="AX2406" s="106"/>
      <c r="AY2406" s="104"/>
      <c r="AZ2406" s="105"/>
    </row>
    <row r="2407" customHeight="1" spans="1:52">
      <c r="A2407" s="70"/>
      <c r="B2407" s="70"/>
      <c r="C2407" s="70"/>
      <c r="D2407" s="71"/>
      <c r="E2407" s="71"/>
      <c r="F2407" s="72"/>
      <c r="G2407" s="73"/>
      <c r="H2407" s="74"/>
      <c r="I2407" s="102"/>
      <c r="J2407" s="70"/>
      <c r="K2407" s="106"/>
      <c r="L2407" s="104"/>
      <c r="M2407" s="105"/>
      <c r="N2407" s="70"/>
      <c r="O2407" s="70"/>
      <c r="P2407" s="70"/>
      <c r="Q2407" s="71"/>
      <c r="R2407" s="71"/>
      <c r="S2407" s="72"/>
      <c r="T2407" s="73"/>
      <c r="U2407" s="79"/>
      <c r="V2407" s="102"/>
      <c r="W2407" s="70"/>
      <c r="X2407" s="103"/>
      <c r="Y2407" s="226"/>
      <c r="Z2407" s="133"/>
      <c r="AA2407" s="70"/>
      <c r="AB2407" s="70"/>
      <c r="AC2407" s="70"/>
      <c r="AD2407" s="71"/>
      <c r="AE2407" s="71"/>
      <c r="AF2407" s="72"/>
      <c r="AG2407" s="73"/>
      <c r="AH2407" s="79"/>
      <c r="AI2407" s="102"/>
      <c r="AJ2407" s="70"/>
      <c r="AK2407" s="103"/>
      <c r="AL2407" s="104"/>
      <c r="AM2407" s="105"/>
      <c r="AN2407" s="115"/>
      <c r="AO2407" s="115"/>
      <c r="AP2407" s="115"/>
      <c r="AQ2407" s="93"/>
      <c r="AR2407" s="93"/>
      <c r="AS2407" s="94"/>
      <c r="AT2407" s="95"/>
      <c r="AU2407" s="79"/>
      <c r="AV2407" s="117"/>
      <c r="AW2407" s="115"/>
      <c r="AX2407" s="106"/>
      <c r="AY2407" s="104"/>
      <c r="AZ2407" s="105"/>
    </row>
    <row r="2408" customHeight="1" spans="1:52">
      <c r="A2408" s="70"/>
      <c r="B2408" s="70"/>
      <c r="C2408" s="70"/>
      <c r="D2408" s="71"/>
      <c r="E2408" s="71"/>
      <c r="F2408" s="72"/>
      <c r="G2408" s="73"/>
      <c r="H2408" s="74"/>
      <c r="I2408" s="102"/>
      <c r="J2408" s="70"/>
      <c r="K2408" s="106"/>
      <c r="L2408" s="104"/>
      <c r="M2408" s="105"/>
      <c r="N2408" s="70"/>
      <c r="O2408" s="70"/>
      <c r="P2408" s="70"/>
      <c r="Q2408" s="71"/>
      <c r="R2408" s="71"/>
      <c r="S2408" s="72"/>
      <c r="T2408" s="73"/>
      <c r="U2408" s="79"/>
      <c r="V2408" s="102"/>
      <c r="W2408" s="70"/>
      <c r="X2408" s="103"/>
      <c r="Y2408" s="226"/>
      <c r="Z2408" s="133"/>
      <c r="AA2408" s="70"/>
      <c r="AB2408" s="70"/>
      <c r="AC2408" s="70"/>
      <c r="AD2408" s="71"/>
      <c r="AE2408" s="71"/>
      <c r="AF2408" s="72"/>
      <c r="AG2408" s="73"/>
      <c r="AH2408" s="79"/>
      <c r="AI2408" s="102"/>
      <c r="AJ2408" s="70"/>
      <c r="AK2408" s="103"/>
      <c r="AL2408" s="104"/>
      <c r="AM2408" s="105"/>
      <c r="AN2408" s="115"/>
      <c r="AO2408" s="115"/>
      <c r="AP2408" s="115"/>
      <c r="AQ2408" s="93"/>
      <c r="AR2408" s="93"/>
      <c r="AS2408" s="94"/>
      <c r="AT2408" s="95"/>
      <c r="AU2408" s="79"/>
      <c r="AV2408" s="117"/>
      <c r="AW2408" s="115"/>
      <c r="AX2408" s="106"/>
      <c r="AY2408" s="104"/>
      <c r="AZ2408" s="105"/>
    </row>
    <row r="2409" customHeight="1" spans="1:52">
      <c r="A2409" s="70"/>
      <c r="B2409" s="70"/>
      <c r="C2409" s="70"/>
      <c r="D2409" s="71"/>
      <c r="E2409" s="71"/>
      <c r="F2409" s="72"/>
      <c r="G2409" s="73"/>
      <c r="H2409" s="74"/>
      <c r="I2409" s="102"/>
      <c r="J2409" s="70"/>
      <c r="K2409" s="106"/>
      <c r="L2409" s="104"/>
      <c r="M2409" s="105"/>
      <c r="N2409" s="70"/>
      <c r="O2409" s="70"/>
      <c r="P2409" s="70"/>
      <c r="Q2409" s="71"/>
      <c r="R2409" s="71"/>
      <c r="S2409" s="72"/>
      <c r="T2409" s="73"/>
      <c r="U2409" s="79"/>
      <c r="V2409" s="102"/>
      <c r="W2409" s="70"/>
      <c r="X2409" s="103"/>
      <c r="Y2409" s="226"/>
      <c r="Z2409" s="133"/>
      <c r="AA2409" s="70"/>
      <c r="AB2409" s="70"/>
      <c r="AC2409" s="70"/>
      <c r="AD2409" s="71"/>
      <c r="AE2409" s="71"/>
      <c r="AF2409" s="72"/>
      <c r="AG2409" s="73"/>
      <c r="AH2409" s="79"/>
      <c r="AI2409" s="102"/>
      <c r="AJ2409" s="70"/>
      <c r="AK2409" s="103"/>
      <c r="AL2409" s="104"/>
      <c r="AM2409" s="105"/>
      <c r="AN2409" s="115"/>
      <c r="AO2409" s="115"/>
      <c r="AP2409" s="115"/>
      <c r="AQ2409" s="93"/>
      <c r="AR2409" s="93"/>
      <c r="AS2409" s="94"/>
      <c r="AT2409" s="95"/>
      <c r="AU2409" s="79"/>
      <c r="AV2409" s="117"/>
      <c r="AW2409" s="115"/>
      <c r="AX2409" s="106"/>
      <c r="AY2409" s="104"/>
      <c r="AZ2409" s="105"/>
    </row>
    <row r="2410" customHeight="1" spans="1:52">
      <c r="A2410" s="70"/>
      <c r="B2410" s="70"/>
      <c r="C2410" s="70"/>
      <c r="D2410" s="71"/>
      <c r="E2410" s="71"/>
      <c r="F2410" s="72"/>
      <c r="G2410" s="73"/>
      <c r="H2410" s="74"/>
      <c r="I2410" s="102"/>
      <c r="J2410" s="70"/>
      <c r="K2410" s="106"/>
      <c r="L2410" s="104"/>
      <c r="M2410" s="105"/>
      <c r="N2410" s="70"/>
      <c r="O2410" s="70"/>
      <c r="P2410" s="70"/>
      <c r="Q2410" s="71"/>
      <c r="R2410" s="71"/>
      <c r="S2410" s="72"/>
      <c r="T2410" s="73"/>
      <c r="U2410" s="79"/>
      <c r="V2410" s="102"/>
      <c r="W2410" s="70"/>
      <c r="X2410" s="103"/>
      <c r="Y2410" s="226"/>
      <c r="Z2410" s="133"/>
      <c r="AA2410" s="70"/>
      <c r="AB2410" s="70"/>
      <c r="AC2410" s="70"/>
      <c r="AD2410" s="71"/>
      <c r="AE2410" s="71"/>
      <c r="AF2410" s="72"/>
      <c r="AG2410" s="73"/>
      <c r="AH2410" s="79"/>
      <c r="AI2410" s="102"/>
      <c r="AJ2410" s="70"/>
      <c r="AK2410" s="103"/>
      <c r="AL2410" s="104"/>
      <c r="AM2410" s="105"/>
      <c r="AN2410" s="115"/>
      <c r="AO2410" s="115"/>
      <c r="AP2410" s="115"/>
      <c r="AQ2410" s="93"/>
      <c r="AR2410" s="93"/>
      <c r="AS2410" s="94"/>
      <c r="AT2410" s="95"/>
      <c r="AU2410" s="79"/>
      <c r="AV2410" s="117"/>
      <c r="AW2410" s="115"/>
      <c r="AX2410" s="106"/>
      <c r="AY2410" s="104"/>
      <c r="AZ2410" s="105"/>
    </row>
    <row r="2411" customHeight="1" spans="1:52">
      <c r="A2411" s="70"/>
      <c r="B2411" s="70"/>
      <c r="C2411" s="70"/>
      <c r="D2411" s="71"/>
      <c r="E2411" s="71"/>
      <c r="F2411" s="72"/>
      <c r="G2411" s="73"/>
      <c r="H2411" s="74"/>
      <c r="I2411" s="102"/>
      <c r="J2411" s="70"/>
      <c r="K2411" s="106"/>
      <c r="L2411" s="104"/>
      <c r="M2411" s="105"/>
      <c r="N2411" s="70"/>
      <c r="O2411" s="70"/>
      <c r="P2411" s="70"/>
      <c r="Q2411" s="71"/>
      <c r="R2411" s="71"/>
      <c r="S2411" s="72"/>
      <c r="T2411" s="73"/>
      <c r="U2411" s="79"/>
      <c r="V2411" s="102"/>
      <c r="W2411" s="70"/>
      <c r="X2411" s="103"/>
      <c r="Y2411" s="226"/>
      <c r="Z2411" s="133"/>
      <c r="AA2411" s="70"/>
      <c r="AB2411" s="70"/>
      <c r="AC2411" s="70"/>
      <c r="AD2411" s="71"/>
      <c r="AE2411" s="71"/>
      <c r="AF2411" s="72"/>
      <c r="AG2411" s="73"/>
      <c r="AH2411" s="79"/>
      <c r="AI2411" s="102"/>
      <c r="AJ2411" s="70"/>
      <c r="AK2411" s="103"/>
      <c r="AL2411" s="104"/>
      <c r="AM2411" s="105"/>
      <c r="AN2411" s="115"/>
      <c r="AO2411" s="115"/>
      <c r="AP2411" s="115"/>
      <c r="AQ2411" s="93"/>
      <c r="AR2411" s="93"/>
      <c r="AS2411" s="94"/>
      <c r="AT2411" s="95"/>
      <c r="AU2411" s="79"/>
      <c r="AV2411" s="117"/>
      <c r="AW2411" s="115"/>
      <c r="AX2411" s="106"/>
      <c r="AY2411" s="104"/>
      <c r="AZ2411" s="105"/>
    </row>
    <row r="2412" customHeight="1" spans="1:52">
      <c r="A2412" s="70"/>
      <c r="B2412" s="70"/>
      <c r="C2412" s="70"/>
      <c r="D2412" s="71"/>
      <c r="E2412" s="71"/>
      <c r="F2412" s="72"/>
      <c r="G2412" s="73"/>
      <c r="H2412" s="74"/>
      <c r="I2412" s="102"/>
      <c r="J2412" s="70"/>
      <c r="K2412" s="106"/>
      <c r="L2412" s="104"/>
      <c r="M2412" s="105"/>
      <c r="N2412" s="70"/>
      <c r="O2412" s="70"/>
      <c r="P2412" s="70"/>
      <c r="Q2412" s="71"/>
      <c r="R2412" s="71"/>
      <c r="S2412" s="72"/>
      <c r="T2412" s="73"/>
      <c r="U2412" s="79"/>
      <c r="V2412" s="102"/>
      <c r="W2412" s="70"/>
      <c r="X2412" s="103"/>
      <c r="Y2412" s="226"/>
      <c r="Z2412" s="133"/>
      <c r="AA2412" s="70"/>
      <c r="AB2412" s="70"/>
      <c r="AC2412" s="70"/>
      <c r="AD2412" s="71"/>
      <c r="AE2412" s="71"/>
      <c r="AF2412" s="72"/>
      <c r="AG2412" s="73"/>
      <c r="AH2412" s="79"/>
      <c r="AI2412" s="102"/>
      <c r="AJ2412" s="70"/>
      <c r="AK2412" s="103"/>
      <c r="AL2412" s="104"/>
      <c r="AM2412" s="105"/>
      <c r="AN2412" s="115"/>
      <c r="AO2412" s="115"/>
      <c r="AP2412" s="115"/>
      <c r="AQ2412" s="93"/>
      <c r="AR2412" s="93"/>
      <c r="AS2412" s="94"/>
      <c r="AT2412" s="95"/>
      <c r="AU2412" s="79"/>
      <c r="AV2412" s="117"/>
      <c r="AW2412" s="115"/>
      <c r="AX2412" s="106"/>
      <c r="AY2412" s="104"/>
      <c r="AZ2412" s="105"/>
    </row>
    <row r="2413" customHeight="1" spans="1:52">
      <c r="A2413" s="70"/>
      <c r="B2413" s="70"/>
      <c r="C2413" s="70"/>
      <c r="D2413" s="71"/>
      <c r="E2413" s="71"/>
      <c r="F2413" s="72"/>
      <c r="G2413" s="73"/>
      <c r="H2413" s="74"/>
      <c r="I2413" s="102"/>
      <c r="J2413" s="70"/>
      <c r="K2413" s="106"/>
      <c r="L2413" s="104"/>
      <c r="M2413" s="105"/>
      <c r="N2413" s="70"/>
      <c r="O2413" s="70"/>
      <c r="P2413" s="70"/>
      <c r="Q2413" s="71"/>
      <c r="R2413" s="71"/>
      <c r="S2413" s="72"/>
      <c r="T2413" s="73"/>
      <c r="U2413" s="79"/>
      <c r="V2413" s="102"/>
      <c r="W2413" s="70"/>
      <c r="X2413" s="103"/>
      <c r="Y2413" s="226"/>
      <c r="Z2413" s="133"/>
      <c r="AA2413" s="70"/>
      <c r="AB2413" s="70"/>
      <c r="AC2413" s="70"/>
      <c r="AD2413" s="71"/>
      <c r="AE2413" s="71"/>
      <c r="AF2413" s="72"/>
      <c r="AG2413" s="73"/>
      <c r="AH2413" s="79"/>
      <c r="AI2413" s="102"/>
      <c r="AJ2413" s="70"/>
      <c r="AK2413" s="103"/>
      <c r="AL2413" s="104"/>
      <c r="AM2413" s="105"/>
      <c r="AN2413" s="115"/>
      <c r="AO2413" s="115"/>
      <c r="AP2413" s="115"/>
      <c r="AQ2413" s="93"/>
      <c r="AR2413" s="93"/>
      <c r="AS2413" s="94"/>
      <c r="AT2413" s="95"/>
      <c r="AU2413" s="79"/>
      <c r="AV2413" s="117"/>
      <c r="AW2413" s="115"/>
      <c r="AX2413" s="106"/>
      <c r="AY2413" s="104"/>
      <c r="AZ2413" s="105"/>
    </row>
    <row r="2414" customHeight="1" spans="1:52">
      <c r="A2414" s="70"/>
      <c r="B2414" s="70"/>
      <c r="C2414" s="70"/>
      <c r="D2414" s="71"/>
      <c r="E2414" s="71"/>
      <c r="F2414" s="72"/>
      <c r="G2414" s="73"/>
      <c r="H2414" s="74"/>
      <c r="I2414" s="102"/>
      <c r="J2414" s="70"/>
      <c r="K2414" s="106"/>
      <c r="L2414" s="104"/>
      <c r="M2414" s="105"/>
      <c r="N2414" s="70"/>
      <c r="O2414" s="70"/>
      <c r="P2414" s="70"/>
      <c r="Q2414" s="71"/>
      <c r="R2414" s="71"/>
      <c r="S2414" s="72"/>
      <c r="T2414" s="73"/>
      <c r="U2414" s="79"/>
      <c r="V2414" s="102"/>
      <c r="W2414" s="70"/>
      <c r="X2414" s="103"/>
      <c r="Y2414" s="226"/>
      <c r="Z2414" s="133"/>
      <c r="AA2414" s="70"/>
      <c r="AB2414" s="70"/>
      <c r="AC2414" s="70"/>
      <c r="AD2414" s="71"/>
      <c r="AE2414" s="71"/>
      <c r="AF2414" s="72"/>
      <c r="AG2414" s="73"/>
      <c r="AH2414" s="79"/>
      <c r="AI2414" s="102"/>
      <c r="AJ2414" s="70"/>
      <c r="AK2414" s="103"/>
      <c r="AL2414" s="104"/>
      <c r="AM2414" s="105"/>
      <c r="AN2414" s="115"/>
      <c r="AO2414" s="115"/>
      <c r="AP2414" s="115"/>
      <c r="AQ2414" s="93"/>
      <c r="AR2414" s="93"/>
      <c r="AS2414" s="94"/>
      <c r="AT2414" s="95"/>
      <c r="AU2414" s="79"/>
      <c r="AV2414" s="117"/>
      <c r="AW2414" s="115"/>
      <c r="AX2414" s="106"/>
      <c r="AY2414" s="104"/>
      <c r="AZ2414" s="105"/>
    </row>
    <row r="2415" customHeight="1" spans="1:52">
      <c r="A2415" s="70"/>
      <c r="B2415" s="70"/>
      <c r="C2415" s="70"/>
      <c r="D2415" s="71"/>
      <c r="E2415" s="71"/>
      <c r="F2415" s="72"/>
      <c r="G2415" s="73"/>
      <c r="H2415" s="74"/>
      <c r="I2415" s="102"/>
      <c r="J2415" s="70"/>
      <c r="K2415" s="106"/>
      <c r="L2415" s="104"/>
      <c r="M2415" s="105"/>
      <c r="N2415" s="70"/>
      <c r="O2415" s="70"/>
      <c r="P2415" s="70"/>
      <c r="Q2415" s="71"/>
      <c r="R2415" s="71"/>
      <c r="S2415" s="72"/>
      <c r="T2415" s="73"/>
      <c r="U2415" s="79"/>
      <c r="V2415" s="102"/>
      <c r="W2415" s="70"/>
      <c r="X2415" s="103"/>
      <c r="Y2415" s="226"/>
      <c r="Z2415" s="133"/>
      <c r="AA2415" s="70"/>
      <c r="AB2415" s="70"/>
      <c r="AC2415" s="70"/>
      <c r="AD2415" s="71"/>
      <c r="AE2415" s="71"/>
      <c r="AF2415" s="72"/>
      <c r="AG2415" s="73"/>
      <c r="AH2415" s="79"/>
      <c r="AI2415" s="102"/>
      <c r="AJ2415" s="70"/>
      <c r="AK2415" s="103"/>
      <c r="AL2415" s="104"/>
      <c r="AM2415" s="105"/>
      <c r="AN2415" s="115"/>
      <c r="AO2415" s="115"/>
      <c r="AP2415" s="115"/>
      <c r="AQ2415" s="93"/>
      <c r="AR2415" s="93"/>
      <c r="AS2415" s="94"/>
      <c r="AT2415" s="95"/>
      <c r="AU2415" s="79"/>
      <c r="AV2415" s="117"/>
      <c r="AW2415" s="115"/>
      <c r="AX2415" s="106"/>
      <c r="AY2415" s="104"/>
      <c r="AZ2415" s="105"/>
    </row>
    <row r="2416" customHeight="1" spans="1:52">
      <c r="A2416" s="70"/>
      <c r="B2416" s="70"/>
      <c r="C2416" s="70"/>
      <c r="D2416" s="71"/>
      <c r="E2416" s="71"/>
      <c r="F2416" s="72"/>
      <c r="G2416" s="73"/>
      <c r="H2416" s="74"/>
      <c r="I2416" s="102"/>
      <c r="J2416" s="70"/>
      <c r="K2416" s="106"/>
      <c r="L2416" s="104"/>
      <c r="M2416" s="105"/>
      <c r="N2416" s="70"/>
      <c r="O2416" s="70"/>
      <c r="P2416" s="70"/>
      <c r="Q2416" s="71"/>
      <c r="R2416" s="71"/>
      <c r="S2416" s="72"/>
      <c r="T2416" s="73"/>
      <c r="U2416" s="79"/>
      <c r="V2416" s="102"/>
      <c r="W2416" s="70"/>
      <c r="X2416" s="103"/>
      <c r="Y2416" s="226"/>
      <c r="Z2416" s="133"/>
      <c r="AA2416" s="70"/>
      <c r="AB2416" s="70"/>
      <c r="AC2416" s="70"/>
      <c r="AD2416" s="71"/>
      <c r="AE2416" s="71"/>
      <c r="AF2416" s="72"/>
      <c r="AG2416" s="73"/>
      <c r="AH2416" s="79"/>
      <c r="AI2416" s="102"/>
      <c r="AJ2416" s="70"/>
      <c r="AK2416" s="103"/>
      <c r="AL2416" s="104"/>
      <c r="AM2416" s="105"/>
      <c r="AN2416" s="115"/>
      <c r="AO2416" s="115"/>
      <c r="AP2416" s="115"/>
      <c r="AQ2416" s="93"/>
      <c r="AR2416" s="93"/>
      <c r="AS2416" s="94"/>
      <c r="AT2416" s="95"/>
      <c r="AU2416" s="79"/>
      <c r="AV2416" s="117"/>
      <c r="AW2416" s="115"/>
      <c r="AX2416" s="106"/>
      <c r="AY2416" s="104"/>
      <c r="AZ2416" s="105"/>
    </row>
    <row r="2417" customHeight="1" spans="1:52">
      <c r="A2417" s="70"/>
      <c r="B2417" s="70"/>
      <c r="C2417" s="70"/>
      <c r="D2417" s="71"/>
      <c r="E2417" s="71"/>
      <c r="F2417" s="72"/>
      <c r="G2417" s="73"/>
      <c r="H2417" s="74"/>
      <c r="I2417" s="102"/>
      <c r="J2417" s="70"/>
      <c r="K2417" s="106"/>
      <c r="L2417" s="104"/>
      <c r="M2417" s="105"/>
      <c r="N2417" s="70"/>
      <c r="O2417" s="70"/>
      <c r="P2417" s="70"/>
      <c r="Q2417" s="71"/>
      <c r="R2417" s="71"/>
      <c r="S2417" s="72"/>
      <c r="T2417" s="73"/>
      <c r="U2417" s="79"/>
      <c r="V2417" s="102"/>
      <c r="W2417" s="70"/>
      <c r="X2417" s="103"/>
      <c r="Y2417" s="226"/>
      <c r="Z2417" s="133"/>
      <c r="AA2417" s="70"/>
      <c r="AB2417" s="70"/>
      <c r="AC2417" s="70"/>
      <c r="AD2417" s="71"/>
      <c r="AE2417" s="71"/>
      <c r="AF2417" s="72"/>
      <c r="AG2417" s="73"/>
      <c r="AH2417" s="79"/>
      <c r="AI2417" s="102"/>
      <c r="AJ2417" s="70"/>
      <c r="AK2417" s="103"/>
      <c r="AL2417" s="104"/>
      <c r="AM2417" s="105"/>
      <c r="AN2417" s="115"/>
      <c r="AO2417" s="115"/>
      <c r="AP2417" s="115"/>
      <c r="AQ2417" s="93"/>
      <c r="AR2417" s="93"/>
      <c r="AS2417" s="94"/>
      <c r="AT2417" s="95"/>
      <c r="AU2417" s="79"/>
      <c r="AV2417" s="117"/>
      <c r="AW2417" s="115"/>
      <c r="AX2417" s="106"/>
      <c r="AY2417" s="104"/>
      <c r="AZ2417" s="105"/>
    </row>
    <row r="2418" customHeight="1" spans="1:52">
      <c r="A2418" s="70"/>
      <c r="B2418" s="70"/>
      <c r="C2418" s="70"/>
      <c r="D2418" s="71"/>
      <c r="E2418" s="71"/>
      <c r="F2418" s="72"/>
      <c r="G2418" s="73"/>
      <c r="H2418" s="74"/>
      <c r="I2418" s="102"/>
      <c r="J2418" s="70"/>
      <c r="K2418" s="106"/>
      <c r="L2418" s="104"/>
      <c r="M2418" s="105"/>
      <c r="N2418" s="70"/>
      <c r="O2418" s="70"/>
      <c r="P2418" s="70"/>
      <c r="Q2418" s="71"/>
      <c r="R2418" s="71"/>
      <c r="S2418" s="72"/>
      <c r="T2418" s="73"/>
      <c r="U2418" s="79"/>
      <c r="V2418" s="102"/>
      <c r="W2418" s="70"/>
      <c r="X2418" s="103"/>
      <c r="Y2418" s="226"/>
      <c r="Z2418" s="133"/>
      <c r="AA2418" s="70"/>
      <c r="AB2418" s="70"/>
      <c r="AC2418" s="70"/>
      <c r="AD2418" s="71"/>
      <c r="AE2418" s="71"/>
      <c r="AF2418" s="72"/>
      <c r="AG2418" s="73"/>
      <c r="AH2418" s="79"/>
      <c r="AI2418" s="102"/>
      <c r="AJ2418" s="70"/>
      <c r="AK2418" s="103"/>
      <c r="AL2418" s="104"/>
      <c r="AM2418" s="105"/>
      <c r="AN2418" s="115"/>
      <c r="AO2418" s="115"/>
      <c r="AP2418" s="115"/>
      <c r="AQ2418" s="93"/>
      <c r="AR2418" s="93"/>
      <c r="AS2418" s="94"/>
      <c r="AT2418" s="95"/>
      <c r="AU2418" s="79"/>
      <c r="AV2418" s="117"/>
      <c r="AW2418" s="115"/>
      <c r="AX2418" s="106"/>
      <c r="AY2418" s="104"/>
      <c r="AZ2418" s="105"/>
    </row>
    <row r="2419" customHeight="1" spans="1:52">
      <c r="A2419" s="70"/>
      <c r="B2419" s="70"/>
      <c r="C2419" s="70"/>
      <c r="D2419" s="71"/>
      <c r="E2419" s="71"/>
      <c r="F2419" s="72"/>
      <c r="G2419" s="73"/>
      <c r="H2419" s="74"/>
      <c r="I2419" s="102"/>
      <c r="J2419" s="70"/>
      <c r="K2419" s="106"/>
      <c r="L2419" s="104"/>
      <c r="M2419" s="105"/>
      <c r="N2419" s="70"/>
      <c r="O2419" s="70"/>
      <c r="P2419" s="70"/>
      <c r="Q2419" s="71"/>
      <c r="R2419" s="71"/>
      <c r="S2419" s="72"/>
      <c r="T2419" s="73"/>
      <c r="U2419" s="79"/>
      <c r="V2419" s="102"/>
      <c r="W2419" s="70"/>
      <c r="X2419" s="103"/>
      <c r="Y2419" s="226"/>
      <c r="Z2419" s="133"/>
      <c r="AA2419" s="70"/>
      <c r="AB2419" s="70"/>
      <c r="AC2419" s="70"/>
      <c r="AD2419" s="71"/>
      <c r="AE2419" s="71"/>
      <c r="AF2419" s="72"/>
      <c r="AG2419" s="73"/>
      <c r="AH2419" s="79"/>
      <c r="AI2419" s="102"/>
      <c r="AJ2419" s="70"/>
      <c r="AK2419" s="103"/>
      <c r="AL2419" s="104"/>
      <c r="AM2419" s="105"/>
      <c r="AN2419" s="115"/>
      <c r="AO2419" s="115"/>
      <c r="AP2419" s="115"/>
      <c r="AQ2419" s="93"/>
      <c r="AR2419" s="93"/>
      <c r="AS2419" s="94"/>
      <c r="AT2419" s="95"/>
      <c r="AU2419" s="79"/>
      <c r="AV2419" s="117"/>
      <c r="AW2419" s="115"/>
      <c r="AX2419" s="106"/>
      <c r="AY2419" s="104"/>
      <c r="AZ2419" s="105"/>
    </row>
    <row r="2420" customHeight="1" spans="1:52">
      <c r="A2420" s="70"/>
      <c r="B2420" s="70"/>
      <c r="C2420" s="70"/>
      <c r="D2420" s="71"/>
      <c r="E2420" s="71"/>
      <c r="F2420" s="72"/>
      <c r="G2420" s="73"/>
      <c r="H2420" s="74"/>
      <c r="I2420" s="102"/>
      <c r="J2420" s="70"/>
      <c r="K2420" s="106"/>
      <c r="L2420" s="104"/>
      <c r="M2420" s="105"/>
      <c r="N2420" s="70"/>
      <c r="O2420" s="70"/>
      <c r="P2420" s="70"/>
      <c r="Q2420" s="71"/>
      <c r="R2420" s="71"/>
      <c r="S2420" s="72"/>
      <c r="T2420" s="73"/>
      <c r="U2420" s="79"/>
      <c r="V2420" s="102"/>
      <c r="W2420" s="70"/>
      <c r="X2420" s="103"/>
      <c r="Y2420" s="226"/>
      <c r="Z2420" s="133"/>
      <c r="AA2420" s="70"/>
      <c r="AB2420" s="70"/>
      <c r="AC2420" s="70"/>
      <c r="AD2420" s="71"/>
      <c r="AE2420" s="71"/>
      <c r="AF2420" s="72"/>
      <c r="AG2420" s="73"/>
      <c r="AH2420" s="79"/>
      <c r="AI2420" s="102"/>
      <c r="AJ2420" s="70"/>
      <c r="AK2420" s="103"/>
      <c r="AL2420" s="104"/>
      <c r="AM2420" s="105"/>
      <c r="AN2420" s="115"/>
      <c r="AO2420" s="115"/>
      <c r="AP2420" s="115"/>
      <c r="AQ2420" s="93"/>
      <c r="AR2420" s="93"/>
      <c r="AS2420" s="94"/>
      <c r="AT2420" s="95"/>
      <c r="AU2420" s="79"/>
      <c r="AV2420" s="117"/>
      <c r="AW2420" s="115"/>
      <c r="AX2420" s="106"/>
      <c r="AY2420" s="104"/>
      <c r="AZ2420" s="105"/>
    </row>
    <row r="2421" customHeight="1" spans="1:52">
      <c r="A2421" s="70"/>
      <c r="B2421" s="70"/>
      <c r="C2421" s="70"/>
      <c r="D2421" s="71"/>
      <c r="E2421" s="71"/>
      <c r="F2421" s="72"/>
      <c r="G2421" s="73"/>
      <c r="H2421" s="74"/>
      <c r="I2421" s="102"/>
      <c r="J2421" s="70"/>
      <c r="K2421" s="106"/>
      <c r="L2421" s="104"/>
      <c r="M2421" s="105"/>
      <c r="N2421" s="70"/>
      <c r="O2421" s="70"/>
      <c r="P2421" s="70"/>
      <c r="Q2421" s="71"/>
      <c r="R2421" s="71"/>
      <c r="S2421" s="72"/>
      <c r="T2421" s="73"/>
      <c r="U2421" s="79"/>
      <c r="V2421" s="102"/>
      <c r="W2421" s="70"/>
      <c r="X2421" s="103"/>
      <c r="Y2421" s="226"/>
      <c r="Z2421" s="133"/>
      <c r="AA2421" s="70"/>
      <c r="AB2421" s="70"/>
      <c r="AC2421" s="70"/>
      <c r="AD2421" s="71"/>
      <c r="AE2421" s="71"/>
      <c r="AF2421" s="72"/>
      <c r="AG2421" s="73"/>
      <c r="AH2421" s="79"/>
      <c r="AI2421" s="102"/>
      <c r="AJ2421" s="70"/>
      <c r="AK2421" s="103"/>
      <c r="AL2421" s="104"/>
      <c r="AM2421" s="105"/>
      <c r="AN2421" s="115"/>
      <c r="AO2421" s="115"/>
      <c r="AP2421" s="115"/>
      <c r="AQ2421" s="93"/>
      <c r="AR2421" s="93"/>
      <c r="AS2421" s="94"/>
      <c r="AT2421" s="95"/>
      <c r="AU2421" s="79"/>
      <c r="AV2421" s="117"/>
      <c r="AW2421" s="115"/>
      <c r="AX2421" s="106"/>
      <c r="AY2421" s="104"/>
      <c r="AZ2421" s="105"/>
    </row>
    <row r="2422" customHeight="1" spans="1:52">
      <c r="A2422" s="70"/>
      <c r="B2422" s="70"/>
      <c r="C2422" s="70"/>
      <c r="D2422" s="71"/>
      <c r="E2422" s="71"/>
      <c r="F2422" s="72"/>
      <c r="G2422" s="73"/>
      <c r="H2422" s="74"/>
      <c r="I2422" s="102"/>
      <c r="J2422" s="70"/>
      <c r="K2422" s="106"/>
      <c r="L2422" s="104"/>
      <c r="M2422" s="105"/>
      <c r="N2422" s="70"/>
      <c r="O2422" s="70"/>
      <c r="P2422" s="70"/>
      <c r="Q2422" s="71"/>
      <c r="R2422" s="71"/>
      <c r="S2422" s="72"/>
      <c r="T2422" s="73"/>
      <c r="U2422" s="79"/>
      <c r="V2422" s="102"/>
      <c r="W2422" s="70"/>
      <c r="X2422" s="103"/>
      <c r="Y2422" s="226"/>
      <c r="Z2422" s="133"/>
      <c r="AA2422" s="70"/>
      <c r="AB2422" s="70"/>
      <c r="AC2422" s="70"/>
      <c r="AD2422" s="71"/>
      <c r="AE2422" s="71"/>
      <c r="AF2422" s="72"/>
      <c r="AG2422" s="73"/>
      <c r="AH2422" s="79"/>
      <c r="AI2422" s="102"/>
      <c r="AJ2422" s="70"/>
      <c r="AK2422" s="103"/>
      <c r="AL2422" s="104"/>
      <c r="AM2422" s="105"/>
      <c r="AN2422" s="115"/>
      <c r="AO2422" s="115"/>
      <c r="AP2422" s="115"/>
      <c r="AQ2422" s="93"/>
      <c r="AR2422" s="93"/>
      <c r="AS2422" s="94"/>
      <c r="AT2422" s="95"/>
      <c r="AU2422" s="79"/>
      <c r="AV2422" s="117"/>
      <c r="AW2422" s="115"/>
      <c r="AX2422" s="106"/>
      <c r="AY2422" s="104"/>
      <c r="AZ2422" s="105"/>
    </row>
    <row r="2423" customHeight="1" spans="1:52">
      <c r="A2423" s="70"/>
      <c r="B2423" s="70"/>
      <c r="C2423" s="70"/>
      <c r="D2423" s="71"/>
      <c r="E2423" s="71"/>
      <c r="F2423" s="72"/>
      <c r="G2423" s="73"/>
      <c r="H2423" s="74"/>
      <c r="I2423" s="102"/>
      <c r="J2423" s="70"/>
      <c r="K2423" s="106"/>
      <c r="L2423" s="104"/>
      <c r="M2423" s="105"/>
      <c r="N2423" s="70"/>
      <c r="O2423" s="70"/>
      <c r="P2423" s="70"/>
      <c r="Q2423" s="71"/>
      <c r="R2423" s="71"/>
      <c r="S2423" s="72"/>
      <c r="T2423" s="73"/>
      <c r="U2423" s="79"/>
      <c r="V2423" s="102"/>
      <c r="W2423" s="70"/>
      <c r="X2423" s="103"/>
      <c r="Y2423" s="226"/>
      <c r="Z2423" s="133"/>
      <c r="AA2423" s="70"/>
      <c r="AB2423" s="70"/>
      <c r="AC2423" s="70"/>
      <c r="AD2423" s="71"/>
      <c r="AE2423" s="71"/>
      <c r="AF2423" s="72"/>
      <c r="AG2423" s="73"/>
      <c r="AH2423" s="79"/>
      <c r="AI2423" s="102"/>
      <c r="AJ2423" s="70"/>
      <c r="AK2423" s="103"/>
      <c r="AL2423" s="104"/>
      <c r="AM2423" s="105"/>
      <c r="AN2423" s="115"/>
      <c r="AO2423" s="115"/>
      <c r="AP2423" s="115"/>
      <c r="AQ2423" s="93"/>
      <c r="AR2423" s="93"/>
      <c r="AS2423" s="94"/>
      <c r="AT2423" s="95"/>
      <c r="AU2423" s="79"/>
      <c r="AV2423" s="117"/>
      <c r="AW2423" s="115"/>
      <c r="AX2423" s="106"/>
      <c r="AY2423" s="104"/>
      <c r="AZ2423" s="105"/>
    </row>
    <row r="2424" customHeight="1" spans="1:52">
      <c r="A2424" s="70"/>
      <c r="B2424" s="70"/>
      <c r="C2424" s="70"/>
      <c r="D2424" s="71"/>
      <c r="E2424" s="71"/>
      <c r="F2424" s="72"/>
      <c r="G2424" s="73"/>
      <c r="H2424" s="74"/>
      <c r="I2424" s="102"/>
      <c r="J2424" s="70"/>
      <c r="K2424" s="106"/>
      <c r="L2424" s="104"/>
      <c r="M2424" s="105"/>
      <c r="N2424" s="70"/>
      <c r="O2424" s="70"/>
      <c r="P2424" s="70"/>
      <c r="Q2424" s="71"/>
      <c r="R2424" s="71"/>
      <c r="S2424" s="72"/>
      <c r="T2424" s="73"/>
      <c r="U2424" s="79"/>
      <c r="V2424" s="102"/>
      <c r="W2424" s="70"/>
      <c r="X2424" s="103"/>
      <c r="Y2424" s="226"/>
      <c r="Z2424" s="133"/>
      <c r="AA2424" s="70"/>
      <c r="AB2424" s="70"/>
      <c r="AC2424" s="70"/>
      <c r="AD2424" s="71"/>
      <c r="AE2424" s="71"/>
      <c r="AF2424" s="72"/>
      <c r="AG2424" s="73"/>
      <c r="AH2424" s="79"/>
      <c r="AI2424" s="102"/>
      <c r="AJ2424" s="70"/>
      <c r="AK2424" s="103"/>
      <c r="AL2424" s="104"/>
      <c r="AM2424" s="105"/>
      <c r="AN2424" s="115"/>
      <c r="AO2424" s="115"/>
      <c r="AP2424" s="115"/>
      <c r="AQ2424" s="93"/>
      <c r="AR2424" s="93"/>
      <c r="AS2424" s="94"/>
      <c r="AT2424" s="95"/>
      <c r="AU2424" s="79"/>
      <c r="AV2424" s="117"/>
      <c r="AW2424" s="115"/>
      <c r="AX2424" s="106"/>
      <c r="AY2424" s="104"/>
      <c r="AZ2424" s="105"/>
    </row>
    <row r="2425" customHeight="1" spans="1:52">
      <c r="A2425" s="70"/>
      <c r="B2425" s="70"/>
      <c r="C2425" s="70"/>
      <c r="D2425" s="71"/>
      <c r="E2425" s="71"/>
      <c r="F2425" s="72"/>
      <c r="G2425" s="73"/>
      <c r="H2425" s="74"/>
      <c r="I2425" s="102"/>
      <c r="J2425" s="70"/>
      <c r="K2425" s="106"/>
      <c r="L2425" s="104"/>
      <c r="M2425" s="105"/>
      <c r="N2425" s="70"/>
      <c r="O2425" s="70"/>
      <c r="P2425" s="70"/>
      <c r="Q2425" s="71"/>
      <c r="R2425" s="71"/>
      <c r="S2425" s="72"/>
      <c r="T2425" s="73"/>
      <c r="U2425" s="79"/>
      <c r="V2425" s="102"/>
      <c r="W2425" s="70"/>
      <c r="X2425" s="103"/>
      <c r="Y2425" s="226"/>
      <c r="Z2425" s="133"/>
      <c r="AA2425" s="70"/>
      <c r="AB2425" s="70"/>
      <c r="AC2425" s="70"/>
      <c r="AD2425" s="71"/>
      <c r="AE2425" s="71"/>
      <c r="AF2425" s="72"/>
      <c r="AG2425" s="73"/>
      <c r="AH2425" s="79"/>
      <c r="AI2425" s="102"/>
      <c r="AJ2425" s="70"/>
      <c r="AK2425" s="103"/>
      <c r="AL2425" s="104"/>
      <c r="AM2425" s="105"/>
      <c r="AN2425" s="115"/>
      <c r="AO2425" s="115"/>
      <c r="AP2425" s="115"/>
      <c r="AQ2425" s="93"/>
      <c r="AR2425" s="93"/>
      <c r="AS2425" s="94"/>
      <c r="AT2425" s="95"/>
      <c r="AU2425" s="79"/>
      <c r="AV2425" s="117"/>
      <c r="AW2425" s="115"/>
      <c r="AX2425" s="106"/>
      <c r="AY2425" s="104"/>
      <c r="AZ2425" s="105"/>
    </row>
    <row r="2426" customHeight="1" spans="1:52">
      <c r="A2426" s="70"/>
      <c r="B2426" s="70"/>
      <c r="C2426" s="70"/>
      <c r="D2426" s="71"/>
      <c r="E2426" s="71"/>
      <c r="F2426" s="72"/>
      <c r="G2426" s="73"/>
      <c r="H2426" s="74"/>
      <c r="I2426" s="102"/>
      <c r="J2426" s="70"/>
      <c r="K2426" s="106"/>
      <c r="L2426" s="104"/>
      <c r="M2426" s="105"/>
      <c r="N2426" s="70"/>
      <c r="O2426" s="70"/>
      <c r="P2426" s="70"/>
      <c r="Q2426" s="71"/>
      <c r="R2426" s="71"/>
      <c r="S2426" s="72"/>
      <c r="T2426" s="73"/>
      <c r="U2426" s="79"/>
      <c r="V2426" s="102"/>
      <c r="W2426" s="70"/>
      <c r="X2426" s="103"/>
      <c r="Y2426" s="226"/>
      <c r="Z2426" s="133"/>
      <c r="AA2426" s="70"/>
      <c r="AB2426" s="70"/>
      <c r="AC2426" s="70"/>
      <c r="AD2426" s="71"/>
      <c r="AE2426" s="71"/>
      <c r="AF2426" s="72"/>
      <c r="AG2426" s="73"/>
      <c r="AH2426" s="79"/>
      <c r="AI2426" s="102"/>
      <c r="AJ2426" s="70"/>
      <c r="AK2426" s="103"/>
      <c r="AL2426" s="104"/>
      <c r="AM2426" s="105"/>
      <c r="AN2426" s="115"/>
      <c r="AO2426" s="115"/>
      <c r="AP2426" s="115"/>
      <c r="AQ2426" s="93"/>
      <c r="AR2426" s="93"/>
      <c r="AS2426" s="94"/>
      <c r="AT2426" s="95"/>
      <c r="AU2426" s="79"/>
      <c r="AV2426" s="117"/>
      <c r="AW2426" s="115"/>
      <c r="AX2426" s="106"/>
      <c r="AY2426" s="104"/>
      <c r="AZ2426" s="105"/>
    </row>
    <row r="2427" customHeight="1" spans="1:52">
      <c r="A2427" s="70"/>
      <c r="B2427" s="70"/>
      <c r="C2427" s="70"/>
      <c r="D2427" s="71"/>
      <c r="E2427" s="71"/>
      <c r="F2427" s="72"/>
      <c r="G2427" s="73"/>
      <c r="H2427" s="74"/>
      <c r="I2427" s="102"/>
      <c r="J2427" s="70"/>
      <c r="K2427" s="106"/>
      <c r="L2427" s="104"/>
      <c r="M2427" s="105"/>
      <c r="N2427" s="70"/>
      <c r="O2427" s="70"/>
      <c r="P2427" s="70"/>
      <c r="Q2427" s="71"/>
      <c r="R2427" s="71"/>
      <c r="S2427" s="72"/>
      <c r="T2427" s="73"/>
      <c r="U2427" s="79"/>
      <c r="V2427" s="102"/>
      <c r="W2427" s="70"/>
      <c r="X2427" s="103"/>
      <c r="Y2427" s="226"/>
      <c r="Z2427" s="133"/>
      <c r="AA2427" s="70"/>
      <c r="AB2427" s="70"/>
      <c r="AC2427" s="70"/>
      <c r="AD2427" s="71"/>
      <c r="AE2427" s="71"/>
      <c r="AF2427" s="72"/>
      <c r="AG2427" s="73"/>
      <c r="AH2427" s="79"/>
      <c r="AI2427" s="102"/>
      <c r="AJ2427" s="70"/>
      <c r="AK2427" s="103"/>
      <c r="AL2427" s="104"/>
      <c r="AM2427" s="105"/>
      <c r="AN2427" s="115"/>
      <c r="AO2427" s="115"/>
      <c r="AP2427" s="115"/>
      <c r="AQ2427" s="93"/>
      <c r="AR2427" s="93"/>
      <c r="AS2427" s="94"/>
      <c r="AT2427" s="95"/>
      <c r="AU2427" s="79"/>
      <c r="AV2427" s="117"/>
      <c r="AW2427" s="115"/>
      <c r="AX2427" s="106"/>
      <c r="AY2427" s="104"/>
      <c r="AZ2427" s="105"/>
    </row>
    <row r="2428" customHeight="1" spans="1:52">
      <c r="A2428" s="70"/>
      <c r="B2428" s="70"/>
      <c r="C2428" s="70"/>
      <c r="D2428" s="71"/>
      <c r="E2428" s="71"/>
      <c r="F2428" s="72"/>
      <c r="G2428" s="73"/>
      <c r="H2428" s="74"/>
      <c r="I2428" s="102"/>
      <c r="J2428" s="70"/>
      <c r="K2428" s="106"/>
      <c r="L2428" s="104"/>
      <c r="M2428" s="105"/>
      <c r="N2428" s="70"/>
      <c r="O2428" s="70"/>
      <c r="P2428" s="70"/>
      <c r="Q2428" s="71"/>
      <c r="R2428" s="71"/>
      <c r="S2428" s="72"/>
      <c r="T2428" s="73"/>
      <c r="U2428" s="79"/>
      <c r="V2428" s="102"/>
      <c r="W2428" s="70"/>
      <c r="X2428" s="103"/>
      <c r="Y2428" s="226"/>
      <c r="Z2428" s="133"/>
      <c r="AA2428" s="70"/>
      <c r="AB2428" s="70"/>
      <c r="AC2428" s="70"/>
      <c r="AD2428" s="71"/>
      <c r="AE2428" s="71"/>
      <c r="AF2428" s="72"/>
      <c r="AG2428" s="73"/>
      <c r="AH2428" s="79"/>
      <c r="AI2428" s="102"/>
      <c r="AJ2428" s="70"/>
      <c r="AK2428" s="103"/>
      <c r="AL2428" s="104"/>
      <c r="AM2428" s="105"/>
      <c r="AN2428" s="115"/>
      <c r="AO2428" s="115"/>
      <c r="AP2428" s="115"/>
      <c r="AQ2428" s="93"/>
      <c r="AR2428" s="93"/>
      <c r="AS2428" s="94"/>
      <c r="AT2428" s="95"/>
      <c r="AU2428" s="79"/>
      <c r="AV2428" s="117"/>
      <c r="AW2428" s="115"/>
      <c r="AX2428" s="106"/>
      <c r="AY2428" s="104"/>
      <c r="AZ2428" s="105"/>
    </row>
    <row r="2429" customHeight="1" spans="1:52">
      <c r="A2429" s="70"/>
      <c r="B2429" s="70"/>
      <c r="C2429" s="70"/>
      <c r="D2429" s="71"/>
      <c r="E2429" s="71"/>
      <c r="F2429" s="72"/>
      <c r="G2429" s="73"/>
      <c r="H2429" s="74"/>
      <c r="I2429" s="102"/>
      <c r="J2429" s="70"/>
      <c r="K2429" s="106"/>
      <c r="L2429" s="104"/>
      <c r="M2429" s="105"/>
      <c r="N2429" s="70"/>
      <c r="O2429" s="70"/>
      <c r="P2429" s="70"/>
      <c r="Q2429" s="71"/>
      <c r="R2429" s="71"/>
      <c r="S2429" s="72"/>
      <c r="T2429" s="73"/>
      <c r="U2429" s="79"/>
      <c r="V2429" s="102"/>
      <c r="W2429" s="70"/>
      <c r="X2429" s="103"/>
      <c r="Y2429" s="226"/>
      <c r="Z2429" s="133"/>
      <c r="AA2429" s="70"/>
      <c r="AB2429" s="70"/>
      <c r="AC2429" s="70"/>
      <c r="AD2429" s="71"/>
      <c r="AE2429" s="71"/>
      <c r="AF2429" s="72"/>
      <c r="AG2429" s="73"/>
      <c r="AH2429" s="79"/>
      <c r="AI2429" s="102"/>
      <c r="AJ2429" s="70"/>
      <c r="AK2429" s="103"/>
      <c r="AL2429" s="104"/>
      <c r="AM2429" s="105"/>
      <c r="AN2429" s="115"/>
      <c r="AO2429" s="115"/>
      <c r="AP2429" s="115"/>
      <c r="AQ2429" s="93"/>
      <c r="AR2429" s="93"/>
      <c r="AS2429" s="94"/>
      <c r="AT2429" s="95"/>
      <c r="AU2429" s="79"/>
      <c r="AV2429" s="117"/>
      <c r="AW2429" s="115"/>
      <c r="AX2429" s="106"/>
      <c r="AY2429" s="104"/>
      <c r="AZ2429" s="105"/>
    </row>
    <row r="2430" customHeight="1" spans="1:52">
      <c r="A2430" s="70"/>
      <c r="B2430" s="70"/>
      <c r="C2430" s="70"/>
      <c r="D2430" s="71"/>
      <c r="E2430" s="71"/>
      <c r="F2430" s="72"/>
      <c r="G2430" s="73"/>
      <c r="H2430" s="74"/>
      <c r="I2430" s="102"/>
      <c r="J2430" s="70"/>
      <c r="K2430" s="106"/>
      <c r="L2430" s="104"/>
      <c r="M2430" s="105"/>
      <c r="N2430" s="70"/>
      <c r="O2430" s="70"/>
      <c r="P2430" s="70"/>
      <c r="Q2430" s="71"/>
      <c r="R2430" s="71"/>
      <c r="S2430" s="72"/>
      <c r="T2430" s="73"/>
      <c r="U2430" s="79"/>
      <c r="V2430" s="102"/>
      <c r="W2430" s="70"/>
      <c r="X2430" s="103"/>
      <c r="Y2430" s="226"/>
      <c r="Z2430" s="133"/>
      <c r="AA2430" s="70"/>
      <c r="AB2430" s="70"/>
      <c r="AC2430" s="70"/>
      <c r="AD2430" s="71"/>
      <c r="AE2430" s="71"/>
      <c r="AF2430" s="72"/>
      <c r="AG2430" s="73"/>
      <c r="AH2430" s="79"/>
      <c r="AI2430" s="102"/>
      <c r="AJ2430" s="70"/>
      <c r="AK2430" s="103"/>
      <c r="AL2430" s="104"/>
      <c r="AM2430" s="105"/>
      <c r="AN2430" s="115"/>
      <c r="AO2430" s="115"/>
      <c r="AP2430" s="115"/>
      <c r="AQ2430" s="93"/>
      <c r="AR2430" s="93"/>
      <c r="AS2430" s="94"/>
      <c r="AT2430" s="95"/>
      <c r="AU2430" s="79"/>
      <c r="AV2430" s="117"/>
      <c r="AW2430" s="115"/>
      <c r="AX2430" s="106"/>
      <c r="AY2430" s="104"/>
      <c r="AZ2430" s="105"/>
    </row>
  </sheetData>
  <autoFilter ref="A2:AZ2336">
    <extLst/>
  </autoFilter>
  <mergeCells count="906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AE16:AG16"/>
    <mergeCell ref="E17:G17"/>
    <mergeCell ref="R17:T17"/>
    <mergeCell ref="AE17:AG17"/>
    <mergeCell ref="AR17:AT17"/>
    <mergeCell ref="E18:G18"/>
    <mergeCell ref="R18:T18"/>
    <mergeCell ref="E19:G19"/>
    <mergeCell ref="R19:T19"/>
    <mergeCell ref="AE19:AG19"/>
    <mergeCell ref="AR19:A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AR174:A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AR226:A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AR235:AT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AR260:AT260"/>
    <mergeCell ref="E261:G261"/>
    <mergeCell ref="R261:T261"/>
    <mergeCell ref="AE261:AG261"/>
    <mergeCell ref="AR261:AT261"/>
    <mergeCell ref="E262:G262"/>
    <mergeCell ref="R262:T262"/>
    <mergeCell ref="AE262:AG262"/>
    <mergeCell ref="AR262:AT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AR268:A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AR271:AT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AR275:AT275"/>
    <mergeCell ref="E276:G276"/>
    <mergeCell ref="R276:T276"/>
    <mergeCell ref="AE276:AG276"/>
    <mergeCell ref="AR276:AT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AE293:A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AR300:AT300"/>
    <mergeCell ref="E301:G301"/>
    <mergeCell ref="R301:T301"/>
    <mergeCell ref="AE301:AG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AR306:AT306"/>
    <mergeCell ref="E307:G307"/>
    <mergeCell ref="R307:T307"/>
    <mergeCell ref="AE307:AG307"/>
    <mergeCell ref="AR307:AT307"/>
    <mergeCell ref="E308:G308"/>
    <mergeCell ref="R308:T308"/>
    <mergeCell ref="AE308:AG308"/>
    <mergeCell ref="E309:G309"/>
    <mergeCell ref="R309:T309"/>
    <mergeCell ref="AE309:AG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R700:T700"/>
    <mergeCell ref="AE700:A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AE839:AG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AE1072:A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AE1078:AG1078"/>
    <mergeCell ref="E1079:G1079"/>
    <mergeCell ref="R1079:T1079"/>
    <mergeCell ref="AE1079:AG1079"/>
    <mergeCell ref="E1080:G1080"/>
    <mergeCell ref="R1080:T1080"/>
    <mergeCell ref="AE1080:AG1080"/>
    <mergeCell ref="E1081:G1081"/>
    <mergeCell ref="R1081:T1081"/>
    <mergeCell ref="AE1081:AG1081"/>
    <mergeCell ref="E1082:G1082"/>
    <mergeCell ref="R1082:T1082"/>
    <mergeCell ref="AE1082:AG1082"/>
    <mergeCell ref="E1083:G1083"/>
    <mergeCell ref="R1083:T1083"/>
    <mergeCell ref="E1084:G1084"/>
    <mergeCell ref="R1084:T1084"/>
    <mergeCell ref="AE1084:AG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R1125:T1125"/>
    <mergeCell ref="E1126:G1126"/>
    <mergeCell ref="E1127:G1127"/>
    <mergeCell ref="E1128:G1128"/>
    <mergeCell ref="R1128:T1128"/>
    <mergeCell ref="AE1128:AG1128"/>
    <mergeCell ref="E1129:G1129"/>
    <mergeCell ref="R1129:T1129"/>
    <mergeCell ref="E1130:G1130"/>
    <mergeCell ref="E1131:G1131"/>
    <mergeCell ref="R1131:T1131"/>
    <mergeCell ref="AE1131:AG1131"/>
    <mergeCell ref="E1132:G1132"/>
    <mergeCell ref="E1133:G1133"/>
    <mergeCell ref="R1133:T1133"/>
    <mergeCell ref="E1134:G1134"/>
    <mergeCell ref="R1134:T1134"/>
    <mergeCell ref="AE1134:A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E1522:G1522"/>
    <mergeCell ref="R1522:T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R1556:T1556"/>
    <mergeCell ref="E1557:G1557"/>
    <mergeCell ref="R1557: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E1588:G1588"/>
    <mergeCell ref="R1588:T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E1762:G1762"/>
    <mergeCell ref="E1763:G1763"/>
    <mergeCell ref="E1764:G1764"/>
    <mergeCell ref="E1765:G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E1827:G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E1860:G1860"/>
    <mergeCell ref="E1861:G1861"/>
    <mergeCell ref="R1861: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E1969:G1969"/>
    <mergeCell ref="E1970:G1970"/>
    <mergeCell ref="E1971:G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E2005:G2005"/>
    <mergeCell ref="E2006:G2006"/>
    <mergeCell ref="E2007:G2007"/>
    <mergeCell ref="E2008:G2008"/>
    <mergeCell ref="E2009:G2009"/>
    <mergeCell ref="R2009:T2009"/>
    <mergeCell ref="AE2009:AG2009"/>
    <mergeCell ref="AR2009:AT2009"/>
    <mergeCell ref="E2010:G2010"/>
    <mergeCell ref="E2011:G2011"/>
    <mergeCell ref="R2011:T2011"/>
    <mergeCell ref="AE2011:AG2011"/>
    <mergeCell ref="AR2011:AT2011"/>
    <mergeCell ref="E2012:G2012"/>
    <mergeCell ref="R2012:T2012"/>
    <mergeCell ref="AE2012:AG2012"/>
    <mergeCell ref="AR2012:AT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E2016:G2016"/>
    <mergeCell ref="R2016:T2016"/>
    <mergeCell ref="AE2016:AG2016"/>
    <mergeCell ref="AR2016:AT2016"/>
    <mergeCell ref="E2017:G2017"/>
    <mergeCell ref="R2017:T2017"/>
    <mergeCell ref="AE2017:AG2017"/>
    <mergeCell ref="AR2017:AT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E2032:G2032"/>
    <mergeCell ref="E2033:G2033"/>
    <mergeCell ref="E2034:G2034"/>
    <mergeCell ref="E2035:G2035"/>
    <mergeCell ref="R2035:T2035"/>
    <mergeCell ref="AE2035:AG2035"/>
    <mergeCell ref="AR2035:AT2035"/>
    <mergeCell ref="E2036:G2036"/>
    <mergeCell ref="R2036:T2036"/>
    <mergeCell ref="AE2036:AG2036"/>
    <mergeCell ref="AR2036:AT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E2070:G2070"/>
    <mergeCell ref="E2071:G2071"/>
    <mergeCell ref="E2072:G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E2105:G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E2156:G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E2185:G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  <mergeCell ref="E2253:G2253"/>
    <mergeCell ref="R2253:T2253"/>
    <mergeCell ref="AE2253:AG2253"/>
    <mergeCell ref="AR2253:AT2253"/>
    <mergeCell ref="E2254:G2254"/>
    <mergeCell ref="R2254:T2254"/>
    <mergeCell ref="AE2254:AG2254"/>
    <mergeCell ref="AR2254:AT2254"/>
    <mergeCell ref="E2255:G2255"/>
    <mergeCell ref="R2255:T2255"/>
    <mergeCell ref="AE2255:AG2255"/>
    <mergeCell ref="AR2255:AT2255"/>
    <mergeCell ref="E2256:G2256"/>
    <mergeCell ref="E2257:G2257"/>
    <mergeCell ref="R2257:T2257"/>
    <mergeCell ref="AE2257:AG2257"/>
    <mergeCell ref="AR2257:AT2257"/>
    <mergeCell ref="E2258:G2258"/>
    <mergeCell ref="R2258:T2258"/>
    <mergeCell ref="AE2258:AG2258"/>
    <mergeCell ref="AR2258:AT2258"/>
    <mergeCell ref="E2259:G2259"/>
    <mergeCell ref="R2259:T2259"/>
    <mergeCell ref="AE2259:AG2259"/>
    <mergeCell ref="AR2259:AT2259"/>
    <mergeCell ref="E2260:G2260"/>
    <mergeCell ref="R2260:T2260"/>
    <mergeCell ref="AE2260:AG2260"/>
    <mergeCell ref="AR2260:AT2260"/>
    <mergeCell ref="E2261:G2261"/>
    <mergeCell ref="R2261:T2261"/>
    <mergeCell ref="AE2261:AG2261"/>
    <mergeCell ref="AR2261:AT2261"/>
    <mergeCell ref="E2262:G2262"/>
    <mergeCell ref="R2262:T2262"/>
    <mergeCell ref="AE2262:AG2262"/>
    <mergeCell ref="AR2262:AT2262"/>
    <mergeCell ref="E2263:G2263"/>
    <mergeCell ref="R2263:T2263"/>
    <mergeCell ref="AE2263:AG2263"/>
    <mergeCell ref="AR2263:AT2263"/>
    <mergeCell ref="E2264:G2264"/>
    <mergeCell ref="R2264:T2264"/>
    <mergeCell ref="AE2264:AG2264"/>
    <mergeCell ref="AR2264:AT2264"/>
    <mergeCell ref="E2265:G2265"/>
    <mergeCell ref="R2265:T2265"/>
    <mergeCell ref="AE2265:AG2265"/>
    <mergeCell ref="AR2265:AT2265"/>
    <mergeCell ref="E2266:G2266"/>
    <mergeCell ref="R2266:T2266"/>
    <mergeCell ref="AE2266:AG2266"/>
    <mergeCell ref="AR2266:AT2266"/>
    <mergeCell ref="E2267:G2267"/>
    <mergeCell ref="R2267:T2267"/>
    <mergeCell ref="AE2267:AG2267"/>
    <mergeCell ref="AR2267:AT2267"/>
    <mergeCell ref="E2268:G2268"/>
    <mergeCell ref="R2268:T2268"/>
    <mergeCell ref="AE2268:AG2268"/>
    <mergeCell ref="AR2268:AT2268"/>
    <mergeCell ref="E2269:G2269"/>
    <mergeCell ref="E2270:G2270"/>
    <mergeCell ref="R2270:T2270"/>
    <mergeCell ref="AE2270:AG2270"/>
    <mergeCell ref="AR2270:AT2270"/>
    <mergeCell ref="E2271:G2271"/>
    <mergeCell ref="R2271:T2271"/>
    <mergeCell ref="AE2271:AG2271"/>
    <mergeCell ref="AR2271:AT2271"/>
    <mergeCell ref="E2272:G2272"/>
    <mergeCell ref="R2272:T2272"/>
    <mergeCell ref="AE2272:AG2272"/>
    <mergeCell ref="AR2272:AT2272"/>
    <mergeCell ref="E2273:G2273"/>
    <mergeCell ref="R2273:T2273"/>
    <mergeCell ref="AE2273:AG2273"/>
    <mergeCell ref="AR2273:AT2273"/>
    <mergeCell ref="E2274:G2274"/>
    <mergeCell ref="R2274:T2274"/>
    <mergeCell ref="AE2274:AG2274"/>
    <mergeCell ref="AR2274:AT2274"/>
    <mergeCell ref="E2275:G2275"/>
    <mergeCell ref="R2275:T2275"/>
    <mergeCell ref="AE2275:AG2275"/>
    <mergeCell ref="AR2275:AT2275"/>
    <mergeCell ref="E2276:G2276"/>
    <mergeCell ref="R2276:T2276"/>
    <mergeCell ref="AE2276:AG2276"/>
    <mergeCell ref="AR2276:AT2276"/>
    <mergeCell ref="E2277:G2277"/>
    <mergeCell ref="R2277:T2277"/>
    <mergeCell ref="AE2277:AG2277"/>
    <mergeCell ref="AR2277:AT2277"/>
    <mergeCell ref="E2278:G2278"/>
    <mergeCell ref="R2278:T2278"/>
    <mergeCell ref="AE2278:AG2278"/>
    <mergeCell ref="AR2278:AT2278"/>
    <mergeCell ref="E2279:G2279"/>
    <mergeCell ref="R2279:T2279"/>
    <mergeCell ref="AE2279:AG2279"/>
    <mergeCell ref="AR2279:AT2279"/>
    <mergeCell ref="E2280:G2280"/>
    <mergeCell ref="E2281:G2281"/>
    <mergeCell ref="R2281:T2281"/>
    <mergeCell ref="AE2281:AG2281"/>
    <mergeCell ref="AR2281:AT2281"/>
    <mergeCell ref="E2282:G2282"/>
    <mergeCell ref="R2282:T2282"/>
    <mergeCell ref="AE2282:AG2282"/>
    <mergeCell ref="AR2282:AT2282"/>
    <mergeCell ref="E2283:G2283"/>
    <mergeCell ref="R2283:T2283"/>
    <mergeCell ref="AE2283:AG2283"/>
    <mergeCell ref="AR2283:AT2283"/>
    <mergeCell ref="E2284:G2284"/>
    <mergeCell ref="R2284:T2284"/>
    <mergeCell ref="AE2284:AG2284"/>
    <mergeCell ref="AR2284:AT2284"/>
    <mergeCell ref="E2285:G2285"/>
    <mergeCell ref="R2285:T2285"/>
    <mergeCell ref="AE2285:AG2285"/>
    <mergeCell ref="AR2285:AT2285"/>
    <mergeCell ref="E2286:G2286"/>
    <mergeCell ref="E2287:G2287"/>
    <mergeCell ref="R2287:T2287"/>
    <mergeCell ref="AE2287:AG2287"/>
    <mergeCell ref="AR2287:AT2287"/>
    <mergeCell ref="E2288:G2288"/>
    <mergeCell ref="R2288:T2288"/>
    <mergeCell ref="AE2288:AG2288"/>
    <mergeCell ref="AR2288:AT2288"/>
    <mergeCell ref="E2289:G2289"/>
    <mergeCell ref="R2289:T2289"/>
    <mergeCell ref="AE2289:AG2289"/>
    <mergeCell ref="AR2289:AT2289"/>
    <mergeCell ref="E2290:G2290"/>
    <mergeCell ref="R2290:T2290"/>
    <mergeCell ref="AE2290:AG2290"/>
    <mergeCell ref="AR2290:AT2290"/>
    <mergeCell ref="E2291:G2291"/>
    <mergeCell ref="R2291:T2291"/>
    <mergeCell ref="AE2291:AG2291"/>
    <mergeCell ref="AR2291:AT2291"/>
    <mergeCell ref="E2292:G2292"/>
    <mergeCell ref="R2292:T2292"/>
    <mergeCell ref="AE2292:AG2292"/>
    <mergeCell ref="AR2292:AT2292"/>
    <mergeCell ref="E2293:G2293"/>
    <mergeCell ref="R2293:T2293"/>
    <mergeCell ref="AE2293:AG2293"/>
    <mergeCell ref="AR2293:AT2293"/>
    <mergeCell ref="E2294:G2294"/>
    <mergeCell ref="R2294:T2294"/>
    <mergeCell ref="AE2294:AG2294"/>
    <mergeCell ref="AR2294:AT2294"/>
    <mergeCell ref="E2295:G2295"/>
    <mergeCell ref="R2295:T2295"/>
    <mergeCell ref="AE2295:AG2295"/>
    <mergeCell ref="AR2295:AT2295"/>
    <mergeCell ref="E2296:G2296"/>
    <mergeCell ref="R2296:T2296"/>
    <mergeCell ref="AE2296:AG2296"/>
    <mergeCell ref="AR2296:AT2296"/>
    <mergeCell ref="E2297:G2297"/>
    <mergeCell ref="R2297:T2297"/>
    <mergeCell ref="AE2297:AG2297"/>
    <mergeCell ref="AR2297:AT2297"/>
    <mergeCell ref="E2298:G2298"/>
    <mergeCell ref="R2298:T2298"/>
    <mergeCell ref="AE2298:AG2298"/>
    <mergeCell ref="AR2298:AT2298"/>
    <mergeCell ref="E2299:G2299"/>
    <mergeCell ref="R2299:T2299"/>
    <mergeCell ref="AE2299:AG2299"/>
    <mergeCell ref="AR2299:AT2299"/>
    <mergeCell ref="E2300:G2300"/>
    <mergeCell ref="R2300:T2300"/>
    <mergeCell ref="AE2300:AG2300"/>
    <mergeCell ref="AR2300:AT2300"/>
    <mergeCell ref="E2301:G2301"/>
    <mergeCell ref="R2301:T2301"/>
    <mergeCell ref="AE2301:AG2301"/>
    <mergeCell ref="AR2301:AT2301"/>
    <mergeCell ref="E2302:G2302"/>
    <mergeCell ref="R2302:T2302"/>
    <mergeCell ref="AE2302:AG2302"/>
    <mergeCell ref="AR2302:AT2302"/>
    <mergeCell ref="E2303:G2303"/>
    <mergeCell ref="R2303:T2303"/>
    <mergeCell ref="AE2303:AG2303"/>
    <mergeCell ref="AR2303:AT2303"/>
    <mergeCell ref="E2304:G2304"/>
    <mergeCell ref="R2304:T2304"/>
    <mergeCell ref="AE2304:AG2304"/>
    <mergeCell ref="AR2304:AT2304"/>
    <mergeCell ref="E2305:G2305"/>
    <mergeCell ref="R2305:T2305"/>
    <mergeCell ref="AE2305:AG2305"/>
    <mergeCell ref="AR2305:AT2305"/>
    <mergeCell ref="E2306:G2306"/>
    <mergeCell ref="R2306:T2306"/>
    <mergeCell ref="AE2306:AG2306"/>
    <mergeCell ref="AR2306:AT2306"/>
    <mergeCell ref="E2307:G2307"/>
    <mergeCell ref="R2307:T2307"/>
    <mergeCell ref="AE2307:AG2307"/>
    <mergeCell ref="AR2307:AT2307"/>
    <mergeCell ref="E2308:G2308"/>
    <mergeCell ref="R2308:T2308"/>
    <mergeCell ref="AE2308:AG2308"/>
    <mergeCell ref="AR2308:AT2308"/>
    <mergeCell ref="E2309:G2309"/>
    <mergeCell ref="R2309:T2309"/>
    <mergeCell ref="AE2309:AG2309"/>
    <mergeCell ref="AR2309:AT2309"/>
    <mergeCell ref="E2310:G2310"/>
    <mergeCell ref="R2310:T2310"/>
    <mergeCell ref="AE2310:AG2310"/>
    <mergeCell ref="AR2310:AT2310"/>
    <mergeCell ref="E2311:G2311"/>
    <mergeCell ref="R2311:T2311"/>
    <mergeCell ref="AE2311:AG2311"/>
    <mergeCell ref="AR2311:AT2311"/>
    <mergeCell ref="E2312:G2312"/>
    <mergeCell ref="R2312:T2312"/>
    <mergeCell ref="AE2312:AG2312"/>
    <mergeCell ref="AR2312:AT2312"/>
    <mergeCell ref="E2313:G2313"/>
    <mergeCell ref="R2313:T2313"/>
    <mergeCell ref="AE2313:AG2313"/>
    <mergeCell ref="AR2313:AT2313"/>
    <mergeCell ref="E2314:G2314"/>
    <mergeCell ref="R2314:T2314"/>
    <mergeCell ref="AE2314:AG2314"/>
    <mergeCell ref="AR2314:AT2314"/>
    <mergeCell ref="E2315:G2315"/>
    <mergeCell ref="E2316:G2316"/>
    <mergeCell ref="E2317:G2317"/>
    <mergeCell ref="R2317:T2317"/>
    <mergeCell ref="AE2317:AG2317"/>
    <mergeCell ref="AR2317:AT2317"/>
    <mergeCell ref="E2318:G2318"/>
    <mergeCell ref="R2318:T2318"/>
    <mergeCell ref="AE2318:AG2318"/>
    <mergeCell ref="AR2318:AT2318"/>
    <mergeCell ref="E2319:G2319"/>
    <mergeCell ref="R2319:T2319"/>
    <mergeCell ref="AE2319:AG2319"/>
    <mergeCell ref="AR2319:AT2319"/>
    <mergeCell ref="E2320:G2320"/>
    <mergeCell ref="R2320:T2320"/>
    <mergeCell ref="AE2320:AG2320"/>
    <mergeCell ref="AR2320:AT2320"/>
    <mergeCell ref="E2321:G2321"/>
    <mergeCell ref="R2321:T2321"/>
    <mergeCell ref="AE2321:AG2321"/>
    <mergeCell ref="AR2321:AT2321"/>
    <mergeCell ref="E2322:G2322"/>
    <mergeCell ref="E2323:G2323"/>
    <mergeCell ref="E2324:G2324"/>
    <mergeCell ref="R2324:T2324"/>
    <mergeCell ref="AE2324:AG2324"/>
    <mergeCell ref="AR2324:AT2324"/>
    <mergeCell ref="E2325:G2325"/>
    <mergeCell ref="R2325:T2325"/>
    <mergeCell ref="AE2325:AG2325"/>
    <mergeCell ref="AR2325:AT2325"/>
    <mergeCell ref="E2326:G2326"/>
    <mergeCell ref="R2326:T2326"/>
    <mergeCell ref="AE2326:AG2326"/>
    <mergeCell ref="AR2326:AT2326"/>
    <mergeCell ref="E2327:G2327"/>
    <mergeCell ref="R2327:T2327"/>
    <mergeCell ref="AE2327:AG2327"/>
    <mergeCell ref="AR2327:AT2327"/>
    <mergeCell ref="E2328:G2328"/>
    <mergeCell ref="R2328:T2328"/>
    <mergeCell ref="AE2328:AG2328"/>
    <mergeCell ref="AR2328:AT2328"/>
    <mergeCell ref="E2329:G2329"/>
    <mergeCell ref="R2329:T2329"/>
    <mergeCell ref="AE2329:AG2329"/>
    <mergeCell ref="AR2329:AT2329"/>
    <mergeCell ref="E2330:G2330"/>
    <mergeCell ref="R2330:T2330"/>
    <mergeCell ref="AE2330:AG2330"/>
    <mergeCell ref="AR2330:AT2330"/>
    <mergeCell ref="E2331:G2331"/>
    <mergeCell ref="R2331:T2331"/>
    <mergeCell ref="AE2331:AG2331"/>
    <mergeCell ref="AR2331:AT2331"/>
    <mergeCell ref="E2332:G2332"/>
    <mergeCell ref="R2332:T2332"/>
    <mergeCell ref="AE2332:AG2332"/>
    <mergeCell ref="AR2332:AT2332"/>
    <mergeCell ref="E2333:G2333"/>
    <mergeCell ref="R2333:T2333"/>
    <mergeCell ref="AE2333:AG2333"/>
    <mergeCell ref="AR2333:AT2333"/>
    <mergeCell ref="E2334:G2334"/>
    <mergeCell ref="R2334:T2334"/>
    <mergeCell ref="AE2334:AG2334"/>
    <mergeCell ref="AR2334:AT2334"/>
    <mergeCell ref="E2335:G2335"/>
    <mergeCell ref="R2335:T2335"/>
    <mergeCell ref="AE2335:AG2335"/>
    <mergeCell ref="AR2335:AT2335"/>
    <mergeCell ref="E2336:G2336"/>
    <mergeCell ref="R2336:T2336"/>
    <mergeCell ref="AE2336:AG2336"/>
    <mergeCell ref="AR2336:AT2336"/>
    <mergeCell ref="E2337:G2337"/>
    <mergeCell ref="R2337:T2337"/>
    <mergeCell ref="AE2337:AG2337"/>
    <mergeCell ref="AR2337:AT2337"/>
    <mergeCell ref="E2338:G2338"/>
    <mergeCell ref="R2338:T2338"/>
    <mergeCell ref="AE2338:AG2338"/>
    <mergeCell ref="AR2338:AT2338"/>
    <mergeCell ref="E2339:G2339"/>
    <mergeCell ref="R2339:T2339"/>
    <mergeCell ref="AE2339:AG2339"/>
    <mergeCell ref="AR2339:AT2339"/>
    <mergeCell ref="E2340:G2340"/>
    <mergeCell ref="R2340:T2340"/>
    <mergeCell ref="AE2340:AG2340"/>
    <mergeCell ref="AR2340:AT2340"/>
    <mergeCell ref="E2341:G2341"/>
    <mergeCell ref="R2341:T2341"/>
    <mergeCell ref="AE2341:AG2341"/>
    <mergeCell ref="AR2341:AT2341"/>
    <mergeCell ref="E2342:G2342"/>
    <mergeCell ref="R2342:T2342"/>
    <mergeCell ref="AE2342:AG2342"/>
    <mergeCell ref="AR2342:AT2342"/>
    <mergeCell ref="E2343:G2343"/>
    <mergeCell ref="R2343:T2343"/>
    <mergeCell ref="AE2343:AG2343"/>
    <mergeCell ref="AR2343:AT2343"/>
    <mergeCell ref="E2344:G2344"/>
    <mergeCell ref="R2344:T2344"/>
    <mergeCell ref="AE2344:AG2344"/>
    <mergeCell ref="AR2344:AT2344"/>
    <mergeCell ref="E2345:G2345"/>
    <mergeCell ref="R2345:T2345"/>
    <mergeCell ref="AE2345:AG2345"/>
    <mergeCell ref="AR2345:AT2345"/>
    <mergeCell ref="E2346:G2346"/>
    <mergeCell ref="R2346:T2346"/>
    <mergeCell ref="AE2346:AG2346"/>
    <mergeCell ref="AR2346:AT2346"/>
    <mergeCell ref="E2347:G2347"/>
    <mergeCell ref="R2347:T2347"/>
    <mergeCell ref="AE2347:AG2347"/>
    <mergeCell ref="AR2347:AT2347"/>
    <mergeCell ref="E2348:G2348"/>
    <mergeCell ref="R2348:T2348"/>
    <mergeCell ref="AE2348:AG2348"/>
    <mergeCell ref="AR2348:AT2348"/>
    <mergeCell ref="E2349:G2349"/>
    <mergeCell ref="R2349:T2349"/>
    <mergeCell ref="AE2349:AG2349"/>
    <mergeCell ref="AR2349:AT2349"/>
    <mergeCell ref="E2350:G2350"/>
    <mergeCell ref="R2350:T2350"/>
    <mergeCell ref="AE2350:AG2350"/>
    <mergeCell ref="AR2350:AT2350"/>
    <mergeCell ref="E2351:G2351"/>
    <mergeCell ref="R2351:T2351"/>
    <mergeCell ref="AE2351:AG2351"/>
    <mergeCell ref="AR2351:AT2351"/>
    <mergeCell ref="E2352:G2352"/>
    <mergeCell ref="R2352:T2352"/>
    <mergeCell ref="AE2352:AG2352"/>
    <mergeCell ref="AR2352:AT2352"/>
    <mergeCell ref="E2353:G2353"/>
    <mergeCell ref="R2353:T2353"/>
    <mergeCell ref="AE2353:AG2353"/>
    <mergeCell ref="AR2353:AT2353"/>
    <mergeCell ref="E2354:G2354"/>
    <mergeCell ref="R2354:T2354"/>
    <mergeCell ref="AE2354:AG2354"/>
    <mergeCell ref="AR2354:AT2354"/>
    <mergeCell ref="E2355:G2355"/>
    <mergeCell ref="R2355:T2355"/>
    <mergeCell ref="AE2355:AG2355"/>
    <mergeCell ref="AR2355:AT2355"/>
    <mergeCell ref="E2356:G2356"/>
    <mergeCell ref="R2356:T2356"/>
    <mergeCell ref="AE2356:AG2356"/>
    <mergeCell ref="AR2356:AT2356"/>
    <mergeCell ref="E2357:G2357"/>
    <mergeCell ref="R2357:T2357"/>
    <mergeCell ref="AE2357:AG2357"/>
    <mergeCell ref="AR2357:AT2357"/>
    <mergeCell ref="E2358:G2358"/>
    <mergeCell ref="R2358:T2358"/>
    <mergeCell ref="AE2358:AG2358"/>
    <mergeCell ref="AR2358:AT2358"/>
    <mergeCell ref="E2359:G2359"/>
    <mergeCell ref="R2359:T2359"/>
    <mergeCell ref="AE2359:AG2359"/>
    <mergeCell ref="AR2359:AT2359"/>
    <mergeCell ref="E2360:G2360"/>
    <mergeCell ref="R2360:T2360"/>
    <mergeCell ref="AE2360:AG2360"/>
    <mergeCell ref="AR2360:AT2360"/>
    <mergeCell ref="E2361:G2361"/>
    <mergeCell ref="R2361:T2361"/>
    <mergeCell ref="AE2361:AG2361"/>
    <mergeCell ref="AR2361:AT2361"/>
    <mergeCell ref="E2362:G2362"/>
    <mergeCell ref="R2362:T2362"/>
    <mergeCell ref="AE2362:AG2362"/>
    <mergeCell ref="AR2362:AT2362"/>
    <mergeCell ref="E2363:G2363"/>
    <mergeCell ref="R2363:T2363"/>
    <mergeCell ref="AE2363:AG2363"/>
    <mergeCell ref="AR2363:AT2363"/>
    <mergeCell ref="E2364:G2364"/>
    <mergeCell ref="R2364:T2364"/>
    <mergeCell ref="AE2364:AG2364"/>
    <mergeCell ref="AR2364:AT2364"/>
    <mergeCell ref="E2365:G2365"/>
    <mergeCell ref="R2365:T2365"/>
    <mergeCell ref="AE2365:AG2365"/>
    <mergeCell ref="AR2365:AT2365"/>
    <mergeCell ref="E2366:G2366"/>
    <mergeCell ref="R2366:T2366"/>
    <mergeCell ref="AE2366:AG2366"/>
    <mergeCell ref="AR2366:AT2366"/>
    <mergeCell ref="E2367:G2367"/>
    <mergeCell ref="R2367:T2367"/>
    <mergeCell ref="AE2367:AG2367"/>
    <mergeCell ref="AR2367:AT2367"/>
    <mergeCell ref="E2368:G2368"/>
    <mergeCell ref="R2368:T2368"/>
    <mergeCell ref="AE2368:AG2368"/>
    <mergeCell ref="AR2368:AT2368"/>
    <mergeCell ref="E2369:G2369"/>
    <mergeCell ref="R2369:T2369"/>
    <mergeCell ref="AE2369:AG2369"/>
    <mergeCell ref="AR2369:AT2369"/>
    <mergeCell ref="E2370:G2370"/>
    <mergeCell ref="R2370:T2370"/>
    <mergeCell ref="AE2370:AG2370"/>
    <mergeCell ref="AR2370:AT2370"/>
    <mergeCell ref="E2371:G2371"/>
    <mergeCell ref="R2371:T2371"/>
    <mergeCell ref="AE2371:AG2371"/>
    <mergeCell ref="AR2371:AT2371"/>
    <mergeCell ref="E2372:G2372"/>
    <mergeCell ref="R2372:T2372"/>
    <mergeCell ref="AE2372:AG2372"/>
    <mergeCell ref="AR2372:AT2372"/>
    <mergeCell ref="E2373:G2373"/>
    <mergeCell ref="R2373:T2373"/>
    <mergeCell ref="AE2373:AG2373"/>
    <mergeCell ref="AR2373:AT2373"/>
    <mergeCell ref="E2374:G2374"/>
    <mergeCell ref="R2374:T2374"/>
    <mergeCell ref="AE2374:AG2374"/>
    <mergeCell ref="AR2374:AT2374"/>
    <mergeCell ref="E2375:G2375"/>
    <mergeCell ref="R2375:T2375"/>
    <mergeCell ref="AE2375:AG2375"/>
    <mergeCell ref="AR2375:AT2375"/>
    <mergeCell ref="E2376:G2376"/>
    <mergeCell ref="R2376:T2376"/>
    <mergeCell ref="AE2376:AG2376"/>
    <mergeCell ref="AR2376:AT2376"/>
    <mergeCell ref="E2377:G2377"/>
    <mergeCell ref="R2377:T2377"/>
    <mergeCell ref="AE2377:AG2377"/>
    <mergeCell ref="AR2377:AT2377"/>
    <mergeCell ref="E2378:G2378"/>
    <mergeCell ref="R2378:T2378"/>
    <mergeCell ref="AE2378:AG2378"/>
    <mergeCell ref="AR2378:AT2378"/>
    <mergeCell ref="E2379:G2379"/>
    <mergeCell ref="R2379:T2379"/>
    <mergeCell ref="AE2379:AG2379"/>
    <mergeCell ref="AR2379:AT2379"/>
    <mergeCell ref="E2380:G2380"/>
    <mergeCell ref="R2380:T2380"/>
    <mergeCell ref="AE2380:AG2380"/>
    <mergeCell ref="AR2380:AT2380"/>
    <mergeCell ref="E2381:G2381"/>
    <mergeCell ref="R2381:T2381"/>
    <mergeCell ref="AE2381:AG2381"/>
    <mergeCell ref="AR2381:AT2381"/>
    <mergeCell ref="E2382:G2382"/>
    <mergeCell ref="R2382:T2382"/>
    <mergeCell ref="AE2382:AG2382"/>
    <mergeCell ref="AR2382:AT2382"/>
    <mergeCell ref="E2383:G2383"/>
    <mergeCell ref="R2383:T2383"/>
    <mergeCell ref="AE2383:AG2383"/>
    <mergeCell ref="AR2383:AT2383"/>
    <mergeCell ref="E2384:G2384"/>
    <mergeCell ref="R2384:T2384"/>
    <mergeCell ref="AE2384:AG2384"/>
    <mergeCell ref="AR2384:AT2384"/>
    <mergeCell ref="E2385:G2385"/>
    <mergeCell ref="R2385:T2385"/>
    <mergeCell ref="AE2385:AG2385"/>
    <mergeCell ref="AR2385:AT2385"/>
    <mergeCell ref="E2386:G2386"/>
    <mergeCell ref="R2386:T2386"/>
    <mergeCell ref="AE2386:AG2386"/>
    <mergeCell ref="AR2386:AT2386"/>
    <mergeCell ref="E2387:G2387"/>
    <mergeCell ref="R2387:T2387"/>
    <mergeCell ref="AE2387:AG2387"/>
    <mergeCell ref="AR2387:AT2387"/>
    <mergeCell ref="E2388:G2388"/>
    <mergeCell ref="R2388:T2388"/>
    <mergeCell ref="AE2388:AG2388"/>
    <mergeCell ref="AR2388:AT2388"/>
    <mergeCell ref="E2389:G2389"/>
    <mergeCell ref="R2389:T2389"/>
    <mergeCell ref="AE2389:AG2389"/>
    <mergeCell ref="AR2389:AT2389"/>
    <mergeCell ref="E2390:G2390"/>
    <mergeCell ref="R2390:T2390"/>
    <mergeCell ref="AE2390:AG2390"/>
    <mergeCell ref="AR2390:AT2390"/>
    <mergeCell ref="E2391:G2391"/>
    <mergeCell ref="R2391:T2391"/>
    <mergeCell ref="AE2391:AG2391"/>
    <mergeCell ref="AR2391:AT2391"/>
    <mergeCell ref="E2392:G2392"/>
    <mergeCell ref="R2392:T2392"/>
    <mergeCell ref="AE2392:AG2392"/>
    <mergeCell ref="AR2392:AT2392"/>
    <mergeCell ref="E2393:G2393"/>
    <mergeCell ref="R2393:T2393"/>
    <mergeCell ref="AE2393:AG2393"/>
    <mergeCell ref="AR2393:AT2393"/>
    <mergeCell ref="E2394:G2394"/>
    <mergeCell ref="R2394:T2394"/>
    <mergeCell ref="AE2394:AG2394"/>
    <mergeCell ref="AR2394:AT2394"/>
    <mergeCell ref="E2395:G2395"/>
    <mergeCell ref="R2395:T2395"/>
    <mergeCell ref="AE2395:AG2395"/>
    <mergeCell ref="AR2395:AT2395"/>
    <mergeCell ref="E2396:G2396"/>
    <mergeCell ref="R2396:T2396"/>
    <mergeCell ref="AE2396:AG2396"/>
    <mergeCell ref="AR2396:AT2396"/>
    <mergeCell ref="E2397:G2397"/>
    <mergeCell ref="R2397:T2397"/>
    <mergeCell ref="AE2397:AG2397"/>
    <mergeCell ref="AR2397:AT2397"/>
    <mergeCell ref="E2398:G2398"/>
    <mergeCell ref="R2398:T2398"/>
    <mergeCell ref="AE2398:AG2398"/>
    <mergeCell ref="AR2398:AT2398"/>
    <mergeCell ref="E2399:G2399"/>
    <mergeCell ref="R2399:T2399"/>
    <mergeCell ref="AE2399:AG2399"/>
    <mergeCell ref="AR2399:AT2399"/>
    <mergeCell ref="E2400:G2400"/>
    <mergeCell ref="R2400:T2400"/>
    <mergeCell ref="AE2400:AG2400"/>
    <mergeCell ref="AR2400:AT2400"/>
    <mergeCell ref="E2401:G2401"/>
    <mergeCell ref="R2401:T2401"/>
    <mergeCell ref="AE2401:AG2401"/>
    <mergeCell ref="AR2401:AT2401"/>
    <mergeCell ref="E2402:G2402"/>
    <mergeCell ref="R2402:T2402"/>
    <mergeCell ref="AE2402:AG2402"/>
    <mergeCell ref="AR2402:AT2402"/>
    <mergeCell ref="E2403:G2403"/>
    <mergeCell ref="R2403:T2403"/>
    <mergeCell ref="AE2403:AG2403"/>
    <mergeCell ref="AR2403:AT2403"/>
    <mergeCell ref="E2404:G2404"/>
    <mergeCell ref="R2404:T2404"/>
    <mergeCell ref="AE2404:AG2404"/>
    <mergeCell ref="AR2404:AT2404"/>
    <mergeCell ref="E2405:G2405"/>
    <mergeCell ref="R2405:T2405"/>
    <mergeCell ref="AE2405:AG2405"/>
    <mergeCell ref="AR2405:AT2405"/>
    <mergeCell ref="E2406:G2406"/>
    <mergeCell ref="R2406:T2406"/>
    <mergeCell ref="AE2406:AG2406"/>
    <mergeCell ref="AR2406:AT2406"/>
    <mergeCell ref="E2407:G2407"/>
    <mergeCell ref="R2407:T2407"/>
    <mergeCell ref="AE2407:AG2407"/>
    <mergeCell ref="AR2407:AT2407"/>
    <mergeCell ref="E2408:G2408"/>
    <mergeCell ref="R2408:T2408"/>
    <mergeCell ref="AE2408:AG2408"/>
    <mergeCell ref="AR2408:AT2408"/>
    <mergeCell ref="E2409:G2409"/>
    <mergeCell ref="R2409:T2409"/>
    <mergeCell ref="AE2409:AG2409"/>
    <mergeCell ref="AR2409:AT2409"/>
    <mergeCell ref="E2410:G2410"/>
    <mergeCell ref="R2410:T2410"/>
    <mergeCell ref="AE2410:AG2410"/>
    <mergeCell ref="AR2410:AT2410"/>
    <mergeCell ref="E2411:G2411"/>
    <mergeCell ref="R2411:T2411"/>
    <mergeCell ref="AE2411:AG2411"/>
    <mergeCell ref="AR2411:AT2411"/>
    <mergeCell ref="E2412:G2412"/>
    <mergeCell ref="R2412:T2412"/>
    <mergeCell ref="AE2412:AG2412"/>
    <mergeCell ref="AR2412:AT2412"/>
    <mergeCell ref="E2413:G2413"/>
    <mergeCell ref="R2413:T2413"/>
    <mergeCell ref="AE2413:AG2413"/>
    <mergeCell ref="AR2413:AT2413"/>
    <mergeCell ref="E2414:G2414"/>
    <mergeCell ref="R2414:T2414"/>
    <mergeCell ref="AE2414:AG2414"/>
    <mergeCell ref="AR2414:AT2414"/>
    <mergeCell ref="E2415:G2415"/>
    <mergeCell ref="R2415:T2415"/>
    <mergeCell ref="AE2415:AG2415"/>
    <mergeCell ref="AR2415:AT2415"/>
    <mergeCell ref="E2416:G2416"/>
    <mergeCell ref="R2416:T2416"/>
    <mergeCell ref="AE2416:AG2416"/>
    <mergeCell ref="AR2416:AT2416"/>
    <mergeCell ref="E2417:G2417"/>
    <mergeCell ref="R2417:T2417"/>
    <mergeCell ref="AE2417:AG2417"/>
    <mergeCell ref="AR2417:AT2417"/>
    <mergeCell ref="E2418:G2418"/>
    <mergeCell ref="R2418:T2418"/>
    <mergeCell ref="AE2418:AG2418"/>
    <mergeCell ref="AR2418:AT2418"/>
    <mergeCell ref="E2419:G2419"/>
    <mergeCell ref="R2419:T2419"/>
    <mergeCell ref="AE2419:AG2419"/>
    <mergeCell ref="AR2419:AT2419"/>
    <mergeCell ref="E2420:G2420"/>
    <mergeCell ref="R2420:T2420"/>
    <mergeCell ref="AE2420:AG2420"/>
    <mergeCell ref="AR2420:AT2420"/>
    <mergeCell ref="E2421:G2421"/>
    <mergeCell ref="R2421:T2421"/>
    <mergeCell ref="AE2421:AG2421"/>
    <mergeCell ref="AR2421:AT2421"/>
    <mergeCell ref="E2422:G2422"/>
    <mergeCell ref="R2422:T2422"/>
    <mergeCell ref="AE2422:AG2422"/>
    <mergeCell ref="AR2422:AT2422"/>
    <mergeCell ref="E2423:G2423"/>
    <mergeCell ref="R2423:T2423"/>
    <mergeCell ref="AE2423:AG2423"/>
    <mergeCell ref="AR2423:AT2423"/>
    <mergeCell ref="E2424:G2424"/>
    <mergeCell ref="R2424:T2424"/>
    <mergeCell ref="AE2424:AG2424"/>
    <mergeCell ref="AR2424:AT2424"/>
    <mergeCell ref="E2425:G2425"/>
    <mergeCell ref="R2425:T2425"/>
    <mergeCell ref="AE2425:AG2425"/>
    <mergeCell ref="AR2425:AT2425"/>
    <mergeCell ref="E2426:G2426"/>
    <mergeCell ref="R2426:T2426"/>
    <mergeCell ref="AE2426:AG2426"/>
    <mergeCell ref="AR2426:AT2426"/>
    <mergeCell ref="E2427:G2427"/>
    <mergeCell ref="R2427:T2427"/>
    <mergeCell ref="AE2427:AG2427"/>
    <mergeCell ref="AR2427:AT2427"/>
    <mergeCell ref="E2428:G2428"/>
    <mergeCell ref="R2428:T2428"/>
    <mergeCell ref="AE2428:AG2428"/>
    <mergeCell ref="AR2428:AT2428"/>
    <mergeCell ref="E2429:G2429"/>
    <mergeCell ref="R2429:T2429"/>
    <mergeCell ref="AE2429:AG2429"/>
    <mergeCell ref="AR2429:AT2429"/>
    <mergeCell ref="E2430:G2430"/>
    <mergeCell ref="R2430:T2430"/>
    <mergeCell ref="AE2430:AG2430"/>
    <mergeCell ref="AR2430:AT2430"/>
  </mergeCells>
  <conditionalFormatting sqref="M3">
    <cfRule type="cellIs" dxfId="0" priority="2540" operator="lessThan">
      <formula>30</formula>
    </cfRule>
  </conditionalFormatting>
  <conditionalFormatting sqref="M4">
    <cfRule type="cellIs" dxfId="0" priority="2517" operator="lessThan">
      <formula>30</formula>
    </cfRule>
  </conditionalFormatting>
  <conditionalFormatting sqref="M5">
    <cfRule type="cellIs" dxfId="0" priority="2516" operator="lessThan">
      <formula>30</formula>
    </cfRule>
  </conditionalFormatting>
  <conditionalFormatting sqref="AZ5">
    <cfRule type="cellIs" dxfId="0" priority="204" operator="lessThan">
      <formula>30</formula>
    </cfRule>
  </conditionalFormatting>
  <conditionalFormatting sqref="M6">
    <cfRule type="cellIs" dxfId="0" priority="2515" operator="lessThan">
      <formula>30</formula>
    </cfRule>
  </conditionalFormatting>
  <conditionalFormatting sqref="M7">
    <cfRule type="cellIs" dxfId="0" priority="2514" operator="lessThan">
      <formula>30</formula>
    </cfRule>
  </conditionalFormatting>
  <conditionalFormatting sqref="M8">
    <cfRule type="cellIs" dxfId="0" priority="2513" operator="lessThan">
      <formula>30</formula>
    </cfRule>
  </conditionalFormatting>
  <conditionalFormatting sqref="M9">
    <cfRule type="cellIs" dxfId="0" priority="2512" operator="lessThan">
      <formula>30</formula>
    </cfRule>
  </conditionalFormatting>
  <conditionalFormatting sqref="M10">
    <cfRule type="cellIs" dxfId="0" priority="2511" operator="lessThan">
      <formula>30</formula>
    </cfRule>
  </conditionalFormatting>
  <conditionalFormatting sqref="AZ10">
    <cfRule type="cellIs" dxfId="0" priority="245" operator="lessThan">
      <formula>30</formula>
    </cfRule>
  </conditionalFormatting>
  <conditionalFormatting sqref="M11">
    <cfRule type="cellIs" dxfId="0" priority="2510" operator="lessThan">
      <formula>30</formula>
    </cfRule>
  </conditionalFormatting>
  <conditionalFormatting sqref="AZ11">
    <cfRule type="cellIs" dxfId="0" priority="244" operator="lessThan">
      <formula>30</formula>
    </cfRule>
  </conditionalFormatting>
  <conditionalFormatting sqref="M12">
    <cfRule type="cellIs" dxfId="0" priority="2509" operator="lessThan">
      <formula>30</formula>
    </cfRule>
  </conditionalFormatting>
  <conditionalFormatting sqref="M13">
    <cfRule type="cellIs" dxfId="0" priority="2508" operator="lessThan">
      <formula>30</formula>
    </cfRule>
  </conditionalFormatting>
  <conditionalFormatting sqref="M14">
    <cfRule type="cellIs" dxfId="0" priority="2507" operator="lessThan">
      <formula>30</formula>
    </cfRule>
  </conditionalFormatting>
  <conditionalFormatting sqref="M15">
    <cfRule type="cellIs" dxfId="0" priority="2506" operator="lessThan">
      <formula>30</formula>
    </cfRule>
  </conditionalFormatting>
  <conditionalFormatting sqref="M16">
    <cfRule type="cellIs" dxfId="0" priority="2505" operator="lessThan">
      <formula>30</formula>
    </cfRule>
  </conditionalFormatting>
  <conditionalFormatting sqref="M17">
    <cfRule type="cellIs" dxfId="0" priority="2504" operator="lessThan">
      <formula>30</formula>
    </cfRule>
  </conditionalFormatting>
  <conditionalFormatting sqref="M18">
    <cfRule type="cellIs" dxfId="0" priority="2503" operator="lessThan">
      <formula>30</formula>
    </cfRule>
  </conditionalFormatting>
  <conditionalFormatting sqref="M19">
    <cfRule type="cellIs" dxfId="0" priority="2502" operator="lessThan">
      <formula>30</formula>
    </cfRule>
  </conditionalFormatting>
  <conditionalFormatting sqref="M20">
    <cfRule type="cellIs" dxfId="0" priority="2501" operator="lessThan">
      <formula>30</formula>
    </cfRule>
  </conditionalFormatting>
  <conditionalFormatting sqref="M21">
    <cfRule type="cellIs" dxfId="0" priority="2500" operator="lessThan">
      <formula>30</formula>
    </cfRule>
  </conditionalFormatting>
  <conditionalFormatting sqref="M22">
    <cfRule type="cellIs" dxfId="0" priority="2499" operator="lessThan">
      <formula>30</formula>
    </cfRule>
  </conditionalFormatting>
  <conditionalFormatting sqref="M23">
    <cfRule type="cellIs" dxfId="0" priority="2498" operator="lessThan">
      <formula>30</formula>
    </cfRule>
  </conditionalFormatting>
  <conditionalFormatting sqref="M24">
    <cfRule type="cellIs" dxfId="0" priority="2497" operator="lessThan">
      <formula>30</formula>
    </cfRule>
  </conditionalFormatting>
  <conditionalFormatting sqref="M25">
    <cfRule type="cellIs" dxfId="0" priority="2496" operator="lessThan">
      <formula>30</formula>
    </cfRule>
  </conditionalFormatting>
  <conditionalFormatting sqref="M26">
    <cfRule type="cellIs" dxfId="0" priority="2495" operator="lessThan">
      <formula>30</formula>
    </cfRule>
  </conditionalFormatting>
  <conditionalFormatting sqref="M27">
    <cfRule type="cellIs" dxfId="0" priority="2494" operator="lessThan">
      <formula>30</formula>
    </cfRule>
  </conditionalFormatting>
  <conditionalFormatting sqref="M28">
    <cfRule type="cellIs" dxfId="0" priority="2493" operator="lessThan">
      <formula>30</formula>
    </cfRule>
  </conditionalFormatting>
  <conditionalFormatting sqref="M29">
    <cfRule type="cellIs" dxfId="0" priority="2492" operator="lessThan">
      <formula>30</formula>
    </cfRule>
  </conditionalFormatting>
  <conditionalFormatting sqref="M30">
    <cfRule type="cellIs" dxfId="0" priority="2491" operator="lessThan">
      <formula>30</formula>
    </cfRule>
  </conditionalFormatting>
  <conditionalFormatting sqref="M31">
    <cfRule type="cellIs" dxfId="0" priority="2490" operator="lessThan">
      <formula>30</formula>
    </cfRule>
  </conditionalFormatting>
  <conditionalFormatting sqref="M32">
    <cfRule type="cellIs" dxfId="0" priority="2489" operator="lessThan">
      <formula>30</formula>
    </cfRule>
  </conditionalFormatting>
  <conditionalFormatting sqref="M33">
    <cfRule type="cellIs" dxfId="0" priority="2488" operator="lessThan">
      <formula>30</formula>
    </cfRule>
  </conditionalFormatting>
  <conditionalFormatting sqref="M34">
    <cfRule type="cellIs" dxfId="0" priority="2487" operator="lessThan">
      <formula>30</formula>
    </cfRule>
  </conditionalFormatting>
  <conditionalFormatting sqref="M35">
    <cfRule type="cellIs" dxfId="0" priority="2486" operator="lessThan">
      <formula>30</formula>
    </cfRule>
  </conditionalFormatting>
  <conditionalFormatting sqref="M36">
    <cfRule type="cellIs" dxfId="0" priority="2485" operator="lessThan">
      <formula>30</formula>
    </cfRule>
  </conditionalFormatting>
  <conditionalFormatting sqref="M37">
    <cfRule type="cellIs" dxfId="0" priority="2484" operator="lessThan">
      <formula>30</formula>
    </cfRule>
  </conditionalFormatting>
  <conditionalFormatting sqref="M38">
    <cfRule type="cellIs" dxfId="0" priority="2483" operator="lessThan">
      <formula>30</formula>
    </cfRule>
  </conditionalFormatting>
  <conditionalFormatting sqref="M39">
    <cfRule type="cellIs" dxfId="0" priority="2482" operator="lessThan">
      <formula>30</formula>
    </cfRule>
  </conditionalFormatting>
  <conditionalFormatting sqref="M40">
    <cfRule type="cellIs" dxfId="0" priority="2481" operator="lessThan">
      <formula>30</formula>
    </cfRule>
  </conditionalFormatting>
  <conditionalFormatting sqref="M41">
    <cfRule type="cellIs" dxfId="0" priority="2480" operator="lessThan">
      <formula>30</formula>
    </cfRule>
  </conditionalFormatting>
  <conditionalFormatting sqref="M42">
    <cfRule type="cellIs" dxfId="0" priority="2479" operator="lessThan">
      <formula>30</formula>
    </cfRule>
  </conditionalFormatting>
  <conditionalFormatting sqref="M43">
    <cfRule type="cellIs" dxfId="0" priority="2478" operator="lessThan">
      <formula>30</formula>
    </cfRule>
  </conditionalFormatting>
  <conditionalFormatting sqref="M44">
    <cfRule type="cellIs" dxfId="0" priority="2477" operator="lessThan">
      <formula>30</formula>
    </cfRule>
  </conditionalFormatting>
  <conditionalFormatting sqref="M45">
    <cfRule type="cellIs" dxfId="0" priority="2476" operator="lessThan">
      <formula>30</formula>
    </cfRule>
  </conditionalFormatting>
  <conditionalFormatting sqref="M46">
    <cfRule type="cellIs" dxfId="0" priority="2475" operator="lessThan">
      <formula>30</formula>
    </cfRule>
  </conditionalFormatting>
  <conditionalFormatting sqref="M47">
    <cfRule type="cellIs" dxfId="0" priority="2474" operator="lessThan">
      <formula>30</formula>
    </cfRule>
  </conditionalFormatting>
  <conditionalFormatting sqref="M48">
    <cfRule type="cellIs" dxfId="0" priority="2473" operator="lessThan">
      <formula>30</formula>
    </cfRule>
  </conditionalFormatting>
  <conditionalFormatting sqref="M49">
    <cfRule type="cellIs" dxfId="0" priority="2472" operator="lessThan">
      <formula>30</formula>
    </cfRule>
  </conditionalFormatting>
  <conditionalFormatting sqref="M50">
    <cfRule type="cellIs" dxfId="0" priority="2471" operator="lessThan">
      <formula>30</formula>
    </cfRule>
  </conditionalFormatting>
  <conditionalFormatting sqref="M51">
    <cfRule type="cellIs" dxfId="0" priority="2470" operator="lessThan">
      <formula>30</formula>
    </cfRule>
  </conditionalFormatting>
  <conditionalFormatting sqref="M52">
    <cfRule type="cellIs" dxfId="0" priority="2469" operator="lessThan">
      <formula>30</formula>
    </cfRule>
  </conditionalFormatting>
  <conditionalFormatting sqref="M53">
    <cfRule type="cellIs" dxfId="0" priority="2468" operator="lessThan">
      <formula>30</formula>
    </cfRule>
  </conditionalFormatting>
  <conditionalFormatting sqref="M54">
    <cfRule type="cellIs" dxfId="0" priority="2467" operator="lessThan">
      <formula>30</formula>
    </cfRule>
  </conditionalFormatting>
  <conditionalFormatting sqref="M55">
    <cfRule type="cellIs" dxfId="0" priority="2466" operator="lessThan">
      <formula>30</formula>
    </cfRule>
  </conditionalFormatting>
  <conditionalFormatting sqref="AZ55">
    <cfRule type="cellIs" dxfId="0" priority="456" operator="lessThan">
      <formula>30</formula>
    </cfRule>
  </conditionalFormatting>
  <conditionalFormatting sqref="M56">
    <cfRule type="cellIs" dxfId="0" priority="2465" operator="lessThan">
      <formula>30</formula>
    </cfRule>
  </conditionalFormatting>
  <conditionalFormatting sqref="AZ56">
    <cfRule type="cellIs" dxfId="0" priority="455" operator="lessThan">
      <formula>30</formula>
    </cfRule>
  </conditionalFormatting>
  <conditionalFormatting sqref="M57">
    <cfRule type="cellIs" dxfId="0" priority="2464" operator="lessThan">
      <formula>30</formula>
    </cfRule>
  </conditionalFormatting>
  <conditionalFormatting sqref="AZ57">
    <cfRule type="cellIs" dxfId="0" priority="454" operator="lessThan">
      <formula>30</formula>
    </cfRule>
  </conditionalFormatting>
  <conditionalFormatting sqref="M58">
    <cfRule type="cellIs" dxfId="0" priority="2463" operator="lessThan">
      <formula>30</formula>
    </cfRule>
  </conditionalFormatting>
  <conditionalFormatting sqref="AZ58">
    <cfRule type="cellIs" dxfId="0" priority="453" operator="lessThan">
      <formula>30</formula>
    </cfRule>
  </conditionalFormatting>
  <conditionalFormatting sqref="M59">
    <cfRule type="cellIs" dxfId="0" priority="2462" operator="lessThan">
      <formula>30</formula>
    </cfRule>
  </conditionalFormatting>
  <conditionalFormatting sqref="AZ59">
    <cfRule type="cellIs" dxfId="0" priority="452" operator="lessThan">
      <formula>30</formula>
    </cfRule>
  </conditionalFormatting>
  <conditionalFormatting sqref="M60">
    <cfRule type="cellIs" dxfId="0" priority="2461" operator="lessThan">
      <formula>30</formula>
    </cfRule>
  </conditionalFormatting>
  <conditionalFormatting sqref="AZ60">
    <cfRule type="cellIs" dxfId="0" priority="451" operator="lessThan">
      <formula>30</formula>
    </cfRule>
  </conditionalFormatting>
  <conditionalFormatting sqref="M61">
    <cfRule type="cellIs" dxfId="0" priority="2460" operator="lessThan">
      <formula>30</formula>
    </cfRule>
  </conditionalFormatting>
  <conditionalFormatting sqref="AZ61">
    <cfRule type="cellIs" dxfId="0" priority="450" operator="lessThan">
      <formula>30</formula>
    </cfRule>
  </conditionalFormatting>
  <conditionalFormatting sqref="M62">
    <cfRule type="cellIs" dxfId="0" priority="2459" operator="lessThan">
      <formula>30</formula>
    </cfRule>
  </conditionalFormatting>
  <conditionalFormatting sqref="AZ62">
    <cfRule type="cellIs" dxfId="0" priority="449" operator="lessThan">
      <formula>30</formula>
    </cfRule>
  </conditionalFormatting>
  <conditionalFormatting sqref="M63">
    <cfRule type="cellIs" dxfId="0" priority="2458" operator="lessThan">
      <formula>30</formula>
    </cfRule>
  </conditionalFormatting>
  <conditionalFormatting sqref="AZ63">
    <cfRule type="cellIs" dxfId="0" priority="448" operator="lessThan">
      <formula>30</formula>
    </cfRule>
  </conditionalFormatting>
  <conditionalFormatting sqref="M64">
    <cfRule type="cellIs" dxfId="0" priority="2457" operator="lessThan">
      <formula>30</formula>
    </cfRule>
  </conditionalFormatting>
  <conditionalFormatting sqref="AZ64">
    <cfRule type="cellIs" dxfId="0" priority="447" operator="lessThan">
      <formula>30</formula>
    </cfRule>
  </conditionalFormatting>
  <conditionalFormatting sqref="M65">
    <cfRule type="cellIs" dxfId="0" priority="2456" operator="lessThan">
      <formula>30</formula>
    </cfRule>
  </conditionalFormatting>
  <conditionalFormatting sqref="AZ65">
    <cfRule type="cellIs" dxfId="0" priority="446" operator="lessThan">
      <formula>30</formula>
    </cfRule>
  </conditionalFormatting>
  <conditionalFormatting sqref="M66">
    <cfRule type="cellIs" dxfId="0" priority="2455" operator="lessThan">
      <formula>30</formula>
    </cfRule>
  </conditionalFormatting>
  <conditionalFormatting sqref="AZ66">
    <cfRule type="cellIs" dxfId="0" priority="445" operator="lessThan">
      <formula>30</formula>
    </cfRule>
  </conditionalFormatting>
  <conditionalFormatting sqref="M67">
    <cfRule type="cellIs" dxfId="0" priority="2454" operator="lessThan">
      <formula>30</formula>
    </cfRule>
  </conditionalFormatting>
  <conditionalFormatting sqref="AZ67">
    <cfRule type="cellIs" dxfId="0" priority="444" operator="lessThan">
      <formula>30</formula>
    </cfRule>
  </conditionalFormatting>
  <conditionalFormatting sqref="M68">
    <cfRule type="cellIs" dxfId="0" priority="2453" operator="lessThan">
      <formula>30</formula>
    </cfRule>
  </conditionalFormatting>
  <conditionalFormatting sqref="AZ68">
    <cfRule type="cellIs" dxfId="0" priority="443" operator="lessThan">
      <formula>30</formula>
    </cfRule>
  </conditionalFormatting>
  <conditionalFormatting sqref="M69">
    <cfRule type="cellIs" dxfId="0" priority="2452" operator="lessThan">
      <formula>30</formula>
    </cfRule>
  </conditionalFormatting>
  <conditionalFormatting sqref="AZ69">
    <cfRule type="cellIs" dxfId="0" priority="442" operator="lessThan">
      <formula>30</formula>
    </cfRule>
  </conditionalFormatting>
  <conditionalFormatting sqref="M70">
    <cfRule type="cellIs" dxfId="0" priority="2451" operator="lessThan">
      <formula>30</formula>
    </cfRule>
  </conditionalFormatting>
  <conditionalFormatting sqref="AZ70">
    <cfRule type="cellIs" dxfId="0" priority="441" operator="lessThan">
      <formula>30</formula>
    </cfRule>
  </conditionalFormatting>
  <conditionalFormatting sqref="M71">
    <cfRule type="cellIs" dxfId="0" priority="2450" operator="lessThan">
      <formula>30</formula>
    </cfRule>
  </conditionalFormatting>
  <conditionalFormatting sqref="AZ71">
    <cfRule type="cellIs" dxfId="0" priority="440" operator="lessThan">
      <formula>30</formula>
    </cfRule>
  </conditionalFormatting>
  <conditionalFormatting sqref="M72">
    <cfRule type="cellIs" dxfId="0" priority="2449" operator="lessThan">
      <formula>30</formula>
    </cfRule>
  </conditionalFormatting>
  <conditionalFormatting sqref="AZ72">
    <cfRule type="cellIs" dxfId="0" priority="439" operator="lessThan">
      <formula>30</formula>
    </cfRule>
  </conditionalFormatting>
  <conditionalFormatting sqref="M73">
    <cfRule type="cellIs" dxfId="0" priority="2448" operator="lessThan">
      <formula>30</formula>
    </cfRule>
  </conditionalFormatting>
  <conditionalFormatting sqref="AZ73">
    <cfRule type="cellIs" dxfId="0" priority="438" operator="lessThan">
      <formula>30</formula>
    </cfRule>
  </conditionalFormatting>
  <conditionalFormatting sqref="M74">
    <cfRule type="cellIs" dxfId="0" priority="2447" operator="lessThan">
      <formula>30</formula>
    </cfRule>
  </conditionalFormatting>
  <conditionalFormatting sqref="AZ74">
    <cfRule type="cellIs" dxfId="0" priority="437" operator="lessThan">
      <formula>30</formula>
    </cfRule>
  </conditionalFormatting>
  <conditionalFormatting sqref="M75">
    <cfRule type="cellIs" dxfId="0" priority="2446" operator="lessThan">
      <formula>30</formula>
    </cfRule>
  </conditionalFormatting>
  <conditionalFormatting sqref="M76">
    <cfRule type="cellIs" dxfId="0" priority="2445" operator="lessThan">
      <formula>30</formula>
    </cfRule>
  </conditionalFormatting>
  <conditionalFormatting sqref="M77">
    <cfRule type="cellIs" dxfId="0" priority="2444" operator="lessThan">
      <formula>30</formula>
    </cfRule>
  </conditionalFormatting>
  <conditionalFormatting sqref="M78">
    <cfRule type="cellIs" dxfId="0" priority="2443" operator="lessThan">
      <formula>30</formula>
    </cfRule>
  </conditionalFormatting>
  <conditionalFormatting sqref="M79">
    <cfRule type="cellIs" dxfId="0" priority="2442" operator="lessThan">
      <formula>30</formula>
    </cfRule>
  </conditionalFormatting>
  <conditionalFormatting sqref="AZ79">
    <cfRule type="cellIs" dxfId="0" priority="198" operator="lessThan">
      <formula>30</formula>
    </cfRule>
  </conditionalFormatting>
  <conditionalFormatting sqref="M80">
    <cfRule type="cellIs" dxfId="0" priority="2441" operator="lessThan">
      <formula>30</formula>
    </cfRule>
  </conditionalFormatting>
  <conditionalFormatting sqref="M81">
    <cfRule type="cellIs" dxfId="0" priority="2440" operator="lessThan">
      <formula>30</formula>
    </cfRule>
  </conditionalFormatting>
  <conditionalFormatting sqref="M82">
    <cfRule type="cellIs" dxfId="0" priority="2439" operator="lessThan">
      <formula>30</formula>
    </cfRule>
  </conditionalFormatting>
  <conditionalFormatting sqref="M83">
    <cfRule type="cellIs" dxfId="0" priority="2438" operator="lessThan">
      <formula>30</formula>
    </cfRule>
  </conditionalFormatting>
  <conditionalFormatting sqref="M84">
    <cfRule type="cellIs" dxfId="0" priority="2437" operator="lessThan">
      <formula>30</formula>
    </cfRule>
  </conditionalFormatting>
  <conditionalFormatting sqref="M85">
    <cfRule type="cellIs" dxfId="0" priority="2436" operator="lessThan">
      <formula>30</formula>
    </cfRule>
  </conditionalFormatting>
  <conditionalFormatting sqref="M86">
    <cfRule type="cellIs" dxfId="0" priority="2435" operator="lessThan">
      <formula>30</formula>
    </cfRule>
  </conditionalFormatting>
  <conditionalFormatting sqref="M87">
    <cfRule type="cellIs" dxfId="0" priority="2434" operator="lessThan">
      <formula>30</formula>
    </cfRule>
  </conditionalFormatting>
  <conditionalFormatting sqref="M88">
    <cfRule type="cellIs" dxfId="0" priority="2433" operator="lessThan">
      <formula>30</formula>
    </cfRule>
  </conditionalFormatting>
  <conditionalFormatting sqref="M89">
    <cfRule type="cellIs" dxfId="0" priority="2432" operator="lessThan">
      <formula>30</formula>
    </cfRule>
  </conditionalFormatting>
  <conditionalFormatting sqref="M90">
    <cfRule type="cellIs" dxfId="0" priority="2431" operator="lessThan">
      <formula>30</formula>
    </cfRule>
  </conditionalFormatting>
  <conditionalFormatting sqref="M91">
    <cfRule type="cellIs" dxfId="0" priority="2430" operator="lessThan">
      <formula>30</formula>
    </cfRule>
  </conditionalFormatting>
  <conditionalFormatting sqref="M92">
    <cfRule type="cellIs" dxfId="0" priority="2429" operator="lessThan">
      <formula>30</formula>
    </cfRule>
  </conditionalFormatting>
  <conditionalFormatting sqref="M93">
    <cfRule type="cellIs" dxfId="0" priority="2428" operator="lessThan">
      <formula>30</formula>
    </cfRule>
  </conditionalFormatting>
  <conditionalFormatting sqref="M94">
    <cfRule type="cellIs" dxfId="0" priority="2427" operator="lessThan">
      <formula>30</formula>
    </cfRule>
  </conditionalFormatting>
  <conditionalFormatting sqref="M95">
    <cfRule type="cellIs" dxfId="0" priority="2426" operator="lessThan">
      <formula>30</formula>
    </cfRule>
  </conditionalFormatting>
  <conditionalFormatting sqref="M96">
    <cfRule type="cellIs" dxfId="0" priority="2425" operator="lessThan">
      <formula>30</formula>
    </cfRule>
  </conditionalFormatting>
  <conditionalFormatting sqref="M97">
    <cfRule type="cellIs" dxfId="0" priority="2424" operator="lessThan">
      <formula>30</formula>
    </cfRule>
  </conditionalFormatting>
  <conditionalFormatting sqref="M98">
    <cfRule type="cellIs" dxfId="0" priority="2423" operator="lessThan">
      <formula>30</formula>
    </cfRule>
  </conditionalFormatting>
  <conditionalFormatting sqref="M99">
    <cfRule type="cellIs" dxfId="0" priority="2422" operator="lessThan">
      <formula>30</formula>
    </cfRule>
  </conditionalFormatting>
  <conditionalFormatting sqref="M100">
    <cfRule type="cellIs" dxfId="0" priority="2421" operator="lessThan">
      <formula>30</formula>
    </cfRule>
  </conditionalFormatting>
  <conditionalFormatting sqref="M101">
    <cfRule type="cellIs" dxfId="0" priority="2420" operator="lessThan">
      <formula>30</formula>
    </cfRule>
  </conditionalFormatting>
  <conditionalFormatting sqref="M102">
    <cfRule type="cellIs" dxfId="0" priority="2419" operator="lessThan">
      <formula>30</formula>
    </cfRule>
  </conditionalFormatting>
  <conditionalFormatting sqref="M103">
    <cfRule type="cellIs" dxfId="0" priority="2418" operator="lessThan">
      <formula>30</formula>
    </cfRule>
  </conditionalFormatting>
  <conditionalFormatting sqref="Z103">
    <cfRule type="cellIs" dxfId="0" priority="1219" operator="lessThan">
      <formula>30</formula>
    </cfRule>
  </conditionalFormatting>
  <conditionalFormatting sqref="M104">
    <cfRule type="cellIs" dxfId="0" priority="2417" operator="lessThan">
      <formula>30</formula>
    </cfRule>
  </conditionalFormatting>
  <conditionalFormatting sqref="Z104">
    <cfRule type="cellIs" dxfId="0" priority="1218" operator="lessThan">
      <formula>30</formula>
    </cfRule>
  </conditionalFormatting>
  <conditionalFormatting sqref="M105">
    <cfRule type="cellIs" dxfId="0" priority="2416" operator="lessThan">
      <formula>30</formula>
    </cfRule>
  </conditionalFormatting>
  <conditionalFormatting sqref="Z105">
    <cfRule type="cellIs" dxfId="0" priority="1217" operator="lessThan">
      <formula>30</formula>
    </cfRule>
  </conditionalFormatting>
  <conditionalFormatting sqref="M106">
    <cfRule type="cellIs" dxfId="0" priority="2415" operator="lessThan">
      <formula>30</formula>
    </cfRule>
  </conditionalFormatting>
  <conditionalFormatting sqref="Z106">
    <cfRule type="cellIs" dxfId="0" priority="1216" operator="lessThan">
      <formula>30</formula>
    </cfRule>
  </conditionalFormatting>
  <conditionalFormatting sqref="M107">
    <cfRule type="cellIs" dxfId="0" priority="2414" operator="lessThan">
      <formula>30</formula>
    </cfRule>
  </conditionalFormatting>
  <conditionalFormatting sqref="Z107">
    <cfRule type="cellIs" dxfId="0" priority="1215" operator="lessThan">
      <formula>30</formula>
    </cfRule>
  </conditionalFormatting>
  <conditionalFormatting sqref="M108">
    <cfRule type="cellIs" dxfId="0" priority="2413" operator="lessThan">
      <formula>30</formula>
    </cfRule>
  </conditionalFormatting>
  <conditionalFormatting sqref="Z108">
    <cfRule type="cellIs" dxfId="0" priority="1214" operator="lessThan">
      <formula>30</formula>
    </cfRule>
  </conditionalFormatting>
  <conditionalFormatting sqref="M109">
    <cfRule type="cellIs" dxfId="0" priority="2412" operator="lessThan">
      <formula>30</formula>
    </cfRule>
  </conditionalFormatting>
  <conditionalFormatting sqref="Z109">
    <cfRule type="cellIs" dxfId="0" priority="1213" operator="lessThan">
      <formula>30</formula>
    </cfRule>
  </conditionalFormatting>
  <conditionalFormatting sqref="M110">
    <cfRule type="cellIs" dxfId="0" priority="2411" operator="lessThan">
      <formula>30</formula>
    </cfRule>
  </conditionalFormatting>
  <conditionalFormatting sqref="Z110">
    <cfRule type="cellIs" dxfId="0" priority="1212" operator="lessThan">
      <formula>30</formula>
    </cfRule>
  </conditionalFormatting>
  <conditionalFormatting sqref="M111">
    <cfRule type="cellIs" dxfId="0" priority="2410" operator="lessThan">
      <formula>30</formula>
    </cfRule>
  </conditionalFormatting>
  <conditionalFormatting sqref="Z111">
    <cfRule type="cellIs" dxfId="0" priority="1211" operator="lessThan">
      <formula>30</formula>
    </cfRule>
  </conditionalFormatting>
  <conditionalFormatting sqref="M112">
    <cfRule type="cellIs" dxfId="0" priority="2409" operator="lessThan">
      <formula>30</formula>
    </cfRule>
  </conditionalFormatting>
  <conditionalFormatting sqref="M113">
    <cfRule type="cellIs" dxfId="0" priority="2408" operator="lessThan">
      <formula>30</formula>
    </cfRule>
  </conditionalFormatting>
  <conditionalFormatting sqref="AZ113">
    <cfRule type="cellIs" dxfId="0" priority="147" operator="lessThan">
      <formula>30</formula>
    </cfRule>
  </conditionalFormatting>
  <conditionalFormatting sqref="M114">
    <cfRule type="cellIs" dxfId="0" priority="2407" operator="lessThan">
      <formula>30</formula>
    </cfRule>
  </conditionalFormatting>
  <conditionalFormatting sqref="M115">
    <cfRule type="cellIs" dxfId="0" priority="2406" operator="lessThan">
      <formula>30</formula>
    </cfRule>
  </conditionalFormatting>
  <conditionalFormatting sqref="M116">
    <cfRule type="cellIs" dxfId="0" priority="2405" operator="lessThan">
      <formula>30</formula>
    </cfRule>
  </conditionalFormatting>
  <conditionalFormatting sqref="M117">
    <cfRule type="cellIs" dxfId="0" priority="2404" operator="lessThan">
      <formula>30</formula>
    </cfRule>
  </conditionalFormatting>
  <conditionalFormatting sqref="AM117">
    <cfRule type="cellIs" dxfId="0" priority="808" operator="lessThan">
      <formula>30</formula>
    </cfRule>
  </conditionalFormatting>
  <conditionalFormatting sqref="M118">
    <cfRule type="cellIs" dxfId="0" priority="2403" operator="lessThan">
      <formula>30</formula>
    </cfRule>
  </conditionalFormatting>
  <conditionalFormatting sqref="M119">
    <cfRule type="cellIs" dxfId="0" priority="2402" operator="lessThan">
      <formula>30</formula>
    </cfRule>
  </conditionalFormatting>
  <conditionalFormatting sqref="M120">
    <cfRule type="cellIs" dxfId="0" priority="2401" operator="lessThan">
      <formula>30</formula>
    </cfRule>
  </conditionalFormatting>
  <conditionalFormatting sqref="AZ120">
    <cfRule type="cellIs" dxfId="0" priority="144" operator="lessThan">
      <formula>30</formula>
    </cfRule>
  </conditionalFormatting>
  <conditionalFormatting sqref="M121">
    <cfRule type="cellIs" dxfId="0" priority="2400" operator="lessThan">
      <formula>30</formula>
    </cfRule>
  </conditionalFormatting>
  <conditionalFormatting sqref="M122">
    <cfRule type="cellIs" dxfId="0" priority="2399" operator="lessThan">
      <formula>30</formula>
    </cfRule>
  </conditionalFormatting>
  <conditionalFormatting sqref="M123">
    <cfRule type="cellIs" dxfId="0" priority="2398" operator="lessThan">
      <formula>30</formula>
    </cfRule>
  </conditionalFormatting>
  <conditionalFormatting sqref="M124">
    <cfRule type="cellIs" dxfId="0" priority="2397" operator="lessThan">
      <formula>30</formula>
    </cfRule>
  </conditionalFormatting>
  <conditionalFormatting sqref="M125">
    <cfRule type="cellIs" dxfId="0" priority="2396" operator="lessThan">
      <formula>30</formula>
    </cfRule>
  </conditionalFormatting>
  <conditionalFormatting sqref="M126">
    <cfRule type="cellIs" dxfId="0" priority="2395" operator="lessThan">
      <formula>30</formula>
    </cfRule>
  </conditionalFormatting>
  <conditionalFormatting sqref="M127">
    <cfRule type="cellIs" dxfId="0" priority="2394" operator="lessThan">
      <formula>30</formula>
    </cfRule>
  </conditionalFormatting>
  <conditionalFormatting sqref="AZ127">
    <cfRule type="cellIs" dxfId="0" priority="141" operator="lessThan">
      <formula>30</formula>
    </cfRule>
  </conditionalFormatting>
  <conditionalFormatting sqref="M128">
    <cfRule type="cellIs" dxfId="0" priority="2393" operator="lessThan">
      <formula>30</formula>
    </cfRule>
  </conditionalFormatting>
  <conditionalFormatting sqref="M129">
    <cfRule type="cellIs" dxfId="0" priority="2392" operator="lessThan">
      <formula>30</formula>
    </cfRule>
  </conditionalFormatting>
  <conditionalFormatting sqref="M130">
    <cfRule type="cellIs" dxfId="0" priority="2391" operator="lessThan">
      <formula>30</formula>
    </cfRule>
  </conditionalFormatting>
  <conditionalFormatting sqref="M131">
    <cfRule type="cellIs" dxfId="0" priority="2390" operator="lessThan">
      <formula>30</formula>
    </cfRule>
  </conditionalFormatting>
  <conditionalFormatting sqref="M132">
    <cfRule type="cellIs" dxfId="0" priority="2389" operator="lessThan">
      <formula>30</formula>
    </cfRule>
  </conditionalFormatting>
  <conditionalFormatting sqref="M133">
    <cfRule type="cellIs" dxfId="0" priority="2388" operator="lessThan">
      <formula>30</formula>
    </cfRule>
  </conditionalFormatting>
  <conditionalFormatting sqref="M134">
    <cfRule type="cellIs" dxfId="0" priority="2387" operator="lessThan">
      <formula>30</formula>
    </cfRule>
  </conditionalFormatting>
  <conditionalFormatting sqref="AZ134">
    <cfRule type="cellIs" dxfId="0" priority="138" operator="lessThan">
      <formula>30</formula>
    </cfRule>
  </conditionalFormatting>
  <conditionalFormatting sqref="M135">
    <cfRule type="cellIs" dxfId="0" priority="2386" operator="lessThan">
      <formula>30</formula>
    </cfRule>
  </conditionalFormatting>
  <conditionalFormatting sqref="AM135">
    <cfRule type="cellIs" dxfId="0" priority="836" operator="lessThan">
      <formula>30</formula>
    </cfRule>
  </conditionalFormatting>
  <conditionalFormatting sqref="M136">
    <cfRule type="cellIs" dxfId="0" priority="2385" operator="lessThan">
      <formula>30</formula>
    </cfRule>
  </conditionalFormatting>
  <conditionalFormatting sqref="M137">
    <cfRule type="cellIs" dxfId="0" priority="2384" operator="lessThan">
      <formula>30</formula>
    </cfRule>
  </conditionalFormatting>
  <conditionalFormatting sqref="M138">
    <cfRule type="cellIs" dxfId="0" priority="2383" operator="lessThan">
      <formula>30</formula>
    </cfRule>
  </conditionalFormatting>
  <conditionalFormatting sqref="AZ138">
    <cfRule type="cellIs" dxfId="0" priority="316" operator="lessThan">
      <formula>30</formula>
    </cfRule>
  </conditionalFormatting>
  <conditionalFormatting sqref="M139">
    <cfRule type="cellIs" dxfId="0" priority="2382" operator="lessThan">
      <formula>30</formula>
    </cfRule>
  </conditionalFormatting>
  <conditionalFormatting sqref="M140">
    <cfRule type="cellIs" dxfId="0" priority="2381" operator="lessThan">
      <formula>30</formula>
    </cfRule>
  </conditionalFormatting>
  <conditionalFormatting sqref="M141">
    <cfRule type="cellIs" dxfId="0" priority="2380" operator="lessThan">
      <formula>30</formula>
    </cfRule>
  </conditionalFormatting>
  <conditionalFormatting sqref="M142">
    <cfRule type="cellIs" dxfId="0" priority="2379" operator="lessThan">
      <formula>30</formula>
    </cfRule>
  </conditionalFormatting>
  <conditionalFormatting sqref="M143">
    <cfRule type="cellIs" dxfId="0" priority="2378" operator="lessThan">
      <formula>30</formula>
    </cfRule>
  </conditionalFormatting>
  <conditionalFormatting sqref="M144">
    <cfRule type="cellIs" dxfId="0" priority="2377" operator="lessThan">
      <formula>30</formula>
    </cfRule>
  </conditionalFormatting>
  <conditionalFormatting sqref="M145">
    <cfRule type="cellIs" dxfId="0" priority="2376" operator="lessThan">
      <formula>30</formula>
    </cfRule>
  </conditionalFormatting>
  <conditionalFormatting sqref="M146">
    <cfRule type="cellIs" dxfId="0" priority="2375" operator="lessThan">
      <formula>30</formula>
    </cfRule>
  </conditionalFormatting>
  <conditionalFormatting sqref="M147">
    <cfRule type="cellIs" dxfId="0" priority="2374" operator="lessThan">
      <formula>30</formula>
    </cfRule>
  </conditionalFormatting>
  <conditionalFormatting sqref="M148">
    <cfRule type="cellIs" dxfId="0" priority="2373" operator="lessThan">
      <formula>30</formula>
    </cfRule>
  </conditionalFormatting>
  <conditionalFormatting sqref="M149">
    <cfRule type="cellIs" dxfId="0" priority="2372" operator="lessThan">
      <formula>30</formula>
    </cfRule>
  </conditionalFormatting>
  <conditionalFormatting sqref="M150">
    <cfRule type="cellIs" dxfId="0" priority="2371" operator="lessThan">
      <formula>30</formula>
    </cfRule>
  </conditionalFormatting>
  <conditionalFormatting sqref="M151">
    <cfRule type="cellIs" dxfId="0" priority="2370" operator="lessThan">
      <formula>30</formula>
    </cfRule>
  </conditionalFormatting>
  <conditionalFormatting sqref="M152">
    <cfRule type="cellIs" dxfId="0" priority="2369" operator="lessThan">
      <formula>30</formula>
    </cfRule>
  </conditionalFormatting>
  <conditionalFormatting sqref="M153">
    <cfRule type="cellIs" dxfId="0" priority="2368" operator="lessThan">
      <formula>30</formula>
    </cfRule>
  </conditionalFormatting>
  <conditionalFormatting sqref="M154">
    <cfRule type="cellIs" dxfId="0" priority="2367" operator="lessThan">
      <formula>30</formula>
    </cfRule>
  </conditionalFormatting>
  <conditionalFormatting sqref="M155">
    <cfRule type="cellIs" dxfId="0" priority="2366" operator="lessThan">
      <formula>30</formula>
    </cfRule>
  </conditionalFormatting>
  <conditionalFormatting sqref="M156">
    <cfRule type="cellIs" dxfId="0" priority="2365" operator="lessThan">
      <formula>30</formula>
    </cfRule>
  </conditionalFormatting>
  <conditionalFormatting sqref="M157">
    <cfRule type="cellIs" dxfId="0" priority="2364" operator="lessThan">
      <formula>30</formula>
    </cfRule>
  </conditionalFormatting>
  <conditionalFormatting sqref="M158">
    <cfRule type="cellIs" dxfId="0" priority="2363" operator="lessThan">
      <formula>30</formula>
    </cfRule>
  </conditionalFormatting>
  <conditionalFormatting sqref="M159">
    <cfRule type="cellIs" dxfId="0" priority="2362" operator="lessThan">
      <formula>30</formula>
    </cfRule>
  </conditionalFormatting>
  <conditionalFormatting sqref="M160">
    <cfRule type="cellIs" dxfId="0" priority="2361" operator="lessThan">
      <formula>30</formula>
    </cfRule>
  </conditionalFormatting>
  <conditionalFormatting sqref="M161">
    <cfRule type="cellIs" dxfId="0" priority="2360" operator="lessThan">
      <formula>30</formula>
    </cfRule>
  </conditionalFormatting>
  <conditionalFormatting sqref="M162">
    <cfRule type="cellIs" dxfId="0" priority="2359" operator="lessThan">
      <formula>30</formula>
    </cfRule>
  </conditionalFormatting>
  <conditionalFormatting sqref="M163">
    <cfRule type="cellIs" dxfId="0" priority="2358" operator="lessThan">
      <formula>30</formula>
    </cfRule>
  </conditionalFormatting>
  <conditionalFormatting sqref="M164">
    <cfRule type="cellIs" dxfId="0" priority="2357" operator="lessThan">
      <formula>30</formula>
    </cfRule>
  </conditionalFormatting>
  <conditionalFormatting sqref="M165">
    <cfRule type="cellIs" dxfId="0" priority="2356" operator="lessThan">
      <formula>30</formula>
    </cfRule>
  </conditionalFormatting>
  <conditionalFormatting sqref="M166">
    <cfRule type="cellIs" dxfId="0" priority="2355" operator="lessThan">
      <formula>30</formula>
    </cfRule>
  </conditionalFormatting>
  <conditionalFormatting sqref="M167">
    <cfRule type="cellIs" dxfId="0" priority="2354" operator="lessThan">
      <formula>30</formula>
    </cfRule>
  </conditionalFormatting>
  <conditionalFormatting sqref="M168">
    <cfRule type="cellIs" dxfId="0" priority="2349" operator="lessThan">
      <formula>30</formula>
    </cfRule>
  </conditionalFormatting>
  <conditionalFormatting sqref="M169">
    <cfRule type="cellIs" dxfId="0" priority="2348" operator="lessThan">
      <formula>30</formula>
    </cfRule>
  </conditionalFormatting>
  <conditionalFormatting sqref="M170">
    <cfRule type="cellIs" dxfId="0" priority="2347" operator="lessThan">
      <formula>30</formula>
    </cfRule>
  </conditionalFormatting>
  <conditionalFormatting sqref="M171">
    <cfRule type="cellIs" dxfId="0" priority="2346" operator="lessThan">
      <formula>30</formula>
    </cfRule>
  </conditionalFormatting>
  <conditionalFormatting sqref="M172">
    <cfRule type="cellIs" dxfId="0" priority="2345" operator="lessThan">
      <formula>30</formula>
    </cfRule>
  </conditionalFormatting>
  <conditionalFormatting sqref="M173">
    <cfRule type="cellIs" dxfId="0" priority="2344" operator="lessThan">
      <formula>30</formula>
    </cfRule>
  </conditionalFormatting>
  <conditionalFormatting sqref="M174">
    <cfRule type="cellIs" dxfId="0" priority="2343" operator="lessThan">
      <formula>30</formula>
    </cfRule>
  </conditionalFormatting>
  <conditionalFormatting sqref="M175">
    <cfRule type="cellIs" dxfId="0" priority="2342" operator="lessThan">
      <formula>30</formula>
    </cfRule>
  </conditionalFormatting>
  <conditionalFormatting sqref="M176">
    <cfRule type="cellIs" dxfId="0" priority="2341" operator="lessThan">
      <formula>30</formula>
    </cfRule>
  </conditionalFormatting>
  <conditionalFormatting sqref="M177">
    <cfRule type="cellIs" dxfId="0" priority="2340" operator="lessThan">
      <formula>30</formula>
    </cfRule>
  </conditionalFormatting>
  <conditionalFormatting sqref="M178">
    <cfRule type="cellIs" dxfId="0" priority="2339" operator="lessThan">
      <formula>30</formula>
    </cfRule>
  </conditionalFormatting>
  <conditionalFormatting sqref="M179">
    <cfRule type="cellIs" dxfId="0" priority="2338" operator="lessThan">
      <formula>30</formula>
    </cfRule>
  </conditionalFormatting>
  <conditionalFormatting sqref="M180">
    <cfRule type="cellIs" dxfId="0" priority="2337" operator="lessThan">
      <formula>30</formula>
    </cfRule>
  </conditionalFormatting>
  <conditionalFormatting sqref="M181">
    <cfRule type="cellIs" dxfId="0" priority="2336" operator="lessThan">
      <formula>30</formula>
    </cfRule>
  </conditionalFormatting>
  <conditionalFormatting sqref="M182">
    <cfRule type="cellIs" dxfId="0" priority="2335" operator="lessThan">
      <formula>30</formula>
    </cfRule>
  </conditionalFormatting>
  <conditionalFormatting sqref="M183">
    <cfRule type="cellIs" dxfId="0" priority="2334" operator="lessThan">
      <formula>30</formula>
    </cfRule>
  </conditionalFormatting>
  <conditionalFormatting sqref="M184">
    <cfRule type="cellIs" dxfId="0" priority="2333" operator="lessThan">
      <formula>30</formula>
    </cfRule>
  </conditionalFormatting>
  <conditionalFormatting sqref="M185">
    <cfRule type="cellIs" dxfId="0" priority="2332" operator="lessThan">
      <formula>30</formula>
    </cfRule>
  </conditionalFormatting>
  <conditionalFormatting sqref="M186">
    <cfRule type="cellIs" dxfId="0" priority="2331" operator="lessThan">
      <formula>30</formula>
    </cfRule>
  </conditionalFormatting>
  <conditionalFormatting sqref="M187">
    <cfRule type="cellIs" dxfId="0" priority="2330" operator="lessThan">
      <formula>30</formula>
    </cfRule>
  </conditionalFormatting>
  <conditionalFormatting sqref="M188">
    <cfRule type="cellIs" dxfId="0" priority="2329" operator="lessThan">
      <formula>30</formula>
    </cfRule>
  </conditionalFormatting>
  <conditionalFormatting sqref="M189">
    <cfRule type="cellIs" dxfId="0" priority="2328" operator="lessThan">
      <formula>30</formula>
    </cfRule>
  </conditionalFormatting>
  <conditionalFormatting sqref="M190">
    <cfRule type="cellIs" dxfId="0" priority="2327" operator="lessThan">
      <formula>30</formula>
    </cfRule>
  </conditionalFormatting>
  <conditionalFormatting sqref="M191">
    <cfRule type="cellIs" dxfId="0" priority="2326" operator="lessThan">
      <formula>30</formula>
    </cfRule>
  </conditionalFormatting>
  <conditionalFormatting sqref="M192">
    <cfRule type="cellIs" dxfId="0" priority="2325" operator="lessThan">
      <formula>30</formula>
    </cfRule>
  </conditionalFormatting>
  <conditionalFormatting sqref="M193">
    <cfRule type="cellIs" dxfId="0" priority="2324" operator="lessThan">
      <formula>30</formula>
    </cfRule>
  </conditionalFormatting>
  <conditionalFormatting sqref="M194">
    <cfRule type="cellIs" dxfId="0" priority="2323" operator="lessThan">
      <formula>30</formula>
    </cfRule>
  </conditionalFormatting>
  <conditionalFormatting sqref="M195">
    <cfRule type="cellIs" dxfId="0" priority="2322" operator="lessThan">
      <formula>30</formula>
    </cfRule>
  </conditionalFormatting>
  <conditionalFormatting sqref="M196">
    <cfRule type="cellIs" dxfId="0" priority="2321" operator="lessThan">
      <formula>30</formula>
    </cfRule>
  </conditionalFormatting>
  <conditionalFormatting sqref="M197">
    <cfRule type="cellIs" dxfId="0" priority="2320" operator="lessThan">
      <formula>30</formula>
    </cfRule>
  </conditionalFormatting>
  <conditionalFormatting sqref="M198">
    <cfRule type="cellIs" dxfId="0" priority="2319" operator="lessThan">
      <formula>30</formula>
    </cfRule>
  </conditionalFormatting>
  <conditionalFormatting sqref="M199">
    <cfRule type="cellIs" dxfId="0" priority="2318" operator="lessThan">
      <formula>30</formula>
    </cfRule>
  </conditionalFormatting>
  <conditionalFormatting sqref="M200">
    <cfRule type="cellIs" dxfId="0" priority="2317" operator="lessThan">
      <formula>30</formula>
    </cfRule>
  </conditionalFormatting>
  <conditionalFormatting sqref="M201">
    <cfRule type="cellIs" dxfId="0" priority="2316" operator="lessThan">
      <formula>30</formula>
    </cfRule>
  </conditionalFormatting>
  <conditionalFormatting sqref="M202">
    <cfRule type="cellIs" dxfId="0" priority="2315" operator="lessThan">
      <formula>30</formula>
    </cfRule>
  </conditionalFormatting>
  <conditionalFormatting sqref="M203">
    <cfRule type="cellIs" dxfId="0" priority="2314" operator="lessThan">
      <formula>30</formula>
    </cfRule>
  </conditionalFormatting>
  <conditionalFormatting sqref="M204">
    <cfRule type="cellIs" dxfId="0" priority="2313" operator="lessThan">
      <formula>30</formula>
    </cfRule>
  </conditionalFormatting>
  <conditionalFormatting sqref="M205">
    <cfRule type="cellIs" dxfId="0" priority="2312" operator="lessThan">
      <formula>30</formula>
    </cfRule>
  </conditionalFormatting>
  <conditionalFormatting sqref="M206">
    <cfRule type="cellIs" dxfId="0" priority="2311" operator="lessThan">
      <formula>30</formula>
    </cfRule>
  </conditionalFormatting>
  <conditionalFormatting sqref="M207">
    <cfRule type="cellIs" dxfId="0" priority="2310" operator="lessThan">
      <formula>30</formula>
    </cfRule>
  </conditionalFormatting>
  <conditionalFormatting sqref="M208">
    <cfRule type="cellIs" dxfId="0" priority="2309" operator="lessThan">
      <formula>30</formula>
    </cfRule>
  </conditionalFormatting>
  <conditionalFormatting sqref="M209">
    <cfRule type="cellIs" dxfId="0" priority="2308" operator="lessThan">
      <formula>30</formula>
    </cfRule>
  </conditionalFormatting>
  <conditionalFormatting sqref="M210">
    <cfRule type="cellIs" dxfId="0" priority="2307" operator="lessThan">
      <formula>30</formula>
    </cfRule>
  </conditionalFormatting>
  <conditionalFormatting sqref="M211">
    <cfRule type="cellIs" dxfId="0" priority="2306" operator="lessThan">
      <formula>30</formula>
    </cfRule>
  </conditionalFormatting>
  <conditionalFormatting sqref="M212">
    <cfRule type="cellIs" dxfId="0" priority="2305" operator="lessThan">
      <formula>30</formula>
    </cfRule>
  </conditionalFormatting>
  <conditionalFormatting sqref="M213">
    <cfRule type="cellIs" dxfId="0" priority="2304" operator="lessThan">
      <formula>30</formula>
    </cfRule>
  </conditionalFormatting>
  <conditionalFormatting sqref="M214">
    <cfRule type="cellIs" dxfId="0" priority="2303" operator="lessThan">
      <formula>30</formula>
    </cfRule>
  </conditionalFormatting>
  <conditionalFormatting sqref="M215">
    <cfRule type="cellIs" dxfId="0" priority="2302" operator="lessThan">
      <formula>30</formula>
    </cfRule>
  </conditionalFormatting>
  <conditionalFormatting sqref="AZ215">
    <cfRule type="cellIs" dxfId="0" priority="152" operator="lessThan">
      <formula>30</formula>
    </cfRule>
  </conditionalFormatting>
  <conditionalFormatting sqref="M216">
    <cfRule type="cellIs" dxfId="0" priority="2301" operator="lessThan">
      <formula>30</formula>
    </cfRule>
  </conditionalFormatting>
  <conditionalFormatting sqref="M217">
    <cfRule type="cellIs" dxfId="0" priority="2300" operator="lessThan">
      <formula>30</formula>
    </cfRule>
  </conditionalFormatting>
  <conditionalFormatting sqref="M218">
    <cfRule type="cellIs" dxfId="0" priority="2299" operator="lessThan">
      <formula>30</formula>
    </cfRule>
  </conditionalFormatting>
  <conditionalFormatting sqref="M219">
    <cfRule type="cellIs" dxfId="0" priority="2298" operator="lessThan">
      <formula>30</formula>
    </cfRule>
  </conditionalFormatting>
  <conditionalFormatting sqref="AZ219">
    <cfRule type="cellIs" dxfId="0" priority="150" operator="lessThan">
      <formula>30</formula>
    </cfRule>
  </conditionalFormatting>
  <conditionalFormatting sqref="M220">
    <cfRule type="cellIs" dxfId="0" priority="2297" operator="lessThan">
      <formula>30</formula>
    </cfRule>
  </conditionalFormatting>
  <conditionalFormatting sqref="M221">
    <cfRule type="cellIs" dxfId="0" priority="2296" operator="lessThan">
      <formula>30</formula>
    </cfRule>
  </conditionalFormatting>
  <conditionalFormatting sqref="M222">
    <cfRule type="cellIs" dxfId="0" priority="2295" operator="lessThan">
      <formula>30</formula>
    </cfRule>
  </conditionalFormatting>
  <conditionalFormatting sqref="M223">
    <cfRule type="cellIs" dxfId="0" priority="2294" operator="lessThan">
      <formula>30</formula>
    </cfRule>
  </conditionalFormatting>
  <conditionalFormatting sqref="M224">
    <cfRule type="cellIs" dxfId="0" priority="2293" operator="lessThan">
      <formula>30</formula>
    </cfRule>
  </conditionalFormatting>
  <conditionalFormatting sqref="M225">
    <cfRule type="cellIs" dxfId="0" priority="2292" operator="lessThan">
      <formula>30</formula>
    </cfRule>
  </conditionalFormatting>
  <conditionalFormatting sqref="M226">
    <cfRule type="cellIs" dxfId="0" priority="2291" operator="lessThan">
      <formula>30</formula>
    </cfRule>
  </conditionalFormatting>
  <conditionalFormatting sqref="M227">
    <cfRule type="cellIs" dxfId="0" priority="2290" operator="lessThan">
      <formula>30</formula>
    </cfRule>
  </conditionalFormatting>
  <conditionalFormatting sqref="M228">
    <cfRule type="cellIs" dxfId="0" priority="2289" operator="lessThan">
      <formula>30</formula>
    </cfRule>
  </conditionalFormatting>
  <conditionalFormatting sqref="M229">
    <cfRule type="cellIs" dxfId="0" priority="2288" operator="lessThan">
      <formula>30</formula>
    </cfRule>
  </conditionalFormatting>
  <conditionalFormatting sqref="M230">
    <cfRule type="cellIs" dxfId="0" priority="2287" operator="lessThan">
      <formula>30</formula>
    </cfRule>
  </conditionalFormatting>
  <conditionalFormatting sqref="M231">
    <cfRule type="cellIs" dxfId="0" priority="2286" operator="lessThan">
      <formula>30</formula>
    </cfRule>
  </conditionalFormatting>
  <conditionalFormatting sqref="M232">
    <cfRule type="cellIs" dxfId="0" priority="2285" operator="lessThan">
      <formula>30</formula>
    </cfRule>
  </conditionalFormatting>
  <conditionalFormatting sqref="M233">
    <cfRule type="cellIs" dxfId="0" priority="2284" operator="lessThan">
      <formula>30</formula>
    </cfRule>
  </conditionalFormatting>
  <conditionalFormatting sqref="M234">
    <cfRule type="cellIs" dxfId="0" priority="2283" operator="lessThan">
      <formula>30</formula>
    </cfRule>
  </conditionalFormatting>
  <conditionalFormatting sqref="M235">
    <cfRule type="cellIs" dxfId="0" priority="2282" operator="lessThan">
      <formula>30</formula>
    </cfRule>
  </conditionalFormatting>
  <conditionalFormatting sqref="AA235">
    <cfRule type="cellIs" dxfId="0" priority="1377" operator="lessThan">
      <formula>30</formula>
    </cfRule>
  </conditionalFormatting>
  <conditionalFormatting sqref="M236">
    <cfRule type="cellIs" dxfId="0" priority="2281" operator="lessThan">
      <formula>30</formula>
    </cfRule>
  </conditionalFormatting>
  <conditionalFormatting sqref="M237">
    <cfRule type="cellIs" dxfId="0" priority="2280" operator="lessThan">
      <formula>30</formula>
    </cfRule>
  </conditionalFormatting>
  <conditionalFormatting sqref="M238">
    <cfRule type="cellIs" dxfId="0" priority="2279" operator="lessThan">
      <formula>30</formula>
    </cfRule>
  </conditionalFormatting>
  <conditionalFormatting sqref="M239">
    <cfRule type="cellIs" dxfId="0" priority="2278" operator="lessThan">
      <formula>30</formula>
    </cfRule>
  </conditionalFormatting>
  <conditionalFormatting sqref="M240">
    <cfRule type="cellIs" dxfId="0" priority="2277" operator="lessThan">
      <formula>30</formula>
    </cfRule>
  </conditionalFormatting>
  <conditionalFormatting sqref="M241">
    <cfRule type="cellIs" dxfId="0" priority="2276" operator="lessThan">
      <formula>30</formula>
    </cfRule>
  </conditionalFormatting>
  <conditionalFormatting sqref="M242">
    <cfRule type="cellIs" dxfId="0" priority="2275" operator="lessThan">
      <formula>30</formula>
    </cfRule>
  </conditionalFormatting>
  <conditionalFormatting sqref="M243">
    <cfRule type="cellIs" dxfId="0" priority="2274" operator="lessThan">
      <formula>30</formula>
    </cfRule>
  </conditionalFormatting>
  <conditionalFormatting sqref="M244">
    <cfRule type="cellIs" dxfId="0" priority="2273" operator="lessThan">
      <formula>30</formula>
    </cfRule>
  </conditionalFormatting>
  <conditionalFormatting sqref="M245">
    <cfRule type="cellIs" dxfId="0" priority="2272" operator="lessThan">
      <formula>30</formula>
    </cfRule>
  </conditionalFormatting>
  <conditionalFormatting sqref="M246">
    <cfRule type="cellIs" dxfId="0" priority="2271" operator="lessThan">
      <formula>30</formula>
    </cfRule>
  </conditionalFormatting>
  <conditionalFormatting sqref="M247">
    <cfRule type="cellIs" dxfId="0" priority="2270" operator="lessThan">
      <formula>30</formula>
    </cfRule>
  </conditionalFormatting>
  <conditionalFormatting sqref="M248">
    <cfRule type="cellIs" dxfId="0" priority="2269" operator="lessThan">
      <formula>30</formula>
    </cfRule>
  </conditionalFormatting>
  <conditionalFormatting sqref="M249">
    <cfRule type="cellIs" dxfId="0" priority="2268" operator="lessThan">
      <formula>30</formula>
    </cfRule>
  </conditionalFormatting>
  <conditionalFormatting sqref="M250">
    <cfRule type="cellIs" dxfId="0" priority="2267" operator="lessThan">
      <formula>30</formula>
    </cfRule>
  </conditionalFormatting>
  <conditionalFormatting sqref="M251">
    <cfRule type="cellIs" dxfId="0" priority="2266" operator="lessThan">
      <formula>30</formula>
    </cfRule>
  </conditionalFormatting>
  <conditionalFormatting sqref="M252">
    <cfRule type="cellIs" dxfId="0" priority="2265" operator="lessThan">
      <formula>30</formula>
    </cfRule>
  </conditionalFormatting>
  <conditionalFormatting sqref="M253">
    <cfRule type="cellIs" dxfId="0" priority="2264" operator="lessThan">
      <formula>30</formula>
    </cfRule>
  </conditionalFormatting>
  <conditionalFormatting sqref="M254">
    <cfRule type="cellIs" dxfId="0" priority="2263" operator="lessThan">
      <formula>30</formula>
    </cfRule>
  </conditionalFormatting>
  <conditionalFormatting sqref="M255">
    <cfRule type="cellIs" dxfId="0" priority="2262" operator="lessThan">
      <formula>30</formula>
    </cfRule>
  </conditionalFormatting>
  <conditionalFormatting sqref="M256">
    <cfRule type="cellIs" dxfId="0" priority="2261" operator="lessThan">
      <formula>30</formula>
    </cfRule>
  </conditionalFormatting>
  <conditionalFormatting sqref="M257">
    <cfRule type="cellIs" dxfId="0" priority="2260" operator="lessThan">
      <formula>30</formula>
    </cfRule>
  </conditionalFormatting>
  <conditionalFormatting sqref="M258">
    <cfRule type="cellIs" dxfId="0" priority="2259" operator="lessThan">
      <formula>30</formula>
    </cfRule>
  </conditionalFormatting>
  <conditionalFormatting sqref="M259">
    <cfRule type="cellIs" dxfId="0" priority="2258" operator="lessThan">
      <formula>30</formula>
    </cfRule>
  </conditionalFormatting>
  <conditionalFormatting sqref="M260">
    <cfRule type="cellIs" dxfId="0" priority="2257" operator="lessThan">
      <formula>30</formula>
    </cfRule>
  </conditionalFormatting>
  <conditionalFormatting sqref="M261">
    <cfRule type="cellIs" dxfId="0" priority="2256" operator="lessThan">
      <formula>30</formula>
    </cfRule>
  </conditionalFormatting>
  <conditionalFormatting sqref="M262">
    <cfRule type="cellIs" dxfId="0" priority="2255" operator="lessThan">
      <formula>30</formula>
    </cfRule>
  </conditionalFormatting>
  <conditionalFormatting sqref="M263">
    <cfRule type="cellIs" dxfId="0" priority="2254" operator="lessThan">
      <formula>30</formula>
    </cfRule>
  </conditionalFormatting>
  <conditionalFormatting sqref="M264">
    <cfRule type="cellIs" dxfId="0" priority="2253" operator="lessThan">
      <formula>30</formula>
    </cfRule>
  </conditionalFormatting>
  <conditionalFormatting sqref="M265">
    <cfRule type="cellIs" dxfId="0" priority="2252" operator="lessThan">
      <formula>30</formula>
    </cfRule>
  </conditionalFormatting>
  <conditionalFormatting sqref="M266">
    <cfRule type="cellIs" dxfId="0" priority="2251" operator="lessThan">
      <formula>30</formula>
    </cfRule>
  </conditionalFormatting>
  <conditionalFormatting sqref="M267">
    <cfRule type="cellIs" dxfId="0" priority="2250" operator="lessThan">
      <formula>30</formula>
    </cfRule>
  </conditionalFormatting>
  <conditionalFormatting sqref="M268">
    <cfRule type="cellIs" dxfId="0" priority="2249" operator="lessThan">
      <formula>30</formula>
    </cfRule>
  </conditionalFormatting>
  <conditionalFormatting sqref="M269">
    <cfRule type="cellIs" dxfId="0" priority="2248" operator="lessThan">
      <formula>30</formula>
    </cfRule>
  </conditionalFormatting>
  <conditionalFormatting sqref="M270">
    <cfRule type="cellIs" dxfId="0" priority="2247" operator="lessThan">
      <formula>30</formula>
    </cfRule>
  </conditionalFormatting>
  <conditionalFormatting sqref="M271">
    <cfRule type="cellIs" dxfId="0" priority="2246" operator="lessThan">
      <formula>30</formula>
    </cfRule>
  </conditionalFormatting>
  <conditionalFormatting sqref="M272">
    <cfRule type="cellIs" dxfId="0" priority="2245" operator="lessThan">
      <formula>30</formula>
    </cfRule>
  </conditionalFormatting>
  <conditionalFormatting sqref="M273">
    <cfRule type="cellIs" dxfId="0" priority="2244" operator="lessThan">
      <formula>30</formula>
    </cfRule>
  </conditionalFormatting>
  <conditionalFormatting sqref="M274">
    <cfRule type="cellIs" dxfId="0" priority="2243" operator="lessThan">
      <formula>30</formula>
    </cfRule>
  </conditionalFormatting>
  <conditionalFormatting sqref="M275">
    <cfRule type="cellIs" dxfId="0" priority="2242" operator="lessThan">
      <formula>30</formula>
    </cfRule>
  </conditionalFormatting>
  <conditionalFormatting sqref="M276">
    <cfRule type="cellIs" dxfId="0" priority="2241" operator="lessThan">
      <formula>30</formula>
    </cfRule>
  </conditionalFormatting>
  <conditionalFormatting sqref="M277">
    <cfRule type="cellIs" dxfId="0" priority="2240" operator="lessThan">
      <formula>30</formula>
    </cfRule>
  </conditionalFormatting>
  <conditionalFormatting sqref="M278">
    <cfRule type="cellIs" dxfId="0" priority="2239" operator="lessThan">
      <formula>30</formula>
    </cfRule>
  </conditionalFormatting>
  <conditionalFormatting sqref="AZ278">
    <cfRule type="cellIs" dxfId="0" priority="296" operator="lessThan">
      <formula>30</formula>
    </cfRule>
  </conditionalFormatting>
  <conditionalFormatting sqref="M279">
    <cfRule type="cellIs" dxfId="0" priority="2238" operator="lessThan">
      <formula>30</formula>
    </cfRule>
  </conditionalFormatting>
  <conditionalFormatting sqref="M280">
    <cfRule type="cellIs" dxfId="0" priority="2237" operator="lessThan">
      <formula>30</formula>
    </cfRule>
  </conditionalFormatting>
  <conditionalFormatting sqref="M281">
    <cfRule type="cellIs" dxfId="0" priority="2236" operator="lessThan">
      <formula>30</formula>
    </cfRule>
  </conditionalFormatting>
  <conditionalFormatting sqref="M282">
    <cfRule type="cellIs" dxfId="0" priority="2235" operator="lessThan">
      <formula>30</formula>
    </cfRule>
  </conditionalFormatting>
  <conditionalFormatting sqref="M283">
    <cfRule type="cellIs" dxfId="0" priority="2234" operator="lessThan">
      <formula>30</formula>
    </cfRule>
  </conditionalFormatting>
  <conditionalFormatting sqref="M284">
    <cfRule type="cellIs" dxfId="0" priority="2233" operator="lessThan">
      <formula>30</formula>
    </cfRule>
  </conditionalFormatting>
  <conditionalFormatting sqref="M285">
    <cfRule type="cellIs" dxfId="0" priority="2232" operator="lessThan">
      <formula>30</formula>
    </cfRule>
  </conditionalFormatting>
  <conditionalFormatting sqref="M286">
    <cfRule type="cellIs" dxfId="0" priority="2231" operator="lessThan">
      <formula>30</formula>
    </cfRule>
  </conditionalFormatting>
  <conditionalFormatting sqref="M287">
    <cfRule type="cellIs" dxfId="0" priority="2230" operator="lessThan">
      <formula>30</formula>
    </cfRule>
  </conditionalFormatting>
  <conditionalFormatting sqref="M288">
    <cfRule type="cellIs" dxfId="0" priority="2229" operator="lessThan">
      <formula>30</formula>
    </cfRule>
  </conditionalFormatting>
  <conditionalFormatting sqref="M289">
    <cfRule type="cellIs" dxfId="0" priority="2228" operator="lessThan">
      <formula>30</formula>
    </cfRule>
  </conditionalFormatting>
  <conditionalFormatting sqref="M290">
    <cfRule type="cellIs" dxfId="0" priority="2227" operator="lessThan">
      <formula>30</formula>
    </cfRule>
  </conditionalFormatting>
  <conditionalFormatting sqref="M291">
    <cfRule type="cellIs" dxfId="0" priority="2226" operator="lessThan">
      <formula>30</formula>
    </cfRule>
  </conditionalFormatting>
  <conditionalFormatting sqref="M292">
    <cfRule type="cellIs" dxfId="0" priority="2225" operator="lessThan">
      <formula>30</formula>
    </cfRule>
  </conditionalFormatting>
  <conditionalFormatting sqref="M293">
    <cfRule type="cellIs" dxfId="0" priority="2224" operator="lessThan">
      <formula>30</formula>
    </cfRule>
  </conditionalFormatting>
  <conditionalFormatting sqref="M294">
    <cfRule type="cellIs" dxfId="0" priority="2223" operator="lessThan">
      <formula>30</formula>
    </cfRule>
  </conditionalFormatting>
  <conditionalFormatting sqref="M295">
    <cfRule type="cellIs" dxfId="0" priority="2222" operator="lessThan">
      <formula>30</formula>
    </cfRule>
  </conditionalFormatting>
  <conditionalFormatting sqref="M296">
    <cfRule type="cellIs" dxfId="0" priority="2221" operator="lessThan">
      <formula>30</formula>
    </cfRule>
  </conditionalFormatting>
  <conditionalFormatting sqref="AZ296">
    <cfRule type="cellIs" dxfId="0" priority="424" operator="lessThan">
      <formula>30</formula>
    </cfRule>
  </conditionalFormatting>
  <conditionalFormatting sqref="M297">
    <cfRule type="cellIs" dxfId="0" priority="2220" operator="lessThan">
      <formula>30</formula>
    </cfRule>
  </conditionalFormatting>
  <conditionalFormatting sqref="M298">
    <cfRule type="cellIs" dxfId="0" priority="2219" operator="lessThan">
      <formula>30</formula>
    </cfRule>
  </conditionalFormatting>
  <conditionalFormatting sqref="M299">
    <cfRule type="cellIs" dxfId="0" priority="2218" operator="lessThan">
      <formula>30</formula>
    </cfRule>
  </conditionalFormatting>
  <conditionalFormatting sqref="M300">
    <cfRule type="cellIs" dxfId="0" priority="2217" operator="lessThan">
      <formula>30</formula>
    </cfRule>
  </conditionalFormatting>
  <conditionalFormatting sqref="M301">
    <cfRule type="cellIs" dxfId="0" priority="2216" operator="lessThan">
      <formula>30</formula>
    </cfRule>
  </conditionalFormatting>
  <conditionalFormatting sqref="M302">
    <cfRule type="cellIs" dxfId="0" priority="2215" operator="lessThan">
      <formula>30</formula>
    </cfRule>
  </conditionalFormatting>
  <conditionalFormatting sqref="M303">
    <cfRule type="cellIs" dxfId="0" priority="2214" operator="lessThan">
      <formula>30</formula>
    </cfRule>
  </conditionalFormatting>
  <conditionalFormatting sqref="M304">
    <cfRule type="cellIs" dxfId="0" priority="2213" operator="lessThan">
      <formula>30</formula>
    </cfRule>
  </conditionalFormatting>
  <conditionalFormatting sqref="M305">
    <cfRule type="cellIs" dxfId="0" priority="2212" operator="lessThan">
      <formula>30</formula>
    </cfRule>
  </conditionalFormatting>
  <conditionalFormatting sqref="M306">
    <cfRule type="cellIs" dxfId="0" priority="2211" operator="lessThan">
      <formula>30</formula>
    </cfRule>
  </conditionalFormatting>
  <conditionalFormatting sqref="M307">
    <cfRule type="cellIs" dxfId="0" priority="2210" operator="lessThan">
      <formula>30</formula>
    </cfRule>
  </conditionalFormatting>
  <conditionalFormatting sqref="M308">
    <cfRule type="cellIs" dxfId="0" priority="2209" operator="lessThan">
      <formula>30</formula>
    </cfRule>
  </conditionalFormatting>
  <conditionalFormatting sqref="AZ308">
    <cfRule type="cellIs" dxfId="0" priority="418" operator="lessThan">
      <formula>30</formula>
    </cfRule>
  </conditionalFormatting>
  <conditionalFormatting sqref="M309">
    <cfRule type="cellIs" dxfId="0" priority="2208" operator="lessThan">
      <formula>30</formula>
    </cfRule>
  </conditionalFormatting>
  <conditionalFormatting sqref="M310">
    <cfRule type="cellIs" dxfId="0" priority="2207" operator="lessThan">
      <formula>30</formula>
    </cfRule>
  </conditionalFormatting>
  <conditionalFormatting sqref="M311">
    <cfRule type="cellIs" dxfId="0" priority="2206" operator="lessThan">
      <formula>30</formula>
    </cfRule>
  </conditionalFormatting>
  <conditionalFormatting sqref="M312">
    <cfRule type="cellIs" dxfId="0" priority="2205" operator="lessThan">
      <formula>30</formula>
    </cfRule>
  </conditionalFormatting>
  <conditionalFormatting sqref="M313">
    <cfRule type="cellIs" dxfId="0" priority="2204" operator="lessThan">
      <formula>30</formula>
    </cfRule>
  </conditionalFormatting>
  <conditionalFormatting sqref="M314">
    <cfRule type="cellIs" dxfId="0" priority="2203" operator="lessThan">
      <formula>30</formula>
    </cfRule>
  </conditionalFormatting>
  <conditionalFormatting sqref="M315">
    <cfRule type="cellIs" dxfId="0" priority="2202" operator="lessThan">
      <formula>30</formula>
    </cfRule>
  </conditionalFormatting>
  <conditionalFormatting sqref="M316">
    <cfRule type="cellIs" dxfId="0" priority="2201" operator="lessThan">
      <formula>30</formula>
    </cfRule>
  </conditionalFormatting>
  <conditionalFormatting sqref="M317">
    <cfRule type="cellIs" dxfId="0" priority="2199" operator="lessThan">
      <formula>30</formula>
    </cfRule>
  </conditionalFormatting>
  <conditionalFormatting sqref="M318">
    <cfRule type="cellIs" dxfId="0" priority="2198" operator="lessThan">
      <formula>30</formula>
    </cfRule>
  </conditionalFormatting>
  <conditionalFormatting sqref="M319">
    <cfRule type="cellIs" dxfId="0" priority="2197" operator="lessThan">
      <formula>30</formula>
    </cfRule>
  </conditionalFormatting>
  <conditionalFormatting sqref="M320">
    <cfRule type="cellIs" dxfId="0" priority="2196" operator="lessThan">
      <formula>30</formula>
    </cfRule>
  </conditionalFormatting>
  <conditionalFormatting sqref="M321">
    <cfRule type="cellIs" dxfId="0" priority="2195" operator="lessThan">
      <formula>30</formula>
    </cfRule>
  </conditionalFormatting>
  <conditionalFormatting sqref="M322">
    <cfRule type="cellIs" dxfId="0" priority="2194" operator="lessThan">
      <formula>30</formula>
    </cfRule>
  </conditionalFormatting>
  <conditionalFormatting sqref="M323">
    <cfRule type="cellIs" dxfId="0" priority="2193" operator="lessThan">
      <formula>30</formula>
    </cfRule>
  </conditionalFormatting>
  <conditionalFormatting sqref="M324">
    <cfRule type="cellIs" dxfId="0" priority="2192" operator="lessThan">
      <formula>30</formula>
    </cfRule>
  </conditionalFormatting>
  <conditionalFormatting sqref="M325">
    <cfRule type="cellIs" dxfId="0" priority="2191" operator="lessThan">
      <formula>30</formula>
    </cfRule>
  </conditionalFormatting>
  <conditionalFormatting sqref="M326">
    <cfRule type="cellIs" dxfId="0" priority="2190" operator="lessThan">
      <formula>30</formula>
    </cfRule>
  </conditionalFormatting>
  <conditionalFormatting sqref="M327">
    <cfRule type="cellIs" dxfId="0" priority="2189" operator="lessThan">
      <formula>30</formula>
    </cfRule>
  </conditionalFormatting>
  <conditionalFormatting sqref="M328">
    <cfRule type="cellIs" dxfId="0" priority="2188" operator="lessThan">
      <formula>30</formula>
    </cfRule>
  </conditionalFormatting>
  <conditionalFormatting sqref="M329">
    <cfRule type="cellIs" dxfId="0" priority="2187" operator="lessThan">
      <formula>30</formula>
    </cfRule>
  </conditionalFormatting>
  <conditionalFormatting sqref="M330">
    <cfRule type="cellIs" dxfId="0" priority="2186" operator="lessThan">
      <formula>30</formula>
    </cfRule>
  </conditionalFormatting>
  <conditionalFormatting sqref="M331">
    <cfRule type="cellIs" dxfId="0" priority="2185" operator="lessThan">
      <formula>30</formula>
    </cfRule>
  </conditionalFormatting>
  <conditionalFormatting sqref="M332">
    <cfRule type="cellIs" dxfId="0" priority="2184" operator="lessThan">
      <formula>30</formula>
    </cfRule>
  </conditionalFormatting>
  <conditionalFormatting sqref="M333">
    <cfRule type="cellIs" dxfId="0" priority="2183" operator="lessThan">
      <formula>30</formula>
    </cfRule>
  </conditionalFormatting>
  <conditionalFormatting sqref="M334">
    <cfRule type="cellIs" dxfId="0" priority="2182" operator="lessThan">
      <formula>30</formula>
    </cfRule>
  </conditionalFormatting>
  <conditionalFormatting sqref="M335">
    <cfRule type="cellIs" dxfId="0" priority="2181" operator="lessThan">
      <formula>30</formula>
    </cfRule>
  </conditionalFormatting>
  <conditionalFormatting sqref="AM335">
    <cfRule type="cellIs" dxfId="0" priority="498" operator="lessThan">
      <formula>30</formula>
    </cfRule>
  </conditionalFormatting>
  <conditionalFormatting sqref="M336">
    <cfRule type="cellIs" dxfId="0" priority="2180" operator="lessThan">
      <formula>30</formula>
    </cfRule>
  </conditionalFormatting>
  <conditionalFormatting sqref="M337">
    <cfRule type="cellIs" dxfId="0" priority="2179" operator="lessThan">
      <formula>30</formula>
    </cfRule>
  </conditionalFormatting>
  <conditionalFormatting sqref="M338">
    <cfRule type="cellIs" dxfId="0" priority="2178" operator="lessThan">
      <formula>30</formula>
    </cfRule>
  </conditionalFormatting>
  <conditionalFormatting sqref="M339">
    <cfRule type="cellIs" dxfId="0" priority="2177" operator="lessThan">
      <formula>30</formula>
    </cfRule>
  </conditionalFormatting>
  <conditionalFormatting sqref="M340">
    <cfRule type="cellIs" dxfId="0" priority="2176" operator="lessThan">
      <formula>30</formula>
    </cfRule>
  </conditionalFormatting>
  <conditionalFormatting sqref="M341">
    <cfRule type="cellIs" dxfId="0" priority="2175" operator="lessThan">
      <formula>30</formula>
    </cfRule>
  </conditionalFormatting>
  <conditionalFormatting sqref="M342">
    <cfRule type="cellIs" dxfId="0" priority="2174" operator="lessThan">
      <formula>30</formula>
    </cfRule>
  </conditionalFormatting>
  <conditionalFormatting sqref="M343">
    <cfRule type="cellIs" dxfId="0" priority="2173" operator="lessThan">
      <formula>30</formula>
    </cfRule>
  </conditionalFormatting>
  <conditionalFormatting sqref="M344">
    <cfRule type="cellIs" dxfId="0" priority="2172" operator="lessThan">
      <formula>30</formula>
    </cfRule>
  </conditionalFormatting>
  <conditionalFormatting sqref="M345">
    <cfRule type="cellIs" dxfId="0" priority="2171" operator="lessThan">
      <formula>30</formula>
    </cfRule>
  </conditionalFormatting>
  <conditionalFormatting sqref="M346">
    <cfRule type="cellIs" dxfId="0" priority="2170" operator="lessThan">
      <formula>30</formula>
    </cfRule>
  </conditionalFormatting>
  <conditionalFormatting sqref="M347">
    <cfRule type="cellIs" dxfId="0" priority="2169" operator="lessThan">
      <formula>30</formula>
    </cfRule>
  </conditionalFormatting>
  <conditionalFormatting sqref="M348">
    <cfRule type="cellIs" dxfId="0" priority="2168" operator="lessThan">
      <formula>30</formula>
    </cfRule>
  </conditionalFormatting>
  <conditionalFormatting sqref="M349">
    <cfRule type="cellIs" dxfId="0" priority="2167" operator="lessThan">
      <formula>30</formula>
    </cfRule>
  </conditionalFormatting>
  <conditionalFormatting sqref="M350">
    <cfRule type="cellIs" dxfId="0" priority="2166" operator="lessThan">
      <formula>30</formula>
    </cfRule>
  </conditionalFormatting>
  <conditionalFormatting sqref="M351">
    <cfRule type="cellIs" dxfId="0" priority="2165" operator="lessThan">
      <formula>30</formula>
    </cfRule>
  </conditionalFormatting>
  <conditionalFormatting sqref="M352">
    <cfRule type="cellIs" dxfId="0" priority="2164" operator="lessThan">
      <formula>30</formula>
    </cfRule>
  </conditionalFormatting>
  <conditionalFormatting sqref="M353">
    <cfRule type="cellIs" dxfId="0" priority="2163" operator="lessThan">
      <formula>30</formula>
    </cfRule>
  </conditionalFormatting>
  <conditionalFormatting sqref="M354">
    <cfRule type="cellIs" dxfId="0" priority="2162" operator="lessThan">
      <formula>30</formula>
    </cfRule>
  </conditionalFormatting>
  <conditionalFormatting sqref="M355">
    <cfRule type="cellIs" dxfId="0" priority="2161" operator="lessThan">
      <formula>30</formula>
    </cfRule>
  </conditionalFormatting>
  <conditionalFormatting sqref="M356">
    <cfRule type="cellIs" dxfId="0" priority="2160" operator="lessThan">
      <formula>30</formula>
    </cfRule>
  </conditionalFormatting>
  <conditionalFormatting sqref="M357">
    <cfRule type="cellIs" dxfId="0" priority="2159" operator="lessThan">
      <formula>30</formula>
    </cfRule>
  </conditionalFormatting>
  <conditionalFormatting sqref="M358">
    <cfRule type="cellIs" dxfId="0" priority="2158" operator="lessThan">
      <formula>30</formula>
    </cfRule>
  </conditionalFormatting>
  <conditionalFormatting sqref="M359">
    <cfRule type="cellIs" dxfId="0" priority="2157" operator="lessThan">
      <formula>30</formula>
    </cfRule>
  </conditionalFormatting>
  <conditionalFormatting sqref="M360">
    <cfRule type="cellIs" dxfId="0" priority="2156" operator="lessThan">
      <formula>30</formula>
    </cfRule>
  </conditionalFormatting>
  <conditionalFormatting sqref="M361">
    <cfRule type="cellIs" dxfId="0" priority="2155" operator="lessThan">
      <formula>30</formula>
    </cfRule>
  </conditionalFormatting>
  <conditionalFormatting sqref="M362">
    <cfRule type="cellIs" dxfId="0" priority="2154" operator="lessThan">
      <formula>30</formula>
    </cfRule>
  </conditionalFormatting>
  <conditionalFormatting sqref="M363">
    <cfRule type="cellIs" dxfId="0" priority="2153" operator="lessThan">
      <formula>30</formula>
    </cfRule>
  </conditionalFormatting>
  <conditionalFormatting sqref="M364">
    <cfRule type="cellIs" dxfId="0" priority="2152" operator="lessThan">
      <formula>30</formula>
    </cfRule>
  </conditionalFormatting>
  <conditionalFormatting sqref="M365">
    <cfRule type="cellIs" dxfId="0" priority="2151" operator="lessThan">
      <formula>30</formula>
    </cfRule>
  </conditionalFormatting>
  <conditionalFormatting sqref="M366">
    <cfRule type="cellIs" dxfId="0" priority="2150" operator="lessThan">
      <formula>30</formula>
    </cfRule>
  </conditionalFormatting>
  <conditionalFormatting sqref="M367">
    <cfRule type="cellIs" dxfId="0" priority="2149" operator="lessThan">
      <formula>30</formula>
    </cfRule>
  </conditionalFormatting>
  <conditionalFormatting sqref="M368">
    <cfRule type="cellIs" dxfId="0" priority="2148" operator="lessThan">
      <formula>30</formula>
    </cfRule>
  </conditionalFormatting>
  <conditionalFormatting sqref="M369">
    <cfRule type="cellIs" dxfId="0" priority="2147" operator="lessThan">
      <formula>30</formula>
    </cfRule>
  </conditionalFormatting>
  <conditionalFormatting sqref="M370">
    <cfRule type="cellIs" dxfId="0" priority="2146" operator="lessThan">
      <formula>30</formula>
    </cfRule>
  </conditionalFormatting>
  <conditionalFormatting sqref="M371">
    <cfRule type="cellIs" dxfId="0" priority="2145" operator="lessThan">
      <formula>30</formula>
    </cfRule>
  </conditionalFormatting>
  <conditionalFormatting sqref="M372">
    <cfRule type="cellIs" dxfId="0" priority="2144" operator="lessThan">
      <formula>30</formula>
    </cfRule>
  </conditionalFormatting>
  <conditionalFormatting sqref="M373">
    <cfRule type="cellIs" dxfId="0" priority="2143" operator="lessThan">
      <formula>30</formula>
    </cfRule>
  </conditionalFormatting>
  <conditionalFormatting sqref="M374">
    <cfRule type="cellIs" dxfId="0" priority="2142" operator="lessThan">
      <formula>30</formula>
    </cfRule>
  </conditionalFormatting>
  <conditionalFormatting sqref="M375">
    <cfRule type="cellIs" dxfId="0" priority="2141" operator="lessThan">
      <formula>30</formula>
    </cfRule>
  </conditionalFormatting>
  <conditionalFormatting sqref="M376">
    <cfRule type="cellIs" dxfId="0" priority="2140" operator="lessThan">
      <formula>30</formula>
    </cfRule>
  </conditionalFormatting>
  <conditionalFormatting sqref="M377">
    <cfRule type="cellIs" dxfId="0" priority="2139" operator="lessThan">
      <formula>30</formula>
    </cfRule>
  </conditionalFormatting>
  <conditionalFormatting sqref="M378">
    <cfRule type="cellIs" dxfId="0" priority="2138" operator="lessThan">
      <formula>30</formula>
    </cfRule>
  </conditionalFormatting>
  <conditionalFormatting sqref="M379">
    <cfRule type="cellIs" dxfId="0" priority="2137" operator="lessThan">
      <formula>30</formula>
    </cfRule>
  </conditionalFormatting>
  <conditionalFormatting sqref="M380">
    <cfRule type="cellIs" dxfId="0" priority="2136" operator="lessThan">
      <formula>30</formula>
    </cfRule>
  </conditionalFormatting>
  <conditionalFormatting sqref="M381">
    <cfRule type="cellIs" dxfId="0" priority="2135" operator="lessThan">
      <formula>30</formula>
    </cfRule>
  </conditionalFormatting>
  <conditionalFormatting sqref="M382">
    <cfRule type="cellIs" dxfId="0" priority="2134" operator="lessThan">
      <formula>30</formula>
    </cfRule>
  </conditionalFormatting>
  <conditionalFormatting sqref="M383">
    <cfRule type="cellIs" dxfId="0" priority="2133" operator="lessThan">
      <formula>30</formula>
    </cfRule>
  </conditionalFormatting>
  <conditionalFormatting sqref="M384">
    <cfRule type="cellIs" dxfId="0" priority="2132" operator="lessThan">
      <formula>30</formula>
    </cfRule>
  </conditionalFormatting>
  <conditionalFormatting sqref="M385">
    <cfRule type="cellIs" dxfId="0" priority="2131" operator="lessThan">
      <formula>30</formula>
    </cfRule>
  </conditionalFormatting>
  <conditionalFormatting sqref="M386">
    <cfRule type="cellIs" dxfId="0" priority="2130" operator="lessThan">
      <formula>30</formula>
    </cfRule>
  </conditionalFormatting>
  <conditionalFormatting sqref="M387">
    <cfRule type="cellIs" dxfId="0" priority="2129" operator="lessThan">
      <formula>30</formula>
    </cfRule>
  </conditionalFormatting>
  <conditionalFormatting sqref="M388">
    <cfRule type="cellIs" dxfId="0" priority="2128" operator="lessThan">
      <formula>30</formula>
    </cfRule>
  </conditionalFormatting>
  <conditionalFormatting sqref="M389">
    <cfRule type="cellIs" dxfId="0" priority="2127" operator="lessThan">
      <formula>30</formula>
    </cfRule>
  </conditionalFormatting>
  <conditionalFormatting sqref="M390">
    <cfRule type="cellIs" dxfId="0" priority="2126" operator="lessThan">
      <formula>30</formula>
    </cfRule>
  </conditionalFormatting>
  <conditionalFormatting sqref="M391">
    <cfRule type="cellIs" dxfId="0" priority="2125" operator="lessThan">
      <formula>30</formula>
    </cfRule>
  </conditionalFormatting>
  <conditionalFormatting sqref="M392">
    <cfRule type="cellIs" dxfId="0" priority="2124" operator="lessThan">
      <formula>30</formula>
    </cfRule>
  </conditionalFormatting>
  <conditionalFormatting sqref="M393">
    <cfRule type="cellIs" dxfId="0" priority="2123" operator="lessThan">
      <formula>30</formula>
    </cfRule>
  </conditionalFormatting>
  <conditionalFormatting sqref="AZ393">
    <cfRule type="cellIs" dxfId="0" priority="243" operator="lessThan">
      <formula>30</formula>
    </cfRule>
  </conditionalFormatting>
  <conditionalFormatting sqref="M394">
    <cfRule type="cellIs" dxfId="0" priority="2122" operator="lessThan">
      <formula>30</formula>
    </cfRule>
  </conditionalFormatting>
  <conditionalFormatting sqref="M395">
    <cfRule type="cellIs" dxfId="0" priority="2121" operator="lessThan">
      <formula>30</formula>
    </cfRule>
  </conditionalFormatting>
  <conditionalFormatting sqref="M396">
    <cfRule type="cellIs" dxfId="0" priority="2120" operator="lessThan">
      <formula>30</formula>
    </cfRule>
  </conditionalFormatting>
  <conditionalFormatting sqref="M397">
    <cfRule type="cellIs" dxfId="0" priority="2119" operator="lessThan">
      <formula>30</formula>
    </cfRule>
  </conditionalFormatting>
  <conditionalFormatting sqref="AM397">
    <cfRule type="cellIs" dxfId="0" priority="787" operator="lessThan">
      <formula>30</formula>
    </cfRule>
  </conditionalFormatting>
  <conditionalFormatting sqref="M398">
    <cfRule type="cellIs" dxfId="0" priority="2118" operator="lessThan">
      <formula>30</formula>
    </cfRule>
  </conditionalFormatting>
  <conditionalFormatting sqref="AZ398">
    <cfRule type="cellIs" dxfId="0" priority="241" operator="lessThan">
      <formula>30</formula>
    </cfRule>
  </conditionalFormatting>
  <conditionalFormatting sqref="M399">
    <cfRule type="cellIs" dxfId="0" priority="2117" operator="lessThan">
      <formula>30</formula>
    </cfRule>
  </conditionalFormatting>
  <conditionalFormatting sqref="M400">
    <cfRule type="cellIs" dxfId="0" priority="2116" operator="lessThan">
      <formula>30</formula>
    </cfRule>
  </conditionalFormatting>
  <conditionalFormatting sqref="M401">
    <cfRule type="cellIs" dxfId="0" priority="2115" operator="lessThan">
      <formula>30</formula>
    </cfRule>
  </conditionalFormatting>
  <conditionalFormatting sqref="M402">
    <cfRule type="cellIs" dxfId="0" priority="2114" operator="lessThan">
      <formula>30</formula>
    </cfRule>
  </conditionalFormatting>
  <conditionalFormatting sqref="M403">
    <cfRule type="cellIs" dxfId="0" priority="2113" operator="lessThan">
      <formula>30</formula>
    </cfRule>
  </conditionalFormatting>
  <conditionalFormatting sqref="AZ403">
    <cfRule type="cellIs" dxfId="0" priority="239" operator="lessThan">
      <formula>30</formula>
    </cfRule>
  </conditionalFormatting>
  <conditionalFormatting sqref="M404">
    <cfRule type="cellIs" dxfId="0" priority="2112" operator="lessThan">
      <formula>30</formula>
    </cfRule>
  </conditionalFormatting>
  <conditionalFormatting sqref="M405">
    <cfRule type="cellIs" dxfId="0" priority="2111" operator="lessThan">
      <formula>30</formula>
    </cfRule>
  </conditionalFormatting>
  <conditionalFormatting sqref="M406">
    <cfRule type="cellIs" dxfId="0" priority="2110" operator="lessThan">
      <formula>30</formula>
    </cfRule>
  </conditionalFormatting>
  <conditionalFormatting sqref="M407">
    <cfRule type="cellIs" dxfId="0" priority="2109" operator="lessThan">
      <formula>30</formula>
    </cfRule>
  </conditionalFormatting>
  <conditionalFormatting sqref="M408">
    <cfRule type="cellIs" dxfId="0" priority="2108" operator="lessThan">
      <formula>30</formula>
    </cfRule>
  </conditionalFormatting>
  <conditionalFormatting sqref="Z408">
    <cfRule type="cellIs" dxfId="0" priority="1330" operator="lessThan">
      <formula>30</formula>
    </cfRule>
  </conditionalFormatting>
  <conditionalFormatting sqref="AZ408">
    <cfRule type="cellIs" dxfId="0" priority="237" operator="lessThan">
      <formula>30</formula>
    </cfRule>
  </conditionalFormatting>
  <conditionalFormatting sqref="M409">
    <cfRule type="cellIs" dxfId="0" priority="2107" operator="lessThan">
      <formula>30</formula>
    </cfRule>
  </conditionalFormatting>
  <conditionalFormatting sqref="M410">
    <cfRule type="cellIs" dxfId="0" priority="2106" operator="lessThan">
      <formula>30</formula>
    </cfRule>
  </conditionalFormatting>
  <conditionalFormatting sqref="M411">
    <cfRule type="cellIs" dxfId="0" priority="2105" operator="lessThan">
      <formula>30</formula>
    </cfRule>
  </conditionalFormatting>
  <conditionalFormatting sqref="M412">
    <cfRule type="cellIs" dxfId="0" priority="2104" operator="lessThan">
      <formula>30</formula>
    </cfRule>
  </conditionalFormatting>
  <conditionalFormatting sqref="M413">
    <cfRule type="cellIs" dxfId="0" priority="2103" operator="lessThan">
      <formula>30</formula>
    </cfRule>
  </conditionalFormatting>
  <conditionalFormatting sqref="AZ413">
    <cfRule type="cellIs" dxfId="0" priority="235" operator="lessThan">
      <formula>30</formula>
    </cfRule>
  </conditionalFormatting>
  <conditionalFormatting sqref="M414">
    <cfRule type="cellIs" dxfId="0" priority="2102" operator="lessThan">
      <formula>30</formula>
    </cfRule>
  </conditionalFormatting>
  <conditionalFormatting sqref="M415">
    <cfRule type="cellIs" dxfId="0" priority="2101" operator="lessThan">
      <formula>30</formula>
    </cfRule>
  </conditionalFormatting>
  <conditionalFormatting sqref="M416">
    <cfRule type="cellIs" dxfId="0" priority="2100" operator="lessThan">
      <formula>30</formula>
    </cfRule>
  </conditionalFormatting>
  <conditionalFormatting sqref="M417">
    <cfRule type="cellIs" dxfId="0" priority="2099" operator="lessThan">
      <formula>30</formula>
    </cfRule>
  </conditionalFormatting>
  <conditionalFormatting sqref="M418">
    <cfRule type="cellIs" dxfId="0" priority="2098" operator="lessThan">
      <formula>30</formula>
    </cfRule>
  </conditionalFormatting>
  <conditionalFormatting sqref="AZ418">
    <cfRule type="cellIs" dxfId="0" priority="233" operator="lessThan">
      <formula>30</formula>
    </cfRule>
  </conditionalFormatting>
  <conditionalFormatting sqref="M419">
    <cfRule type="cellIs" dxfId="0" priority="2097" operator="lessThan">
      <formula>30</formula>
    </cfRule>
  </conditionalFormatting>
  <conditionalFormatting sqref="AM419">
    <cfRule type="cellIs" dxfId="0" priority="782" operator="lessThan">
      <formula>30</formula>
    </cfRule>
  </conditionalFormatting>
  <conditionalFormatting sqref="M420">
    <cfRule type="cellIs" dxfId="0" priority="2096" operator="lessThan">
      <formula>30</formula>
    </cfRule>
  </conditionalFormatting>
  <conditionalFormatting sqref="AM420">
    <cfRule type="cellIs" dxfId="0" priority="781" operator="lessThan">
      <formula>30</formula>
    </cfRule>
  </conditionalFormatting>
  <conditionalFormatting sqref="M421">
    <cfRule type="cellIs" dxfId="0" priority="2095" operator="lessThan">
      <formula>30</formula>
    </cfRule>
  </conditionalFormatting>
  <conditionalFormatting sqref="AM421">
    <cfRule type="cellIs" dxfId="0" priority="780" operator="lessThan">
      <formula>30</formula>
    </cfRule>
  </conditionalFormatting>
  <conditionalFormatting sqref="M422">
    <cfRule type="cellIs" dxfId="0" priority="2094" operator="lessThan">
      <formula>30</formula>
    </cfRule>
  </conditionalFormatting>
  <conditionalFormatting sqref="AM422">
    <cfRule type="cellIs" dxfId="0" priority="779" operator="lessThan">
      <formula>30</formula>
    </cfRule>
  </conditionalFormatting>
  <conditionalFormatting sqref="M423">
    <cfRule type="cellIs" dxfId="0" priority="2093" operator="lessThan">
      <formula>30</formula>
    </cfRule>
  </conditionalFormatting>
  <conditionalFormatting sqref="AM423">
    <cfRule type="cellIs" dxfId="0" priority="778" operator="lessThan">
      <formula>30</formula>
    </cfRule>
  </conditionalFormatting>
  <conditionalFormatting sqref="AZ423">
    <cfRule type="cellIs" dxfId="0" priority="231" operator="lessThan">
      <formula>30</formula>
    </cfRule>
  </conditionalFormatting>
  <conditionalFormatting sqref="M424">
    <cfRule type="cellIs" dxfId="0" priority="2092" operator="lessThan">
      <formula>30</formula>
    </cfRule>
  </conditionalFormatting>
  <conditionalFormatting sqref="AM424">
    <cfRule type="cellIs" dxfId="0" priority="777" operator="lessThan">
      <formula>30</formula>
    </cfRule>
  </conditionalFormatting>
  <conditionalFormatting sqref="M425">
    <cfRule type="cellIs" dxfId="0" priority="2091" operator="lessThan">
      <formula>30</formula>
    </cfRule>
  </conditionalFormatting>
  <conditionalFormatting sqref="AM425">
    <cfRule type="cellIs" dxfId="0" priority="776" operator="lessThan">
      <formula>30</formula>
    </cfRule>
  </conditionalFormatting>
  <conditionalFormatting sqref="M426">
    <cfRule type="cellIs" dxfId="0" priority="2090" operator="lessThan">
      <formula>30</formula>
    </cfRule>
  </conditionalFormatting>
  <conditionalFormatting sqref="AM426">
    <cfRule type="cellIs" dxfId="0" priority="775" operator="lessThan">
      <formula>30</formula>
    </cfRule>
  </conditionalFormatting>
  <conditionalFormatting sqref="M427">
    <cfRule type="cellIs" dxfId="0" priority="2089" operator="lessThan">
      <formula>30</formula>
    </cfRule>
  </conditionalFormatting>
  <conditionalFormatting sqref="AM427">
    <cfRule type="cellIs" dxfId="0" priority="774" operator="lessThan">
      <formula>30</formula>
    </cfRule>
  </conditionalFormatting>
  <conditionalFormatting sqref="M428">
    <cfRule type="cellIs" dxfId="0" priority="2088" operator="lessThan">
      <formula>30</formula>
    </cfRule>
  </conditionalFormatting>
  <conditionalFormatting sqref="AM428">
    <cfRule type="cellIs" dxfId="0" priority="773" operator="lessThan">
      <formula>30</formula>
    </cfRule>
  </conditionalFormatting>
  <conditionalFormatting sqref="AZ428">
    <cfRule type="cellIs" dxfId="0" priority="229" operator="lessThan">
      <formula>30</formula>
    </cfRule>
  </conditionalFormatting>
  <conditionalFormatting sqref="M429">
    <cfRule type="cellIs" dxfId="0" priority="2087" operator="lessThan">
      <formula>30</formula>
    </cfRule>
  </conditionalFormatting>
  <conditionalFormatting sqref="AM429">
    <cfRule type="cellIs" dxfId="0" priority="772" operator="lessThan">
      <formula>30</formula>
    </cfRule>
  </conditionalFormatting>
  <conditionalFormatting sqref="M430">
    <cfRule type="cellIs" dxfId="0" priority="2086" operator="lessThan">
      <formula>30</formula>
    </cfRule>
  </conditionalFormatting>
  <conditionalFormatting sqref="AM430">
    <cfRule type="cellIs" dxfId="0" priority="771" operator="lessThan">
      <formula>30</formula>
    </cfRule>
  </conditionalFormatting>
  <conditionalFormatting sqref="M431">
    <cfRule type="cellIs" dxfId="0" priority="2085" operator="lessThan">
      <formula>30</formula>
    </cfRule>
  </conditionalFormatting>
  <conditionalFormatting sqref="AM431">
    <cfRule type="cellIs" dxfId="0" priority="770" operator="lessThan">
      <formula>30</formula>
    </cfRule>
  </conditionalFormatting>
  <conditionalFormatting sqref="M432">
    <cfRule type="cellIs" dxfId="0" priority="2084" operator="lessThan">
      <formula>30</formula>
    </cfRule>
  </conditionalFormatting>
  <conditionalFormatting sqref="AM432">
    <cfRule type="cellIs" dxfId="0" priority="769" operator="lessThan">
      <formula>30</formula>
    </cfRule>
  </conditionalFormatting>
  <conditionalFormatting sqref="M433">
    <cfRule type="cellIs" dxfId="0" priority="2083" operator="lessThan">
      <formula>30</formula>
    </cfRule>
  </conditionalFormatting>
  <conditionalFormatting sqref="AM433">
    <cfRule type="cellIs" dxfId="0" priority="768" operator="lessThan">
      <formula>30</formula>
    </cfRule>
  </conditionalFormatting>
  <conditionalFormatting sqref="AZ433">
    <cfRule type="cellIs" dxfId="0" priority="227" operator="lessThan">
      <formula>30</formula>
    </cfRule>
  </conditionalFormatting>
  <conditionalFormatting sqref="M434">
    <cfRule type="cellIs" dxfId="0" priority="2082" operator="lessThan">
      <formula>30</formula>
    </cfRule>
  </conditionalFormatting>
  <conditionalFormatting sqref="AM434">
    <cfRule type="cellIs" dxfId="0" priority="767" operator="lessThan">
      <formula>30</formula>
    </cfRule>
  </conditionalFormatting>
  <conditionalFormatting sqref="M435">
    <cfRule type="cellIs" dxfId="0" priority="2081" operator="lessThan">
      <formula>30</formula>
    </cfRule>
  </conditionalFormatting>
  <conditionalFormatting sqref="AM435">
    <cfRule type="cellIs" dxfId="0" priority="766" operator="lessThan">
      <formula>30</formula>
    </cfRule>
  </conditionalFormatting>
  <conditionalFormatting sqref="M436">
    <cfRule type="cellIs" dxfId="0" priority="2080" operator="lessThan">
      <formula>30</formula>
    </cfRule>
  </conditionalFormatting>
  <conditionalFormatting sqref="AM436">
    <cfRule type="cellIs" dxfId="0" priority="765" operator="lessThan">
      <formula>30</formula>
    </cfRule>
  </conditionalFormatting>
  <conditionalFormatting sqref="M437">
    <cfRule type="cellIs" dxfId="0" priority="2079" operator="lessThan">
      <formula>30</formula>
    </cfRule>
  </conditionalFormatting>
  <conditionalFormatting sqref="AM437">
    <cfRule type="cellIs" dxfId="0" priority="764" operator="lessThan">
      <formula>30</formula>
    </cfRule>
  </conditionalFormatting>
  <conditionalFormatting sqref="M438">
    <cfRule type="cellIs" dxfId="0" priority="2078" operator="lessThan">
      <formula>30</formula>
    </cfRule>
  </conditionalFormatting>
  <conditionalFormatting sqref="AZ438">
    <cfRule type="cellIs" dxfId="0" priority="225" operator="lessThan">
      <formula>30</formula>
    </cfRule>
  </conditionalFormatting>
  <conditionalFormatting sqref="M439">
    <cfRule type="cellIs" dxfId="0" priority="2077" operator="lessThan">
      <formula>30</formula>
    </cfRule>
  </conditionalFormatting>
  <conditionalFormatting sqref="M440">
    <cfRule type="cellIs" dxfId="0" priority="2076" operator="lessThan">
      <formula>30</formula>
    </cfRule>
  </conditionalFormatting>
  <conditionalFormatting sqref="M441">
    <cfRule type="cellIs" dxfId="0" priority="2075" operator="lessThan">
      <formula>30</formula>
    </cfRule>
  </conditionalFormatting>
  <conditionalFormatting sqref="M442">
    <cfRule type="cellIs" dxfId="0" priority="2074" operator="lessThan">
      <formula>30</formula>
    </cfRule>
  </conditionalFormatting>
  <conditionalFormatting sqref="M443">
    <cfRule type="cellIs" dxfId="0" priority="2073" operator="lessThan">
      <formula>30</formula>
    </cfRule>
  </conditionalFormatting>
  <conditionalFormatting sqref="AZ443">
    <cfRule type="cellIs" dxfId="0" priority="223" operator="lessThan">
      <formula>30</formula>
    </cfRule>
  </conditionalFormatting>
  <conditionalFormatting sqref="M444">
    <cfRule type="cellIs" dxfId="0" priority="2072" operator="lessThan">
      <formula>30</formula>
    </cfRule>
  </conditionalFormatting>
  <conditionalFormatting sqref="M445">
    <cfRule type="cellIs" dxfId="0" priority="2071" operator="lessThan">
      <formula>30</formula>
    </cfRule>
  </conditionalFormatting>
  <conditionalFormatting sqref="M446">
    <cfRule type="cellIs" dxfId="0" priority="2070" operator="lessThan">
      <formula>30</formula>
    </cfRule>
  </conditionalFormatting>
  <conditionalFormatting sqref="M447">
    <cfRule type="cellIs" dxfId="0" priority="2069" operator="lessThan">
      <formula>30</formula>
    </cfRule>
  </conditionalFormatting>
  <conditionalFormatting sqref="M448">
    <cfRule type="cellIs" dxfId="0" priority="2068" operator="lessThan">
      <formula>30</formula>
    </cfRule>
  </conditionalFormatting>
  <conditionalFormatting sqref="AZ448">
    <cfRule type="cellIs" dxfId="0" priority="221" operator="lessThan">
      <formula>30</formula>
    </cfRule>
  </conditionalFormatting>
  <conditionalFormatting sqref="M449">
    <cfRule type="cellIs" dxfId="0" priority="2067" operator="lessThan">
      <formula>30</formula>
    </cfRule>
  </conditionalFormatting>
  <conditionalFormatting sqref="M450">
    <cfRule type="cellIs" dxfId="0" priority="2066" operator="lessThan">
      <formula>30</formula>
    </cfRule>
  </conditionalFormatting>
  <conditionalFormatting sqref="M451">
    <cfRule type="cellIs" dxfId="0" priority="2065" operator="lessThan">
      <formula>30</formula>
    </cfRule>
  </conditionalFormatting>
  <conditionalFormatting sqref="M452">
    <cfRule type="cellIs" dxfId="0" priority="2064" operator="lessThan">
      <formula>30</formula>
    </cfRule>
  </conditionalFormatting>
  <conditionalFormatting sqref="M453">
    <cfRule type="cellIs" dxfId="0" priority="2063" operator="lessThan">
      <formula>30</formula>
    </cfRule>
  </conditionalFormatting>
  <conditionalFormatting sqref="AZ453">
    <cfRule type="cellIs" dxfId="0" priority="219" operator="lessThan">
      <formula>30</formula>
    </cfRule>
  </conditionalFormatting>
  <conditionalFormatting sqref="M454">
    <cfRule type="cellIs" dxfId="0" priority="2062" operator="lessThan">
      <formula>30</formula>
    </cfRule>
  </conditionalFormatting>
  <conditionalFormatting sqref="M455">
    <cfRule type="cellIs" dxfId="0" priority="2061" operator="lessThan">
      <formula>30</formula>
    </cfRule>
  </conditionalFormatting>
  <conditionalFormatting sqref="M456">
    <cfRule type="cellIs" dxfId="0" priority="2060" operator="lessThan">
      <formula>30</formula>
    </cfRule>
  </conditionalFormatting>
  <conditionalFormatting sqref="M457">
    <cfRule type="cellIs" dxfId="0" priority="2059" operator="lessThan">
      <formula>30</formula>
    </cfRule>
  </conditionalFormatting>
  <conditionalFormatting sqref="M458">
    <cfRule type="cellIs" dxfId="0" priority="2058" operator="lessThan">
      <formula>30</formula>
    </cfRule>
  </conditionalFormatting>
  <conditionalFormatting sqref="AZ458">
    <cfRule type="cellIs" dxfId="0" priority="217" operator="lessThan">
      <formula>30</formula>
    </cfRule>
  </conditionalFormatting>
  <conditionalFormatting sqref="M459">
    <cfRule type="cellIs" dxfId="0" priority="2057" operator="lessThan">
      <formula>30</formula>
    </cfRule>
  </conditionalFormatting>
  <conditionalFormatting sqref="M460">
    <cfRule type="cellIs" dxfId="0" priority="2056" operator="lessThan">
      <formula>30</formula>
    </cfRule>
  </conditionalFormatting>
  <conditionalFormatting sqref="M461">
    <cfRule type="cellIs" dxfId="0" priority="2055" operator="lessThan">
      <formula>30</formula>
    </cfRule>
  </conditionalFormatting>
  <conditionalFormatting sqref="M462">
    <cfRule type="cellIs" dxfId="0" priority="2054" operator="lessThan">
      <formula>30</formula>
    </cfRule>
  </conditionalFormatting>
  <conditionalFormatting sqref="M463">
    <cfRule type="cellIs" dxfId="0" priority="2053" operator="lessThan">
      <formula>30</formula>
    </cfRule>
  </conditionalFormatting>
  <conditionalFormatting sqref="AZ463">
    <cfRule type="cellIs" dxfId="0" priority="215" operator="lessThan">
      <formula>30</formula>
    </cfRule>
  </conditionalFormatting>
  <conditionalFormatting sqref="M464">
    <cfRule type="cellIs" dxfId="0" priority="2052" operator="lessThan">
      <formula>30</formula>
    </cfRule>
  </conditionalFormatting>
  <conditionalFormatting sqref="M465">
    <cfRule type="cellIs" dxfId="0" priority="2051" operator="lessThan">
      <formula>30</formula>
    </cfRule>
  </conditionalFormatting>
  <conditionalFormatting sqref="M466">
    <cfRule type="cellIs" dxfId="0" priority="2050" operator="lessThan">
      <formula>30</formula>
    </cfRule>
  </conditionalFormatting>
  <conditionalFormatting sqref="M467">
    <cfRule type="cellIs" dxfId="0" priority="2049" operator="lessThan">
      <formula>30</formula>
    </cfRule>
  </conditionalFormatting>
  <conditionalFormatting sqref="M468">
    <cfRule type="cellIs" dxfId="0" priority="2048" operator="lessThan">
      <formula>30</formula>
    </cfRule>
  </conditionalFormatting>
  <conditionalFormatting sqref="AZ468">
    <cfRule type="cellIs" dxfId="0" priority="213" operator="lessThan">
      <formula>30</formula>
    </cfRule>
  </conditionalFormatting>
  <conditionalFormatting sqref="M469">
    <cfRule type="cellIs" dxfId="0" priority="2047" operator="lessThan">
      <formula>30</formula>
    </cfRule>
  </conditionalFormatting>
  <conditionalFormatting sqref="M470">
    <cfRule type="cellIs" dxfId="0" priority="2046" operator="lessThan">
      <formula>30</formula>
    </cfRule>
  </conditionalFormatting>
  <conditionalFormatting sqref="M471">
    <cfRule type="cellIs" dxfId="0" priority="2045" operator="lessThan">
      <formula>30</formula>
    </cfRule>
  </conditionalFormatting>
  <conditionalFormatting sqref="M472">
    <cfRule type="cellIs" dxfId="0" priority="2044" operator="lessThan">
      <formula>30</formula>
    </cfRule>
  </conditionalFormatting>
  <conditionalFormatting sqref="M473">
    <cfRule type="cellIs" dxfId="0" priority="2043" operator="lessThan">
      <formula>30</formula>
    </cfRule>
  </conditionalFormatting>
  <conditionalFormatting sqref="M474">
    <cfRule type="cellIs" dxfId="0" priority="2042" operator="lessThan">
      <formula>30</formula>
    </cfRule>
  </conditionalFormatting>
  <conditionalFormatting sqref="M475">
    <cfRule type="cellIs" dxfId="0" priority="2041" operator="lessThan">
      <formula>30</formula>
    </cfRule>
  </conditionalFormatting>
  <conditionalFormatting sqref="M476">
    <cfRule type="cellIs" dxfId="0" priority="2040" operator="lessThan">
      <formula>30</formula>
    </cfRule>
  </conditionalFormatting>
  <conditionalFormatting sqref="M477">
    <cfRule type="cellIs" dxfId="0" priority="2039" operator="lessThan">
      <formula>30</formula>
    </cfRule>
  </conditionalFormatting>
  <conditionalFormatting sqref="M478">
    <cfRule type="cellIs" dxfId="0" priority="2038" operator="lessThan">
      <formula>30</formula>
    </cfRule>
  </conditionalFormatting>
  <conditionalFormatting sqref="M479">
    <cfRule type="cellIs" dxfId="0" priority="2037" operator="lessThan">
      <formula>30</formula>
    </cfRule>
  </conditionalFormatting>
  <conditionalFormatting sqref="M480">
    <cfRule type="cellIs" dxfId="0" priority="2036" operator="lessThan">
      <formula>30</formula>
    </cfRule>
  </conditionalFormatting>
  <conditionalFormatting sqref="M481">
    <cfRule type="cellIs" dxfId="0" priority="2035" operator="lessThan">
      <formula>30</formula>
    </cfRule>
  </conditionalFormatting>
  <conditionalFormatting sqref="M482">
    <cfRule type="cellIs" dxfId="0" priority="2034" operator="lessThan">
      <formula>30</formula>
    </cfRule>
  </conditionalFormatting>
  <conditionalFormatting sqref="M483">
    <cfRule type="cellIs" dxfId="0" priority="2033" operator="lessThan">
      <formula>30</formula>
    </cfRule>
  </conditionalFormatting>
  <conditionalFormatting sqref="M484">
    <cfRule type="cellIs" dxfId="0" priority="2032" operator="lessThan">
      <formula>30</formula>
    </cfRule>
  </conditionalFormatting>
  <conditionalFormatting sqref="M485">
    <cfRule type="cellIs" dxfId="0" priority="2031" operator="lessThan">
      <formula>30</formula>
    </cfRule>
  </conditionalFormatting>
  <conditionalFormatting sqref="M486">
    <cfRule type="cellIs" dxfId="0" priority="2030" operator="lessThan">
      <formula>30</formula>
    </cfRule>
  </conditionalFormatting>
  <conditionalFormatting sqref="M487">
    <cfRule type="cellIs" dxfId="0" priority="2029" operator="lessThan">
      <formula>30</formula>
    </cfRule>
  </conditionalFormatting>
  <conditionalFormatting sqref="M488">
    <cfRule type="cellIs" dxfId="0" priority="2028" operator="lessThan">
      <formula>30</formula>
    </cfRule>
  </conditionalFormatting>
  <conditionalFormatting sqref="M489">
    <cfRule type="cellIs" dxfId="0" priority="2027" operator="lessThan">
      <formula>30</formula>
    </cfRule>
  </conditionalFormatting>
  <conditionalFormatting sqref="M490">
    <cfRule type="cellIs" dxfId="0" priority="2026" operator="lessThan">
      <formula>30</formula>
    </cfRule>
  </conditionalFormatting>
  <conditionalFormatting sqref="M491">
    <cfRule type="cellIs" dxfId="0" priority="2025" operator="lessThan">
      <formula>30</formula>
    </cfRule>
  </conditionalFormatting>
  <conditionalFormatting sqref="M492">
    <cfRule type="cellIs" dxfId="0" priority="2024" operator="lessThan">
      <formula>30</formula>
    </cfRule>
  </conditionalFormatting>
  <conditionalFormatting sqref="M493">
    <cfRule type="cellIs" dxfId="0" priority="2023" operator="lessThan">
      <formula>30</formula>
    </cfRule>
  </conditionalFormatting>
  <conditionalFormatting sqref="M494">
    <cfRule type="cellIs" dxfId="0" priority="2022" operator="lessThan">
      <formula>30</formula>
    </cfRule>
  </conditionalFormatting>
  <conditionalFormatting sqref="M495">
    <cfRule type="cellIs" dxfId="0" priority="2021" operator="lessThan">
      <formula>30</formula>
    </cfRule>
  </conditionalFormatting>
  <conditionalFormatting sqref="M496">
    <cfRule type="cellIs" dxfId="0" priority="2020" operator="lessThan">
      <formula>30</formula>
    </cfRule>
  </conditionalFormatting>
  <conditionalFormatting sqref="M497">
    <cfRule type="cellIs" dxfId="0" priority="2019" operator="lessThan">
      <formula>30</formula>
    </cfRule>
  </conditionalFormatting>
  <conditionalFormatting sqref="M498">
    <cfRule type="cellIs" dxfId="0" priority="2018" operator="lessThan">
      <formula>30</formula>
    </cfRule>
  </conditionalFormatting>
  <conditionalFormatting sqref="M499">
    <cfRule type="cellIs" dxfId="0" priority="2017" operator="lessThan">
      <formula>30</formula>
    </cfRule>
  </conditionalFormatting>
  <conditionalFormatting sqref="AM499">
    <cfRule type="cellIs" dxfId="0" priority="744" operator="lessThan">
      <formula>30</formula>
    </cfRule>
  </conditionalFormatting>
  <conditionalFormatting sqref="M500">
    <cfRule type="cellIs" dxfId="0" priority="2016" operator="lessThan">
      <formula>30</formula>
    </cfRule>
  </conditionalFormatting>
  <conditionalFormatting sqref="AM500">
    <cfRule type="cellIs" dxfId="0" priority="743" operator="lessThan">
      <formula>30</formula>
    </cfRule>
  </conditionalFormatting>
  <conditionalFormatting sqref="M501">
    <cfRule type="cellIs" dxfId="0" priority="2015" operator="lessThan">
      <formula>30</formula>
    </cfRule>
  </conditionalFormatting>
  <conditionalFormatting sqref="AM501">
    <cfRule type="cellIs" dxfId="0" priority="742" operator="lessThan">
      <formula>30</formula>
    </cfRule>
  </conditionalFormatting>
  <conditionalFormatting sqref="M502">
    <cfRule type="cellIs" dxfId="0" priority="2014" operator="lessThan">
      <formula>30</formula>
    </cfRule>
  </conditionalFormatting>
  <conditionalFormatting sqref="AM502">
    <cfRule type="cellIs" dxfId="0" priority="741" operator="lessThan">
      <formula>30</formula>
    </cfRule>
  </conditionalFormatting>
  <conditionalFormatting sqref="M503">
    <cfRule type="cellIs" dxfId="0" priority="2013" operator="lessThan">
      <formula>30</formula>
    </cfRule>
  </conditionalFormatting>
  <conditionalFormatting sqref="AM503">
    <cfRule type="cellIs" dxfId="0" priority="740" operator="lessThan">
      <formula>30</formula>
    </cfRule>
  </conditionalFormatting>
  <conditionalFormatting sqref="M504">
    <cfRule type="cellIs" dxfId="0" priority="2012" operator="lessThan">
      <formula>30</formula>
    </cfRule>
  </conditionalFormatting>
  <conditionalFormatting sqref="AM504">
    <cfRule type="cellIs" dxfId="0" priority="739" operator="lessThan">
      <formula>30</formula>
    </cfRule>
  </conditionalFormatting>
  <conditionalFormatting sqref="M505">
    <cfRule type="cellIs" dxfId="0" priority="2011" operator="lessThan">
      <formula>30</formula>
    </cfRule>
  </conditionalFormatting>
  <conditionalFormatting sqref="AM505">
    <cfRule type="cellIs" dxfId="0" priority="738" operator="lessThan">
      <formula>30</formula>
    </cfRule>
  </conditionalFormatting>
  <conditionalFormatting sqref="M506">
    <cfRule type="cellIs" dxfId="0" priority="2010" operator="lessThan">
      <formula>30</formula>
    </cfRule>
  </conditionalFormatting>
  <conditionalFormatting sqref="AM506">
    <cfRule type="cellIs" dxfId="0" priority="737" operator="lessThan">
      <formula>30</formula>
    </cfRule>
  </conditionalFormatting>
  <conditionalFormatting sqref="M507">
    <cfRule type="cellIs" dxfId="0" priority="2009" operator="lessThan">
      <formula>30</formula>
    </cfRule>
  </conditionalFormatting>
  <conditionalFormatting sqref="AM507">
    <cfRule type="cellIs" dxfId="0" priority="736" operator="lessThan">
      <formula>30</formula>
    </cfRule>
  </conditionalFormatting>
  <conditionalFormatting sqref="M508">
    <cfRule type="cellIs" dxfId="0" priority="2008" operator="lessThan">
      <formula>30</formula>
    </cfRule>
  </conditionalFormatting>
  <conditionalFormatting sqref="AM508">
    <cfRule type="cellIs" dxfId="0" priority="735" operator="lessThan">
      <formula>30</formula>
    </cfRule>
  </conditionalFormatting>
  <conditionalFormatting sqref="M509">
    <cfRule type="cellIs" dxfId="0" priority="2007" operator="lessThan">
      <formula>30</formula>
    </cfRule>
  </conditionalFormatting>
  <conditionalFormatting sqref="AM509">
    <cfRule type="cellIs" dxfId="0" priority="734" operator="lessThan">
      <formula>30</formula>
    </cfRule>
  </conditionalFormatting>
  <conditionalFormatting sqref="AZ509">
    <cfRule type="cellIs" dxfId="0" priority="8" operator="lessThan">
      <formula>30</formula>
    </cfRule>
  </conditionalFormatting>
  <conditionalFormatting sqref="M510">
    <cfRule type="cellIs" dxfId="0" priority="2006" operator="lessThan">
      <formula>30</formula>
    </cfRule>
  </conditionalFormatting>
  <conditionalFormatting sqref="Z510">
    <cfRule type="cellIs" dxfId="0" priority="568" operator="lessThan">
      <formula>30</formula>
    </cfRule>
  </conditionalFormatting>
  <conditionalFormatting sqref="AM510">
    <cfRule type="cellIs" dxfId="0" priority="733" operator="lessThan">
      <formula>30</formula>
    </cfRule>
  </conditionalFormatting>
  <conditionalFormatting sqref="AZ510">
    <cfRule type="cellIs" dxfId="0" priority="7" operator="lessThan">
      <formula>30</formula>
    </cfRule>
  </conditionalFormatting>
  <conditionalFormatting sqref="M511">
    <cfRule type="cellIs" dxfId="0" priority="2005" operator="lessThan">
      <formula>30</formula>
    </cfRule>
  </conditionalFormatting>
  <conditionalFormatting sqref="Z511">
    <cfRule type="cellIs" dxfId="0" priority="567" operator="lessThan">
      <formula>30</formula>
    </cfRule>
  </conditionalFormatting>
  <conditionalFormatting sqref="AM511">
    <cfRule type="cellIs" dxfId="0" priority="732" operator="lessThan">
      <formula>30</formula>
    </cfRule>
  </conditionalFormatting>
  <conditionalFormatting sqref="AZ511">
    <cfRule type="cellIs" dxfId="0" priority="6" operator="lessThan">
      <formula>30</formula>
    </cfRule>
  </conditionalFormatting>
  <conditionalFormatting sqref="M512">
    <cfRule type="cellIs" dxfId="0" priority="2004" operator="lessThan">
      <formula>30</formula>
    </cfRule>
  </conditionalFormatting>
  <conditionalFormatting sqref="Z512">
    <cfRule type="cellIs" dxfId="0" priority="1227" operator="lessThan">
      <formula>30</formula>
    </cfRule>
  </conditionalFormatting>
  <conditionalFormatting sqref="AM512">
    <cfRule type="cellIs" dxfId="0" priority="731" operator="lessThan">
      <formula>30</formula>
    </cfRule>
  </conditionalFormatting>
  <conditionalFormatting sqref="AZ512">
    <cfRule type="cellIs" dxfId="0" priority="5" operator="lessThan">
      <formula>30</formula>
    </cfRule>
  </conditionalFormatting>
  <conditionalFormatting sqref="M513">
    <cfRule type="cellIs" dxfId="0" priority="2003" operator="lessThan">
      <formula>30</formula>
    </cfRule>
  </conditionalFormatting>
  <conditionalFormatting sqref="Z513">
    <cfRule type="cellIs" dxfId="0" priority="1226" operator="lessThan">
      <formula>30</formula>
    </cfRule>
  </conditionalFormatting>
  <conditionalFormatting sqref="AM513">
    <cfRule type="cellIs" dxfId="0" priority="730" operator="lessThan">
      <formula>30</formula>
    </cfRule>
  </conditionalFormatting>
  <conditionalFormatting sqref="AZ513">
    <cfRule type="cellIs" dxfId="0" priority="4" operator="lessThan">
      <formula>30</formula>
    </cfRule>
  </conditionalFormatting>
  <conditionalFormatting sqref="M514">
    <cfRule type="cellIs" dxfId="0" priority="2002" operator="lessThan">
      <formula>30</formula>
    </cfRule>
  </conditionalFormatting>
  <conditionalFormatting sqref="Z514">
    <cfRule type="cellIs" dxfId="0" priority="1225" operator="lessThan">
      <formula>30</formula>
    </cfRule>
  </conditionalFormatting>
  <conditionalFormatting sqref="AM514">
    <cfRule type="cellIs" dxfId="0" priority="729" operator="lessThan">
      <formula>30</formula>
    </cfRule>
  </conditionalFormatting>
  <conditionalFormatting sqref="AZ514">
    <cfRule type="cellIs" dxfId="0" priority="3" operator="lessThan">
      <formula>30</formula>
    </cfRule>
  </conditionalFormatting>
  <conditionalFormatting sqref="M515">
    <cfRule type="cellIs" dxfId="0" priority="2001" operator="lessThan">
      <formula>30</formula>
    </cfRule>
  </conditionalFormatting>
  <conditionalFormatting sqref="Z515">
    <cfRule type="cellIs" dxfId="0" priority="1224" operator="lessThan">
      <formula>30</formula>
    </cfRule>
  </conditionalFormatting>
  <conditionalFormatting sqref="AM515">
    <cfRule type="cellIs" dxfId="0" priority="728" operator="lessThan">
      <formula>30</formula>
    </cfRule>
  </conditionalFormatting>
  <conditionalFormatting sqref="AZ515">
    <cfRule type="cellIs" dxfId="0" priority="2" operator="lessThan">
      <formula>30</formula>
    </cfRule>
  </conditionalFormatting>
  <conditionalFormatting sqref="M516">
    <cfRule type="cellIs" dxfId="0" priority="2000" operator="lessThan">
      <formula>30</formula>
    </cfRule>
  </conditionalFormatting>
  <conditionalFormatting sqref="Z516">
    <cfRule type="cellIs" dxfId="0" priority="1223" operator="lessThan">
      <formula>30</formula>
    </cfRule>
  </conditionalFormatting>
  <conditionalFormatting sqref="AM516">
    <cfRule type="cellIs" dxfId="0" priority="727" operator="lessThan">
      <formula>30</formula>
    </cfRule>
  </conditionalFormatting>
  <conditionalFormatting sqref="AZ516">
    <cfRule type="cellIs" dxfId="0" priority="1" operator="lessThan">
      <formula>30</formula>
    </cfRule>
  </conditionalFormatting>
  <conditionalFormatting sqref="M517">
    <cfRule type="cellIs" dxfId="0" priority="1999" operator="lessThan">
      <formula>30</formula>
    </cfRule>
  </conditionalFormatting>
  <conditionalFormatting sqref="Z517">
    <cfRule type="cellIs" dxfId="0" priority="1222" operator="lessThan">
      <formula>30</formula>
    </cfRule>
  </conditionalFormatting>
  <conditionalFormatting sqref="AM517">
    <cfRule type="cellIs" dxfId="0" priority="726" operator="lessThan">
      <formula>30</formula>
    </cfRule>
  </conditionalFormatting>
  <conditionalFormatting sqref="M518">
    <cfRule type="cellIs" dxfId="0" priority="1998" operator="lessThan">
      <formula>30</formula>
    </cfRule>
  </conditionalFormatting>
  <conditionalFormatting sqref="Z518">
    <cfRule type="cellIs" dxfId="0" priority="1221" operator="lessThan">
      <formula>30</formula>
    </cfRule>
  </conditionalFormatting>
  <conditionalFormatting sqref="AM518">
    <cfRule type="cellIs" dxfId="0" priority="725" operator="lessThan">
      <formula>30</formula>
    </cfRule>
  </conditionalFormatting>
  <conditionalFormatting sqref="AZ518">
    <cfRule type="cellIs" dxfId="0" priority="24" operator="lessThan">
      <formula>30</formula>
    </cfRule>
  </conditionalFormatting>
  <conditionalFormatting sqref="M519">
    <cfRule type="cellIs" dxfId="0" priority="1997" operator="lessThan">
      <formula>30</formula>
    </cfRule>
  </conditionalFormatting>
  <conditionalFormatting sqref="AM519">
    <cfRule type="cellIs" dxfId="0" priority="724" operator="lessThan">
      <formula>30</formula>
    </cfRule>
  </conditionalFormatting>
  <conditionalFormatting sqref="AZ519">
    <cfRule type="cellIs" dxfId="0" priority="23" operator="lessThan">
      <formula>30</formula>
    </cfRule>
  </conditionalFormatting>
  <conditionalFormatting sqref="M520">
    <cfRule type="cellIs" dxfId="0" priority="1996" operator="lessThan">
      <formula>30</formula>
    </cfRule>
  </conditionalFormatting>
  <conditionalFormatting sqref="AM520">
    <cfRule type="cellIs" dxfId="0" priority="723" operator="lessThan">
      <formula>30</formula>
    </cfRule>
  </conditionalFormatting>
  <conditionalFormatting sqref="AZ520">
    <cfRule type="cellIs" dxfId="0" priority="22" operator="lessThan">
      <formula>30</formula>
    </cfRule>
  </conditionalFormatting>
  <conditionalFormatting sqref="M521">
    <cfRule type="cellIs" dxfId="0" priority="1995" operator="lessThan">
      <formula>30</formula>
    </cfRule>
  </conditionalFormatting>
  <conditionalFormatting sqref="AM521">
    <cfRule type="cellIs" dxfId="0" priority="722" operator="lessThan">
      <formula>30</formula>
    </cfRule>
  </conditionalFormatting>
  <conditionalFormatting sqref="AZ521">
    <cfRule type="cellIs" dxfId="0" priority="21" operator="lessThan">
      <formula>30</formula>
    </cfRule>
  </conditionalFormatting>
  <conditionalFormatting sqref="M522">
    <cfRule type="cellIs" dxfId="0" priority="1994" operator="lessThan">
      <formula>30</formula>
    </cfRule>
  </conditionalFormatting>
  <conditionalFormatting sqref="Z522">
    <cfRule type="cellIs" dxfId="0" priority="1290" operator="lessThan">
      <formula>30</formula>
    </cfRule>
  </conditionalFormatting>
  <conditionalFormatting sqref="AM522">
    <cfRule type="cellIs" dxfId="0" priority="721" operator="lessThan">
      <formula>30</formula>
    </cfRule>
  </conditionalFormatting>
  <conditionalFormatting sqref="AZ522">
    <cfRule type="cellIs" dxfId="0" priority="20" operator="lessThan">
      <formula>30</formula>
    </cfRule>
  </conditionalFormatting>
  <conditionalFormatting sqref="M523">
    <cfRule type="cellIs" dxfId="0" priority="1993" operator="lessThan">
      <formula>30</formula>
    </cfRule>
  </conditionalFormatting>
  <conditionalFormatting sqref="Z523">
    <cfRule type="cellIs" dxfId="0" priority="1289" operator="lessThan">
      <formula>30</formula>
    </cfRule>
  </conditionalFormatting>
  <conditionalFormatting sqref="AM523">
    <cfRule type="cellIs" dxfId="0" priority="720" operator="lessThan">
      <formula>30</formula>
    </cfRule>
  </conditionalFormatting>
  <conditionalFormatting sqref="AZ523">
    <cfRule type="cellIs" dxfId="0" priority="19" operator="lessThan">
      <formula>30</formula>
    </cfRule>
  </conditionalFormatting>
  <conditionalFormatting sqref="M524">
    <cfRule type="cellIs" dxfId="0" priority="1992" operator="lessThan">
      <formula>30</formula>
    </cfRule>
  </conditionalFormatting>
  <conditionalFormatting sqref="AM524">
    <cfRule type="cellIs" dxfId="0" priority="719" operator="lessThan">
      <formula>30</formula>
    </cfRule>
  </conditionalFormatting>
  <conditionalFormatting sqref="AZ524">
    <cfRule type="cellIs" dxfId="0" priority="18" operator="lessThan">
      <formula>30</formula>
    </cfRule>
  </conditionalFormatting>
  <conditionalFormatting sqref="M525">
    <cfRule type="cellIs" dxfId="0" priority="1991" operator="lessThan">
      <formula>30</formula>
    </cfRule>
  </conditionalFormatting>
  <conditionalFormatting sqref="AM525">
    <cfRule type="cellIs" dxfId="0" priority="718" operator="lessThan">
      <formula>30</formula>
    </cfRule>
  </conditionalFormatting>
  <conditionalFormatting sqref="AZ525">
    <cfRule type="cellIs" dxfId="0" priority="17" operator="lessThan">
      <formula>30</formula>
    </cfRule>
  </conditionalFormatting>
  <conditionalFormatting sqref="M526">
    <cfRule type="cellIs" dxfId="0" priority="1990" operator="lessThan">
      <formula>30</formula>
    </cfRule>
  </conditionalFormatting>
  <conditionalFormatting sqref="AM526">
    <cfRule type="cellIs" dxfId="0" priority="717" operator="lessThan">
      <formula>30</formula>
    </cfRule>
  </conditionalFormatting>
  <conditionalFormatting sqref="AZ526">
    <cfRule type="cellIs" dxfId="0" priority="16" operator="lessThan">
      <formula>30</formula>
    </cfRule>
  </conditionalFormatting>
  <conditionalFormatting sqref="M527">
    <cfRule type="cellIs" dxfId="0" priority="1989" operator="lessThan">
      <formula>30</formula>
    </cfRule>
  </conditionalFormatting>
  <conditionalFormatting sqref="AM527">
    <cfRule type="cellIs" dxfId="0" priority="716" operator="lessThan">
      <formula>30</formula>
    </cfRule>
  </conditionalFormatting>
  <conditionalFormatting sqref="AZ527">
    <cfRule type="cellIs" dxfId="0" priority="15" operator="lessThan">
      <formula>30</formula>
    </cfRule>
  </conditionalFormatting>
  <conditionalFormatting sqref="M528">
    <cfRule type="cellIs" dxfId="0" priority="1988" operator="lessThan">
      <formula>30</formula>
    </cfRule>
  </conditionalFormatting>
  <conditionalFormatting sqref="AM528">
    <cfRule type="cellIs" dxfId="0" priority="715" operator="lessThan">
      <formula>30</formula>
    </cfRule>
  </conditionalFormatting>
  <conditionalFormatting sqref="AZ528">
    <cfRule type="cellIs" dxfId="0" priority="14" operator="lessThan">
      <formula>30</formula>
    </cfRule>
  </conditionalFormatting>
  <conditionalFormatting sqref="M529">
    <cfRule type="cellIs" dxfId="0" priority="1987" operator="lessThan">
      <formula>30</formula>
    </cfRule>
  </conditionalFormatting>
  <conditionalFormatting sqref="AM529">
    <cfRule type="cellIs" dxfId="0" priority="714" operator="lessThan">
      <formula>30</formula>
    </cfRule>
  </conditionalFormatting>
  <conditionalFormatting sqref="AZ529">
    <cfRule type="cellIs" dxfId="0" priority="13" operator="lessThan">
      <formula>30</formula>
    </cfRule>
  </conditionalFormatting>
  <conditionalFormatting sqref="M530">
    <cfRule type="cellIs" dxfId="0" priority="1986" operator="lessThan">
      <formula>30</formula>
    </cfRule>
  </conditionalFormatting>
  <conditionalFormatting sqref="AM530">
    <cfRule type="cellIs" dxfId="0" priority="713" operator="lessThan">
      <formula>30</formula>
    </cfRule>
  </conditionalFormatting>
  <conditionalFormatting sqref="AZ530">
    <cfRule type="cellIs" dxfId="0" priority="12" operator="lessThan">
      <formula>30</formula>
    </cfRule>
  </conditionalFormatting>
  <conditionalFormatting sqref="M531">
    <cfRule type="cellIs" dxfId="0" priority="1985" operator="lessThan">
      <formula>30</formula>
    </cfRule>
  </conditionalFormatting>
  <conditionalFormatting sqref="AM531">
    <cfRule type="cellIs" dxfId="0" priority="712" operator="lessThan">
      <formula>30</formula>
    </cfRule>
  </conditionalFormatting>
  <conditionalFormatting sqref="AZ531">
    <cfRule type="cellIs" dxfId="0" priority="11" operator="lessThan">
      <formula>30</formula>
    </cfRule>
  </conditionalFormatting>
  <conditionalFormatting sqref="M532">
    <cfRule type="cellIs" dxfId="0" priority="1984" operator="lessThan">
      <formula>30</formula>
    </cfRule>
  </conditionalFormatting>
  <conditionalFormatting sqref="AZ532">
    <cfRule type="cellIs" dxfId="0" priority="10" operator="lessThan">
      <formula>30</formula>
    </cfRule>
  </conditionalFormatting>
  <conditionalFormatting sqref="M533">
    <cfRule type="cellIs" dxfId="0" priority="1983" operator="lessThan">
      <formula>30</formula>
    </cfRule>
  </conditionalFormatting>
  <conditionalFormatting sqref="AZ533">
    <cfRule type="cellIs" dxfId="0" priority="9" operator="lessThan">
      <formula>30</formula>
    </cfRule>
  </conditionalFormatting>
  <conditionalFormatting sqref="M534">
    <cfRule type="cellIs" dxfId="0" priority="1982" operator="lessThan">
      <formula>30</formula>
    </cfRule>
  </conditionalFormatting>
  <conditionalFormatting sqref="M535">
    <cfRule type="cellIs" dxfId="0" priority="1981" operator="lessThan">
      <formula>30</formula>
    </cfRule>
  </conditionalFormatting>
  <conditionalFormatting sqref="M536">
    <cfRule type="cellIs" dxfId="0" priority="1980" operator="lessThan">
      <formula>30</formula>
    </cfRule>
  </conditionalFormatting>
  <conditionalFormatting sqref="M537">
    <cfRule type="cellIs" dxfId="0" priority="1979" operator="lessThan">
      <formula>30</formula>
    </cfRule>
  </conditionalFormatting>
  <conditionalFormatting sqref="M538">
    <cfRule type="cellIs" dxfId="0" priority="1978" operator="lessThan">
      <formula>30</formula>
    </cfRule>
  </conditionalFormatting>
  <conditionalFormatting sqref="M539">
    <cfRule type="cellIs" dxfId="0" priority="1977" operator="lessThan">
      <formula>30</formula>
    </cfRule>
  </conditionalFormatting>
  <conditionalFormatting sqref="M540">
    <cfRule type="cellIs" dxfId="0" priority="1976" operator="lessThan">
      <formula>30</formula>
    </cfRule>
  </conditionalFormatting>
  <conditionalFormatting sqref="M541">
    <cfRule type="cellIs" dxfId="0" priority="1975" operator="lessThan">
      <formula>30</formula>
    </cfRule>
  </conditionalFormatting>
  <conditionalFormatting sqref="M542">
    <cfRule type="cellIs" dxfId="0" priority="1974" operator="lessThan">
      <formula>30</formula>
    </cfRule>
  </conditionalFormatting>
  <conditionalFormatting sqref="M543">
    <cfRule type="cellIs" dxfId="0" priority="1973" operator="lessThan">
      <formula>30</formula>
    </cfRule>
  </conditionalFormatting>
  <conditionalFormatting sqref="M544">
    <cfRule type="cellIs" dxfId="0" priority="1972" operator="lessThan">
      <formula>30</formula>
    </cfRule>
  </conditionalFormatting>
  <conditionalFormatting sqref="M545">
    <cfRule type="cellIs" dxfId="0" priority="1971" operator="lessThan">
      <formula>30</formula>
    </cfRule>
  </conditionalFormatting>
  <conditionalFormatting sqref="AZ545">
    <cfRule type="cellIs" dxfId="0" priority="43" operator="lessThan">
      <formula>30</formula>
    </cfRule>
  </conditionalFormatting>
  <conditionalFormatting sqref="M546">
    <cfRule type="cellIs" dxfId="0" priority="1970" operator="lessThan">
      <formula>30</formula>
    </cfRule>
  </conditionalFormatting>
  <conditionalFormatting sqref="AZ546">
    <cfRule type="cellIs" dxfId="0" priority="42" operator="lessThan">
      <formula>30</formula>
    </cfRule>
  </conditionalFormatting>
  <conditionalFormatting sqref="M547">
    <cfRule type="cellIs" dxfId="0" priority="1969" operator="lessThan">
      <formula>30</formula>
    </cfRule>
  </conditionalFormatting>
  <conditionalFormatting sqref="M548">
    <cfRule type="cellIs" dxfId="0" priority="1968" operator="lessThan">
      <formula>30</formula>
    </cfRule>
  </conditionalFormatting>
  <conditionalFormatting sqref="M549">
    <cfRule type="cellIs" dxfId="0" priority="1967" operator="lessThan">
      <formula>30</formula>
    </cfRule>
  </conditionalFormatting>
  <conditionalFormatting sqref="M550">
    <cfRule type="cellIs" dxfId="0" priority="1966" operator="lessThan">
      <formula>30</formula>
    </cfRule>
  </conditionalFormatting>
  <conditionalFormatting sqref="M551">
    <cfRule type="cellIs" dxfId="0" priority="1965" operator="lessThan">
      <formula>30</formula>
    </cfRule>
  </conditionalFormatting>
  <conditionalFormatting sqref="M552">
    <cfRule type="cellIs" dxfId="0" priority="1964" operator="lessThan">
      <formula>30</formula>
    </cfRule>
  </conditionalFormatting>
  <conditionalFormatting sqref="M553">
    <cfRule type="cellIs" dxfId="0" priority="1963" operator="lessThan">
      <formula>30</formula>
    </cfRule>
  </conditionalFormatting>
  <conditionalFormatting sqref="M554">
    <cfRule type="cellIs" dxfId="0" priority="1962" operator="lessThan">
      <formula>30</formula>
    </cfRule>
  </conditionalFormatting>
  <conditionalFormatting sqref="M555">
    <cfRule type="cellIs" dxfId="0" priority="1961" operator="lessThan">
      <formula>30</formula>
    </cfRule>
  </conditionalFormatting>
  <conditionalFormatting sqref="M556">
    <cfRule type="cellIs" dxfId="0" priority="1960" operator="lessThan">
      <formula>30</formula>
    </cfRule>
  </conditionalFormatting>
  <conditionalFormatting sqref="AA556">
    <cfRule type="cellIs" dxfId="0" priority="1303" operator="lessThan">
      <formula>30</formula>
    </cfRule>
  </conditionalFormatting>
  <conditionalFormatting sqref="M557">
    <cfRule type="cellIs" dxfId="0" priority="1959" operator="lessThan">
      <formula>30</formula>
    </cfRule>
  </conditionalFormatting>
  <conditionalFormatting sqref="AA557">
    <cfRule type="cellIs" dxfId="0" priority="1302" operator="lessThan">
      <formula>30</formula>
    </cfRule>
  </conditionalFormatting>
  <conditionalFormatting sqref="AM557">
    <cfRule type="cellIs" dxfId="0" priority="655" operator="lessThan">
      <formula>30</formula>
    </cfRule>
  </conditionalFormatting>
  <conditionalFormatting sqref="M558">
    <cfRule type="cellIs" dxfId="0" priority="1958" operator="lessThan">
      <formula>30</formula>
    </cfRule>
  </conditionalFormatting>
  <conditionalFormatting sqref="AM558">
    <cfRule type="cellIs" dxfId="0" priority="659" operator="lessThan">
      <formula>30</formula>
    </cfRule>
  </conditionalFormatting>
  <conditionalFormatting sqref="M559">
    <cfRule type="cellIs" dxfId="0" priority="1957" operator="lessThan">
      <formula>30</formula>
    </cfRule>
  </conditionalFormatting>
  <conditionalFormatting sqref="Z559">
    <cfRule type="cellIs" dxfId="0" priority="1299" operator="lessThan">
      <formula>30</formula>
    </cfRule>
  </conditionalFormatting>
  <conditionalFormatting sqref="AM559">
    <cfRule type="cellIs" dxfId="0" priority="660" operator="lessThan">
      <formula>30</formula>
    </cfRule>
  </conditionalFormatting>
  <conditionalFormatting sqref="M560">
    <cfRule type="cellIs" dxfId="0" priority="1956" operator="lessThan">
      <formula>30</formula>
    </cfRule>
  </conditionalFormatting>
  <conditionalFormatting sqref="Z560">
    <cfRule type="cellIs" dxfId="0" priority="1295" operator="lessThan">
      <formula>30</formula>
    </cfRule>
  </conditionalFormatting>
  <conditionalFormatting sqref="AM560">
    <cfRule type="cellIs" dxfId="0" priority="658" operator="lessThan">
      <formula>30</formula>
    </cfRule>
  </conditionalFormatting>
  <conditionalFormatting sqref="M561">
    <cfRule type="cellIs" dxfId="0" priority="1955" operator="lessThan">
      <formula>30</formula>
    </cfRule>
  </conditionalFormatting>
  <conditionalFormatting sqref="Z561">
    <cfRule type="cellIs" dxfId="0" priority="1298" operator="lessThan">
      <formula>30</formula>
    </cfRule>
  </conditionalFormatting>
  <conditionalFormatting sqref="AM561">
    <cfRule type="cellIs" dxfId="0" priority="657" operator="lessThan">
      <formula>30</formula>
    </cfRule>
  </conditionalFormatting>
  <conditionalFormatting sqref="M562">
    <cfRule type="cellIs" dxfId="0" priority="1954" operator="lessThan">
      <formula>30</formula>
    </cfRule>
  </conditionalFormatting>
  <conditionalFormatting sqref="Z562">
    <cfRule type="cellIs" dxfId="0" priority="1294" operator="lessThan">
      <formula>30</formula>
    </cfRule>
  </conditionalFormatting>
  <conditionalFormatting sqref="AM562">
    <cfRule type="cellIs" dxfId="0" priority="665" operator="lessThan">
      <formula>30</formula>
    </cfRule>
  </conditionalFormatting>
  <conditionalFormatting sqref="M563">
    <cfRule type="cellIs" dxfId="0" priority="1953" operator="lessThan">
      <formula>30</formula>
    </cfRule>
  </conditionalFormatting>
  <conditionalFormatting sqref="Z563">
    <cfRule type="cellIs" dxfId="0" priority="1293" operator="lessThan">
      <formula>30</formula>
    </cfRule>
  </conditionalFormatting>
  <conditionalFormatting sqref="AM563">
    <cfRule type="cellIs" dxfId="0" priority="664" operator="lessThan">
      <formula>30</formula>
    </cfRule>
  </conditionalFormatting>
  <conditionalFormatting sqref="M564">
    <cfRule type="cellIs" dxfId="0" priority="1952" operator="lessThan">
      <formula>30</formula>
    </cfRule>
  </conditionalFormatting>
  <conditionalFormatting sqref="Z564">
    <cfRule type="cellIs" dxfId="0" priority="1292" operator="lessThan">
      <formula>30</formula>
    </cfRule>
  </conditionalFormatting>
  <conditionalFormatting sqref="AM564">
    <cfRule type="cellIs" dxfId="0" priority="663" operator="lessThan">
      <formula>30</formula>
    </cfRule>
  </conditionalFormatting>
  <conditionalFormatting sqref="M565">
    <cfRule type="cellIs" dxfId="0" priority="1951" operator="lessThan">
      <formula>30</formula>
    </cfRule>
  </conditionalFormatting>
  <conditionalFormatting sqref="Z565">
    <cfRule type="cellIs" dxfId="0" priority="1326" operator="lessThan">
      <formula>30</formula>
    </cfRule>
  </conditionalFormatting>
  <conditionalFormatting sqref="AM565">
    <cfRule type="cellIs" dxfId="0" priority="675" operator="lessThan">
      <formula>30</formula>
    </cfRule>
  </conditionalFormatting>
  <conditionalFormatting sqref="M566">
    <cfRule type="cellIs" dxfId="0" priority="1950" operator="lessThan">
      <formula>30</formula>
    </cfRule>
  </conditionalFormatting>
  <conditionalFormatting sqref="Z566">
    <cfRule type="cellIs" dxfId="0" priority="1325" operator="lessThan">
      <formula>30</formula>
    </cfRule>
  </conditionalFormatting>
  <conditionalFormatting sqref="AM566">
    <cfRule type="cellIs" dxfId="0" priority="674" operator="lessThan">
      <formula>30</formula>
    </cfRule>
  </conditionalFormatting>
  <conditionalFormatting sqref="M567">
    <cfRule type="cellIs" dxfId="0" priority="1949" operator="lessThan">
      <formula>30</formula>
    </cfRule>
  </conditionalFormatting>
  <conditionalFormatting sqref="Z567">
    <cfRule type="cellIs" dxfId="0" priority="1324" operator="lessThan">
      <formula>30</formula>
    </cfRule>
  </conditionalFormatting>
  <conditionalFormatting sqref="AM567">
    <cfRule type="cellIs" dxfId="0" priority="673" operator="lessThan">
      <formula>30</formula>
    </cfRule>
  </conditionalFormatting>
  <conditionalFormatting sqref="AZ567">
    <cfRule type="cellIs" dxfId="0" priority="186" operator="lessThan">
      <formula>30</formula>
    </cfRule>
  </conditionalFormatting>
  <conditionalFormatting sqref="M568">
    <cfRule type="cellIs" dxfId="0" priority="1948" operator="lessThan">
      <formula>30</formula>
    </cfRule>
  </conditionalFormatting>
  <conditionalFormatting sqref="Z568">
    <cfRule type="cellIs" dxfId="0" priority="1323" operator="lessThan">
      <formula>30</formula>
    </cfRule>
  </conditionalFormatting>
  <conditionalFormatting sqref="AM568">
    <cfRule type="cellIs" dxfId="0" priority="672" operator="lessThan">
      <formula>30</formula>
    </cfRule>
  </conditionalFormatting>
  <conditionalFormatting sqref="AZ568">
    <cfRule type="cellIs" dxfId="0" priority="185" operator="lessThan">
      <formula>30</formula>
    </cfRule>
  </conditionalFormatting>
  <conditionalFormatting sqref="M569">
    <cfRule type="cellIs" dxfId="0" priority="1947" operator="lessThan">
      <formula>30</formula>
    </cfRule>
  </conditionalFormatting>
  <conditionalFormatting sqref="Z569">
    <cfRule type="cellIs" dxfId="0" priority="1322" operator="lessThan">
      <formula>30</formula>
    </cfRule>
  </conditionalFormatting>
  <conditionalFormatting sqref="AM569">
    <cfRule type="cellIs" dxfId="0" priority="671" operator="lessThan">
      <formula>30</formula>
    </cfRule>
  </conditionalFormatting>
  <conditionalFormatting sqref="AZ569">
    <cfRule type="cellIs" dxfId="0" priority="184" operator="lessThan">
      <formula>30</formula>
    </cfRule>
  </conditionalFormatting>
  <conditionalFormatting sqref="M570">
    <cfRule type="cellIs" dxfId="0" priority="1946" operator="lessThan">
      <formula>30</formula>
    </cfRule>
  </conditionalFormatting>
  <conditionalFormatting sqref="Z570">
    <cfRule type="cellIs" dxfId="0" priority="1321" operator="lessThan">
      <formula>30</formula>
    </cfRule>
  </conditionalFormatting>
  <conditionalFormatting sqref="AM570">
    <cfRule type="cellIs" dxfId="0" priority="670" operator="lessThan">
      <formula>30</formula>
    </cfRule>
  </conditionalFormatting>
  <conditionalFormatting sqref="AZ570">
    <cfRule type="cellIs" dxfId="0" priority="183" operator="lessThan">
      <formula>30</formula>
    </cfRule>
  </conditionalFormatting>
  <conditionalFormatting sqref="M571">
    <cfRule type="cellIs" dxfId="0" priority="1945" operator="lessThan">
      <formula>30</formula>
    </cfRule>
  </conditionalFormatting>
  <conditionalFormatting sqref="Z571">
    <cfRule type="cellIs" dxfId="0" priority="1320" operator="lessThan">
      <formula>30</formula>
    </cfRule>
  </conditionalFormatting>
  <conditionalFormatting sqref="AM571">
    <cfRule type="cellIs" dxfId="0" priority="669" operator="lessThan">
      <formula>30</formula>
    </cfRule>
  </conditionalFormatting>
  <conditionalFormatting sqref="AZ571">
    <cfRule type="cellIs" dxfId="0" priority="182" operator="lessThan">
      <formula>30</formula>
    </cfRule>
  </conditionalFormatting>
  <conditionalFormatting sqref="M572">
    <cfRule type="cellIs" dxfId="0" priority="1944" operator="lessThan">
      <formula>30</formula>
    </cfRule>
  </conditionalFormatting>
  <conditionalFormatting sqref="Z572">
    <cfRule type="cellIs" dxfId="0" priority="1319" operator="lessThan">
      <formula>30</formula>
    </cfRule>
  </conditionalFormatting>
  <conditionalFormatting sqref="AZ572">
    <cfRule type="cellIs" dxfId="0" priority="181" operator="lessThan">
      <formula>30</formula>
    </cfRule>
  </conditionalFormatting>
  <conditionalFormatting sqref="M573">
    <cfRule type="cellIs" dxfId="0" priority="1943" operator="lessThan">
      <formula>30</formula>
    </cfRule>
  </conditionalFormatting>
  <conditionalFormatting sqref="AZ573">
    <cfRule type="cellIs" dxfId="0" priority="180" operator="lessThan">
      <formula>30</formula>
    </cfRule>
  </conditionalFormatting>
  <conditionalFormatting sqref="M574">
    <cfRule type="cellIs" dxfId="0" priority="1942" operator="lessThan">
      <formula>30</formula>
    </cfRule>
  </conditionalFormatting>
  <conditionalFormatting sqref="AZ574">
    <cfRule type="cellIs" dxfId="0" priority="179" operator="lessThan">
      <formula>30</formula>
    </cfRule>
  </conditionalFormatting>
  <conditionalFormatting sqref="M575">
    <cfRule type="cellIs" dxfId="0" priority="1941" operator="lessThan">
      <formula>30</formula>
    </cfRule>
  </conditionalFormatting>
  <conditionalFormatting sqref="AZ575">
    <cfRule type="cellIs" dxfId="0" priority="178" operator="lessThan">
      <formula>30</formula>
    </cfRule>
  </conditionalFormatting>
  <conditionalFormatting sqref="M576">
    <cfRule type="cellIs" dxfId="0" priority="1940" operator="lessThan">
      <formula>30</formula>
    </cfRule>
  </conditionalFormatting>
  <conditionalFormatting sqref="AZ576">
    <cfRule type="cellIs" dxfId="0" priority="177" operator="lessThan">
      <formula>30</formula>
    </cfRule>
  </conditionalFormatting>
  <conditionalFormatting sqref="M577">
    <cfRule type="cellIs" dxfId="0" priority="1939" operator="lessThan">
      <formula>30</formula>
    </cfRule>
  </conditionalFormatting>
  <conditionalFormatting sqref="AZ577">
    <cfRule type="cellIs" dxfId="0" priority="176" operator="lessThan">
      <formula>30</formula>
    </cfRule>
  </conditionalFormatting>
  <conditionalFormatting sqref="M578">
    <cfRule type="cellIs" dxfId="0" priority="1938" operator="lessThan">
      <formula>30</formula>
    </cfRule>
  </conditionalFormatting>
  <conditionalFormatting sqref="AM578">
    <cfRule type="cellIs" dxfId="0" priority="757" operator="lessThan">
      <formula>30</formula>
    </cfRule>
  </conditionalFormatting>
  <conditionalFormatting sqref="AZ578">
    <cfRule type="cellIs" dxfId="0" priority="175" operator="lessThan">
      <formula>30</formula>
    </cfRule>
  </conditionalFormatting>
  <conditionalFormatting sqref="M579">
    <cfRule type="cellIs" dxfId="0" priority="1937" operator="lessThan">
      <formula>30</formula>
    </cfRule>
  </conditionalFormatting>
  <conditionalFormatting sqref="AM579">
    <cfRule type="cellIs" dxfId="0" priority="756" operator="lessThan">
      <formula>30</formula>
    </cfRule>
  </conditionalFormatting>
  <conditionalFormatting sqref="AZ579">
    <cfRule type="cellIs" dxfId="0" priority="174" operator="lessThan">
      <formula>30</formula>
    </cfRule>
  </conditionalFormatting>
  <conditionalFormatting sqref="M580">
    <cfRule type="cellIs" dxfId="0" priority="1936" operator="lessThan">
      <formula>30</formula>
    </cfRule>
  </conditionalFormatting>
  <conditionalFormatting sqref="Z580">
    <cfRule type="cellIs" dxfId="0" priority="1285" operator="lessThan">
      <formula>30</formula>
    </cfRule>
  </conditionalFormatting>
  <conditionalFormatting sqref="AM580">
    <cfRule type="cellIs" dxfId="0" priority="755" operator="lessThan">
      <formula>30</formula>
    </cfRule>
  </conditionalFormatting>
  <conditionalFormatting sqref="AZ580">
    <cfRule type="cellIs" dxfId="0" priority="173" operator="lessThan">
      <formula>30</formula>
    </cfRule>
  </conditionalFormatting>
  <conditionalFormatting sqref="M581">
    <cfRule type="cellIs" dxfId="0" priority="1935" operator="lessThan">
      <formula>30</formula>
    </cfRule>
  </conditionalFormatting>
  <conditionalFormatting sqref="Z581">
    <cfRule type="cellIs" dxfId="0" priority="1284" operator="lessThan">
      <formula>30</formula>
    </cfRule>
  </conditionalFormatting>
  <conditionalFormatting sqref="AM581">
    <cfRule type="cellIs" dxfId="0" priority="754" operator="lessThan">
      <formula>30</formula>
    </cfRule>
  </conditionalFormatting>
  <conditionalFormatting sqref="AZ581">
    <cfRule type="cellIs" dxfId="0" priority="172" operator="lessThan">
      <formula>30</formula>
    </cfRule>
  </conditionalFormatting>
  <conditionalFormatting sqref="M582">
    <cfRule type="cellIs" dxfId="0" priority="1934" operator="lessThan">
      <formula>30</formula>
    </cfRule>
  </conditionalFormatting>
  <conditionalFormatting sqref="Z582">
    <cfRule type="cellIs" dxfId="0" priority="1283" operator="lessThan">
      <formula>30</formula>
    </cfRule>
  </conditionalFormatting>
  <conditionalFormatting sqref="AM582">
    <cfRule type="cellIs" dxfId="0" priority="753" operator="lessThan">
      <formula>30</formula>
    </cfRule>
  </conditionalFormatting>
  <conditionalFormatting sqref="AZ582">
    <cfRule type="cellIs" dxfId="0" priority="171" operator="lessThan">
      <formula>30</formula>
    </cfRule>
  </conditionalFormatting>
  <conditionalFormatting sqref="M583">
    <cfRule type="cellIs" dxfId="0" priority="1933" operator="lessThan">
      <formula>30</formula>
    </cfRule>
  </conditionalFormatting>
  <conditionalFormatting sqref="Z583">
    <cfRule type="cellIs" dxfId="0" priority="1282" operator="lessThan">
      <formula>30</formula>
    </cfRule>
  </conditionalFormatting>
  <conditionalFormatting sqref="AM583">
    <cfRule type="cellIs" dxfId="0" priority="752" operator="lessThan">
      <formula>30</formula>
    </cfRule>
  </conditionalFormatting>
  <conditionalFormatting sqref="AZ583">
    <cfRule type="cellIs" dxfId="0" priority="170" operator="lessThan">
      <formula>30</formula>
    </cfRule>
  </conditionalFormatting>
  <conditionalFormatting sqref="M584">
    <cfRule type="cellIs" dxfId="0" priority="1932" operator="lessThan">
      <formula>30</formula>
    </cfRule>
  </conditionalFormatting>
  <conditionalFormatting sqref="Z584">
    <cfRule type="cellIs" dxfId="0" priority="1281" operator="lessThan">
      <formula>30</formula>
    </cfRule>
  </conditionalFormatting>
  <conditionalFormatting sqref="AZ584">
    <cfRule type="cellIs" dxfId="0" priority="169" operator="lessThan">
      <formula>30</formula>
    </cfRule>
  </conditionalFormatting>
  <conditionalFormatting sqref="M585">
    <cfRule type="cellIs" dxfId="0" priority="1931" operator="lessThan">
      <formula>30</formula>
    </cfRule>
  </conditionalFormatting>
  <conditionalFormatting sqref="Z585">
    <cfRule type="cellIs" dxfId="0" priority="1280" operator="lessThan">
      <formula>30</formula>
    </cfRule>
  </conditionalFormatting>
  <conditionalFormatting sqref="AZ585">
    <cfRule type="cellIs" dxfId="0" priority="168" operator="lessThan">
      <formula>30</formula>
    </cfRule>
  </conditionalFormatting>
  <conditionalFormatting sqref="M586">
    <cfRule type="cellIs" dxfId="0" priority="1930" operator="lessThan">
      <formula>30</formula>
    </cfRule>
  </conditionalFormatting>
  <conditionalFormatting sqref="Z586">
    <cfRule type="cellIs" dxfId="0" priority="1279" operator="lessThan">
      <formula>30</formula>
    </cfRule>
  </conditionalFormatting>
  <conditionalFormatting sqref="AZ586">
    <cfRule type="cellIs" dxfId="0" priority="167" operator="lessThan">
      <formula>30</formula>
    </cfRule>
  </conditionalFormatting>
  <conditionalFormatting sqref="M587">
    <cfRule type="cellIs" dxfId="0" priority="1929" operator="lessThan">
      <formula>30</formula>
    </cfRule>
  </conditionalFormatting>
  <conditionalFormatting sqref="Z587">
    <cfRule type="cellIs" dxfId="0" priority="1278" operator="lessThan">
      <formula>30</formula>
    </cfRule>
  </conditionalFormatting>
  <conditionalFormatting sqref="AZ587">
    <cfRule type="cellIs" dxfId="0" priority="166" operator="lessThan">
      <formula>30</formula>
    </cfRule>
  </conditionalFormatting>
  <conditionalFormatting sqref="M588">
    <cfRule type="cellIs" dxfId="0" priority="1928" operator="lessThan">
      <formula>30</formula>
    </cfRule>
  </conditionalFormatting>
  <conditionalFormatting sqref="AZ588">
    <cfRule type="cellIs" dxfId="0" priority="165" operator="lessThan">
      <formula>30</formula>
    </cfRule>
  </conditionalFormatting>
  <conditionalFormatting sqref="M589">
    <cfRule type="cellIs" dxfId="0" priority="1927" operator="lessThan">
      <formula>30</formula>
    </cfRule>
  </conditionalFormatting>
  <conditionalFormatting sqref="AZ589">
    <cfRule type="cellIs" dxfId="0" priority="164" operator="lessThan">
      <formula>30</formula>
    </cfRule>
  </conditionalFormatting>
  <conditionalFormatting sqref="M590">
    <cfRule type="cellIs" dxfId="0" priority="1926" operator="lessThan">
      <formula>30</formula>
    </cfRule>
  </conditionalFormatting>
  <conditionalFormatting sqref="AZ590">
    <cfRule type="cellIs" dxfId="0" priority="163" operator="lessThan">
      <formula>30</formula>
    </cfRule>
  </conditionalFormatting>
  <conditionalFormatting sqref="M591">
    <cfRule type="cellIs" dxfId="0" priority="1925" operator="lessThan">
      <formula>30</formula>
    </cfRule>
  </conditionalFormatting>
  <conditionalFormatting sqref="AM591">
    <cfRule type="cellIs" dxfId="0" priority="750" operator="lessThan">
      <formula>30</formula>
    </cfRule>
  </conditionalFormatting>
  <conditionalFormatting sqref="AZ591">
    <cfRule type="cellIs" dxfId="0" priority="162" operator="lessThan">
      <formula>30</formula>
    </cfRule>
  </conditionalFormatting>
  <conditionalFormatting sqref="M592">
    <cfRule type="cellIs" dxfId="0" priority="1924" operator="lessThan">
      <formula>30</formula>
    </cfRule>
  </conditionalFormatting>
  <conditionalFormatting sqref="M593">
    <cfRule type="cellIs" dxfId="0" priority="1923" operator="lessThan">
      <formula>30</formula>
    </cfRule>
  </conditionalFormatting>
  <conditionalFormatting sqref="M594">
    <cfRule type="cellIs" dxfId="0" priority="1922" operator="lessThan">
      <formula>30</formula>
    </cfRule>
  </conditionalFormatting>
  <conditionalFormatting sqref="M595">
    <cfRule type="cellIs" dxfId="0" priority="1921" operator="lessThan">
      <formula>30</formula>
    </cfRule>
  </conditionalFormatting>
  <conditionalFormatting sqref="M596">
    <cfRule type="cellIs" dxfId="0" priority="1920" operator="lessThan">
      <formula>30</formula>
    </cfRule>
  </conditionalFormatting>
  <conditionalFormatting sqref="M597">
    <cfRule type="cellIs" dxfId="0" priority="1919" operator="lessThan">
      <formula>30</formula>
    </cfRule>
  </conditionalFormatting>
  <conditionalFormatting sqref="M598">
    <cfRule type="cellIs" dxfId="0" priority="1918" operator="lessThan">
      <formula>30</formula>
    </cfRule>
  </conditionalFormatting>
  <conditionalFormatting sqref="M599">
    <cfRule type="cellIs" dxfId="0" priority="1917" operator="lessThan">
      <formula>30</formula>
    </cfRule>
  </conditionalFormatting>
  <conditionalFormatting sqref="M600">
    <cfRule type="cellIs" dxfId="0" priority="1916" operator="lessThan">
      <formula>30</formula>
    </cfRule>
  </conditionalFormatting>
  <conditionalFormatting sqref="M601">
    <cfRule type="cellIs" dxfId="0" priority="1915" operator="lessThan">
      <formula>30</formula>
    </cfRule>
  </conditionalFormatting>
  <conditionalFormatting sqref="M602">
    <cfRule type="cellIs" dxfId="0" priority="1914" operator="lessThan">
      <formula>30</formula>
    </cfRule>
  </conditionalFormatting>
  <conditionalFormatting sqref="M603">
    <cfRule type="cellIs" dxfId="0" priority="1913" operator="lessThan">
      <formula>30</formula>
    </cfRule>
  </conditionalFormatting>
  <conditionalFormatting sqref="M604">
    <cfRule type="cellIs" dxfId="0" priority="1912" operator="lessThan">
      <formula>30</formula>
    </cfRule>
  </conditionalFormatting>
  <conditionalFormatting sqref="AZ604">
    <cfRule type="cellIs" dxfId="0" priority="34" operator="lessThan">
      <formula>30</formula>
    </cfRule>
  </conditionalFormatting>
  <conditionalFormatting sqref="M605">
    <cfRule type="cellIs" dxfId="0" priority="1911" operator="lessThan">
      <formula>30</formula>
    </cfRule>
  </conditionalFormatting>
  <conditionalFormatting sqref="M606">
    <cfRule type="cellIs" dxfId="0" priority="1909" operator="lessThan">
      <formula>30</formula>
    </cfRule>
  </conditionalFormatting>
  <conditionalFormatting sqref="M607">
    <cfRule type="cellIs" dxfId="0" priority="1908" operator="lessThan">
      <formula>30</formula>
    </cfRule>
  </conditionalFormatting>
  <conditionalFormatting sqref="M608">
    <cfRule type="cellIs" dxfId="0" priority="1907" operator="lessThan">
      <formula>30</formula>
    </cfRule>
  </conditionalFormatting>
  <conditionalFormatting sqref="M609">
    <cfRule type="cellIs" dxfId="0" priority="1906" operator="lessThan">
      <formula>30</formula>
    </cfRule>
  </conditionalFormatting>
  <conditionalFormatting sqref="M610">
    <cfRule type="cellIs" dxfId="0" priority="1905" operator="lessThan">
      <formula>30</formula>
    </cfRule>
  </conditionalFormatting>
  <conditionalFormatting sqref="M611">
    <cfRule type="cellIs" dxfId="0" priority="1904" operator="lessThan">
      <formula>30</formula>
    </cfRule>
  </conditionalFormatting>
  <conditionalFormatting sqref="Z611">
    <cfRule type="cellIs" dxfId="0" priority="1243" operator="lessThan">
      <formula>30</formula>
    </cfRule>
  </conditionalFormatting>
  <conditionalFormatting sqref="M612">
    <cfRule type="cellIs" dxfId="0" priority="1903" operator="lessThan">
      <formula>30</formula>
    </cfRule>
  </conditionalFormatting>
  <conditionalFormatting sqref="Z612">
    <cfRule type="cellIs" dxfId="0" priority="1242" operator="lessThan">
      <formula>30</formula>
    </cfRule>
  </conditionalFormatting>
  <conditionalFormatting sqref="M613">
    <cfRule type="cellIs" dxfId="0" priority="1902" operator="lessThan">
      <formula>30</formula>
    </cfRule>
  </conditionalFormatting>
  <conditionalFormatting sqref="Z613">
    <cfRule type="cellIs" dxfId="0" priority="1241" operator="lessThan">
      <formula>30</formula>
    </cfRule>
  </conditionalFormatting>
  <conditionalFormatting sqref="M614">
    <cfRule type="cellIs" dxfId="0" priority="1901" operator="lessThan">
      <formula>30</formula>
    </cfRule>
  </conditionalFormatting>
  <conditionalFormatting sqref="M615">
    <cfRule type="cellIs" dxfId="0" priority="1900" operator="lessThan">
      <formula>30</formula>
    </cfRule>
  </conditionalFormatting>
  <conditionalFormatting sqref="M616">
    <cfRule type="cellIs" dxfId="0" priority="1899" operator="lessThan">
      <formula>30</formula>
    </cfRule>
  </conditionalFormatting>
  <conditionalFormatting sqref="M617">
    <cfRule type="cellIs" dxfId="0" priority="1898" operator="lessThan">
      <formula>30</formula>
    </cfRule>
  </conditionalFormatting>
  <conditionalFormatting sqref="M618">
    <cfRule type="cellIs" dxfId="0" priority="1897" operator="lessThan">
      <formula>30</formula>
    </cfRule>
  </conditionalFormatting>
  <conditionalFormatting sqref="M619">
    <cfRule type="cellIs" dxfId="0" priority="1896" operator="lessThan">
      <formula>30</formula>
    </cfRule>
  </conditionalFormatting>
  <conditionalFormatting sqref="M620">
    <cfRule type="cellIs" dxfId="0" priority="1895" operator="lessThan">
      <formula>30</formula>
    </cfRule>
  </conditionalFormatting>
  <conditionalFormatting sqref="M621">
    <cfRule type="cellIs" dxfId="0" priority="1894" operator="lessThan">
      <formula>30</formula>
    </cfRule>
  </conditionalFormatting>
  <conditionalFormatting sqref="M622">
    <cfRule type="cellIs" dxfId="0" priority="1893" operator="lessThan">
      <formula>30</formula>
    </cfRule>
  </conditionalFormatting>
  <conditionalFormatting sqref="M623">
    <cfRule type="cellIs" dxfId="0" priority="1892" operator="lessThan">
      <formula>30</formula>
    </cfRule>
  </conditionalFormatting>
  <conditionalFormatting sqref="M624">
    <cfRule type="cellIs" dxfId="0" priority="1891" operator="lessThan">
      <formula>30</formula>
    </cfRule>
  </conditionalFormatting>
  <conditionalFormatting sqref="M625">
    <cfRule type="cellIs" dxfId="0" priority="1890" operator="lessThan">
      <formula>30</formula>
    </cfRule>
  </conditionalFormatting>
  <conditionalFormatting sqref="M626">
    <cfRule type="cellIs" dxfId="0" priority="1889" operator="lessThan">
      <formula>30</formula>
    </cfRule>
  </conditionalFormatting>
  <conditionalFormatting sqref="M627">
    <cfRule type="cellIs" dxfId="0" priority="1888" operator="lessThan">
      <formula>30</formula>
    </cfRule>
  </conditionalFormatting>
  <conditionalFormatting sqref="M628">
    <cfRule type="cellIs" dxfId="0" priority="1887" operator="lessThan">
      <formula>30</formula>
    </cfRule>
  </conditionalFormatting>
  <conditionalFormatting sqref="M629">
    <cfRule type="cellIs" dxfId="0" priority="1886" operator="lessThan">
      <formula>30</formula>
    </cfRule>
  </conditionalFormatting>
  <conditionalFormatting sqref="M630">
    <cfRule type="cellIs" dxfId="0" priority="1885" operator="lessThan">
      <formula>30</formula>
    </cfRule>
  </conditionalFormatting>
  <conditionalFormatting sqref="M631">
    <cfRule type="cellIs" dxfId="0" priority="1884" operator="lessThan">
      <formula>30</formula>
    </cfRule>
  </conditionalFormatting>
  <conditionalFormatting sqref="M632">
    <cfRule type="cellIs" dxfId="0" priority="1883" operator="lessThan">
      <formula>30</formula>
    </cfRule>
  </conditionalFormatting>
  <conditionalFormatting sqref="M633">
    <cfRule type="cellIs" dxfId="0" priority="1882" operator="lessThan">
      <formula>30</formula>
    </cfRule>
  </conditionalFormatting>
  <conditionalFormatting sqref="M634">
    <cfRule type="cellIs" dxfId="0" priority="1881" operator="lessThan">
      <formula>30</formula>
    </cfRule>
  </conditionalFormatting>
  <conditionalFormatting sqref="M635">
    <cfRule type="cellIs" dxfId="0" priority="1880" operator="lessThan">
      <formula>30</formula>
    </cfRule>
  </conditionalFormatting>
  <conditionalFormatting sqref="M636">
    <cfRule type="cellIs" dxfId="0" priority="1879" operator="lessThan">
      <formula>30</formula>
    </cfRule>
  </conditionalFormatting>
  <conditionalFormatting sqref="M637">
    <cfRule type="cellIs" dxfId="0" priority="1878" operator="lessThan">
      <formula>30</formula>
    </cfRule>
  </conditionalFormatting>
  <conditionalFormatting sqref="M638">
    <cfRule type="cellIs" dxfId="0" priority="1877" operator="lessThan">
      <formula>30</formula>
    </cfRule>
  </conditionalFormatting>
  <conditionalFormatting sqref="M639">
    <cfRule type="cellIs" dxfId="0" priority="1876" operator="lessThan">
      <formula>30</formula>
    </cfRule>
  </conditionalFormatting>
  <conditionalFormatting sqref="M640">
    <cfRule type="cellIs" dxfId="0" priority="1875" operator="lessThan">
      <formula>30</formula>
    </cfRule>
  </conditionalFormatting>
  <conditionalFormatting sqref="M641">
    <cfRule type="cellIs" dxfId="0" priority="1874" operator="lessThan">
      <formula>30</formula>
    </cfRule>
  </conditionalFormatting>
  <conditionalFormatting sqref="M642">
    <cfRule type="cellIs" dxfId="0" priority="1873" operator="lessThan">
      <formula>30</formula>
    </cfRule>
  </conditionalFormatting>
  <conditionalFormatting sqref="M643">
    <cfRule type="cellIs" dxfId="0" priority="1872" operator="lessThan">
      <formula>30</formula>
    </cfRule>
  </conditionalFormatting>
  <conditionalFormatting sqref="M644">
    <cfRule type="cellIs" dxfId="0" priority="1871" operator="lessThan">
      <formula>30</formula>
    </cfRule>
  </conditionalFormatting>
  <conditionalFormatting sqref="M645">
    <cfRule type="cellIs" dxfId="0" priority="1870" operator="lessThan">
      <formula>30</formula>
    </cfRule>
  </conditionalFormatting>
  <conditionalFormatting sqref="M646">
    <cfRule type="cellIs" dxfId="0" priority="1869" operator="lessThan">
      <formula>30</formula>
    </cfRule>
  </conditionalFormatting>
  <conditionalFormatting sqref="M647">
    <cfRule type="cellIs" dxfId="0" priority="1868" operator="lessThan">
      <formula>30</formula>
    </cfRule>
  </conditionalFormatting>
  <conditionalFormatting sqref="M648">
    <cfRule type="cellIs" dxfId="0" priority="1867" operator="lessThan">
      <formula>30</formula>
    </cfRule>
  </conditionalFormatting>
  <conditionalFormatting sqref="M649">
    <cfRule type="cellIs" dxfId="0" priority="1866" operator="lessThan">
      <formula>30</formula>
    </cfRule>
  </conditionalFormatting>
  <conditionalFormatting sqref="M650">
    <cfRule type="cellIs" dxfId="0" priority="1865" operator="lessThan">
      <formula>30</formula>
    </cfRule>
  </conditionalFormatting>
  <conditionalFormatting sqref="M651">
    <cfRule type="cellIs" dxfId="0" priority="1864" operator="lessThan">
      <formula>30</formula>
    </cfRule>
  </conditionalFormatting>
  <conditionalFormatting sqref="M652">
    <cfRule type="cellIs" dxfId="0" priority="1863" operator="lessThan">
      <formula>30</formula>
    </cfRule>
  </conditionalFormatting>
  <conditionalFormatting sqref="M653">
    <cfRule type="cellIs" dxfId="0" priority="1862" operator="lessThan">
      <formula>30</formula>
    </cfRule>
  </conditionalFormatting>
  <conditionalFormatting sqref="M654">
    <cfRule type="cellIs" dxfId="0" priority="1861" operator="lessThan">
      <formula>30</formula>
    </cfRule>
  </conditionalFormatting>
  <conditionalFormatting sqref="M655">
    <cfRule type="cellIs" dxfId="0" priority="1860" operator="lessThan">
      <formula>30</formula>
    </cfRule>
  </conditionalFormatting>
  <conditionalFormatting sqref="M656">
    <cfRule type="cellIs" dxfId="0" priority="1859" operator="lessThan">
      <formula>30</formula>
    </cfRule>
  </conditionalFormatting>
  <conditionalFormatting sqref="Z656">
    <cfRule type="cellIs" dxfId="0" priority="1239" operator="lessThan">
      <formula>30</formula>
    </cfRule>
  </conditionalFormatting>
  <conditionalFormatting sqref="AM656">
    <cfRule type="cellIs" dxfId="0" priority="571" operator="lessThan">
      <formula>30</formula>
    </cfRule>
  </conditionalFormatting>
  <conditionalFormatting sqref="M657">
    <cfRule type="cellIs" dxfId="0" priority="1858" operator="lessThan">
      <formula>30</formula>
    </cfRule>
  </conditionalFormatting>
  <conditionalFormatting sqref="Z657">
    <cfRule type="cellIs" dxfId="0" priority="1238" operator="lessThan">
      <formula>30</formula>
    </cfRule>
  </conditionalFormatting>
  <conditionalFormatting sqref="AM657">
    <cfRule type="cellIs" dxfId="0" priority="570" operator="lessThan">
      <formula>30</formula>
    </cfRule>
  </conditionalFormatting>
  <conditionalFormatting sqref="M658">
    <cfRule type="cellIs" dxfId="0" priority="1857" operator="lessThan">
      <formula>30</formula>
    </cfRule>
  </conditionalFormatting>
  <conditionalFormatting sqref="Z658">
    <cfRule type="cellIs" dxfId="0" priority="1237" operator="lessThan">
      <formula>30</formula>
    </cfRule>
  </conditionalFormatting>
  <conditionalFormatting sqref="AM658">
    <cfRule type="cellIs" dxfId="0" priority="569" operator="lessThan">
      <formula>30</formula>
    </cfRule>
  </conditionalFormatting>
  <conditionalFormatting sqref="M659">
    <cfRule type="cellIs" dxfId="0" priority="1856" operator="lessThan">
      <formula>30</formula>
    </cfRule>
  </conditionalFormatting>
  <conditionalFormatting sqref="Z659">
    <cfRule type="cellIs" dxfId="0" priority="1236" operator="lessThan">
      <formula>30</formula>
    </cfRule>
  </conditionalFormatting>
  <conditionalFormatting sqref="M660">
    <cfRule type="cellIs" dxfId="0" priority="1855" operator="lessThan">
      <formula>30</formula>
    </cfRule>
  </conditionalFormatting>
  <conditionalFormatting sqref="Z660">
    <cfRule type="cellIs" dxfId="0" priority="1235" operator="lessThan">
      <formula>30</formula>
    </cfRule>
  </conditionalFormatting>
  <conditionalFormatting sqref="M661">
    <cfRule type="cellIs" dxfId="0" priority="1854" operator="lessThan">
      <formula>30</formula>
    </cfRule>
  </conditionalFormatting>
  <conditionalFormatting sqref="Z661">
    <cfRule type="cellIs" dxfId="0" priority="1234" operator="lessThan">
      <formula>30</formula>
    </cfRule>
  </conditionalFormatting>
  <conditionalFormatting sqref="M662">
    <cfRule type="cellIs" dxfId="0" priority="1853" operator="lessThan">
      <formula>30</formula>
    </cfRule>
  </conditionalFormatting>
  <conditionalFormatting sqref="Z662">
    <cfRule type="cellIs" dxfId="0" priority="1233" operator="lessThan">
      <formula>30</formula>
    </cfRule>
  </conditionalFormatting>
  <conditionalFormatting sqref="M663">
    <cfRule type="cellIs" dxfId="0" priority="1852" operator="lessThan">
      <formula>30</formula>
    </cfRule>
  </conditionalFormatting>
  <conditionalFormatting sqref="Z663">
    <cfRule type="cellIs" dxfId="0" priority="1232" operator="lessThan">
      <formula>30</formula>
    </cfRule>
  </conditionalFormatting>
  <conditionalFormatting sqref="M664">
    <cfRule type="cellIs" dxfId="0" priority="1851" operator="lessThan">
      <formula>30</formula>
    </cfRule>
  </conditionalFormatting>
  <conditionalFormatting sqref="Z664">
    <cfRule type="cellIs" dxfId="0" priority="1231" operator="lessThan">
      <formula>30</formula>
    </cfRule>
  </conditionalFormatting>
  <conditionalFormatting sqref="M665">
    <cfRule type="cellIs" dxfId="0" priority="1850" operator="lessThan">
      <formula>30</formula>
    </cfRule>
  </conditionalFormatting>
  <conditionalFormatting sqref="Z665">
    <cfRule type="cellIs" dxfId="0" priority="1230" operator="lessThan">
      <formula>30</formula>
    </cfRule>
  </conditionalFormatting>
  <conditionalFormatting sqref="M666">
    <cfRule type="cellIs" dxfId="0" priority="1849" operator="lessThan">
      <formula>30</formula>
    </cfRule>
  </conditionalFormatting>
  <conditionalFormatting sqref="Z666">
    <cfRule type="cellIs" dxfId="0" priority="1229" operator="lessThan">
      <formula>30</formula>
    </cfRule>
  </conditionalFormatting>
  <conditionalFormatting sqref="M667">
    <cfRule type="cellIs" dxfId="0" priority="1848" operator="lessThan">
      <formula>30</formula>
    </cfRule>
  </conditionalFormatting>
  <conditionalFormatting sqref="Z667">
    <cfRule type="cellIs" dxfId="0" priority="1309" operator="lessThan">
      <formula>30</formula>
    </cfRule>
  </conditionalFormatting>
  <conditionalFormatting sqref="M668">
    <cfRule type="cellIs" dxfId="0" priority="1847" operator="lessThan">
      <formula>30</formula>
    </cfRule>
  </conditionalFormatting>
  <conditionalFormatting sqref="Z668">
    <cfRule type="cellIs" dxfId="0" priority="1308" operator="lessThan">
      <formula>30</formula>
    </cfRule>
  </conditionalFormatting>
  <conditionalFormatting sqref="M669">
    <cfRule type="cellIs" dxfId="0" priority="1846" operator="lessThan">
      <formula>30</formula>
    </cfRule>
  </conditionalFormatting>
  <conditionalFormatting sqref="Z669">
    <cfRule type="cellIs" dxfId="0" priority="1307" operator="lessThan">
      <formula>30</formula>
    </cfRule>
  </conditionalFormatting>
  <conditionalFormatting sqref="M670">
    <cfRule type="cellIs" dxfId="0" priority="1845" operator="lessThan">
      <formula>30</formula>
    </cfRule>
  </conditionalFormatting>
  <conditionalFormatting sqref="Z670">
    <cfRule type="cellIs" dxfId="0" priority="1306" operator="lessThan">
      <formula>30</formula>
    </cfRule>
  </conditionalFormatting>
  <conditionalFormatting sqref="M671">
    <cfRule type="cellIs" dxfId="0" priority="1844" operator="lessThan">
      <formula>30</formula>
    </cfRule>
  </conditionalFormatting>
  <conditionalFormatting sqref="Z671">
    <cfRule type="cellIs" dxfId="0" priority="1305" operator="lessThan">
      <formula>30</formula>
    </cfRule>
  </conditionalFormatting>
  <conditionalFormatting sqref="M672">
    <cfRule type="cellIs" dxfId="0" priority="1843" operator="lessThan">
      <formula>30</formula>
    </cfRule>
  </conditionalFormatting>
  <conditionalFormatting sqref="M673">
    <cfRule type="cellIs" dxfId="0" priority="1842" operator="lessThan">
      <formula>30</formula>
    </cfRule>
  </conditionalFormatting>
  <conditionalFormatting sqref="M674">
    <cfRule type="cellIs" dxfId="0" priority="1841" operator="lessThan">
      <formula>30</formula>
    </cfRule>
  </conditionalFormatting>
  <conditionalFormatting sqref="M675">
    <cfRule type="cellIs" dxfId="0" priority="1840" operator="lessThan">
      <formula>30</formula>
    </cfRule>
  </conditionalFormatting>
  <conditionalFormatting sqref="M676">
    <cfRule type="cellIs" dxfId="0" priority="1839" operator="lessThan">
      <formula>30</formula>
    </cfRule>
  </conditionalFormatting>
  <conditionalFormatting sqref="M677">
    <cfRule type="cellIs" dxfId="0" priority="1838" operator="lessThan">
      <formula>30</formula>
    </cfRule>
  </conditionalFormatting>
  <conditionalFormatting sqref="M678">
    <cfRule type="cellIs" dxfId="0" priority="1837" operator="lessThan">
      <formula>30</formula>
    </cfRule>
  </conditionalFormatting>
  <conditionalFormatting sqref="M679">
    <cfRule type="cellIs" dxfId="0" priority="1836" operator="lessThan">
      <formula>30</formula>
    </cfRule>
  </conditionalFormatting>
  <conditionalFormatting sqref="M680">
    <cfRule type="cellIs" dxfId="0" priority="1835" operator="lessThan">
      <formula>30</formula>
    </cfRule>
  </conditionalFormatting>
  <conditionalFormatting sqref="M681">
    <cfRule type="cellIs" dxfId="0" priority="1834" operator="lessThan">
      <formula>30</formula>
    </cfRule>
  </conditionalFormatting>
  <conditionalFormatting sqref="AM681">
    <cfRule type="cellIs" dxfId="0" priority="624" operator="lessThan">
      <formula>30</formula>
    </cfRule>
  </conditionalFormatting>
  <conditionalFormatting sqref="M682">
    <cfRule type="cellIs" dxfId="0" priority="1833" operator="lessThan">
      <formula>30</formula>
    </cfRule>
  </conditionalFormatting>
  <conditionalFormatting sqref="AM682">
    <cfRule type="cellIs" dxfId="0" priority="623" operator="lessThan">
      <formula>30</formula>
    </cfRule>
  </conditionalFormatting>
  <conditionalFormatting sqref="M683">
    <cfRule type="cellIs" dxfId="0" priority="1832" operator="lessThan">
      <formula>30</formula>
    </cfRule>
  </conditionalFormatting>
  <conditionalFormatting sqref="AM683">
    <cfRule type="cellIs" dxfId="0" priority="622" operator="lessThan">
      <formula>30</formula>
    </cfRule>
  </conditionalFormatting>
  <conditionalFormatting sqref="M684">
    <cfRule type="cellIs" dxfId="0" priority="1831" operator="lessThan">
      <formula>30</formula>
    </cfRule>
  </conditionalFormatting>
  <conditionalFormatting sqref="AM684">
    <cfRule type="cellIs" dxfId="0" priority="621" operator="lessThan">
      <formula>30</formula>
    </cfRule>
  </conditionalFormatting>
  <conditionalFormatting sqref="M685">
    <cfRule type="cellIs" dxfId="0" priority="1830" operator="lessThan">
      <formula>30</formula>
    </cfRule>
  </conditionalFormatting>
  <conditionalFormatting sqref="M686">
    <cfRule type="cellIs" dxfId="0" priority="1829" operator="lessThan">
      <formula>30</formula>
    </cfRule>
  </conditionalFormatting>
  <conditionalFormatting sqref="M687">
    <cfRule type="cellIs" dxfId="0" priority="1828" operator="lessThan">
      <formula>30</formula>
    </cfRule>
  </conditionalFormatting>
  <conditionalFormatting sqref="M688">
    <cfRule type="cellIs" dxfId="0" priority="1827" operator="lessThan">
      <formula>30</formula>
    </cfRule>
  </conditionalFormatting>
  <conditionalFormatting sqref="M689">
    <cfRule type="cellIs" dxfId="0" priority="1826" operator="lessThan">
      <formula>30</formula>
    </cfRule>
  </conditionalFormatting>
  <conditionalFormatting sqref="AM689">
    <cfRule type="cellIs" dxfId="0" priority="647" operator="lessThan">
      <formula>30</formula>
    </cfRule>
  </conditionalFormatting>
  <conditionalFormatting sqref="M690">
    <cfRule type="cellIs" dxfId="0" priority="1825" operator="lessThan">
      <formula>30</formula>
    </cfRule>
  </conditionalFormatting>
  <conditionalFormatting sqref="AM690">
    <cfRule type="cellIs" dxfId="0" priority="646" operator="lessThan">
      <formula>30</formula>
    </cfRule>
  </conditionalFormatting>
  <conditionalFormatting sqref="M691">
    <cfRule type="cellIs" dxfId="0" priority="1824" operator="lessThan">
      <formula>30</formula>
    </cfRule>
  </conditionalFormatting>
  <conditionalFormatting sqref="Z691">
    <cfRule type="cellIs" dxfId="0" priority="1180" operator="lessThan">
      <formula>30</formula>
    </cfRule>
  </conditionalFormatting>
  <conditionalFormatting sqref="AM691">
    <cfRule type="cellIs" dxfId="0" priority="645" operator="lessThan">
      <formula>30</formula>
    </cfRule>
  </conditionalFormatting>
  <conditionalFormatting sqref="M692">
    <cfRule type="cellIs" dxfId="0" priority="1823" operator="lessThan">
      <formula>30</formula>
    </cfRule>
  </conditionalFormatting>
  <conditionalFormatting sqref="Z692">
    <cfRule type="cellIs" dxfId="0" priority="1179" operator="lessThan">
      <formula>30</formula>
    </cfRule>
  </conditionalFormatting>
  <conditionalFormatting sqref="AM692">
    <cfRule type="cellIs" dxfId="0" priority="644" operator="lessThan">
      <formula>30</formula>
    </cfRule>
  </conditionalFormatting>
  <conditionalFormatting sqref="M693">
    <cfRule type="cellIs" dxfId="0" priority="1822" operator="lessThan">
      <formula>30</formula>
    </cfRule>
  </conditionalFormatting>
  <conditionalFormatting sqref="Z693">
    <cfRule type="cellIs" dxfId="0" priority="1178" operator="lessThan">
      <formula>30</formula>
    </cfRule>
  </conditionalFormatting>
  <conditionalFormatting sqref="AM693">
    <cfRule type="cellIs" dxfId="0" priority="643" operator="lessThan">
      <formula>30</formula>
    </cfRule>
  </conditionalFormatting>
  <conditionalFormatting sqref="M694">
    <cfRule type="cellIs" dxfId="0" priority="1821" operator="lessThan">
      <formula>30</formula>
    </cfRule>
  </conditionalFormatting>
  <conditionalFormatting sqref="Z694">
    <cfRule type="cellIs" dxfId="0" priority="1177" operator="lessThan">
      <formula>30</formula>
    </cfRule>
  </conditionalFormatting>
  <conditionalFormatting sqref="AM694">
    <cfRule type="cellIs" dxfId="0" priority="642" operator="lessThan">
      <formula>30</formula>
    </cfRule>
  </conditionalFormatting>
  <conditionalFormatting sqref="M695">
    <cfRule type="cellIs" dxfId="0" priority="1820" operator="lessThan">
      <formula>30</formula>
    </cfRule>
  </conditionalFormatting>
  <conditionalFormatting sqref="Z695">
    <cfRule type="cellIs" dxfId="0" priority="1176" operator="lessThan">
      <formula>30</formula>
    </cfRule>
  </conditionalFormatting>
  <conditionalFormatting sqref="AM695">
    <cfRule type="cellIs" dxfId="0" priority="641" operator="lessThan">
      <formula>30</formula>
    </cfRule>
  </conditionalFormatting>
  <conditionalFormatting sqref="M696">
    <cfRule type="cellIs" dxfId="0" priority="1819" operator="lessThan">
      <formula>30</formula>
    </cfRule>
  </conditionalFormatting>
  <conditionalFormatting sqref="Z696">
    <cfRule type="cellIs" dxfId="0" priority="1175" operator="lessThan">
      <formula>30</formula>
    </cfRule>
  </conditionalFormatting>
  <conditionalFormatting sqref="AM696">
    <cfRule type="cellIs" dxfId="0" priority="640" operator="lessThan">
      <formula>30</formula>
    </cfRule>
  </conditionalFormatting>
  <conditionalFormatting sqref="M697">
    <cfRule type="cellIs" dxfId="0" priority="1818" operator="lessThan">
      <formula>30</formula>
    </cfRule>
  </conditionalFormatting>
  <conditionalFormatting sqref="Z697">
    <cfRule type="cellIs" dxfId="0" priority="1174" operator="lessThan">
      <formula>30</formula>
    </cfRule>
  </conditionalFormatting>
  <conditionalFormatting sqref="M698">
    <cfRule type="cellIs" dxfId="0" priority="1817" operator="lessThan">
      <formula>30</formula>
    </cfRule>
  </conditionalFormatting>
  <conditionalFormatting sqref="Z698">
    <cfRule type="cellIs" dxfId="0" priority="1173" operator="lessThan">
      <formula>30</formula>
    </cfRule>
  </conditionalFormatting>
  <conditionalFormatting sqref="M699">
    <cfRule type="cellIs" dxfId="0" priority="1816" operator="lessThan">
      <formula>30</formula>
    </cfRule>
  </conditionalFormatting>
  <conditionalFormatting sqref="Z699">
    <cfRule type="cellIs" dxfId="0" priority="1172" operator="lessThan">
      <formula>30</formula>
    </cfRule>
  </conditionalFormatting>
  <conditionalFormatting sqref="M700">
    <cfRule type="cellIs" dxfId="0" priority="1815" operator="lessThan">
      <formula>30</formula>
    </cfRule>
  </conditionalFormatting>
  <conditionalFormatting sqref="Z700">
    <cfRule type="cellIs" dxfId="0" priority="1171" operator="lessThan">
      <formula>30</formula>
    </cfRule>
  </conditionalFormatting>
  <conditionalFormatting sqref="M701">
    <cfRule type="cellIs" dxfId="0" priority="1814" operator="lessThan">
      <formula>30</formula>
    </cfRule>
  </conditionalFormatting>
  <conditionalFormatting sqref="Z701">
    <cfRule type="cellIs" dxfId="0" priority="1170" operator="lessThan">
      <formula>30</formula>
    </cfRule>
  </conditionalFormatting>
  <conditionalFormatting sqref="AM701">
    <cfRule type="cellIs" dxfId="0" priority="637" operator="lessThan">
      <formula>30</formula>
    </cfRule>
  </conditionalFormatting>
  <conditionalFormatting sqref="M702">
    <cfRule type="cellIs" dxfId="0" priority="1813" operator="lessThan">
      <formula>30</formula>
    </cfRule>
  </conditionalFormatting>
  <conditionalFormatting sqref="Z702">
    <cfRule type="cellIs" dxfId="0" priority="1169" operator="lessThan">
      <formula>30</formula>
    </cfRule>
  </conditionalFormatting>
  <conditionalFormatting sqref="AM702">
    <cfRule type="cellIs" dxfId="0" priority="636" operator="lessThan">
      <formula>30</formula>
    </cfRule>
  </conditionalFormatting>
  <conditionalFormatting sqref="M703">
    <cfRule type="cellIs" dxfId="0" priority="1812" operator="lessThan">
      <formula>30</formula>
    </cfRule>
  </conditionalFormatting>
  <conditionalFormatting sqref="Z703">
    <cfRule type="cellIs" dxfId="0" priority="1168" operator="lessThan">
      <formula>30</formula>
    </cfRule>
  </conditionalFormatting>
  <conditionalFormatting sqref="AM703">
    <cfRule type="cellIs" dxfId="0" priority="635" operator="lessThan">
      <formula>30</formula>
    </cfRule>
  </conditionalFormatting>
  <conditionalFormatting sqref="M704">
    <cfRule type="cellIs" dxfId="0" priority="1811" operator="lessThan">
      <formula>30</formula>
    </cfRule>
  </conditionalFormatting>
  <conditionalFormatting sqref="Z704">
    <cfRule type="cellIs" dxfId="0" priority="1167" operator="lessThan">
      <formula>30</formula>
    </cfRule>
  </conditionalFormatting>
  <conditionalFormatting sqref="AM704">
    <cfRule type="cellIs" dxfId="0" priority="634" operator="lessThan">
      <formula>30</formula>
    </cfRule>
  </conditionalFormatting>
  <conditionalFormatting sqref="M705">
    <cfRule type="cellIs" dxfId="0" priority="1810" operator="lessThan">
      <formula>30</formula>
    </cfRule>
  </conditionalFormatting>
  <conditionalFormatting sqref="Z705">
    <cfRule type="cellIs" dxfId="0" priority="1166" operator="lessThan">
      <formula>30</formula>
    </cfRule>
  </conditionalFormatting>
  <conditionalFormatting sqref="AM705">
    <cfRule type="cellIs" dxfId="0" priority="633" operator="lessThan">
      <formula>30</formula>
    </cfRule>
  </conditionalFormatting>
  <conditionalFormatting sqref="M706">
    <cfRule type="cellIs" dxfId="0" priority="1809" operator="lessThan">
      <formula>30</formula>
    </cfRule>
  </conditionalFormatting>
  <conditionalFormatting sqref="Z706">
    <cfRule type="cellIs" dxfId="0" priority="1165" operator="lessThan">
      <formula>30</formula>
    </cfRule>
  </conditionalFormatting>
  <conditionalFormatting sqref="AM706">
    <cfRule type="cellIs" dxfId="0" priority="632" operator="lessThan">
      <formula>30</formula>
    </cfRule>
  </conditionalFormatting>
  <conditionalFormatting sqref="M707">
    <cfRule type="cellIs" dxfId="0" priority="1808" operator="lessThan">
      <formula>30</formula>
    </cfRule>
  </conditionalFormatting>
  <conditionalFormatting sqref="Z707">
    <cfRule type="cellIs" dxfId="0" priority="1164" operator="lessThan">
      <formula>30</formula>
    </cfRule>
  </conditionalFormatting>
  <conditionalFormatting sqref="AM707">
    <cfRule type="cellIs" dxfId="0" priority="631" operator="lessThan">
      <formula>30</formula>
    </cfRule>
  </conditionalFormatting>
  <conditionalFormatting sqref="M708">
    <cfRule type="cellIs" dxfId="0" priority="1807" operator="lessThan">
      <formula>30</formula>
    </cfRule>
  </conditionalFormatting>
  <conditionalFormatting sqref="Z708">
    <cfRule type="cellIs" dxfId="0" priority="1163" operator="lessThan">
      <formula>30</formula>
    </cfRule>
  </conditionalFormatting>
  <conditionalFormatting sqref="AM708">
    <cfRule type="cellIs" dxfId="0" priority="630" operator="lessThan">
      <formula>30</formula>
    </cfRule>
  </conditionalFormatting>
  <conditionalFormatting sqref="M709">
    <cfRule type="cellIs" dxfId="0" priority="1806" operator="lessThan">
      <formula>30</formula>
    </cfRule>
  </conditionalFormatting>
  <conditionalFormatting sqref="Z709">
    <cfRule type="cellIs" dxfId="0" priority="1162" operator="lessThan">
      <formula>30</formula>
    </cfRule>
  </conditionalFormatting>
  <conditionalFormatting sqref="M710">
    <cfRule type="cellIs" dxfId="0" priority="1805" operator="lessThan">
      <formula>30</formula>
    </cfRule>
  </conditionalFormatting>
  <conditionalFormatting sqref="Z710">
    <cfRule type="cellIs" dxfId="0" priority="1161" operator="lessThan">
      <formula>30</formula>
    </cfRule>
  </conditionalFormatting>
  <conditionalFormatting sqref="M711">
    <cfRule type="cellIs" dxfId="0" priority="1804" operator="lessThan">
      <formula>30</formula>
    </cfRule>
  </conditionalFormatting>
  <conditionalFormatting sqref="Z711">
    <cfRule type="cellIs" dxfId="0" priority="1160" operator="lessThan">
      <formula>30</formula>
    </cfRule>
  </conditionalFormatting>
  <conditionalFormatting sqref="M712">
    <cfRule type="cellIs" dxfId="0" priority="1803" operator="lessThan">
      <formula>30</formula>
    </cfRule>
  </conditionalFormatting>
  <conditionalFormatting sqref="Z712">
    <cfRule type="cellIs" dxfId="0" priority="1159" operator="lessThan">
      <formula>30</formula>
    </cfRule>
  </conditionalFormatting>
  <conditionalFormatting sqref="AM712">
    <cfRule type="cellIs" dxfId="0" priority="705" operator="lessThan">
      <formula>30</formula>
    </cfRule>
  </conditionalFormatting>
  <conditionalFormatting sqref="AZ712">
    <cfRule type="cellIs" dxfId="0" priority="82" operator="lessThan">
      <formula>30</formula>
    </cfRule>
  </conditionalFormatting>
  <conditionalFormatting sqref="M713">
    <cfRule type="cellIs" dxfId="0" priority="1802" operator="lessThan">
      <formula>30</formula>
    </cfRule>
  </conditionalFormatting>
  <conditionalFormatting sqref="Z713">
    <cfRule type="cellIs" dxfId="0" priority="1261" operator="lessThan">
      <formula>30</formula>
    </cfRule>
  </conditionalFormatting>
  <conditionalFormatting sqref="AM713">
    <cfRule type="cellIs" dxfId="0" priority="704" operator="lessThan">
      <formula>30</formula>
    </cfRule>
  </conditionalFormatting>
  <conditionalFormatting sqref="AZ713">
    <cfRule type="cellIs" dxfId="0" priority="81" operator="lessThan">
      <formula>30</formula>
    </cfRule>
  </conditionalFormatting>
  <conditionalFormatting sqref="M714">
    <cfRule type="cellIs" dxfId="0" priority="1801" operator="lessThan">
      <formula>30</formula>
    </cfRule>
  </conditionalFormatting>
  <conditionalFormatting sqref="Z714">
    <cfRule type="cellIs" dxfId="0" priority="1260" operator="lessThan">
      <formula>30</formula>
    </cfRule>
  </conditionalFormatting>
  <conditionalFormatting sqref="AM714">
    <cfRule type="cellIs" dxfId="0" priority="703" operator="lessThan">
      <formula>30</formula>
    </cfRule>
  </conditionalFormatting>
  <conditionalFormatting sqref="AZ714">
    <cfRule type="cellIs" dxfId="0" priority="80" operator="lessThan">
      <formula>30</formula>
    </cfRule>
  </conditionalFormatting>
  <conditionalFormatting sqref="M715">
    <cfRule type="cellIs" dxfId="0" priority="1800" operator="lessThan">
      <formula>30</formula>
    </cfRule>
  </conditionalFormatting>
  <conditionalFormatting sqref="Z715">
    <cfRule type="cellIs" dxfId="0" priority="1259" operator="lessThan">
      <formula>30</formula>
    </cfRule>
  </conditionalFormatting>
  <conditionalFormatting sqref="AM715">
    <cfRule type="cellIs" dxfId="0" priority="702" operator="lessThan">
      <formula>30</formula>
    </cfRule>
  </conditionalFormatting>
  <conditionalFormatting sqref="AZ715">
    <cfRule type="cellIs" dxfId="0" priority="79" operator="lessThan">
      <formula>30</formula>
    </cfRule>
  </conditionalFormatting>
  <conditionalFormatting sqref="M716">
    <cfRule type="cellIs" dxfId="0" priority="1799" operator="lessThan">
      <formula>30</formula>
    </cfRule>
  </conditionalFormatting>
  <conditionalFormatting sqref="Z716">
    <cfRule type="cellIs" dxfId="0" priority="1258" operator="lessThan">
      <formula>30</formula>
    </cfRule>
  </conditionalFormatting>
  <conditionalFormatting sqref="AM716">
    <cfRule type="cellIs" dxfId="0" priority="701" operator="lessThan">
      <formula>30</formula>
    </cfRule>
  </conditionalFormatting>
  <conditionalFormatting sqref="AZ716">
    <cfRule type="cellIs" dxfId="0" priority="78" operator="lessThan">
      <formula>30</formula>
    </cfRule>
  </conditionalFormatting>
  <conditionalFormatting sqref="M717">
    <cfRule type="cellIs" dxfId="0" priority="1798" operator="lessThan">
      <formula>30</formula>
    </cfRule>
  </conditionalFormatting>
  <conditionalFormatting sqref="Z717">
    <cfRule type="cellIs" dxfId="0" priority="1257" operator="lessThan">
      <formula>30</formula>
    </cfRule>
  </conditionalFormatting>
  <conditionalFormatting sqref="AM717">
    <cfRule type="cellIs" dxfId="0" priority="700" operator="lessThan">
      <formula>30</formula>
    </cfRule>
  </conditionalFormatting>
  <conditionalFormatting sqref="AZ717">
    <cfRule type="cellIs" dxfId="0" priority="77" operator="lessThan">
      <formula>30</formula>
    </cfRule>
  </conditionalFormatting>
  <conditionalFormatting sqref="M718">
    <cfRule type="cellIs" dxfId="0" priority="1797" operator="lessThan">
      <formula>30</formula>
    </cfRule>
  </conditionalFormatting>
  <conditionalFormatting sqref="Z718">
    <cfRule type="cellIs" dxfId="0" priority="1256" operator="lessThan">
      <formula>30</formula>
    </cfRule>
  </conditionalFormatting>
  <conditionalFormatting sqref="AM718">
    <cfRule type="cellIs" dxfId="0" priority="699" operator="lessThan">
      <formula>30</formula>
    </cfRule>
  </conditionalFormatting>
  <conditionalFormatting sqref="AZ718">
    <cfRule type="cellIs" dxfId="0" priority="76" operator="lessThan">
      <formula>30</formula>
    </cfRule>
  </conditionalFormatting>
  <conditionalFormatting sqref="M719">
    <cfRule type="cellIs" dxfId="0" priority="1796" operator="lessThan">
      <formula>30</formula>
    </cfRule>
  </conditionalFormatting>
  <conditionalFormatting sqref="Z719">
    <cfRule type="cellIs" dxfId="0" priority="1255" operator="lessThan">
      <formula>30</formula>
    </cfRule>
  </conditionalFormatting>
  <conditionalFormatting sqref="AM719">
    <cfRule type="cellIs" dxfId="0" priority="698" operator="lessThan">
      <formula>30</formula>
    </cfRule>
  </conditionalFormatting>
  <conditionalFormatting sqref="AZ719">
    <cfRule type="cellIs" dxfId="0" priority="75" operator="lessThan">
      <formula>30</formula>
    </cfRule>
  </conditionalFormatting>
  <conditionalFormatting sqref="M720">
    <cfRule type="cellIs" dxfId="0" priority="1795" operator="lessThan">
      <formula>30</formula>
    </cfRule>
  </conditionalFormatting>
  <conditionalFormatting sqref="Z720">
    <cfRule type="cellIs" dxfId="0" priority="1254" operator="lessThan">
      <formula>30</formula>
    </cfRule>
  </conditionalFormatting>
  <conditionalFormatting sqref="AM720">
    <cfRule type="cellIs" dxfId="0" priority="697" operator="lessThan">
      <formula>30</formula>
    </cfRule>
  </conditionalFormatting>
  <conditionalFormatting sqref="AZ720">
    <cfRule type="cellIs" dxfId="0" priority="74" operator="lessThan">
      <formula>30</formula>
    </cfRule>
  </conditionalFormatting>
  <conditionalFormatting sqref="M721">
    <cfRule type="cellIs" dxfId="0" priority="1794" operator="lessThan">
      <formula>30</formula>
    </cfRule>
  </conditionalFormatting>
  <conditionalFormatting sqref="Z721">
    <cfRule type="cellIs" dxfId="0" priority="1253" operator="lessThan">
      <formula>30</formula>
    </cfRule>
  </conditionalFormatting>
  <conditionalFormatting sqref="AM721">
    <cfRule type="cellIs" dxfId="0" priority="696" operator="lessThan">
      <formula>30</formula>
    </cfRule>
  </conditionalFormatting>
  <conditionalFormatting sqref="AZ721">
    <cfRule type="cellIs" dxfId="0" priority="73" operator="lessThan">
      <formula>30</formula>
    </cfRule>
  </conditionalFormatting>
  <conditionalFormatting sqref="M722">
    <cfRule type="cellIs" dxfId="0" priority="1793" operator="lessThan">
      <formula>30</formula>
    </cfRule>
  </conditionalFormatting>
  <conditionalFormatting sqref="Z722">
    <cfRule type="cellIs" dxfId="0" priority="1252" operator="lessThan">
      <formula>30</formula>
    </cfRule>
  </conditionalFormatting>
  <conditionalFormatting sqref="AM722">
    <cfRule type="cellIs" dxfId="0" priority="695" operator="lessThan">
      <formula>30</formula>
    </cfRule>
  </conditionalFormatting>
  <conditionalFormatting sqref="AZ722">
    <cfRule type="cellIs" dxfId="0" priority="72" operator="lessThan">
      <formula>30</formula>
    </cfRule>
  </conditionalFormatting>
  <conditionalFormatting sqref="M723">
    <cfRule type="cellIs" dxfId="0" priority="1792" operator="lessThan">
      <formula>30</formula>
    </cfRule>
  </conditionalFormatting>
  <conditionalFormatting sqref="Z723">
    <cfRule type="cellIs" dxfId="0" priority="1251" operator="lessThan">
      <formula>30</formula>
    </cfRule>
  </conditionalFormatting>
  <conditionalFormatting sqref="AM723">
    <cfRule type="cellIs" dxfId="0" priority="694" operator="lessThan">
      <formula>30</formula>
    </cfRule>
  </conditionalFormatting>
  <conditionalFormatting sqref="AZ723">
    <cfRule type="cellIs" dxfId="0" priority="71" operator="lessThan">
      <formula>30</formula>
    </cfRule>
  </conditionalFormatting>
  <conditionalFormatting sqref="M724">
    <cfRule type="cellIs" dxfId="0" priority="1791" operator="lessThan">
      <formula>30</formula>
    </cfRule>
  </conditionalFormatting>
  <conditionalFormatting sqref="Z724">
    <cfRule type="cellIs" dxfId="0" priority="1250" operator="lessThan">
      <formula>30</formula>
    </cfRule>
  </conditionalFormatting>
  <conditionalFormatting sqref="AM724">
    <cfRule type="cellIs" dxfId="0" priority="693" operator="lessThan">
      <formula>30</formula>
    </cfRule>
  </conditionalFormatting>
  <conditionalFormatting sqref="AZ724">
    <cfRule type="cellIs" dxfId="0" priority="70" operator="lessThan">
      <formula>30</formula>
    </cfRule>
  </conditionalFormatting>
  <conditionalFormatting sqref="M725">
    <cfRule type="cellIs" dxfId="0" priority="1790" operator="lessThan">
      <formula>30</formula>
    </cfRule>
  </conditionalFormatting>
  <conditionalFormatting sqref="Z725">
    <cfRule type="cellIs" dxfId="0" priority="1249" operator="lessThan">
      <formula>30</formula>
    </cfRule>
  </conditionalFormatting>
  <conditionalFormatting sqref="AM725">
    <cfRule type="cellIs" dxfId="0" priority="692" operator="lessThan">
      <formula>30</formula>
    </cfRule>
  </conditionalFormatting>
  <conditionalFormatting sqref="AZ725">
    <cfRule type="cellIs" dxfId="0" priority="69" operator="lessThan">
      <formula>30</formula>
    </cfRule>
  </conditionalFormatting>
  <conditionalFormatting sqref="M726">
    <cfRule type="cellIs" dxfId="0" priority="1789" operator="lessThan">
      <formula>30</formula>
    </cfRule>
  </conditionalFormatting>
  <conditionalFormatting sqref="Z726">
    <cfRule type="cellIs" dxfId="0" priority="1210" operator="lessThan">
      <formula>30</formula>
    </cfRule>
  </conditionalFormatting>
  <conditionalFormatting sqref="AM726">
    <cfRule type="cellIs" dxfId="0" priority="691" operator="lessThan">
      <formula>30</formula>
    </cfRule>
  </conditionalFormatting>
  <conditionalFormatting sqref="AZ726">
    <cfRule type="cellIs" dxfId="0" priority="68" operator="lessThan">
      <formula>30</formula>
    </cfRule>
  </conditionalFormatting>
  <conditionalFormatting sqref="M727">
    <cfRule type="cellIs" dxfId="0" priority="1788" operator="lessThan">
      <formula>30</formula>
    </cfRule>
  </conditionalFormatting>
  <conditionalFormatting sqref="Z727">
    <cfRule type="cellIs" dxfId="0" priority="1209" operator="lessThan">
      <formula>30</formula>
    </cfRule>
  </conditionalFormatting>
  <conditionalFormatting sqref="AM727">
    <cfRule type="cellIs" dxfId="0" priority="690" operator="lessThan">
      <formula>30</formula>
    </cfRule>
  </conditionalFormatting>
  <conditionalFormatting sqref="AZ727">
    <cfRule type="cellIs" dxfId="0" priority="67" operator="lessThan">
      <formula>30</formula>
    </cfRule>
  </conditionalFormatting>
  <conditionalFormatting sqref="M728">
    <cfRule type="cellIs" dxfId="0" priority="1787" operator="lessThan">
      <formula>30</formula>
    </cfRule>
  </conditionalFormatting>
  <conditionalFormatting sqref="Z728">
    <cfRule type="cellIs" dxfId="0" priority="1208" operator="lessThan">
      <formula>30</formula>
    </cfRule>
  </conditionalFormatting>
  <conditionalFormatting sqref="AM728">
    <cfRule type="cellIs" dxfId="0" priority="689" operator="lessThan">
      <formula>30</formula>
    </cfRule>
  </conditionalFormatting>
  <conditionalFormatting sqref="AZ728">
    <cfRule type="cellIs" dxfId="0" priority="66" operator="lessThan">
      <formula>30</formula>
    </cfRule>
  </conditionalFormatting>
  <conditionalFormatting sqref="M729">
    <cfRule type="cellIs" dxfId="0" priority="1786" operator="lessThan">
      <formula>30</formula>
    </cfRule>
  </conditionalFormatting>
  <conditionalFormatting sqref="Z729">
    <cfRule type="cellIs" dxfId="0" priority="1207" operator="lessThan">
      <formula>30</formula>
    </cfRule>
  </conditionalFormatting>
  <conditionalFormatting sqref="AM729">
    <cfRule type="cellIs" dxfId="0" priority="688" operator="lessThan">
      <formula>30</formula>
    </cfRule>
  </conditionalFormatting>
  <conditionalFormatting sqref="AZ729">
    <cfRule type="cellIs" dxfId="0" priority="65" operator="lessThan">
      <formula>30</formula>
    </cfRule>
  </conditionalFormatting>
  <conditionalFormatting sqref="M730">
    <cfRule type="cellIs" dxfId="0" priority="1785" operator="lessThan">
      <formula>30</formula>
    </cfRule>
  </conditionalFormatting>
  <conditionalFormatting sqref="Z730">
    <cfRule type="cellIs" dxfId="0" priority="1206" operator="lessThan">
      <formula>30</formula>
    </cfRule>
  </conditionalFormatting>
  <conditionalFormatting sqref="AM730">
    <cfRule type="cellIs" dxfId="0" priority="687" operator="lessThan">
      <formula>30</formula>
    </cfRule>
  </conditionalFormatting>
  <conditionalFormatting sqref="AZ730">
    <cfRule type="cellIs" dxfId="0" priority="64" operator="lessThan">
      <formula>30</formula>
    </cfRule>
  </conditionalFormatting>
  <conditionalFormatting sqref="M731">
    <cfRule type="cellIs" dxfId="0" priority="1784" operator="lessThan">
      <formula>30</formula>
    </cfRule>
  </conditionalFormatting>
  <conditionalFormatting sqref="Z731">
    <cfRule type="cellIs" dxfId="0" priority="1205" operator="lessThan">
      <formula>30</formula>
    </cfRule>
  </conditionalFormatting>
  <conditionalFormatting sqref="AM731">
    <cfRule type="cellIs" dxfId="0" priority="686" operator="lessThan">
      <formula>30</formula>
    </cfRule>
  </conditionalFormatting>
  <conditionalFormatting sqref="AZ731">
    <cfRule type="cellIs" dxfId="0" priority="63" operator="lessThan">
      <formula>30</formula>
    </cfRule>
  </conditionalFormatting>
  <conditionalFormatting sqref="M732">
    <cfRule type="cellIs" dxfId="0" priority="1783" operator="lessThan">
      <formula>30</formula>
    </cfRule>
  </conditionalFormatting>
  <conditionalFormatting sqref="Z732">
    <cfRule type="cellIs" dxfId="0" priority="1204" operator="lessThan">
      <formula>30</formula>
    </cfRule>
  </conditionalFormatting>
  <conditionalFormatting sqref="AM732">
    <cfRule type="cellIs" dxfId="0" priority="685" operator="lessThan">
      <formula>30</formula>
    </cfRule>
  </conditionalFormatting>
  <conditionalFormatting sqref="AZ732">
    <cfRule type="cellIs" dxfId="0" priority="62" operator="lessThan">
      <formula>30</formula>
    </cfRule>
  </conditionalFormatting>
  <conditionalFormatting sqref="M733">
    <cfRule type="cellIs" dxfId="0" priority="1782" operator="lessThan">
      <formula>30</formula>
    </cfRule>
  </conditionalFormatting>
  <conditionalFormatting sqref="Z733">
    <cfRule type="cellIs" dxfId="0" priority="1203" operator="lessThan">
      <formula>30</formula>
    </cfRule>
  </conditionalFormatting>
  <conditionalFormatting sqref="AM733">
    <cfRule type="cellIs" dxfId="0" priority="684" operator="lessThan">
      <formula>30</formula>
    </cfRule>
  </conditionalFormatting>
  <conditionalFormatting sqref="AZ733">
    <cfRule type="cellIs" dxfId="0" priority="61" operator="lessThan">
      <formula>30</formula>
    </cfRule>
  </conditionalFormatting>
  <conditionalFormatting sqref="M734">
    <cfRule type="cellIs" dxfId="0" priority="1781" operator="lessThan">
      <formula>30</formula>
    </cfRule>
  </conditionalFormatting>
  <conditionalFormatting sqref="Z734">
    <cfRule type="cellIs" dxfId="0" priority="1202" operator="lessThan">
      <formula>30</formula>
    </cfRule>
  </conditionalFormatting>
  <conditionalFormatting sqref="AM734">
    <cfRule type="cellIs" dxfId="0" priority="683" operator="lessThan">
      <formula>30</formula>
    </cfRule>
  </conditionalFormatting>
  <conditionalFormatting sqref="AZ734">
    <cfRule type="cellIs" dxfId="0" priority="60" operator="lessThan">
      <formula>30</formula>
    </cfRule>
  </conditionalFormatting>
  <conditionalFormatting sqref="M735">
    <cfRule type="cellIs" dxfId="0" priority="1780" operator="lessThan">
      <formula>30</formula>
    </cfRule>
  </conditionalFormatting>
  <conditionalFormatting sqref="Z735">
    <cfRule type="cellIs" dxfId="0" priority="1201" operator="lessThan">
      <formula>30</formula>
    </cfRule>
  </conditionalFormatting>
  <conditionalFormatting sqref="AM735">
    <cfRule type="cellIs" dxfId="0" priority="682" operator="lessThan">
      <formula>30</formula>
    </cfRule>
  </conditionalFormatting>
  <conditionalFormatting sqref="AZ735">
    <cfRule type="cellIs" dxfId="0" priority="59" operator="lessThan">
      <formula>30</formula>
    </cfRule>
  </conditionalFormatting>
  <conditionalFormatting sqref="M736">
    <cfRule type="cellIs" dxfId="0" priority="1779" operator="lessThan">
      <formula>30</formula>
    </cfRule>
  </conditionalFormatting>
  <conditionalFormatting sqref="Z736">
    <cfRule type="cellIs" dxfId="0" priority="1200" operator="lessThan">
      <formula>30</formula>
    </cfRule>
  </conditionalFormatting>
  <conditionalFormatting sqref="AM736">
    <cfRule type="cellIs" dxfId="0" priority="681" operator="lessThan">
      <formula>30</formula>
    </cfRule>
  </conditionalFormatting>
  <conditionalFormatting sqref="M737">
    <cfRule type="cellIs" dxfId="0" priority="1778" operator="lessThan">
      <formula>30</formula>
    </cfRule>
  </conditionalFormatting>
  <conditionalFormatting sqref="Z737">
    <cfRule type="cellIs" dxfId="0" priority="1199" operator="lessThan">
      <formula>30</formula>
    </cfRule>
  </conditionalFormatting>
  <conditionalFormatting sqref="AM737">
    <cfRule type="cellIs" dxfId="0" priority="680" operator="lessThan">
      <formula>30</formula>
    </cfRule>
  </conditionalFormatting>
  <conditionalFormatting sqref="M738">
    <cfRule type="cellIs" dxfId="0" priority="1777" operator="lessThan">
      <formula>30</formula>
    </cfRule>
  </conditionalFormatting>
  <conditionalFormatting sqref="Z738">
    <cfRule type="cellIs" dxfId="0" priority="1198" operator="lessThan">
      <formula>30</formula>
    </cfRule>
  </conditionalFormatting>
  <conditionalFormatting sqref="AM738">
    <cfRule type="cellIs" dxfId="0" priority="679" operator="lessThan">
      <formula>30</formula>
    </cfRule>
  </conditionalFormatting>
  <conditionalFormatting sqref="M739">
    <cfRule type="cellIs" dxfId="0" priority="1776" operator="lessThan">
      <formula>30</formula>
    </cfRule>
  </conditionalFormatting>
  <conditionalFormatting sqref="Z739">
    <cfRule type="cellIs" dxfId="0" priority="1197" operator="lessThan">
      <formula>30</formula>
    </cfRule>
  </conditionalFormatting>
  <conditionalFormatting sqref="AM739">
    <cfRule type="cellIs" dxfId="0" priority="678" operator="lessThan">
      <formula>30</formula>
    </cfRule>
  </conditionalFormatting>
  <conditionalFormatting sqref="M740">
    <cfRule type="cellIs" dxfId="0" priority="1775" operator="lessThan">
      <formula>30</formula>
    </cfRule>
  </conditionalFormatting>
  <conditionalFormatting sqref="Z740">
    <cfRule type="cellIs" dxfId="0" priority="1196" operator="lessThan">
      <formula>30</formula>
    </cfRule>
  </conditionalFormatting>
  <conditionalFormatting sqref="AM740">
    <cfRule type="cellIs" dxfId="0" priority="677" operator="lessThan">
      <formula>30</formula>
    </cfRule>
  </conditionalFormatting>
  <conditionalFormatting sqref="M741">
    <cfRule type="cellIs" dxfId="0" priority="1774" operator="lessThan">
      <formula>30</formula>
    </cfRule>
  </conditionalFormatting>
  <conditionalFormatting sqref="Z741">
    <cfRule type="cellIs" dxfId="0" priority="1195" operator="lessThan">
      <formula>30</formula>
    </cfRule>
  </conditionalFormatting>
  <conditionalFormatting sqref="AM741">
    <cfRule type="cellIs" dxfId="0" priority="676" operator="lessThan">
      <formula>30</formula>
    </cfRule>
  </conditionalFormatting>
  <conditionalFormatting sqref="M742">
    <cfRule type="cellIs" dxfId="0" priority="1773" operator="lessThan">
      <formula>30</formula>
    </cfRule>
  </conditionalFormatting>
  <conditionalFormatting sqref="Z742">
    <cfRule type="cellIs" dxfId="0" priority="1194" operator="lessThan">
      <formula>30</formula>
    </cfRule>
  </conditionalFormatting>
  <conditionalFormatting sqref="M743">
    <cfRule type="cellIs" dxfId="0" priority="1772" operator="lessThan">
      <formula>30</formula>
    </cfRule>
  </conditionalFormatting>
  <conditionalFormatting sqref="Z743">
    <cfRule type="cellIs" dxfId="0" priority="1193" operator="lessThan">
      <formula>30</formula>
    </cfRule>
  </conditionalFormatting>
  <conditionalFormatting sqref="M744">
    <cfRule type="cellIs" dxfId="0" priority="1771" operator="lessThan">
      <formula>30</formula>
    </cfRule>
  </conditionalFormatting>
  <conditionalFormatting sqref="Z744">
    <cfRule type="cellIs" dxfId="0" priority="1192" operator="lessThan">
      <formula>30</formula>
    </cfRule>
  </conditionalFormatting>
  <conditionalFormatting sqref="M745">
    <cfRule type="cellIs" dxfId="0" priority="1770" operator="lessThan">
      <formula>30</formula>
    </cfRule>
  </conditionalFormatting>
  <conditionalFormatting sqref="Z745">
    <cfRule type="cellIs" dxfId="0" priority="1191" operator="lessThan">
      <formula>30</formula>
    </cfRule>
  </conditionalFormatting>
  <conditionalFormatting sqref="M746">
    <cfRule type="cellIs" dxfId="0" priority="1769" operator="lessThan">
      <formula>30</formula>
    </cfRule>
  </conditionalFormatting>
  <conditionalFormatting sqref="Z746">
    <cfRule type="cellIs" dxfId="0" priority="1190" operator="lessThan">
      <formula>30</formula>
    </cfRule>
  </conditionalFormatting>
  <conditionalFormatting sqref="M747">
    <cfRule type="cellIs" dxfId="0" priority="1768" operator="lessThan">
      <formula>30</formula>
    </cfRule>
  </conditionalFormatting>
  <conditionalFormatting sqref="Z747">
    <cfRule type="cellIs" dxfId="0" priority="1189" operator="lessThan">
      <formula>30</formula>
    </cfRule>
  </conditionalFormatting>
  <conditionalFormatting sqref="M748">
    <cfRule type="cellIs" dxfId="0" priority="1767" operator="lessThan">
      <formula>30</formula>
    </cfRule>
  </conditionalFormatting>
  <conditionalFormatting sqref="Z748">
    <cfRule type="cellIs" dxfId="0" priority="1188" operator="lessThan">
      <formula>30</formula>
    </cfRule>
  </conditionalFormatting>
  <conditionalFormatting sqref="M749">
    <cfRule type="cellIs" dxfId="0" priority="1766" operator="lessThan">
      <formula>30</formula>
    </cfRule>
  </conditionalFormatting>
  <conditionalFormatting sqref="Z749">
    <cfRule type="cellIs" dxfId="0" priority="1187" operator="lessThan">
      <formula>30</formula>
    </cfRule>
  </conditionalFormatting>
  <conditionalFormatting sqref="M750">
    <cfRule type="cellIs" dxfId="0" priority="1765" operator="lessThan">
      <formula>30</formula>
    </cfRule>
  </conditionalFormatting>
  <conditionalFormatting sqref="Z750">
    <cfRule type="cellIs" dxfId="0" priority="1186" operator="lessThan">
      <formula>30</formula>
    </cfRule>
  </conditionalFormatting>
  <conditionalFormatting sqref="M751">
    <cfRule type="cellIs" dxfId="0" priority="1764" operator="lessThan">
      <formula>30</formula>
    </cfRule>
  </conditionalFormatting>
  <conditionalFormatting sqref="Z751">
    <cfRule type="cellIs" dxfId="0" priority="1185" operator="lessThan">
      <formula>30</formula>
    </cfRule>
  </conditionalFormatting>
  <conditionalFormatting sqref="M752">
    <cfRule type="cellIs" dxfId="0" priority="1763" operator="lessThan">
      <formula>30</formula>
    </cfRule>
  </conditionalFormatting>
  <conditionalFormatting sqref="Z752">
    <cfRule type="cellIs" dxfId="0" priority="1184" operator="lessThan">
      <formula>30</formula>
    </cfRule>
  </conditionalFormatting>
  <conditionalFormatting sqref="M753">
    <cfRule type="cellIs" dxfId="0" priority="1762" operator="lessThan">
      <formula>30</formula>
    </cfRule>
  </conditionalFormatting>
  <conditionalFormatting sqref="M754">
    <cfRule type="cellIs" dxfId="0" priority="1761" operator="lessThan">
      <formula>30</formula>
    </cfRule>
  </conditionalFormatting>
  <conditionalFormatting sqref="M755">
    <cfRule type="cellIs" dxfId="0" priority="1760" operator="lessThan">
      <formula>30</formula>
    </cfRule>
  </conditionalFormatting>
  <conditionalFormatting sqref="M756">
    <cfRule type="cellIs" dxfId="0" priority="1759" operator="lessThan">
      <formula>30</formula>
    </cfRule>
  </conditionalFormatting>
  <conditionalFormatting sqref="M757">
    <cfRule type="cellIs" dxfId="0" priority="1758" operator="lessThan">
      <formula>30</formula>
    </cfRule>
  </conditionalFormatting>
  <conditionalFormatting sqref="M758">
    <cfRule type="cellIs" dxfId="0" priority="1757" operator="lessThan">
      <formula>30</formula>
    </cfRule>
  </conditionalFormatting>
  <conditionalFormatting sqref="M759">
    <cfRule type="cellIs" dxfId="0" priority="1756" operator="lessThan">
      <formula>30</formula>
    </cfRule>
  </conditionalFormatting>
  <conditionalFormatting sqref="M760">
    <cfRule type="cellIs" dxfId="0" priority="1755" operator="lessThan">
      <formula>30</formula>
    </cfRule>
  </conditionalFormatting>
  <conditionalFormatting sqref="M761">
    <cfRule type="cellIs" dxfId="0" priority="1754" operator="lessThan">
      <formula>30</formula>
    </cfRule>
  </conditionalFormatting>
  <conditionalFormatting sqref="M762">
    <cfRule type="cellIs" dxfId="0" priority="1753" operator="lessThan">
      <formula>30</formula>
    </cfRule>
  </conditionalFormatting>
  <conditionalFormatting sqref="M763">
    <cfRule type="cellIs" dxfId="0" priority="1752" operator="lessThan">
      <formula>30</formula>
    </cfRule>
  </conditionalFormatting>
  <conditionalFormatting sqref="M764">
    <cfRule type="cellIs" dxfId="0" priority="1751" operator="lessThan">
      <formula>30</formula>
    </cfRule>
  </conditionalFormatting>
  <conditionalFormatting sqref="M765">
    <cfRule type="cellIs" dxfId="0" priority="1750" operator="lessThan">
      <formula>30</formula>
    </cfRule>
  </conditionalFormatting>
  <conditionalFormatting sqref="M766">
    <cfRule type="cellIs" dxfId="0" priority="1749" operator="lessThan">
      <formula>30</formula>
    </cfRule>
  </conditionalFormatting>
  <conditionalFormatting sqref="M767">
    <cfRule type="cellIs" dxfId="0" priority="1748" operator="lessThan">
      <formula>30</formula>
    </cfRule>
  </conditionalFormatting>
  <conditionalFormatting sqref="M768">
    <cfRule type="cellIs" dxfId="0" priority="1747" operator="lessThan">
      <formula>30</formula>
    </cfRule>
  </conditionalFormatting>
  <conditionalFormatting sqref="M769">
    <cfRule type="cellIs" dxfId="0" priority="1746" operator="lessThan">
      <formula>30</formula>
    </cfRule>
  </conditionalFormatting>
  <conditionalFormatting sqref="M770">
    <cfRule type="cellIs" dxfId="0" priority="1745" operator="lessThan">
      <formula>30</formula>
    </cfRule>
  </conditionalFormatting>
  <conditionalFormatting sqref="M771">
    <cfRule type="cellIs" dxfId="0" priority="1744" operator="lessThan">
      <formula>30</formula>
    </cfRule>
  </conditionalFormatting>
  <conditionalFormatting sqref="M772">
    <cfRule type="cellIs" dxfId="0" priority="1743" operator="lessThan">
      <formula>30</formula>
    </cfRule>
  </conditionalFormatting>
  <conditionalFormatting sqref="M773">
    <cfRule type="cellIs" dxfId="0" priority="1742" operator="lessThan">
      <formula>30</formula>
    </cfRule>
  </conditionalFormatting>
  <conditionalFormatting sqref="M774">
    <cfRule type="cellIs" dxfId="0" priority="1741" operator="lessThan">
      <formula>30</formula>
    </cfRule>
  </conditionalFormatting>
  <conditionalFormatting sqref="M775">
    <cfRule type="cellIs" dxfId="0" priority="1740" operator="lessThan">
      <formula>30</formula>
    </cfRule>
  </conditionalFormatting>
  <conditionalFormatting sqref="M776">
    <cfRule type="cellIs" dxfId="0" priority="1739" operator="lessThan">
      <formula>30</formula>
    </cfRule>
  </conditionalFormatting>
  <conditionalFormatting sqref="M777">
    <cfRule type="cellIs" dxfId="0" priority="1738" operator="lessThan">
      <formula>30</formula>
    </cfRule>
  </conditionalFormatting>
  <conditionalFormatting sqref="M778">
    <cfRule type="cellIs" dxfId="0" priority="1737" operator="lessThan">
      <formula>30</formula>
    </cfRule>
  </conditionalFormatting>
  <conditionalFormatting sqref="Z778">
    <cfRule type="cellIs" dxfId="0" priority="948" operator="lessThan">
      <formula>30</formula>
    </cfRule>
  </conditionalFormatting>
  <conditionalFormatting sqref="M779">
    <cfRule type="cellIs" dxfId="0" priority="1736" operator="lessThan">
      <formula>30</formula>
    </cfRule>
  </conditionalFormatting>
  <conditionalFormatting sqref="Z779">
    <cfRule type="cellIs" dxfId="0" priority="947" operator="lessThan">
      <formula>30</formula>
    </cfRule>
  </conditionalFormatting>
  <conditionalFormatting sqref="M780">
    <cfRule type="cellIs" dxfId="0" priority="1735" operator="lessThan">
      <formula>30</formula>
    </cfRule>
  </conditionalFormatting>
  <conditionalFormatting sqref="M781">
    <cfRule type="cellIs" dxfId="0" priority="1734" operator="lessThan">
      <formula>30</formula>
    </cfRule>
  </conditionalFormatting>
  <conditionalFormatting sqref="M782">
    <cfRule type="cellIs" dxfId="0" priority="1733" operator="lessThan">
      <formula>30</formula>
    </cfRule>
  </conditionalFormatting>
  <conditionalFormatting sqref="M783">
    <cfRule type="cellIs" dxfId="0" priority="1732" operator="lessThan">
      <formula>30</formula>
    </cfRule>
  </conditionalFormatting>
  <conditionalFormatting sqref="M784">
    <cfRule type="cellIs" dxfId="0" priority="1731" operator="lessThan">
      <formula>30</formula>
    </cfRule>
  </conditionalFormatting>
  <conditionalFormatting sqref="M785">
    <cfRule type="cellIs" dxfId="0" priority="1730" operator="lessThan">
      <formula>30</formula>
    </cfRule>
  </conditionalFormatting>
  <conditionalFormatting sqref="M786">
    <cfRule type="cellIs" dxfId="0" priority="1729" operator="lessThan">
      <formula>30</formula>
    </cfRule>
  </conditionalFormatting>
  <conditionalFormatting sqref="M787">
    <cfRule type="cellIs" dxfId="0" priority="1728" operator="lessThan">
      <formula>30</formula>
    </cfRule>
  </conditionalFormatting>
  <conditionalFormatting sqref="M788">
    <cfRule type="cellIs" dxfId="0" priority="1727" operator="lessThan">
      <formula>30</formula>
    </cfRule>
  </conditionalFormatting>
  <conditionalFormatting sqref="M789">
    <cfRule type="cellIs" dxfId="0" priority="1726" operator="lessThan">
      <formula>30</formula>
    </cfRule>
  </conditionalFormatting>
  <conditionalFormatting sqref="M790">
    <cfRule type="cellIs" dxfId="0" priority="1725" operator="lessThan">
      <formula>30</formula>
    </cfRule>
  </conditionalFormatting>
  <conditionalFormatting sqref="M791">
    <cfRule type="cellIs" dxfId="0" priority="1724" operator="lessThan">
      <formula>30</formula>
    </cfRule>
  </conditionalFormatting>
  <conditionalFormatting sqref="M792">
    <cfRule type="cellIs" dxfId="0" priority="1723" operator="lessThan">
      <formula>30</formula>
    </cfRule>
  </conditionalFormatting>
  <conditionalFormatting sqref="M793">
    <cfRule type="cellIs" dxfId="0" priority="1722" operator="lessThan">
      <formula>30</formula>
    </cfRule>
  </conditionalFormatting>
  <conditionalFormatting sqref="M794">
    <cfRule type="cellIs" dxfId="0" priority="1721" operator="lessThan">
      <formula>30</formula>
    </cfRule>
  </conditionalFormatting>
  <conditionalFormatting sqref="Z794">
    <cfRule type="cellIs" dxfId="0" priority="1152" operator="lessThan">
      <formula>30</formula>
    </cfRule>
  </conditionalFormatting>
  <conditionalFormatting sqref="M795">
    <cfRule type="cellIs" dxfId="0" priority="1720" operator="lessThan">
      <formula>30</formula>
    </cfRule>
  </conditionalFormatting>
  <conditionalFormatting sqref="Z795">
    <cfRule type="cellIs" dxfId="0" priority="1151" operator="lessThan">
      <formula>30</formula>
    </cfRule>
  </conditionalFormatting>
  <conditionalFormatting sqref="M796">
    <cfRule type="cellIs" dxfId="0" priority="1719" operator="lessThan">
      <formula>30</formula>
    </cfRule>
  </conditionalFormatting>
  <conditionalFormatting sqref="Z796">
    <cfRule type="cellIs" dxfId="0" priority="1150" operator="lessThan">
      <formula>30</formula>
    </cfRule>
  </conditionalFormatting>
  <conditionalFormatting sqref="M797">
    <cfRule type="cellIs" dxfId="0" priority="1718" operator="lessThan">
      <formula>30</formula>
    </cfRule>
  </conditionalFormatting>
  <conditionalFormatting sqref="Z797">
    <cfRule type="cellIs" dxfId="0" priority="1149" operator="lessThan">
      <formula>30</formula>
    </cfRule>
  </conditionalFormatting>
  <conditionalFormatting sqref="M798">
    <cfRule type="cellIs" dxfId="0" priority="1717" operator="lessThan">
      <formula>30</formula>
    </cfRule>
  </conditionalFormatting>
  <conditionalFormatting sqref="Z798">
    <cfRule type="cellIs" dxfId="0" priority="1148" operator="lessThan">
      <formula>30</formula>
    </cfRule>
  </conditionalFormatting>
  <conditionalFormatting sqref="M799">
    <cfRule type="cellIs" dxfId="0" priority="1716" operator="lessThan">
      <formula>30</formula>
    </cfRule>
  </conditionalFormatting>
  <conditionalFormatting sqref="M800">
    <cfRule type="cellIs" dxfId="0" priority="1715" operator="lessThan">
      <formula>30</formula>
    </cfRule>
  </conditionalFormatting>
  <conditionalFormatting sqref="M801">
    <cfRule type="cellIs" dxfId="0" priority="1714" operator="lessThan">
      <formula>30</formula>
    </cfRule>
  </conditionalFormatting>
  <conditionalFormatting sqref="M802">
    <cfRule type="cellIs" dxfId="0" priority="1713" operator="lessThan">
      <formula>30</formula>
    </cfRule>
  </conditionalFormatting>
  <conditionalFormatting sqref="M803">
    <cfRule type="cellIs" dxfId="0" priority="1712" operator="lessThan">
      <formula>30</formula>
    </cfRule>
  </conditionalFormatting>
  <conditionalFormatting sqref="M804">
    <cfRule type="cellIs" dxfId="0" priority="1711" operator="lessThan">
      <formula>30</formula>
    </cfRule>
  </conditionalFormatting>
  <conditionalFormatting sqref="M805">
    <cfRule type="cellIs" dxfId="0" priority="1710" operator="lessThan">
      <formula>30</formula>
    </cfRule>
  </conditionalFormatting>
  <conditionalFormatting sqref="M806">
    <cfRule type="cellIs" dxfId="0" priority="1709" operator="lessThan">
      <formula>30</formula>
    </cfRule>
  </conditionalFormatting>
  <conditionalFormatting sqref="M807">
    <cfRule type="cellIs" dxfId="0" priority="1708" operator="lessThan">
      <formula>30</formula>
    </cfRule>
  </conditionalFormatting>
  <conditionalFormatting sqref="M808">
    <cfRule type="cellIs" dxfId="0" priority="1707" operator="lessThan">
      <formula>30</formula>
    </cfRule>
  </conditionalFormatting>
  <conditionalFormatting sqref="M809">
    <cfRule type="cellIs" dxfId="0" priority="1706" operator="lessThan">
      <formula>30</formula>
    </cfRule>
  </conditionalFormatting>
  <conditionalFormatting sqref="M810">
    <cfRule type="cellIs" dxfId="0" priority="1705" operator="lessThan">
      <formula>30</formula>
    </cfRule>
  </conditionalFormatting>
  <conditionalFormatting sqref="M811">
    <cfRule type="cellIs" dxfId="0" priority="1704" operator="lessThan">
      <formula>30</formula>
    </cfRule>
  </conditionalFormatting>
  <conditionalFormatting sqref="M812">
    <cfRule type="cellIs" dxfId="0" priority="1703" operator="lessThan">
      <formula>30</formula>
    </cfRule>
  </conditionalFormatting>
  <conditionalFormatting sqref="M813">
    <cfRule type="cellIs" dxfId="0" priority="1702" operator="lessThan">
      <formula>30</formula>
    </cfRule>
  </conditionalFormatting>
  <conditionalFormatting sqref="M814">
    <cfRule type="cellIs" dxfId="0" priority="1701" operator="lessThan">
      <formula>30</formula>
    </cfRule>
  </conditionalFormatting>
  <conditionalFormatting sqref="M815">
    <cfRule type="cellIs" dxfId="0" priority="1700" operator="lessThan">
      <formula>30</formula>
    </cfRule>
  </conditionalFormatting>
  <conditionalFormatting sqref="M816">
    <cfRule type="cellIs" dxfId="0" priority="1699" operator="lessThan">
      <formula>30</formula>
    </cfRule>
  </conditionalFormatting>
  <conditionalFormatting sqref="M817">
    <cfRule type="cellIs" dxfId="0" priority="1698" operator="lessThan">
      <formula>30</formula>
    </cfRule>
  </conditionalFormatting>
  <conditionalFormatting sqref="M818">
    <cfRule type="cellIs" dxfId="0" priority="1697" operator="lessThan">
      <formula>30</formula>
    </cfRule>
  </conditionalFormatting>
  <conditionalFormatting sqref="M819">
    <cfRule type="cellIs" dxfId="0" priority="1696" operator="lessThan">
      <formula>30</formula>
    </cfRule>
  </conditionalFormatting>
  <conditionalFormatting sqref="M820">
    <cfRule type="cellIs" dxfId="0" priority="1695" operator="lessThan">
      <formula>30</formula>
    </cfRule>
  </conditionalFormatting>
  <conditionalFormatting sqref="M821">
    <cfRule type="cellIs" dxfId="0" priority="1694" operator="lessThan">
      <formula>30</formula>
    </cfRule>
  </conditionalFormatting>
  <conditionalFormatting sqref="M822">
    <cfRule type="cellIs" dxfId="0" priority="1693" operator="lessThan">
      <formula>30</formula>
    </cfRule>
  </conditionalFormatting>
  <conditionalFormatting sqref="M823">
    <cfRule type="cellIs" dxfId="0" priority="1692" operator="lessThan">
      <formula>30</formula>
    </cfRule>
  </conditionalFormatting>
  <conditionalFormatting sqref="M824">
    <cfRule type="cellIs" dxfId="0" priority="1691" operator="lessThan">
      <formula>30</formula>
    </cfRule>
  </conditionalFormatting>
  <conditionalFormatting sqref="M825">
    <cfRule type="cellIs" dxfId="0" priority="1690" operator="lessThan">
      <formula>30</formula>
    </cfRule>
  </conditionalFormatting>
  <conditionalFormatting sqref="Z825">
    <cfRule type="cellIs" dxfId="0" priority="995" operator="lessThan">
      <formula>30</formula>
    </cfRule>
  </conditionalFormatting>
  <conditionalFormatting sqref="Z826">
    <cfRule type="cellIs" dxfId="0" priority="994" operator="lessThan">
      <formula>30</formula>
    </cfRule>
  </conditionalFormatting>
  <conditionalFormatting sqref="Z827">
    <cfRule type="cellIs" dxfId="0" priority="993" operator="lessThan">
      <formula>30</formula>
    </cfRule>
  </conditionalFormatting>
  <conditionalFormatting sqref="M828">
    <cfRule type="cellIs" dxfId="0" priority="1687" operator="lessThan">
      <formula>30</formula>
    </cfRule>
  </conditionalFormatting>
  <conditionalFormatting sqref="Z828">
    <cfRule type="cellIs" dxfId="0" priority="992" operator="lessThan">
      <formula>30</formula>
    </cfRule>
  </conditionalFormatting>
  <conditionalFormatting sqref="M829">
    <cfRule type="cellIs" dxfId="0" priority="1686" operator="lessThan">
      <formula>30</formula>
    </cfRule>
  </conditionalFormatting>
  <conditionalFormatting sqref="Z829">
    <cfRule type="cellIs" dxfId="0" priority="991" operator="lessThan">
      <formula>30</formula>
    </cfRule>
  </conditionalFormatting>
  <conditionalFormatting sqref="M830">
    <cfRule type="cellIs" dxfId="0" priority="1685" operator="lessThan">
      <formula>30</formula>
    </cfRule>
  </conditionalFormatting>
  <conditionalFormatting sqref="Z830">
    <cfRule type="cellIs" dxfId="0" priority="990" operator="lessThan">
      <formula>30</formula>
    </cfRule>
  </conditionalFormatting>
  <conditionalFormatting sqref="M831">
    <cfRule type="cellIs" dxfId="0" priority="1684" operator="lessThan">
      <formula>30</formula>
    </cfRule>
  </conditionalFormatting>
  <conditionalFormatting sqref="Z831">
    <cfRule type="cellIs" dxfId="0" priority="989" operator="lessThan">
      <formula>30</formula>
    </cfRule>
  </conditionalFormatting>
  <conditionalFormatting sqref="M832">
    <cfRule type="cellIs" dxfId="0" priority="1683" operator="lessThan">
      <formula>30</formula>
    </cfRule>
  </conditionalFormatting>
  <conditionalFormatting sqref="Z832">
    <cfRule type="cellIs" dxfId="0" priority="988" operator="lessThan">
      <formula>30</formula>
    </cfRule>
  </conditionalFormatting>
  <conditionalFormatting sqref="M833">
    <cfRule type="cellIs" dxfId="0" priority="1682" operator="lessThan">
      <formula>30</formula>
    </cfRule>
  </conditionalFormatting>
  <conditionalFormatting sqref="Z833">
    <cfRule type="cellIs" dxfId="0" priority="987" operator="lessThan">
      <formula>30</formula>
    </cfRule>
  </conditionalFormatting>
  <conditionalFormatting sqref="AM833">
    <cfRule type="cellIs" dxfId="0" priority="594" operator="lessThan">
      <formula>30</formula>
    </cfRule>
  </conditionalFormatting>
  <conditionalFormatting sqref="M834">
    <cfRule type="cellIs" dxfId="0" priority="1681" operator="lessThan">
      <formula>30</formula>
    </cfRule>
  </conditionalFormatting>
  <conditionalFormatting sqref="Z834">
    <cfRule type="cellIs" dxfId="0" priority="986" operator="lessThan">
      <formula>30</formula>
    </cfRule>
  </conditionalFormatting>
  <conditionalFormatting sqref="AM834">
    <cfRule type="cellIs" dxfId="0" priority="593" operator="lessThan">
      <formula>30</formula>
    </cfRule>
  </conditionalFormatting>
  <conditionalFormatting sqref="M835">
    <cfRule type="cellIs" dxfId="0" priority="1680" operator="lessThan">
      <formula>30</formula>
    </cfRule>
  </conditionalFormatting>
  <conditionalFormatting sqref="Z835">
    <cfRule type="cellIs" dxfId="0" priority="985" operator="lessThan">
      <formula>30</formula>
    </cfRule>
  </conditionalFormatting>
  <conditionalFormatting sqref="AM835">
    <cfRule type="cellIs" dxfId="0" priority="592" operator="lessThan">
      <formula>30</formula>
    </cfRule>
  </conditionalFormatting>
  <conditionalFormatting sqref="M836">
    <cfRule type="cellIs" dxfId="0" priority="1679" operator="lessThan">
      <formula>30</formula>
    </cfRule>
  </conditionalFormatting>
  <conditionalFormatting sqref="Z836">
    <cfRule type="cellIs" dxfId="0" priority="984" operator="lessThan">
      <formula>30</formula>
    </cfRule>
  </conditionalFormatting>
  <conditionalFormatting sqref="AM836">
    <cfRule type="cellIs" dxfId="0" priority="591" operator="lessThan">
      <formula>30</formula>
    </cfRule>
  </conditionalFormatting>
  <conditionalFormatting sqref="M837">
    <cfRule type="cellIs" dxfId="0" priority="1678" operator="lessThan">
      <formula>30</formula>
    </cfRule>
  </conditionalFormatting>
  <conditionalFormatting sqref="Z837">
    <cfRule type="cellIs" dxfId="0" priority="983" operator="lessThan">
      <formula>30</formula>
    </cfRule>
  </conditionalFormatting>
  <conditionalFormatting sqref="AM837">
    <cfRule type="cellIs" dxfId="0" priority="590" operator="lessThan">
      <formula>30</formula>
    </cfRule>
  </conditionalFormatting>
  <conditionalFormatting sqref="M838">
    <cfRule type="cellIs" dxfId="0" priority="1677" operator="lessThan">
      <formula>30</formula>
    </cfRule>
  </conditionalFormatting>
  <conditionalFormatting sqref="Z838">
    <cfRule type="cellIs" dxfId="0" priority="982" operator="lessThan">
      <formula>30</formula>
    </cfRule>
  </conditionalFormatting>
  <conditionalFormatting sqref="AM838">
    <cfRule type="cellIs" dxfId="0" priority="589" operator="lessThan">
      <formula>30</formula>
    </cfRule>
  </conditionalFormatting>
  <conditionalFormatting sqref="M839">
    <cfRule type="cellIs" dxfId="0" priority="1676" operator="lessThan">
      <formula>30</formula>
    </cfRule>
  </conditionalFormatting>
  <conditionalFormatting sqref="Z839">
    <cfRule type="cellIs" dxfId="0" priority="981" operator="lessThan">
      <formula>30</formula>
    </cfRule>
  </conditionalFormatting>
  <conditionalFormatting sqref="AM839">
    <cfRule type="cellIs" dxfId="0" priority="588" operator="lessThan">
      <formula>30</formula>
    </cfRule>
  </conditionalFormatting>
  <conditionalFormatting sqref="M840">
    <cfRule type="cellIs" dxfId="0" priority="1675" operator="lessThan">
      <formula>30</formula>
    </cfRule>
  </conditionalFormatting>
  <conditionalFormatting sqref="Z840">
    <cfRule type="cellIs" dxfId="0" priority="980" operator="lessThan">
      <formula>30</formula>
    </cfRule>
  </conditionalFormatting>
  <conditionalFormatting sqref="AM840">
    <cfRule type="cellIs" dxfId="0" priority="595" operator="lessThan">
      <formula>30</formula>
    </cfRule>
  </conditionalFormatting>
  <conditionalFormatting sqref="M841">
    <cfRule type="cellIs" dxfId="0" priority="1674" operator="lessThan">
      <formula>30</formula>
    </cfRule>
  </conditionalFormatting>
  <conditionalFormatting sqref="Z841">
    <cfRule type="cellIs" dxfId="0" priority="979" operator="lessThan">
      <formula>30</formula>
    </cfRule>
  </conditionalFormatting>
  <conditionalFormatting sqref="AM841">
    <cfRule type="cellIs" dxfId="0" priority="586" operator="lessThan">
      <formula>30</formula>
    </cfRule>
  </conditionalFormatting>
  <conditionalFormatting sqref="M842">
    <cfRule type="cellIs" dxfId="0" priority="1673" operator="lessThan">
      <formula>30</formula>
    </cfRule>
  </conditionalFormatting>
  <conditionalFormatting sqref="Z842">
    <cfRule type="cellIs" dxfId="0" priority="1000" operator="lessThan">
      <formula>30</formula>
    </cfRule>
  </conditionalFormatting>
  <conditionalFormatting sqref="AM842">
    <cfRule type="cellIs" dxfId="0" priority="585" operator="lessThan">
      <formula>30</formula>
    </cfRule>
  </conditionalFormatting>
  <conditionalFormatting sqref="M843">
    <cfRule type="cellIs" dxfId="0" priority="1672" operator="lessThan">
      <formula>30</formula>
    </cfRule>
  </conditionalFormatting>
  <conditionalFormatting sqref="Z843">
    <cfRule type="cellIs" dxfId="0" priority="999" operator="lessThan">
      <formula>30</formula>
    </cfRule>
  </conditionalFormatting>
  <conditionalFormatting sqref="AM843">
    <cfRule type="cellIs" dxfId="0" priority="584" operator="lessThan">
      <formula>30</formula>
    </cfRule>
  </conditionalFormatting>
  <conditionalFormatting sqref="M844">
    <cfRule type="cellIs" dxfId="0" priority="1671" operator="lessThan">
      <formula>30</formula>
    </cfRule>
  </conditionalFormatting>
  <conditionalFormatting sqref="Z844">
    <cfRule type="cellIs" dxfId="0" priority="998" operator="lessThan">
      <formula>30</formula>
    </cfRule>
  </conditionalFormatting>
  <conditionalFormatting sqref="AM844">
    <cfRule type="cellIs" dxfId="0" priority="583" operator="lessThan">
      <formula>30</formula>
    </cfRule>
  </conditionalFormatting>
  <conditionalFormatting sqref="M845">
    <cfRule type="cellIs" dxfId="0" priority="1670" operator="lessThan">
      <formula>30</formula>
    </cfRule>
  </conditionalFormatting>
  <conditionalFormatting sqref="Z845">
    <cfRule type="cellIs" dxfId="0" priority="997" operator="lessThan">
      <formula>30</formula>
    </cfRule>
  </conditionalFormatting>
  <conditionalFormatting sqref="AM845">
    <cfRule type="cellIs" dxfId="0" priority="582" operator="lessThan">
      <formula>30</formula>
    </cfRule>
  </conditionalFormatting>
  <conditionalFormatting sqref="M846">
    <cfRule type="cellIs" dxfId="0" priority="1669" operator="lessThan">
      <formula>30</formula>
    </cfRule>
  </conditionalFormatting>
  <conditionalFormatting sqref="Z846">
    <cfRule type="cellIs" dxfId="0" priority="978" operator="lessThan">
      <formula>30</formula>
    </cfRule>
  </conditionalFormatting>
  <conditionalFormatting sqref="AM846">
    <cfRule type="cellIs" dxfId="0" priority="581" operator="lessThan">
      <formula>30</formula>
    </cfRule>
  </conditionalFormatting>
  <conditionalFormatting sqref="M847">
    <cfRule type="cellIs" dxfId="0" priority="1668" operator="lessThan">
      <formula>30</formula>
    </cfRule>
  </conditionalFormatting>
  <conditionalFormatting sqref="Z847">
    <cfRule type="cellIs" dxfId="0" priority="977" operator="lessThan">
      <formula>30</formula>
    </cfRule>
  </conditionalFormatting>
  <conditionalFormatting sqref="AM847">
    <cfRule type="cellIs" dxfId="0" priority="580" operator="lessThan">
      <formula>30</formula>
    </cfRule>
  </conditionalFormatting>
  <conditionalFormatting sqref="M848">
    <cfRule type="cellIs" dxfId="0" priority="1667" operator="lessThan">
      <formula>30</formula>
    </cfRule>
  </conditionalFormatting>
  <conditionalFormatting sqref="Z848">
    <cfRule type="cellIs" dxfId="0" priority="976" operator="lessThan">
      <formula>30</formula>
    </cfRule>
  </conditionalFormatting>
  <conditionalFormatting sqref="AM848">
    <cfRule type="cellIs" dxfId="0" priority="587" operator="lessThan">
      <formula>30</formula>
    </cfRule>
  </conditionalFormatting>
  <conditionalFormatting sqref="M849">
    <cfRule type="cellIs" dxfId="0" priority="1666" operator="lessThan">
      <formula>30</formula>
    </cfRule>
  </conditionalFormatting>
  <conditionalFormatting sqref="Z849">
    <cfRule type="cellIs" dxfId="0" priority="975" operator="lessThan">
      <formula>30</formula>
    </cfRule>
  </conditionalFormatting>
  <conditionalFormatting sqref="AM849">
    <cfRule type="cellIs" dxfId="0" priority="578" operator="lessThan">
      <formula>30</formula>
    </cfRule>
  </conditionalFormatting>
  <conditionalFormatting sqref="M850">
    <cfRule type="cellIs" dxfId="0" priority="1665" operator="lessThan">
      <formula>30</formula>
    </cfRule>
  </conditionalFormatting>
  <conditionalFormatting sqref="Z850">
    <cfRule type="cellIs" dxfId="0" priority="974" operator="lessThan">
      <formula>30</formula>
    </cfRule>
  </conditionalFormatting>
  <conditionalFormatting sqref="AM850">
    <cfRule type="cellIs" dxfId="0" priority="577" operator="lessThan">
      <formula>30</formula>
    </cfRule>
  </conditionalFormatting>
  <conditionalFormatting sqref="M851">
    <cfRule type="cellIs" dxfId="0" priority="1664" operator="lessThan">
      <formula>30</formula>
    </cfRule>
  </conditionalFormatting>
  <conditionalFormatting sqref="Z851">
    <cfRule type="cellIs" dxfId="0" priority="973" operator="lessThan">
      <formula>30</formula>
    </cfRule>
  </conditionalFormatting>
  <conditionalFormatting sqref="AM851">
    <cfRule type="cellIs" dxfId="0" priority="576" operator="lessThan">
      <formula>30</formula>
    </cfRule>
  </conditionalFormatting>
  <conditionalFormatting sqref="M852">
    <cfRule type="cellIs" dxfId="0" priority="1663" operator="lessThan">
      <formula>30</formula>
    </cfRule>
  </conditionalFormatting>
  <conditionalFormatting sqref="Z852">
    <cfRule type="cellIs" dxfId="0" priority="972" operator="lessThan">
      <formula>30</formula>
    </cfRule>
  </conditionalFormatting>
  <conditionalFormatting sqref="AM852">
    <cfRule type="cellIs" dxfId="0" priority="575" operator="lessThan">
      <formula>30</formula>
    </cfRule>
  </conditionalFormatting>
  <conditionalFormatting sqref="M853">
    <cfRule type="cellIs" dxfId="0" priority="1662" operator="lessThan">
      <formula>30</formula>
    </cfRule>
  </conditionalFormatting>
  <conditionalFormatting sqref="Z853">
    <cfRule type="cellIs" dxfId="0" priority="971" operator="lessThan">
      <formula>30</formula>
    </cfRule>
  </conditionalFormatting>
  <conditionalFormatting sqref="AM853">
    <cfRule type="cellIs" dxfId="0" priority="574" operator="lessThan">
      <formula>30</formula>
    </cfRule>
  </conditionalFormatting>
  <conditionalFormatting sqref="M854">
    <cfRule type="cellIs" dxfId="0" priority="1661" operator="lessThan">
      <formula>30</formula>
    </cfRule>
  </conditionalFormatting>
  <conditionalFormatting sqref="Z854">
    <cfRule type="cellIs" dxfId="0" priority="970" operator="lessThan">
      <formula>30</formula>
    </cfRule>
  </conditionalFormatting>
  <conditionalFormatting sqref="AM854">
    <cfRule type="cellIs" dxfId="0" priority="573" operator="lessThan">
      <formula>30</formula>
    </cfRule>
  </conditionalFormatting>
  <conditionalFormatting sqref="M855">
    <cfRule type="cellIs" dxfId="0" priority="1660" operator="lessThan">
      <formula>30</formula>
    </cfRule>
  </conditionalFormatting>
  <conditionalFormatting sqref="Z855">
    <cfRule type="cellIs" dxfId="0" priority="969" operator="lessThan">
      <formula>30</formula>
    </cfRule>
  </conditionalFormatting>
  <conditionalFormatting sqref="AM855">
    <cfRule type="cellIs" dxfId="0" priority="572" operator="lessThan">
      <formula>30</formula>
    </cfRule>
  </conditionalFormatting>
  <conditionalFormatting sqref="M856">
    <cfRule type="cellIs" dxfId="0" priority="1659" operator="lessThan">
      <formula>30</formula>
    </cfRule>
  </conditionalFormatting>
  <conditionalFormatting sqref="Z856">
    <cfRule type="cellIs" dxfId="0" priority="968" operator="lessThan">
      <formula>30</formula>
    </cfRule>
  </conditionalFormatting>
  <conditionalFormatting sqref="AM856">
    <cfRule type="cellIs" dxfId="0" priority="579" operator="lessThan">
      <formula>30</formula>
    </cfRule>
  </conditionalFormatting>
  <conditionalFormatting sqref="M857">
    <cfRule type="cellIs" dxfId="0" priority="1658" operator="lessThan">
      <formula>30</formula>
    </cfRule>
  </conditionalFormatting>
  <conditionalFormatting sqref="Z857">
    <cfRule type="cellIs" dxfId="0" priority="967" operator="lessThan">
      <formula>30</formula>
    </cfRule>
  </conditionalFormatting>
  <conditionalFormatting sqref="M858">
    <cfRule type="cellIs" dxfId="0" priority="1657" operator="lessThan">
      <formula>30</formula>
    </cfRule>
  </conditionalFormatting>
  <conditionalFormatting sqref="Z858">
    <cfRule type="cellIs" dxfId="0" priority="966" operator="lessThan">
      <formula>30</formula>
    </cfRule>
  </conditionalFormatting>
  <conditionalFormatting sqref="M859">
    <cfRule type="cellIs" dxfId="0" priority="1656" operator="lessThan">
      <formula>30</formula>
    </cfRule>
  </conditionalFormatting>
  <conditionalFormatting sqref="Z859">
    <cfRule type="cellIs" dxfId="0" priority="965" operator="lessThan">
      <formula>30</formula>
    </cfRule>
  </conditionalFormatting>
  <conditionalFormatting sqref="M860">
    <cfRule type="cellIs" dxfId="0" priority="1655" operator="lessThan">
      <formula>30</formula>
    </cfRule>
  </conditionalFormatting>
  <conditionalFormatting sqref="Z860">
    <cfRule type="cellIs" dxfId="0" priority="964" operator="lessThan">
      <formula>30</formula>
    </cfRule>
  </conditionalFormatting>
  <conditionalFormatting sqref="M861">
    <cfRule type="cellIs" dxfId="0" priority="1654" operator="lessThan">
      <formula>30</formula>
    </cfRule>
  </conditionalFormatting>
  <conditionalFormatting sqref="Z861">
    <cfRule type="cellIs" dxfId="0" priority="963" operator="lessThan">
      <formula>30</formula>
    </cfRule>
  </conditionalFormatting>
  <conditionalFormatting sqref="M862">
    <cfRule type="cellIs" dxfId="0" priority="1653" operator="lessThan">
      <formula>30</formula>
    </cfRule>
  </conditionalFormatting>
  <conditionalFormatting sqref="Z862">
    <cfRule type="cellIs" dxfId="0" priority="962" operator="lessThan">
      <formula>30</formula>
    </cfRule>
  </conditionalFormatting>
  <conditionalFormatting sqref="M863">
    <cfRule type="cellIs" dxfId="0" priority="1652" operator="lessThan">
      <formula>30</formula>
    </cfRule>
  </conditionalFormatting>
  <conditionalFormatting sqref="Z863">
    <cfRule type="cellIs" dxfId="0" priority="961" operator="lessThan">
      <formula>30</formula>
    </cfRule>
  </conditionalFormatting>
  <conditionalFormatting sqref="M864">
    <cfRule type="cellIs" dxfId="0" priority="1651" operator="lessThan">
      <formula>30</formula>
    </cfRule>
  </conditionalFormatting>
  <conditionalFormatting sqref="Z864">
    <cfRule type="cellIs" dxfId="0" priority="960" operator="lessThan">
      <formula>30</formula>
    </cfRule>
  </conditionalFormatting>
  <conditionalFormatting sqref="AM864">
    <cfRule type="cellIs" dxfId="0" priority="566" operator="lessThan">
      <formula>30</formula>
    </cfRule>
  </conditionalFormatting>
  <conditionalFormatting sqref="M865">
    <cfRule type="cellIs" dxfId="0" priority="1650" operator="lessThan">
      <formula>30</formula>
    </cfRule>
  </conditionalFormatting>
  <conditionalFormatting sqref="Z865">
    <cfRule type="cellIs" dxfId="0" priority="959" operator="lessThan">
      <formula>30</formula>
    </cfRule>
  </conditionalFormatting>
  <conditionalFormatting sqref="AM865">
    <cfRule type="cellIs" dxfId="0" priority="565" operator="lessThan">
      <formula>30</formula>
    </cfRule>
  </conditionalFormatting>
  <conditionalFormatting sqref="M866">
    <cfRule type="cellIs" dxfId="0" priority="1649" operator="lessThan">
      <formula>30</formula>
    </cfRule>
  </conditionalFormatting>
  <conditionalFormatting sqref="Z866">
    <cfRule type="cellIs" dxfId="0" priority="958" operator="lessThan">
      <formula>30</formula>
    </cfRule>
  </conditionalFormatting>
  <conditionalFormatting sqref="AM866">
    <cfRule type="cellIs" dxfId="0" priority="564" operator="lessThan">
      <formula>30</formula>
    </cfRule>
  </conditionalFormatting>
  <conditionalFormatting sqref="M867">
    <cfRule type="cellIs" dxfId="0" priority="1648" operator="lessThan">
      <formula>30</formula>
    </cfRule>
  </conditionalFormatting>
  <conditionalFormatting sqref="Z867">
    <cfRule type="cellIs" dxfId="0" priority="957" operator="lessThan">
      <formula>30</formula>
    </cfRule>
  </conditionalFormatting>
  <conditionalFormatting sqref="AM867">
    <cfRule type="cellIs" dxfId="0" priority="563" operator="lessThan">
      <formula>30</formula>
    </cfRule>
  </conditionalFormatting>
  <conditionalFormatting sqref="M868">
    <cfRule type="cellIs" dxfId="0" priority="1647" operator="lessThan">
      <formula>30</formula>
    </cfRule>
  </conditionalFormatting>
  <conditionalFormatting sqref="Z868">
    <cfRule type="cellIs" dxfId="0" priority="956" operator="lessThan">
      <formula>30</formula>
    </cfRule>
  </conditionalFormatting>
  <conditionalFormatting sqref="AM868">
    <cfRule type="cellIs" dxfId="0" priority="562" operator="lessThan">
      <formula>30</formula>
    </cfRule>
  </conditionalFormatting>
  <conditionalFormatting sqref="M869">
    <cfRule type="cellIs" dxfId="0" priority="1646" operator="lessThan">
      <formula>30</formula>
    </cfRule>
  </conditionalFormatting>
  <conditionalFormatting sqref="Z869">
    <cfRule type="cellIs" dxfId="0" priority="955" operator="lessThan">
      <formula>30</formula>
    </cfRule>
  </conditionalFormatting>
  <conditionalFormatting sqref="AM869">
    <cfRule type="cellIs" dxfId="0" priority="561" operator="lessThan">
      <formula>30</formula>
    </cfRule>
  </conditionalFormatting>
  <conditionalFormatting sqref="M870">
    <cfRule type="cellIs" dxfId="0" priority="1645" operator="lessThan">
      <formula>30</formula>
    </cfRule>
  </conditionalFormatting>
  <conditionalFormatting sqref="Z870">
    <cfRule type="cellIs" dxfId="0" priority="954" operator="lessThan">
      <formula>30</formula>
    </cfRule>
  </conditionalFormatting>
  <conditionalFormatting sqref="AM870">
    <cfRule type="cellIs" dxfId="0" priority="560" operator="lessThan">
      <formula>30</formula>
    </cfRule>
  </conditionalFormatting>
  <conditionalFormatting sqref="M871">
    <cfRule type="cellIs" dxfId="0" priority="1644" operator="lessThan">
      <formula>30</formula>
    </cfRule>
  </conditionalFormatting>
  <conditionalFormatting sqref="Z871">
    <cfRule type="cellIs" dxfId="0" priority="953" operator="lessThan">
      <formula>30</formula>
    </cfRule>
  </conditionalFormatting>
  <conditionalFormatting sqref="AM871">
    <cfRule type="cellIs" dxfId="0" priority="559" operator="lessThan">
      <formula>30</formula>
    </cfRule>
  </conditionalFormatting>
  <conditionalFormatting sqref="M872">
    <cfRule type="cellIs" dxfId="0" priority="1643" operator="lessThan">
      <formula>30</formula>
    </cfRule>
  </conditionalFormatting>
  <conditionalFormatting sqref="Z872">
    <cfRule type="cellIs" dxfId="0" priority="952" operator="lessThan">
      <formula>30</formula>
    </cfRule>
  </conditionalFormatting>
  <conditionalFormatting sqref="AM872">
    <cfRule type="cellIs" dxfId="0" priority="558" operator="lessThan">
      <formula>30</formula>
    </cfRule>
  </conditionalFormatting>
  <conditionalFormatting sqref="M873">
    <cfRule type="cellIs" dxfId="0" priority="1642" operator="lessThan">
      <formula>30</formula>
    </cfRule>
  </conditionalFormatting>
  <conditionalFormatting sqref="Z873">
    <cfRule type="cellIs" dxfId="0" priority="951" operator="lessThan">
      <formula>30</formula>
    </cfRule>
  </conditionalFormatting>
  <conditionalFormatting sqref="AM873">
    <cfRule type="cellIs" dxfId="0" priority="557" operator="lessThan">
      <formula>30</formula>
    </cfRule>
  </conditionalFormatting>
  <conditionalFormatting sqref="M874">
    <cfRule type="cellIs" dxfId="0" priority="1641" operator="lessThan">
      <formula>30</formula>
    </cfRule>
  </conditionalFormatting>
  <conditionalFormatting sqref="Z874">
    <cfRule type="cellIs" dxfId="0" priority="950" operator="lessThan">
      <formula>30</formula>
    </cfRule>
  </conditionalFormatting>
  <conditionalFormatting sqref="AM874">
    <cfRule type="cellIs" dxfId="0" priority="556" operator="lessThan">
      <formula>30</formula>
    </cfRule>
  </conditionalFormatting>
  <conditionalFormatting sqref="M875">
    <cfRule type="cellIs" dxfId="0" priority="1640" operator="lessThan">
      <formula>30</formula>
    </cfRule>
  </conditionalFormatting>
  <conditionalFormatting sqref="Z875">
    <cfRule type="cellIs" dxfId="0" priority="949" operator="lessThan">
      <formula>30</formula>
    </cfRule>
  </conditionalFormatting>
  <conditionalFormatting sqref="AM875">
    <cfRule type="cellIs" dxfId="0" priority="555" operator="lessThan">
      <formula>30</formula>
    </cfRule>
  </conditionalFormatting>
  <conditionalFormatting sqref="M876">
    <cfRule type="cellIs" dxfId="0" priority="1639" operator="lessThan">
      <formula>30</formula>
    </cfRule>
  </conditionalFormatting>
  <conditionalFormatting sqref="Z876">
    <cfRule type="cellIs" dxfId="0" priority="1144" operator="lessThan">
      <formula>30</formula>
    </cfRule>
  </conditionalFormatting>
  <conditionalFormatting sqref="AM876">
    <cfRule type="cellIs" dxfId="0" priority="554" operator="lessThan">
      <formula>30</formula>
    </cfRule>
  </conditionalFormatting>
  <conditionalFormatting sqref="M877">
    <cfRule type="cellIs" dxfId="0" priority="1638" operator="lessThan">
      <formula>30</formula>
    </cfRule>
  </conditionalFormatting>
  <conditionalFormatting sqref="Z877">
    <cfRule type="cellIs" dxfId="0" priority="1143" operator="lessThan">
      <formula>30</formula>
    </cfRule>
  </conditionalFormatting>
  <conditionalFormatting sqref="AM877">
    <cfRule type="cellIs" dxfId="0" priority="553" operator="lessThan">
      <formula>30</formula>
    </cfRule>
  </conditionalFormatting>
  <conditionalFormatting sqref="M878">
    <cfRule type="cellIs" dxfId="0" priority="1637" operator="lessThan">
      <formula>30</formula>
    </cfRule>
  </conditionalFormatting>
  <conditionalFormatting sqref="Z878">
    <cfRule type="cellIs" dxfId="0" priority="1142" operator="lessThan">
      <formula>30</formula>
    </cfRule>
  </conditionalFormatting>
  <conditionalFormatting sqref="AM878">
    <cfRule type="cellIs" dxfId="0" priority="552" operator="lessThan">
      <formula>30</formula>
    </cfRule>
  </conditionalFormatting>
  <conditionalFormatting sqref="M879">
    <cfRule type="cellIs" dxfId="0" priority="1636" operator="lessThan">
      <formula>30</formula>
    </cfRule>
  </conditionalFormatting>
  <conditionalFormatting sqref="Z879">
    <cfRule type="cellIs" dxfId="0" priority="1141" operator="lessThan">
      <formula>30</formula>
    </cfRule>
  </conditionalFormatting>
  <conditionalFormatting sqref="AM879">
    <cfRule type="cellIs" dxfId="0" priority="551" operator="lessThan">
      <formula>30</formula>
    </cfRule>
  </conditionalFormatting>
  <conditionalFormatting sqref="M880">
    <cfRule type="cellIs" dxfId="0" priority="1635" operator="lessThan">
      <formula>30</formula>
    </cfRule>
  </conditionalFormatting>
  <conditionalFormatting sqref="Z880">
    <cfRule type="cellIs" dxfId="0" priority="1140" operator="lessThan">
      <formula>30</formula>
    </cfRule>
  </conditionalFormatting>
  <conditionalFormatting sqref="AM880">
    <cfRule type="cellIs" dxfId="0" priority="550" operator="lessThan">
      <formula>30</formula>
    </cfRule>
  </conditionalFormatting>
  <conditionalFormatting sqref="M881">
    <cfRule type="cellIs" dxfId="0" priority="1634" operator="lessThan">
      <formula>30</formula>
    </cfRule>
  </conditionalFormatting>
  <conditionalFormatting sqref="Z881">
    <cfRule type="cellIs" dxfId="0" priority="1139" operator="lessThan">
      <formula>30</formula>
    </cfRule>
  </conditionalFormatting>
  <conditionalFormatting sqref="AM881">
    <cfRule type="cellIs" dxfId="0" priority="549" operator="lessThan">
      <formula>30</formula>
    </cfRule>
  </conditionalFormatting>
  <conditionalFormatting sqref="M882">
    <cfRule type="cellIs" dxfId="0" priority="1633" operator="lessThan">
      <formula>30</formula>
    </cfRule>
  </conditionalFormatting>
  <conditionalFormatting sqref="Z882">
    <cfRule type="cellIs" dxfId="0" priority="1138" operator="lessThan">
      <formula>30</formula>
    </cfRule>
  </conditionalFormatting>
  <conditionalFormatting sqref="AM882">
    <cfRule type="cellIs" dxfId="0" priority="548" operator="lessThan">
      <formula>30</formula>
    </cfRule>
  </conditionalFormatting>
  <conditionalFormatting sqref="M883">
    <cfRule type="cellIs" dxfId="0" priority="1632" operator="lessThan">
      <formula>30</formula>
    </cfRule>
  </conditionalFormatting>
  <conditionalFormatting sqref="Z883">
    <cfRule type="cellIs" dxfId="0" priority="1137" operator="lessThan">
      <formula>30</formula>
    </cfRule>
  </conditionalFormatting>
  <conditionalFormatting sqref="AM883">
    <cfRule type="cellIs" dxfId="0" priority="547" operator="lessThan">
      <formula>30</formula>
    </cfRule>
  </conditionalFormatting>
  <conditionalFormatting sqref="M884">
    <cfRule type="cellIs" dxfId="0" priority="1631" operator="lessThan">
      <formula>30</formula>
    </cfRule>
  </conditionalFormatting>
  <conditionalFormatting sqref="Z884">
    <cfRule type="cellIs" dxfId="0" priority="1136" operator="lessThan">
      <formula>30</formula>
    </cfRule>
  </conditionalFormatting>
  <conditionalFormatting sqref="AM884">
    <cfRule type="cellIs" dxfId="0" priority="546" operator="lessThan">
      <formula>30</formula>
    </cfRule>
  </conditionalFormatting>
  <conditionalFormatting sqref="M885">
    <cfRule type="cellIs" dxfId="0" priority="1630" operator="lessThan">
      <formula>30</formula>
    </cfRule>
  </conditionalFormatting>
  <conditionalFormatting sqref="Z885">
    <cfRule type="cellIs" dxfId="0" priority="1135" operator="lessThan">
      <formula>30</formula>
    </cfRule>
  </conditionalFormatting>
  <conditionalFormatting sqref="AM885">
    <cfRule type="cellIs" dxfId="0" priority="545" operator="lessThan">
      <formula>30</formula>
    </cfRule>
  </conditionalFormatting>
  <conditionalFormatting sqref="M886">
    <cfRule type="cellIs" dxfId="0" priority="1629" operator="lessThan">
      <formula>30</formula>
    </cfRule>
  </conditionalFormatting>
  <conditionalFormatting sqref="Z886">
    <cfRule type="cellIs" dxfId="0" priority="1134" operator="lessThan">
      <formula>30</formula>
    </cfRule>
  </conditionalFormatting>
  <conditionalFormatting sqref="AM886">
    <cfRule type="cellIs" dxfId="0" priority="544" operator="lessThan">
      <formula>30</formula>
    </cfRule>
  </conditionalFormatting>
  <conditionalFormatting sqref="M887">
    <cfRule type="cellIs" dxfId="0" priority="1628" operator="lessThan">
      <formula>30</formula>
    </cfRule>
  </conditionalFormatting>
  <conditionalFormatting sqref="Z887">
    <cfRule type="cellIs" dxfId="0" priority="1133" operator="lessThan">
      <formula>30</formula>
    </cfRule>
  </conditionalFormatting>
  <conditionalFormatting sqref="AM887">
    <cfRule type="cellIs" dxfId="0" priority="543" operator="lessThan">
      <formula>30</formula>
    </cfRule>
  </conditionalFormatting>
  <conditionalFormatting sqref="M888">
    <cfRule type="cellIs" dxfId="0" priority="1627" operator="lessThan">
      <formula>30</formula>
    </cfRule>
  </conditionalFormatting>
  <conditionalFormatting sqref="Z888">
    <cfRule type="cellIs" dxfId="0" priority="1132" operator="lessThan">
      <formula>30</formula>
    </cfRule>
  </conditionalFormatting>
  <conditionalFormatting sqref="AM888">
    <cfRule type="cellIs" dxfId="0" priority="542" operator="lessThan">
      <formula>30</formula>
    </cfRule>
  </conditionalFormatting>
  <conditionalFormatting sqref="M889">
    <cfRule type="cellIs" dxfId="0" priority="1626" operator="lessThan">
      <formula>30</formula>
    </cfRule>
  </conditionalFormatting>
  <conditionalFormatting sqref="Z889">
    <cfRule type="cellIs" dxfId="0" priority="1131" operator="lessThan">
      <formula>30</formula>
    </cfRule>
  </conditionalFormatting>
  <conditionalFormatting sqref="AM889">
    <cfRule type="cellIs" dxfId="0" priority="541" operator="lessThan">
      <formula>30</formula>
    </cfRule>
  </conditionalFormatting>
  <conditionalFormatting sqref="M890">
    <cfRule type="cellIs" dxfId="0" priority="1625" operator="lessThan">
      <formula>30</formula>
    </cfRule>
  </conditionalFormatting>
  <conditionalFormatting sqref="Z890">
    <cfRule type="cellIs" dxfId="0" priority="1130" operator="lessThan">
      <formula>30</formula>
    </cfRule>
  </conditionalFormatting>
  <conditionalFormatting sqref="AM890">
    <cfRule type="cellIs" dxfId="0" priority="540" operator="lessThan">
      <formula>30</formula>
    </cfRule>
  </conditionalFormatting>
  <conditionalFormatting sqref="M891">
    <cfRule type="cellIs" dxfId="0" priority="1624" operator="lessThan">
      <formula>30</formula>
    </cfRule>
  </conditionalFormatting>
  <conditionalFormatting sqref="Z891">
    <cfRule type="cellIs" dxfId="0" priority="1129" operator="lessThan">
      <formula>30</formula>
    </cfRule>
  </conditionalFormatting>
  <conditionalFormatting sqref="AM891">
    <cfRule type="cellIs" dxfId="0" priority="539" operator="lessThan">
      <formula>30</formula>
    </cfRule>
  </conditionalFormatting>
  <conditionalFormatting sqref="M892">
    <cfRule type="cellIs" dxfId="0" priority="1623" operator="lessThan">
      <formula>30</formula>
    </cfRule>
  </conditionalFormatting>
  <conditionalFormatting sqref="Z892">
    <cfRule type="cellIs" dxfId="0" priority="1128" operator="lessThan">
      <formula>30</formula>
    </cfRule>
  </conditionalFormatting>
  <conditionalFormatting sqref="AM892">
    <cfRule type="cellIs" dxfId="0" priority="538" operator="lessThan">
      <formula>30</formula>
    </cfRule>
  </conditionalFormatting>
  <conditionalFormatting sqref="M893">
    <cfRule type="cellIs" dxfId="0" priority="1622" operator="lessThan">
      <formula>30</formula>
    </cfRule>
  </conditionalFormatting>
  <conditionalFormatting sqref="Z893">
    <cfRule type="cellIs" dxfId="0" priority="1127" operator="lessThan">
      <formula>30</formula>
    </cfRule>
  </conditionalFormatting>
  <conditionalFormatting sqref="AM893">
    <cfRule type="cellIs" dxfId="0" priority="537" operator="lessThan">
      <formula>30</formula>
    </cfRule>
  </conditionalFormatting>
  <conditionalFormatting sqref="M894">
    <cfRule type="cellIs" dxfId="0" priority="1621" operator="lessThan">
      <formula>30</formula>
    </cfRule>
  </conditionalFormatting>
  <conditionalFormatting sqref="Z894">
    <cfRule type="cellIs" dxfId="0" priority="1126" operator="lessThan">
      <formula>30</formula>
    </cfRule>
  </conditionalFormatting>
  <conditionalFormatting sqref="AM894">
    <cfRule type="cellIs" dxfId="0" priority="536" operator="lessThan">
      <formula>30</formula>
    </cfRule>
  </conditionalFormatting>
  <conditionalFormatting sqref="M895">
    <cfRule type="cellIs" dxfId="0" priority="1620" operator="lessThan">
      <formula>30</formula>
    </cfRule>
  </conditionalFormatting>
  <conditionalFormatting sqref="Z895">
    <cfRule type="cellIs" dxfId="0" priority="1125" operator="lessThan">
      <formula>30</formula>
    </cfRule>
  </conditionalFormatting>
  <conditionalFormatting sqref="M896">
    <cfRule type="cellIs" dxfId="0" priority="1619" operator="lessThan">
      <formula>30</formula>
    </cfRule>
  </conditionalFormatting>
  <conditionalFormatting sqref="Z896">
    <cfRule type="cellIs" dxfId="0" priority="1124" operator="lessThan">
      <formula>30</formula>
    </cfRule>
  </conditionalFormatting>
  <conditionalFormatting sqref="M897">
    <cfRule type="cellIs" dxfId="0" priority="1618" operator="lessThan">
      <formula>30</formula>
    </cfRule>
  </conditionalFormatting>
  <conditionalFormatting sqref="Z897">
    <cfRule type="cellIs" dxfId="0" priority="1123" operator="lessThan">
      <formula>30</formula>
    </cfRule>
  </conditionalFormatting>
  <conditionalFormatting sqref="M898">
    <cfRule type="cellIs" dxfId="0" priority="1617" operator="lessThan">
      <formula>30</formula>
    </cfRule>
  </conditionalFormatting>
  <conditionalFormatting sqref="Z898">
    <cfRule type="cellIs" dxfId="0" priority="1122" operator="lessThan">
      <formula>30</formula>
    </cfRule>
  </conditionalFormatting>
  <conditionalFormatting sqref="M899">
    <cfRule type="cellIs" dxfId="0" priority="1616" operator="lessThan">
      <formula>30</formula>
    </cfRule>
  </conditionalFormatting>
  <conditionalFormatting sqref="Z899">
    <cfRule type="cellIs" dxfId="0" priority="1121" operator="lessThan">
      <formula>30</formula>
    </cfRule>
  </conditionalFormatting>
  <conditionalFormatting sqref="M900">
    <cfRule type="cellIs" dxfId="0" priority="1615" operator="lessThan">
      <formula>30</formula>
    </cfRule>
  </conditionalFormatting>
  <conditionalFormatting sqref="Z900">
    <cfRule type="cellIs" dxfId="0" priority="1120" operator="lessThan">
      <formula>30</formula>
    </cfRule>
  </conditionalFormatting>
  <conditionalFormatting sqref="M901">
    <cfRule type="cellIs" dxfId="0" priority="1614" operator="lessThan">
      <formula>30</formula>
    </cfRule>
  </conditionalFormatting>
  <conditionalFormatting sqref="Z901">
    <cfRule type="cellIs" dxfId="0" priority="1119" operator="lessThan">
      <formula>30</formula>
    </cfRule>
  </conditionalFormatting>
  <conditionalFormatting sqref="AM901">
    <cfRule type="cellIs" dxfId="0" priority="497" operator="lessThan">
      <formula>30</formula>
    </cfRule>
  </conditionalFormatting>
  <conditionalFormatting sqref="M902">
    <cfRule type="cellIs" dxfId="0" priority="1613" operator="lessThan">
      <formula>30</formula>
    </cfRule>
  </conditionalFormatting>
  <conditionalFormatting sqref="Z902">
    <cfRule type="cellIs" dxfId="0" priority="1118" operator="lessThan">
      <formula>30</formula>
    </cfRule>
  </conditionalFormatting>
  <conditionalFormatting sqref="AM902">
    <cfRule type="cellIs" dxfId="0" priority="496" operator="lessThan">
      <formula>30</formula>
    </cfRule>
  </conditionalFormatting>
  <conditionalFormatting sqref="M903">
    <cfRule type="cellIs" dxfId="0" priority="1612" operator="lessThan">
      <formula>30</formula>
    </cfRule>
  </conditionalFormatting>
  <conditionalFormatting sqref="Z903">
    <cfRule type="cellIs" dxfId="0" priority="1117" operator="lessThan">
      <formula>30</formula>
    </cfRule>
  </conditionalFormatting>
  <conditionalFormatting sqref="AM903">
    <cfRule type="cellIs" dxfId="0" priority="495" operator="lessThan">
      <formula>30</formula>
    </cfRule>
  </conditionalFormatting>
  <conditionalFormatting sqref="M904">
    <cfRule type="cellIs" dxfId="0" priority="1611" operator="lessThan">
      <formula>30</formula>
    </cfRule>
  </conditionalFormatting>
  <conditionalFormatting sqref="Z904">
    <cfRule type="cellIs" dxfId="0" priority="1116" operator="lessThan">
      <formula>30</formula>
    </cfRule>
  </conditionalFormatting>
  <conditionalFormatting sqref="AM904">
    <cfRule type="cellIs" dxfId="0" priority="494" operator="lessThan">
      <formula>30</formula>
    </cfRule>
  </conditionalFormatting>
  <conditionalFormatting sqref="M905">
    <cfRule type="cellIs" dxfId="0" priority="1610" operator="lessThan">
      <formula>30</formula>
    </cfRule>
  </conditionalFormatting>
  <conditionalFormatting sqref="Z905">
    <cfRule type="cellIs" dxfId="0" priority="1115" operator="lessThan">
      <formula>30</formula>
    </cfRule>
  </conditionalFormatting>
  <conditionalFormatting sqref="AM905">
    <cfRule type="cellIs" dxfId="0" priority="493" operator="lessThan">
      <formula>30</formula>
    </cfRule>
  </conditionalFormatting>
  <conditionalFormatting sqref="M906">
    <cfRule type="cellIs" dxfId="0" priority="1609" operator="lessThan">
      <formula>30</formula>
    </cfRule>
  </conditionalFormatting>
  <conditionalFormatting sqref="Z906">
    <cfRule type="cellIs" dxfId="0" priority="1114" operator="lessThan">
      <formula>30</formula>
    </cfRule>
  </conditionalFormatting>
  <conditionalFormatting sqref="AM906">
    <cfRule type="cellIs" dxfId="0" priority="492" operator="lessThan">
      <formula>30</formula>
    </cfRule>
  </conditionalFormatting>
  <conditionalFormatting sqref="M907">
    <cfRule type="cellIs" dxfId="0" priority="1608" operator="lessThan">
      <formula>30</formula>
    </cfRule>
  </conditionalFormatting>
  <conditionalFormatting sqref="Z907">
    <cfRule type="cellIs" dxfId="0" priority="1113" operator="lessThan">
      <formula>30</formula>
    </cfRule>
  </conditionalFormatting>
  <conditionalFormatting sqref="AM907">
    <cfRule type="cellIs" dxfId="0" priority="491" operator="lessThan">
      <formula>30</formula>
    </cfRule>
  </conditionalFormatting>
  <conditionalFormatting sqref="M908">
    <cfRule type="cellIs" dxfId="0" priority="1607" operator="lessThan">
      <formula>30</formula>
    </cfRule>
  </conditionalFormatting>
  <conditionalFormatting sqref="Z908">
    <cfRule type="cellIs" dxfId="0" priority="1112" operator="lessThan">
      <formula>30</formula>
    </cfRule>
  </conditionalFormatting>
  <conditionalFormatting sqref="AM908">
    <cfRule type="cellIs" dxfId="0" priority="490" operator="lessThan">
      <formula>30</formula>
    </cfRule>
  </conditionalFormatting>
  <conditionalFormatting sqref="M909">
    <cfRule type="cellIs" dxfId="0" priority="1606" operator="lessThan">
      <formula>30</formula>
    </cfRule>
  </conditionalFormatting>
  <conditionalFormatting sqref="Z909">
    <cfRule type="cellIs" dxfId="0" priority="1111" operator="lessThan">
      <formula>30</formula>
    </cfRule>
  </conditionalFormatting>
  <conditionalFormatting sqref="AM909">
    <cfRule type="cellIs" dxfId="0" priority="489" operator="lessThan">
      <formula>30</formula>
    </cfRule>
  </conditionalFormatting>
  <conditionalFormatting sqref="M910">
    <cfRule type="cellIs" dxfId="0" priority="1605" operator="lessThan">
      <formula>30</formula>
    </cfRule>
  </conditionalFormatting>
  <conditionalFormatting sqref="Z910">
    <cfRule type="cellIs" dxfId="0" priority="1110" operator="lessThan">
      <formula>30</formula>
    </cfRule>
  </conditionalFormatting>
  <conditionalFormatting sqref="AM910">
    <cfRule type="cellIs" dxfId="0" priority="488" operator="lessThan">
      <formula>30</formula>
    </cfRule>
  </conditionalFormatting>
  <conditionalFormatting sqref="M911">
    <cfRule type="cellIs" dxfId="0" priority="1604" operator="lessThan">
      <formula>30</formula>
    </cfRule>
  </conditionalFormatting>
  <conditionalFormatting sqref="Z911">
    <cfRule type="cellIs" dxfId="0" priority="1109" operator="lessThan">
      <formula>30</formula>
    </cfRule>
  </conditionalFormatting>
  <conditionalFormatting sqref="AM911">
    <cfRule type="cellIs" dxfId="0" priority="487" operator="lessThan">
      <formula>30</formula>
    </cfRule>
  </conditionalFormatting>
  <conditionalFormatting sqref="M912">
    <cfRule type="cellIs" dxfId="0" priority="1603" operator="lessThan">
      <formula>30</formula>
    </cfRule>
  </conditionalFormatting>
  <conditionalFormatting sqref="Z912">
    <cfRule type="cellIs" dxfId="0" priority="1108" operator="lessThan">
      <formula>30</formula>
    </cfRule>
  </conditionalFormatting>
  <conditionalFormatting sqref="AM912">
    <cfRule type="cellIs" dxfId="0" priority="486" operator="lessThan">
      <formula>30</formula>
    </cfRule>
  </conditionalFormatting>
  <conditionalFormatting sqref="M913">
    <cfRule type="cellIs" dxfId="0" priority="1602" operator="lessThan">
      <formula>30</formula>
    </cfRule>
  </conditionalFormatting>
  <conditionalFormatting sqref="Z913">
    <cfRule type="cellIs" dxfId="0" priority="1107" operator="lessThan">
      <formula>30</formula>
    </cfRule>
  </conditionalFormatting>
  <conditionalFormatting sqref="AM913">
    <cfRule type="cellIs" dxfId="0" priority="485" operator="lessThan">
      <formula>30</formula>
    </cfRule>
  </conditionalFormatting>
  <conditionalFormatting sqref="M914">
    <cfRule type="cellIs" dxfId="0" priority="1601" operator="lessThan">
      <formula>30</formula>
    </cfRule>
  </conditionalFormatting>
  <conditionalFormatting sqref="Z914">
    <cfRule type="cellIs" dxfId="0" priority="1106" operator="lessThan">
      <formula>30</formula>
    </cfRule>
  </conditionalFormatting>
  <conditionalFormatting sqref="AM914">
    <cfRule type="cellIs" dxfId="0" priority="484" operator="lessThan">
      <formula>30</formula>
    </cfRule>
  </conditionalFormatting>
  <conditionalFormatting sqref="M915">
    <cfRule type="cellIs" dxfId="0" priority="1600" operator="lessThan">
      <formula>30</formula>
    </cfRule>
  </conditionalFormatting>
  <conditionalFormatting sqref="Z915">
    <cfRule type="cellIs" dxfId="0" priority="1105" operator="lessThan">
      <formula>30</formula>
    </cfRule>
  </conditionalFormatting>
  <conditionalFormatting sqref="AM915">
    <cfRule type="cellIs" dxfId="0" priority="483" operator="lessThan">
      <formula>30</formula>
    </cfRule>
  </conditionalFormatting>
  <conditionalFormatting sqref="M916">
    <cfRule type="cellIs" dxfId="0" priority="1599" operator="lessThan">
      <formula>30</formula>
    </cfRule>
  </conditionalFormatting>
  <conditionalFormatting sqref="Z916">
    <cfRule type="cellIs" dxfId="0" priority="1104" operator="lessThan">
      <formula>30</formula>
    </cfRule>
  </conditionalFormatting>
  <conditionalFormatting sqref="AM916">
    <cfRule type="cellIs" dxfId="0" priority="482" operator="lessThan">
      <formula>30</formula>
    </cfRule>
  </conditionalFormatting>
  <conditionalFormatting sqref="M917">
    <cfRule type="cellIs" dxfId="0" priority="1598" operator="lessThan">
      <formula>30</formula>
    </cfRule>
  </conditionalFormatting>
  <conditionalFormatting sqref="Z917">
    <cfRule type="cellIs" dxfId="0" priority="1103" operator="lessThan">
      <formula>30</formula>
    </cfRule>
  </conditionalFormatting>
  <conditionalFormatting sqref="AM917">
    <cfRule type="cellIs" dxfId="0" priority="481" operator="lessThan">
      <formula>30</formula>
    </cfRule>
  </conditionalFormatting>
  <conditionalFormatting sqref="M918">
    <cfRule type="cellIs" dxfId="0" priority="1597" operator="lessThan">
      <formula>30</formula>
    </cfRule>
  </conditionalFormatting>
  <conditionalFormatting sqref="Z918">
    <cfRule type="cellIs" dxfId="0" priority="1102" operator="lessThan">
      <formula>30</formula>
    </cfRule>
  </conditionalFormatting>
  <conditionalFormatting sqref="AM918">
    <cfRule type="cellIs" dxfId="0" priority="480" operator="lessThan">
      <formula>30</formula>
    </cfRule>
  </conditionalFormatting>
  <conditionalFormatting sqref="M919">
    <cfRule type="cellIs" dxfId="0" priority="1596" operator="lessThan">
      <formula>30</formula>
    </cfRule>
  </conditionalFormatting>
  <conditionalFormatting sqref="Z919">
    <cfRule type="cellIs" dxfId="0" priority="1101" operator="lessThan">
      <formula>30</formula>
    </cfRule>
  </conditionalFormatting>
  <conditionalFormatting sqref="AM919">
    <cfRule type="cellIs" dxfId="0" priority="479" operator="lessThan">
      <formula>30</formula>
    </cfRule>
  </conditionalFormatting>
  <conditionalFormatting sqref="M920">
    <cfRule type="cellIs" dxfId="0" priority="1595" operator="lessThan">
      <formula>30</formula>
    </cfRule>
  </conditionalFormatting>
  <conditionalFormatting sqref="Z920">
    <cfRule type="cellIs" dxfId="0" priority="1100" operator="lessThan">
      <formula>30</formula>
    </cfRule>
  </conditionalFormatting>
  <conditionalFormatting sqref="AM920">
    <cfRule type="cellIs" dxfId="0" priority="478" operator="lessThan">
      <formula>30</formula>
    </cfRule>
  </conditionalFormatting>
  <conditionalFormatting sqref="M921">
    <cfRule type="cellIs" dxfId="0" priority="1594" operator="lessThan">
      <formula>30</formula>
    </cfRule>
  </conditionalFormatting>
  <conditionalFormatting sqref="Z921">
    <cfRule type="cellIs" dxfId="0" priority="1099" operator="lessThan">
      <formula>30</formula>
    </cfRule>
  </conditionalFormatting>
  <conditionalFormatting sqref="AM921">
    <cfRule type="cellIs" dxfId="0" priority="477" operator="lessThan">
      <formula>30</formula>
    </cfRule>
  </conditionalFormatting>
  <conditionalFormatting sqref="M922">
    <cfRule type="cellIs" dxfId="0" priority="1593" operator="lessThan">
      <formula>30</formula>
    </cfRule>
  </conditionalFormatting>
  <conditionalFormatting sqref="Z922">
    <cfRule type="cellIs" dxfId="0" priority="1098" operator="lessThan">
      <formula>30</formula>
    </cfRule>
  </conditionalFormatting>
  <conditionalFormatting sqref="AM922">
    <cfRule type="cellIs" dxfId="0" priority="476" operator="lessThan">
      <formula>30</formula>
    </cfRule>
  </conditionalFormatting>
  <conditionalFormatting sqref="M923">
    <cfRule type="cellIs" dxfId="0" priority="1592" operator="lessThan">
      <formula>30</formula>
    </cfRule>
  </conditionalFormatting>
  <conditionalFormatting sqref="Z923">
    <cfRule type="cellIs" dxfId="0" priority="1097" operator="lessThan">
      <formula>30</formula>
    </cfRule>
  </conditionalFormatting>
  <conditionalFormatting sqref="AM923">
    <cfRule type="cellIs" dxfId="0" priority="475" operator="lessThan">
      <formula>30</formula>
    </cfRule>
  </conditionalFormatting>
  <conditionalFormatting sqref="M924">
    <cfRule type="cellIs" dxfId="0" priority="1591" operator="lessThan">
      <formula>30</formula>
    </cfRule>
  </conditionalFormatting>
  <conditionalFormatting sqref="Z924">
    <cfRule type="cellIs" dxfId="0" priority="1096" operator="lessThan">
      <formula>30</formula>
    </cfRule>
  </conditionalFormatting>
  <conditionalFormatting sqref="AM924">
    <cfRule type="cellIs" dxfId="0" priority="474" operator="lessThan">
      <formula>30</formula>
    </cfRule>
  </conditionalFormatting>
  <conditionalFormatting sqref="Z925">
    <cfRule type="cellIs" dxfId="0" priority="1095" operator="lessThan">
      <formula>30</formula>
    </cfRule>
  </conditionalFormatting>
  <conditionalFormatting sqref="AM925">
    <cfRule type="cellIs" dxfId="0" priority="473" operator="lessThan">
      <formula>30</formula>
    </cfRule>
  </conditionalFormatting>
  <conditionalFormatting sqref="Z926">
    <cfRule type="cellIs" dxfId="0" priority="1094" operator="lessThan">
      <formula>30</formula>
    </cfRule>
  </conditionalFormatting>
  <conditionalFormatting sqref="AM926">
    <cfRule type="cellIs" dxfId="0" priority="472" operator="lessThan">
      <formula>30</formula>
    </cfRule>
  </conditionalFormatting>
  <conditionalFormatting sqref="M927">
    <cfRule type="cellIs" dxfId="0" priority="1589" operator="lessThan">
      <formula>30</formula>
    </cfRule>
  </conditionalFormatting>
  <conditionalFormatting sqref="Z927">
    <cfRule type="cellIs" dxfId="0" priority="1093" operator="lessThan">
      <formula>30</formula>
    </cfRule>
  </conditionalFormatting>
  <conditionalFormatting sqref="AM927">
    <cfRule type="cellIs" dxfId="0" priority="471" operator="lessThan">
      <formula>30</formula>
    </cfRule>
  </conditionalFormatting>
  <conditionalFormatting sqref="M928">
    <cfRule type="cellIs" dxfId="0" priority="1588" operator="lessThan">
      <formula>30</formula>
    </cfRule>
  </conditionalFormatting>
  <conditionalFormatting sqref="Z928">
    <cfRule type="cellIs" dxfId="0" priority="1092" operator="lessThan">
      <formula>30</formula>
    </cfRule>
  </conditionalFormatting>
  <conditionalFormatting sqref="AM928">
    <cfRule type="cellIs" dxfId="0" priority="470" operator="lessThan">
      <formula>30</formula>
    </cfRule>
  </conditionalFormatting>
  <conditionalFormatting sqref="M929">
    <cfRule type="cellIs" dxfId="0" priority="1587" operator="lessThan">
      <formula>30</formula>
    </cfRule>
  </conditionalFormatting>
  <conditionalFormatting sqref="Z929">
    <cfRule type="cellIs" dxfId="0" priority="1091" operator="lessThan">
      <formula>30</formula>
    </cfRule>
  </conditionalFormatting>
  <conditionalFormatting sqref="AM929">
    <cfRule type="cellIs" dxfId="0" priority="469" operator="lessThan">
      <formula>30</formula>
    </cfRule>
  </conditionalFormatting>
  <conditionalFormatting sqref="M930">
    <cfRule type="cellIs" dxfId="0" priority="1586" operator="lessThan">
      <formula>30</formula>
    </cfRule>
  </conditionalFormatting>
  <conditionalFormatting sqref="Z930">
    <cfRule type="cellIs" dxfId="0" priority="1090" operator="lessThan">
      <formula>30</formula>
    </cfRule>
  </conditionalFormatting>
  <conditionalFormatting sqref="AM930">
    <cfRule type="cellIs" dxfId="0" priority="468" operator="lessThan">
      <formula>30</formula>
    </cfRule>
  </conditionalFormatting>
  <conditionalFormatting sqref="M931">
    <cfRule type="cellIs" dxfId="0" priority="1585" operator="lessThan">
      <formula>30</formula>
    </cfRule>
  </conditionalFormatting>
  <conditionalFormatting sqref="Z931">
    <cfRule type="cellIs" dxfId="0" priority="1089" operator="lessThan">
      <formula>30</formula>
    </cfRule>
  </conditionalFormatting>
  <conditionalFormatting sqref="M932">
    <cfRule type="cellIs" dxfId="0" priority="1584" operator="lessThan">
      <formula>30</formula>
    </cfRule>
  </conditionalFormatting>
  <conditionalFormatting sqref="Z932">
    <cfRule type="cellIs" dxfId="0" priority="1088" operator="lessThan">
      <formula>30</formula>
    </cfRule>
  </conditionalFormatting>
  <conditionalFormatting sqref="M933">
    <cfRule type="cellIs" dxfId="0" priority="1583" operator="lessThan">
      <formula>30</formula>
    </cfRule>
  </conditionalFormatting>
  <conditionalFormatting sqref="Z933">
    <cfRule type="cellIs" dxfId="0" priority="1087" operator="lessThan">
      <formula>30</formula>
    </cfRule>
  </conditionalFormatting>
  <conditionalFormatting sqref="M934">
    <cfRule type="cellIs" dxfId="0" priority="1582" operator="lessThan">
      <formula>30</formula>
    </cfRule>
  </conditionalFormatting>
  <conditionalFormatting sqref="Z934">
    <cfRule type="cellIs" dxfId="0" priority="1086" operator="lessThan">
      <formula>30</formula>
    </cfRule>
  </conditionalFormatting>
  <conditionalFormatting sqref="M935">
    <cfRule type="cellIs" dxfId="0" priority="1581" operator="lessThan">
      <formula>30</formula>
    </cfRule>
  </conditionalFormatting>
  <conditionalFormatting sqref="Z935">
    <cfRule type="cellIs" dxfId="0" priority="1085" operator="lessThan">
      <formula>30</formula>
    </cfRule>
  </conditionalFormatting>
  <conditionalFormatting sqref="M936">
    <cfRule type="cellIs" dxfId="0" priority="1580" operator="lessThan">
      <formula>30</formula>
    </cfRule>
  </conditionalFormatting>
  <conditionalFormatting sqref="Z936">
    <cfRule type="cellIs" dxfId="0" priority="1084" operator="lessThan">
      <formula>30</formula>
    </cfRule>
  </conditionalFormatting>
  <conditionalFormatting sqref="M937">
    <cfRule type="cellIs" dxfId="0" priority="1579" operator="lessThan">
      <formula>30</formula>
    </cfRule>
  </conditionalFormatting>
  <conditionalFormatting sqref="Z937">
    <cfRule type="cellIs" dxfId="0" priority="1083" operator="lessThan">
      <formula>30</formula>
    </cfRule>
  </conditionalFormatting>
  <conditionalFormatting sqref="M938">
    <cfRule type="cellIs" dxfId="0" priority="1578" operator="lessThan">
      <formula>30</formula>
    </cfRule>
  </conditionalFormatting>
  <conditionalFormatting sqref="Z938">
    <cfRule type="cellIs" dxfId="0" priority="1082" operator="lessThan">
      <formula>30</formula>
    </cfRule>
  </conditionalFormatting>
  <conditionalFormatting sqref="M939">
    <cfRule type="cellIs" dxfId="0" priority="1577" operator="lessThan">
      <formula>30</formula>
    </cfRule>
  </conditionalFormatting>
  <conditionalFormatting sqref="Z939">
    <cfRule type="cellIs" dxfId="0" priority="1081" operator="lessThan">
      <formula>30</formula>
    </cfRule>
  </conditionalFormatting>
  <conditionalFormatting sqref="M940">
    <cfRule type="cellIs" dxfId="0" priority="1576" operator="lessThan">
      <formula>30</formula>
    </cfRule>
  </conditionalFormatting>
  <conditionalFormatting sqref="Z940">
    <cfRule type="cellIs" dxfId="0" priority="1080" operator="lessThan">
      <formula>30</formula>
    </cfRule>
  </conditionalFormatting>
  <conditionalFormatting sqref="M941">
    <cfRule type="cellIs" dxfId="0" priority="1575" operator="lessThan">
      <formula>30</formula>
    </cfRule>
  </conditionalFormatting>
  <conditionalFormatting sqref="Z941">
    <cfRule type="cellIs" dxfId="0" priority="1079" operator="lessThan">
      <formula>30</formula>
    </cfRule>
  </conditionalFormatting>
  <conditionalFormatting sqref="M942">
    <cfRule type="cellIs" dxfId="0" priority="1574" operator="lessThan">
      <formula>30</formula>
    </cfRule>
  </conditionalFormatting>
  <conditionalFormatting sqref="Z942">
    <cfRule type="cellIs" dxfId="0" priority="1078" operator="lessThan">
      <formula>30</formula>
    </cfRule>
  </conditionalFormatting>
  <conditionalFormatting sqref="M943">
    <cfRule type="cellIs" dxfId="0" priority="1573" operator="lessThan">
      <formula>30</formula>
    </cfRule>
  </conditionalFormatting>
  <conditionalFormatting sqref="Z943">
    <cfRule type="cellIs" dxfId="0" priority="1077" operator="lessThan">
      <formula>30</formula>
    </cfRule>
  </conditionalFormatting>
  <conditionalFormatting sqref="M944">
    <cfRule type="cellIs" dxfId="0" priority="1572" operator="lessThan">
      <formula>30</formula>
    </cfRule>
  </conditionalFormatting>
  <conditionalFormatting sqref="Z944">
    <cfRule type="cellIs" dxfId="0" priority="1076" operator="lessThan">
      <formula>30</formula>
    </cfRule>
  </conditionalFormatting>
  <conditionalFormatting sqref="M945">
    <cfRule type="cellIs" dxfId="0" priority="1571" operator="lessThan">
      <formula>30</formula>
    </cfRule>
  </conditionalFormatting>
  <conditionalFormatting sqref="Z945">
    <cfRule type="cellIs" dxfId="0" priority="1075" operator="lessThan">
      <formula>30</formula>
    </cfRule>
  </conditionalFormatting>
  <conditionalFormatting sqref="M946">
    <cfRule type="cellIs" dxfId="0" priority="1570" operator="lessThan">
      <formula>30</formula>
    </cfRule>
  </conditionalFormatting>
  <conditionalFormatting sqref="Z946">
    <cfRule type="cellIs" dxfId="0" priority="1074" operator="lessThan">
      <formula>30</formula>
    </cfRule>
  </conditionalFormatting>
  <conditionalFormatting sqref="M947">
    <cfRule type="cellIs" dxfId="0" priority="1569" operator="lessThan">
      <formula>30</formula>
    </cfRule>
  </conditionalFormatting>
  <conditionalFormatting sqref="Z947">
    <cfRule type="cellIs" dxfId="0" priority="1073" operator="lessThan">
      <formula>30</formula>
    </cfRule>
  </conditionalFormatting>
  <conditionalFormatting sqref="M948">
    <cfRule type="cellIs" dxfId="0" priority="1568" operator="lessThan">
      <formula>30</formula>
    </cfRule>
  </conditionalFormatting>
  <conditionalFormatting sqref="Z948">
    <cfRule type="cellIs" dxfId="0" priority="1072" operator="lessThan">
      <formula>30</formula>
    </cfRule>
  </conditionalFormatting>
  <conditionalFormatting sqref="M949">
    <cfRule type="cellIs" dxfId="0" priority="1567" operator="lessThan">
      <formula>30</formula>
    </cfRule>
  </conditionalFormatting>
  <conditionalFormatting sqref="Z949">
    <cfRule type="cellIs" dxfId="0" priority="1071" operator="lessThan">
      <formula>30</formula>
    </cfRule>
  </conditionalFormatting>
  <conditionalFormatting sqref="M950">
    <cfRule type="cellIs" dxfId="0" priority="1566" operator="lessThan">
      <formula>30</formula>
    </cfRule>
  </conditionalFormatting>
  <conditionalFormatting sqref="Z950">
    <cfRule type="cellIs" dxfId="0" priority="1070" operator="lessThan">
      <formula>30</formula>
    </cfRule>
  </conditionalFormatting>
  <conditionalFormatting sqref="M951">
    <cfRule type="cellIs" dxfId="0" priority="1565" operator="lessThan">
      <formula>30</formula>
    </cfRule>
  </conditionalFormatting>
  <conditionalFormatting sqref="Z951">
    <cfRule type="cellIs" dxfId="0" priority="1069" operator="lessThan">
      <formula>30</formula>
    </cfRule>
  </conditionalFormatting>
  <conditionalFormatting sqref="M952">
    <cfRule type="cellIs" dxfId="0" priority="1564" operator="lessThan">
      <formula>30</formula>
    </cfRule>
  </conditionalFormatting>
  <conditionalFormatting sqref="Z952">
    <cfRule type="cellIs" dxfId="0" priority="1068" operator="lessThan">
      <formula>30</formula>
    </cfRule>
  </conditionalFormatting>
  <conditionalFormatting sqref="M953">
    <cfRule type="cellIs" dxfId="0" priority="1563" operator="lessThan">
      <formula>30</formula>
    </cfRule>
  </conditionalFormatting>
  <conditionalFormatting sqref="Z953">
    <cfRule type="cellIs" dxfId="0" priority="1067" operator="lessThan">
      <formula>30</formula>
    </cfRule>
  </conditionalFormatting>
  <conditionalFormatting sqref="M954">
    <cfRule type="cellIs" dxfId="0" priority="1562" operator="lessThan">
      <formula>30</formula>
    </cfRule>
  </conditionalFormatting>
  <conditionalFormatting sqref="Z954">
    <cfRule type="cellIs" dxfId="0" priority="1066" operator="lessThan">
      <formula>30</formula>
    </cfRule>
  </conditionalFormatting>
  <conditionalFormatting sqref="M955">
    <cfRule type="cellIs" dxfId="0" priority="1561" operator="lessThan">
      <formula>30</formula>
    </cfRule>
  </conditionalFormatting>
  <conditionalFormatting sqref="Z955">
    <cfRule type="cellIs" dxfId="0" priority="1065" operator="lessThan">
      <formula>30</formula>
    </cfRule>
  </conditionalFormatting>
  <conditionalFormatting sqref="M956">
    <cfRule type="cellIs" dxfId="0" priority="1560" operator="lessThan">
      <formula>30</formula>
    </cfRule>
  </conditionalFormatting>
  <conditionalFormatting sqref="Z956">
    <cfRule type="cellIs" dxfId="0" priority="1064" operator="lessThan">
      <formula>30</formula>
    </cfRule>
  </conditionalFormatting>
  <conditionalFormatting sqref="M957">
    <cfRule type="cellIs" dxfId="0" priority="1559" operator="lessThan">
      <formula>30</formula>
    </cfRule>
  </conditionalFormatting>
  <conditionalFormatting sqref="Z957">
    <cfRule type="cellIs" dxfId="0" priority="1063" operator="lessThan">
      <formula>30</formula>
    </cfRule>
  </conditionalFormatting>
  <conditionalFormatting sqref="M958">
    <cfRule type="cellIs" dxfId="0" priority="1558" operator="lessThan">
      <formula>30</formula>
    </cfRule>
  </conditionalFormatting>
  <conditionalFormatting sqref="Z958">
    <cfRule type="cellIs" dxfId="0" priority="1062" operator="lessThan">
      <formula>30</formula>
    </cfRule>
  </conditionalFormatting>
  <conditionalFormatting sqref="M959">
    <cfRule type="cellIs" dxfId="0" priority="1557" operator="lessThan">
      <formula>30</formula>
    </cfRule>
  </conditionalFormatting>
  <conditionalFormatting sqref="Z959">
    <cfRule type="cellIs" dxfId="0" priority="1061" operator="lessThan">
      <formula>30</formula>
    </cfRule>
  </conditionalFormatting>
  <conditionalFormatting sqref="M960">
    <cfRule type="cellIs" dxfId="0" priority="1556" operator="lessThan">
      <formula>30</formula>
    </cfRule>
  </conditionalFormatting>
  <conditionalFormatting sqref="Z960">
    <cfRule type="cellIs" dxfId="0" priority="1060" operator="lessThan">
      <formula>30</formula>
    </cfRule>
  </conditionalFormatting>
  <conditionalFormatting sqref="M961">
    <cfRule type="cellIs" dxfId="0" priority="1555" operator="lessThan">
      <formula>30</formula>
    </cfRule>
  </conditionalFormatting>
  <conditionalFormatting sqref="Z961">
    <cfRule type="cellIs" dxfId="0" priority="1059" operator="lessThan">
      <formula>30</formula>
    </cfRule>
  </conditionalFormatting>
  <conditionalFormatting sqref="AM961">
    <cfRule type="cellIs" dxfId="0" priority="410" operator="lessThan">
      <formula>30</formula>
    </cfRule>
  </conditionalFormatting>
  <conditionalFormatting sqref="M962">
    <cfRule type="cellIs" dxfId="0" priority="1554" operator="lessThan">
      <formula>30</formula>
    </cfRule>
  </conditionalFormatting>
  <conditionalFormatting sqref="Z962">
    <cfRule type="cellIs" dxfId="0" priority="1058" operator="lessThan">
      <formula>30</formula>
    </cfRule>
  </conditionalFormatting>
  <conditionalFormatting sqref="AM962">
    <cfRule type="cellIs" dxfId="0" priority="409" operator="lessThan">
      <formula>30</formula>
    </cfRule>
  </conditionalFormatting>
  <conditionalFormatting sqref="M963">
    <cfRule type="cellIs" dxfId="0" priority="1553" operator="lessThan">
      <formula>30</formula>
    </cfRule>
  </conditionalFormatting>
  <conditionalFormatting sqref="Z963">
    <cfRule type="cellIs" dxfId="0" priority="1057" operator="lessThan">
      <formula>30</formula>
    </cfRule>
  </conditionalFormatting>
  <conditionalFormatting sqref="AM963">
    <cfRule type="cellIs" dxfId="0" priority="408" operator="lessThan">
      <formula>30</formula>
    </cfRule>
  </conditionalFormatting>
  <conditionalFormatting sqref="M964">
    <cfRule type="cellIs" dxfId="0" priority="1552" operator="lessThan">
      <formula>30</formula>
    </cfRule>
  </conditionalFormatting>
  <conditionalFormatting sqref="Z964">
    <cfRule type="cellIs" dxfId="0" priority="1056" operator="lessThan">
      <formula>30</formula>
    </cfRule>
  </conditionalFormatting>
  <conditionalFormatting sqref="AM964">
    <cfRule type="cellIs" dxfId="0" priority="407" operator="lessThan">
      <formula>30</formula>
    </cfRule>
  </conditionalFormatting>
  <conditionalFormatting sqref="M965">
    <cfRule type="cellIs" dxfId="0" priority="1551" operator="lessThan">
      <formula>30</formula>
    </cfRule>
  </conditionalFormatting>
  <conditionalFormatting sqref="Z965">
    <cfRule type="cellIs" dxfId="0" priority="1055" operator="lessThan">
      <formula>30</formula>
    </cfRule>
  </conditionalFormatting>
  <conditionalFormatting sqref="AM965">
    <cfRule type="cellIs" dxfId="0" priority="406" operator="lessThan">
      <formula>30</formula>
    </cfRule>
  </conditionalFormatting>
  <conditionalFormatting sqref="M966">
    <cfRule type="cellIs" dxfId="0" priority="1550" operator="lessThan">
      <formula>30</formula>
    </cfRule>
  </conditionalFormatting>
  <conditionalFormatting sqref="Z966">
    <cfRule type="cellIs" dxfId="0" priority="1054" operator="lessThan">
      <formula>30</formula>
    </cfRule>
  </conditionalFormatting>
  <conditionalFormatting sqref="AM966">
    <cfRule type="cellIs" dxfId="0" priority="405" operator="lessThan">
      <formula>30</formula>
    </cfRule>
  </conditionalFormatting>
  <conditionalFormatting sqref="M967">
    <cfRule type="cellIs" dxfId="0" priority="1548" operator="lessThan">
      <formula>30</formula>
    </cfRule>
  </conditionalFormatting>
  <conditionalFormatting sqref="Z967">
    <cfRule type="cellIs" dxfId="0" priority="1053" operator="lessThan">
      <formula>30</formula>
    </cfRule>
  </conditionalFormatting>
  <conditionalFormatting sqref="AM967">
    <cfRule type="cellIs" dxfId="0" priority="404" operator="lessThan">
      <formula>30</formula>
    </cfRule>
  </conditionalFormatting>
  <conditionalFormatting sqref="M968">
    <cfRule type="cellIs" dxfId="0" priority="1547" operator="lessThan">
      <formula>30</formula>
    </cfRule>
  </conditionalFormatting>
  <conditionalFormatting sqref="Z968">
    <cfRule type="cellIs" dxfId="0" priority="1052" operator="lessThan">
      <formula>30</formula>
    </cfRule>
  </conditionalFormatting>
  <conditionalFormatting sqref="AM968">
    <cfRule type="cellIs" dxfId="0" priority="403" operator="lessThan">
      <formula>30</formula>
    </cfRule>
  </conditionalFormatting>
  <conditionalFormatting sqref="M969">
    <cfRule type="cellIs" dxfId="0" priority="1546" operator="lessThan">
      <formula>30</formula>
    </cfRule>
  </conditionalFormatting>
  <conditionalFormatting sqref="Z969">
    <cfRule type="cellIs" dxfId="0" priority="1051" operator="lessThan">
      <formula>30</formula>
    </cfRule>
  </conditionalFormatting>
  <conditionalFormatting sqref="AM969">
    <cfRule type="cellIs" dxfId="0" priority="402" operator="lessThan">
      <formula>30</formula>
    </cfRule>
  </conditionalFormatting>
  <conditionalFormatting sqref="M970">
    <cfRule type="cellIs" dxfId="0" priority="1545" operator="lessThan">
      <formula>30</formula>
    </cfRule>
  </conditionalFormatting>
  <conditionalFormatting sqref="Z970">
    <cfRule type="cellIs" dxfId="0" priority="1050" operator="lessThan">
      <formula>30</formula>
    </cfRule>
  </conditionalFormatting>
  <conditionalFormatting sqref="AM970">
    <cfRule type="cellIs" dxfId="0" priority="401" operator="lessThan">
      <formula>30</formula>
    </cfRule>
  </conditionalFormatting>
  <conditionalFormatting sqref="M971">
    <cfRule type="cellIs" dxfId="0" priority="1544" operator="lessThan">
      <formula>30</formula>
    </cfRule>
  </conditionalFormatting>
  <conditionalFormatting sqref="Z971">
    <cfRule type="cellIs" dxfId="0" priority="1049" operator="lessThan">
      <formula>30</formula>
    </cfRule>
  </conditionalFormatting>
  <conditionalFormatting sqref="AM971">
    <cfRule type="cellIs" dxfId="0" priority="400" operator="lessThan">
      <formula>30</formula>
    </cfRule>
  </conditionalFormatting>
  <conditionalFormatting sqref="M972">
    <cfRule type="cellIs" dxfId="0" priority="1543" operator="lessThan">
      <formula>30</formula>
    </cfRule>
  </conditionalFormatting>
  <conditionalFormatting sqref="Z972">
    <cfRule type="cellIs" dxfId="0" priority="1048" operator="lessThan">
      <formula>30</formula>
    </cfRule>
  </conditionalFormatting>
  <conditionalFormatting sqref="AM972">
    <cfRule type="cellIs" dxfId="0" priority="399" operator="lessThan">
      <formula>30</formula>
    </cfRule>
  </conditionalFormatting>
  <conditionalFormatting sqref="M973">
    <cfRule type="cellIs" dxfId="0" priority="1542" operator="lessThan">
      <formula>30</formula>
    </cfRule>
  </conditionalFormatting>
  <conditionalFormatting sqref="Z973">
    <cfRule type="cellIs" dxfId="0" priority="1047" operator="lessThan">
      <formula>30</formula>
    </cfRule>
  </conditionalFormatting>
  <conditionalFormatting sqref="AM973">
    <cfRule type="cellIs" dxfId="0" priority="398" operator="lessThan">
      <formula>30</formula>
    </cfRule>
  </conditionalFormatting>
  <conditionalFormatting sqref="M974">
    <cfRule type="cellIs" dxfId="0" priority="1541" operator="lessThan">
      <formula>30</formula>
    </cfRule>
  </conditionalFormatting>
  <conditionalFormatting sqref="Z974">
    <cfRule type="cellIs" dxfId="0" priority="1046" operator="lessThan">
      <formula>30</formula>
    </cfRule>
  </conditionalFormatting>
  <conditionalFormatting sqref="AM974">
    <cfRule type="cellIs" dxfId="0" priority="397" operator="lessThan">
      <formula>30</formula>
    </cfRule>
  </conditionalFormatting>
  <conditionalFormatting sqref="M975">
    <cfRule type="cellIs" dxfId="0" priority="1540" operator="lessThan">
      <formula>30</formula>
    </cfRule>
  </conditionalFormatting>
  <conditionalFormatting sqref="Z975">
    <cfRule type="cellIs" dxfId="0" priority="1045" operator="lessThan">
      <formula>30</formula>
    </cfRule>
  </conditionalFormatting>
  <conditionalFormatting sqref="AM975">
    <cfRule type="cellIs" dxfId="0" priority="396" operator="lessThan">
      <formula>30</formula>
    </cfRule>
  </conditionalFormatting>
  <conditionalFormatting sqref="M976">
    <cfRule type="cellIs" dxfId="0" priority="1539" operator="lessThan">
      <formula>30</formula>
    </cfRule>
  </conditionalFormatting>
  <conditionalFormatting sqref="Z976">
    <cfRule type="cellIs" dxfId="0" priority="1044" operator="lessThan">
      <formula>30</formula>
    </cfRule>
  </conditionalFormatting>
  <conditionalFormatting sqref="AM976">
    <cfRule type="cellIs" dxfId="0" priority="395" operator="lessThan">
      <formula>30</formula>
    </cfRule>
  </conditionalFormatting>
  <conditionalFormatting sqref="M977">
    <cfRule type="cellIs" dxfId="0" priority="1538" operator="lessThan">
      <formula>30</formula>
    </cfRule>
  </conditionalFormatting>
  <conditionalFormatting sqref="Z977">
    <cfRule type="cellIs" dxfId="0" priority="1043" operator="lessThan">
      <formula>30</formula>
    </cfRule>
  </conditionalFormatting>
  <conditionalFormatting sqref="AM977">
    <cfRule type="cellIs" dxfId="0" priority="394" operator="lessThan">
      <formula>30</formula>
    </cfRule>
  </conditionalFormatting>
  <conditionalFormatting sqref="M978">
    <cfRule type="cellIs" dxfId="0" priority="1537" operator="lessThan">
      <formula>30</formula>
    </cfRule>
  </conditionalFormatting>
  <conditionalFormatting sqref="Z978">
    <cfRule type="cellIs" dxfId="0" priority="1042" operator="lessThan">
      <formula>30</formula>
    </cfRule>
  </conditionalFormatting>
  <conditionalFormatting sqref="AM978">
    <cfRule type="cellIs" dxfId="0" priority="393" operator="lessThan">
      <formula>30</formula>
    </cfRule>
  </conditionalFormatting>
  <conditionalFormatting sqref="M979">
    <cfRule type="cellIs" dxfId="0" priority="1536" operator="lessThan">
      <formula>30</formula>
    </cfRule>
  </conditionalFormatting>
  <conditionalFormatting sqref="Z979">
    <cfRule type="cellIs" dxfId="0" priority="1041" operator="lessThan">
      <formula>30</formula>
    </cfRule>
  </conditionalFormatting>
  <conditionalFormatting sqref="AM979">
    <cfRule type="cellIs" dxfId="0" priority="392" operator="lessThan">
      <formula>30</formula>
    </cfRule>
  </conditionalFormatting>
  <conditionalFormatting sqref="M980">
    <cfRule type="cellIs" dxfId="0" priority="1535" operator="lessThan">
      <formula>30</formula>
    </cfRule>
  </conditionalFormatting>
  <conditionalFormatting sqref="Z980">
    <cfRule type="cellIs" dxfId="0" priority="1040" operator="lessThan">
      <formula>30</formula>
    </cfRule>
  </conditionalFormatting>
  <conditionalFormatting sqref="AM980">
    <cfRule type="cellIs" dxfId="0" priority="391" operator="lessThan">
      <formula>30</formula>
    </cfRule>
  </conditionalFormatting>
  <conditionalFormatting sqref="M981">
    <cfRule type="cellIs" dxfId="0" priority="1534" operator="lessThan">
      <formula>30</formula>
    </cfRule>
  </conditionalFormatting>
  <conditionalFormatting sqref="Z981">
    <cfRule type="cellIs" dxfId="0" priority="1039" operator="lessThan">
      <formula>30</formula>
    </cfRule>
  </conditionalFormatting>
  <conditionalFormatting sqref="AM981">
    <cfRule type="cellIs" dxfId="0" priority="390" operator="lessThan">
      <formula>30</formula>
    </cfRule>
  </conditionalFormatting>
  <conditionalFormatting sqref="M982">
    <cfRule type="cellIs" dxfId="0" priority="1533" operator="lessThan">
      <formula>30</formula>
    </cfRule>
  </conditionalFormatting>
  <conditionalFormatting sqref="Z982">
    <cfRule type="cellIs" dxfId="0" priority="1038" operator="lessThan">
      <formula>30</formula>
    </cfRule>
  </conditionalFormatting>
  <conditionalFormatting sqref="AM982">
    <cfRule type="cellIs" dxfId="0" priority="389" operator="lessThan">
      <formula>30</formula>
    </cfRule>
  </conditionalFormatting>
  <conditionalFormatting sqref="M983">
    <cfRule type="cellIs" dxfId="0" priority="1531" operator="lessThan">
      <formula>30</formula>
    </cfRule>
  </conditionalFormatting>
  <conditionalFormatting sqref="Z983">
    <cfRule type="cellIs" dxfId="0" priority="1037" operator="lessThan">
      <formula>30</formula>
    </cfRule>
  </conditionalFormatting>
  <conditionalFormatting sqref="AM983">
    <cfRule type="cellIs" dxfId="0" priority="388" operator="lessThan">
      <formula>30</formula>
    </cfRule>
  </conditionalFormatting>
  <conditionalFormatting sqref="M984">
    <cfRule type="cellIs" dxfId="0" priority="1530" operator="lessThan">
      <formula>30</formula>
    </cfRule>
  </conditionalFormatting>
  <conditionalFormatting sqref="Z984">
    <cfRule type="cellIs" dxfId="0" priority="1036" operator="lessThan">
      <formula>30</formula>
    </cfRule>
  </conditionalFormatting>
  <conditionalFormatting sqref="AM984">
    <cfRule type="cellIs" dxfId="0" priority="387" operator="lessThan">
      <formula>30</formula>
    </cfRule>
  </conditionalFormatting>
  <conditionalFormatting sqref="M985">
    <cfRule type="cellIs" dxfId="0" priority="1529" operator="lessThan">
      <formula>30</formula>
    </cfRule>
  </conditionalFormatting>
  <conditionalFormatting sqref="Z985">
    <cfRule type="cellIs" dxfId="0" priority="1035" operator="lessThan">
      <formula>30</formula>
    </cfRule>
  </conditionalFormatting>
  <conditionalFormatting sqref="AM985">
    <cfRule type="cellIs" dxfId="0" priority="386" operator="lessThan">
      <formula>30</formula>
    </cfRule>
  </conditionalFormatting>
  <conditionalFormatting sqref="M986">
    <cfRule type="cellIs" dxfId="0" priority="1528" operator="lessThan">
      <formula>30</formula>
    </cfRule>
  </conditionalFormatting>
  <conditionalFormatting sqref="Z986">
    <cfRule type="cellIs" dxfId="0" priority="1034" operator="lessThan">
      <formula>30</formula>
    </cfRule>
  </conditionalFormatting>
  <conditionalFormatting sqref="AM986">
    <cfRule type="cellIs" dxfId="0" priority="385" operator="lessThan">
      <formula>30</formula>
    </cfRule>
  </conditionalFormatting>
  <conditionalFormatting sqref="M987">
    <cfRule type="cellIs" dxfId="0" priority="1527" operator="lessThan">
      <formula>30</formula>
    </cfRule>
  </conditionalFormatting>
  <conditionalFormatting sqref="Z987">
    <cfRule type="cellIs" dxfId="0" priority="1033" operator="lessThan">
      <formula>30</formula>
    </cfRule>
  </conditionalFormatting>
  <conditionalFormatting sqref="AM987">
    <cfRule type="cellIs" dxfId="0" priority="384" operator="lessThan">
      <formula>30</formula>
    </cfRule>
  </conditionalFormatting>
  <conditionalFormatting sqref="M988">
    <cfRule type="cellIs" dxfId="0" priority="1526" operator="lessThan">
      <formula>30</formula>
    </cfRule>
  </conditionalFormatting>
  <conditionalFormatting sqref="Z988">
    <cfRule type="cellIs" dxfId="0" priority="1032" operator="lessThan">
      <formula>30</formula>
    </cfRule>
  </conditionalFormatting>
  <conditionalFormatting sqref="AM988">
    <cfRule type="cellIs" dxfId="0" priority="383" operator="lessThan">
      <formula>30</formula>
    </cfRule>
  </conditionalFormatting>
  <conditionalFormatting sqref="M989">
    <cfRule type="cellIs" dxfId="0" priority="1525" operator="lessThan">
      <formula>30</formula>
    </cfRule>
  </conditionalFormatting>
  <conditionalFormatting sqref="Z989">
    <cfRule type="cellIs" dxfId="0" priority="1031" operator="lessThan">
      <formula>30</formula>
    </cfRule>
  </conditionalFormatting>
  <conditionalFormatting sqref="AM989">
    <cfRule type="cellIs" dxfId="0" priority="382" operator="lessThan">
      <formula>30</formula>
    </cfRule>
  </conditionalFormatting>
  <conditionalFormatting sqref="M990">
    <cfRule type="cellIs" dxfId="0" priority="1524" operator="lessThan">
      <formula>30</formula>
    </cfRule>
  </conditionalFormatting>
  <conditionalFormatting sqref="Z990">
    <cfRule type="cellIs" dxfId="0" priority="1030" operator="lessThan">
      <formula>30</formula>
    </cfRule>
  </conditionalFormatting>
  <conditionalFormatting sqref="AM990">
    <cfRule type="cellIs" dxfId="0" priority="381" operator="lessThan">
      <formula>30</formula>
    </cfRule>
  </conditionalFormatting>
  <conditionalFormatting sqref="M991">
    <cfRule type="cellIs" dxfId="0" priority="1523" operator="lessThan">
      <formula>30</formula>
    </cfRule>
  </conditionalFormatting>
  <conditionalFormatting sqref="Z991">
    <cfRule type="cellIs" dxfId="0" priority="1029" operator="lessThan">
      <formula>30</formula>
    </cfRule>
  </conditionalFormatting>
  <conditionalFormatting sqref="AM991">
    <cfRule type="cellIs" dxfId="0" priority="380" operator="lessThan">
      <formula>30</formula>
    </cfRule>
  </conditionalFormatting>
  <conditionalFormatting sqref="M992">
    <cfRule type="cellIs" dxfId="0" priority="1522" operator="lessThan">
      <formula>30</formula>
    </cfRule>
  </conditionalFormatting>
  <conditionalFormatting sqref="Z992">
    <cfRule type="cellIs" dxfId="0" priority="1028" operator="lessThan">
      <formula>30</formula>
    </cfRule>
  </conditionalFormatting>
  <conditionalFormatting sqref="AM992">
    <cfRule type="cellIs" dxfId="0" priority="379" operator="lessThan">
      <formula>30</formula>
    </cfRule>
  </conditionalFormatting>
  <conditionalFormatting sqref="M993">
    <cfRule type="cellIs" dxfId="0" priority="1521" operator="lessThan">
      <formula>30</formula>
    </cfRule>
  </conditionalFormatting>
  <conditionalFormatting sqref="Z993">
    <cfRule type="cellIs" dxfId="0" priority="1027" operator="lessThan">
      <formula>30</formula>
    </cfRule>
  </conditionalFormatting>
  <conditionalFormatting sqref="AM993">
    <cfRule type="cellIs" dxfId="0" priority="378" operator="lessThan">
      <formula>30</formula>
    </cfRule>
  </conditionalFormatting>
  <conditionalFormatting sqref="M994">
    <cfRule type="cellIs" dxfId="0" priority="1520" operator="lessThan">
      <formula>30</formula>
    </cfRule>
  </conditionalFormatting>
  <conditionalFormatting sqref="Z994">
    <cfRule type="cellIs" dxfId="0" priority="1026" operator="lessThan">
      <formula>30</formula>
    </cfRule>
  </conditionalFormatting>
  <conditionalFormatting sqref="AM994">
    <cfRule type="cellIs" dxfId="0" priority="377" operator="lessThan">
      <formula>30</formula>
    </cfRule>
  </conditionalFormatting>
  <conditionalFormatting sqref="M995">
    <cfRule type="cellIs" dxfId="0" priority="1519" operator="lessThan">
      <formula>30</formula>
    </cfRule>
  </conditionalFormatting>
  <conditionalFormatting sqref="Z995">
    <cfRule type="cellIs" dxfId="0" priority="1025" operator="lessThan">
      <formula>30</formula>
    </cfRule>
  </conditionalFormatting>
  <conditionalFormatting sqref="AM995">
    <cfRule type="cellIs" dxfId="0" priority="376" operator="lessThan">
      <formula>30</formula>
    </cfRule>
  </conditionalFormatting>
  <conditionalFormatting sqref="M996">
    <cfRule type="cellIs" dxfId="0" priority="1518" operator="lessThan">
      <formula>30</formula>
    </cfRule>
  </conditionalFormatting>
  <conditionalFormatting sqref="Z996">
    <cfRule type="cellIs" dxfId="0" priority="1024" operator="lessThan">
      <formula>30</formula>
    </cfRule>
  </conditionalFormatting>
  <conditionalFormatting sqref="M997">
    <cfRule type="cellIs" dxfId="0" priority="1517" operator="lessThan">
      <formula>30</formula>
    </cfRule>
  </conditionalFormatting>
  <conditionalFormatting sqref="Z997">
    <cfRule type="cellIs" dxfId="0" priority="1023" operator="lessThan">
      <formula>30</formula>
    </cfRule>
  </conditionalFormatting>
  <conditionalFormatting sqref="M998">
    <cfRule type="cellIs" dxfId="0" priority="1516" operator="lessThan">
      <formula>30</formula>
    </cfRule>
  </conditionalFormatting>
  <conditionalFormatting sqref="Z998">
    <cfRule type="cellIs" dxfId="0" priority="1022" operator="lessThan">
      <formula>30</formula>
    </cfRule>
  </conditionalFormatting>
  <conditionalFormatting sqref="M999">
    <cfRule type="cellIs" dxfId="0" priority="1515" operator="lessThan">
      <formula>30</formula>
    </cfRule>
  </conditionalFormatting>
  <conditionalFormatting sqref="Z999">
    <cfRule type="cellIs" dxfId="0" priority="1021" operator="lessThan">
      <formula>30</formula>
    </cfRule>
  </conditionalFormatting>
  <conditionalFormatting sqref="AM999">
    <cfRule type="cellIs" dxfId="0" priority="135" operator="lessThan">
      <formula>30</formula>
    </cfRule>
  </conditionalFormatting>
  <conditionalFormatting sqref="M1000">
    <cfRule type="cellIs" dxfId="0" priority="1514" operator="lessThan">
      <formula>30</formula>
    </cfRule>
  </conditionalFormatting>
  <conditionalFormatting sqref="Z1000">
    <cfRule type="cellIs" dxfId="0" priority="1020" operator="lessThan">
      <formula>30</formula>
    </cfRule>
  </conditionalFormatting>
  <conditionalFormatting sqref="AM1000">
    <cfRule type="cellIs" dxfId="0" priority="134" operator="lessThan">
      <formula>30</formula>
    </cfRule>
  </conditionalFormatting>
  <conditionalFormatting sqref="M1001">
    <cfRule type="cellIs" dxfId="0" priority="1513" operator="lessThan">
      <formula>30</formula>
    </cfRule>
  </conditionalFormatting>
  <conditionalFormatting sqref="Z1001">
    <cfRule type="cellIs" dxfId="0" priority="1019" operator="lessThan">
      <formula>30</formula>
    </cfRule>
  </conditionalFormatting>
  <conditionalFormatting sqref="AM1001">
    <cfRule type="cellIs" dxfId="0" priority="133" operator="lessThan">
      <formula>30</formula>
    </cfRule>
  </conditionalFormatting>
  <conditionalFormatting sqref="M1002">
    <cfRule type="cellIs" dxfId="0" priority="1512" operator="lessThan">
      <formula>30</formula>
    </cfRule>
  </conditionalFormatting>
  <conditionalFormatting sqref="Z1002">
    <cfRule type="cellIs" dxfId="0" priority="1018" operator="lessThan">
      <formula>30</formula>
    </cfRule>
  </conditionalFormatting>
  <conditionalFormatting sqref="AM1002">
    <cfRule type="cellIs" dxfId="0" priority="132" operator="lessThan">
      <formula>30</formula>
    </cfRule>
  </conditionalFormatting>
  <conditionalFormatting sqref="M1003">
    <cfRule type="cellIs" dxfId="0" priority="1511" operator="lessThan">
      <formula>30</formula>
    </cfRule>
  </conditionalFormatting>
  <conditionalFormatting sqref="Z1003">
    <cfRule type="cellIs" dxfId="0" priority="1017" operator="lessThan">
      <formula>30</formula>
    </cfRule>
  </conditionalFormatting>
  <conditionalFormatting sqref="AM1003">
    <cfRule type="cellIs" dxfId="0" priority="131" operator="lessThan">
      <formula>30</formula>
    </cfRule>
  </conditionalFormatting>
  <conditionalFormatting sqref="M1004">
    <cfRule type="cellIs" dxfId="0" priority="1510" operator="lessThan">
      <formula>30</formula>
    </cfRule>
  </conditionalFormatting>
  <conditionalFormatting sqref="Z1004">
    <cfRule type="cellIs" dxfId="0" priority="1016" operator="lessThan">
      <formula>30</formula>
    </cfRule>
  </conditionalFormatting>
  <conditionalFormatting sqref="AM1004">
    <cfRule type="cellIs" dxfId="0" priority="130" operator="lessThan">
      <formula>30</formula>
    </cfRule>
  </conditionalFormatting>
  <conditionalFormatting sqref="M1005">
    <cfRule type="cellIs" dxfId="0" priority="1509" operator="lessThan">
      <formula>30</formula>
    </cfRule>
  </conditionalFormatting>
  <conditionalFormatting sqref="Z1005">
    <cfRule type="cellIs" dxfId="0" priority="1015" operator="lessThan">
      <formula>30</formula>
    </cfRule>
  </conditionalFormatting>
  <conditionalFormatting sqref="AM1005">
    <cfRule type="cellIs" dxfId="0" priority="129" operator="lessThan">
      <formula>30</formula>
    </cfRule>
  </conditionalFormatting>
  <conditionalFormatting sqref="M1006">
    <cfRule type="cellIs" dxfId="0" priority="1508" operator="lessThan">
      <formula>30</formula>
    </cfRule>
  </conditionalFormatting>
  <conditionalFormatting sqref="Z1006">
    <cfRule type="cellIs" dxfId="0" priority="1014" operator="lessThan">
      <formula>30</formula>
    </cfRule>
  </conditionalFormatting>
  <conditionalFormatting sqref="AM1006">
    <cfRule type="cellIs" dxfId="0" priority="128" operator="lessThan">
      <formula>30</formula>
    </cfRule>
  </conditionalFormatting>
  <conditionalFormatting sqref="M1007">
    <cfRule type="cellIs" dxfId="0" priority="1507" operator="lessThan">
      <formula>30</formula>
    </cfRule>
  </conditionalFormatting>
  <conditionalFormatting sqref="Z1007">
    <cfRule type="cellIs" dxfId="0" priority="1013" operator="lessThan">
      <formula>30</formula>
    </cfRule>
  </conditionalFormatting>
  <conditionalFormatting sqref="AM1007">
    <cfRule type="cellIs" dxfId="0" priority="127" operator="lessThan">
      <formula>30</formula>
    </cfRule>
  </conditionalFormatting>
  <conditionalFormatting sqref="M1008">
    <cfRule type="cellIs" dxfId="0" priority="1506" operator="lessThan">
      <formula>30</formula>
    </cfRule>
  </conditionalFormatting>
  <conditionalFormatting sqref="Z1008">
    <cfRule type="cellIs" dxfId="0" priority="1012" operator="lessThan">
      <formula>30</formula>
    </cfRule>
  </conditionalFormatting>
  <conditionalFormatting sqref="AM1008">
    <cfRule type="cellIs" dxfId="0" priority="126" operator="lessThan">
      <formula>30</formula>
    </cfRule>
  </conditionalFormatting>
  <conditionalFormatting sqref="M1009">
    <cfRule type="cellIs" dxfId="0" priority="1505" operator="lessThan">
      <formula>30</formula>
    </cfRule>
  </conditionalFormatting>
  <conditionalFormatting sqref="Z1009">
    <cfRule type="cellIs" dxfId="0" priority="1011" operator="lessThan">
      <formula>30</formula>
    </cfRule>
  </conditionalFormatting>
  <conditionalFormatting sqref="AM1009">
    <cfRule type="cellIs" dxfId="0" priority="125" operator="lessThan">
      <formula>30</formula>
    </cfRule>
  </conditionalFormatting>
  <conditionalFormatting sqref="M1010">
    <cfRule type="cellIs" dxfId="0" priority="1504" operator="lessThan">
      <formula>30</formula>
    </cfRule>
  </conditionalFormatting>
  <conditionalFormatting sqref="Z1010">
    <cfRule type="cellIs" dxfId="0" priority="1010" operator="lessThan">
      <formula>30</formula>
    </cfRule>
  </conditionalFormatting>
  <conditionalFormatting sqref="AM1010">
    <cfRule type="cellIs" dxfId="0" priority="124" operator="lessThan">
      <formula>30</formula>
    </cfRule>
  </conditionalFormatting>
  <conditionalFormatting sqref="M1011">
    <cfRule type="cellIs" dxfId="0" priority="1503" operator="lessThan">
      <formula>30</formula>
    </cfRule>
  </conditionalFormatting>
  <conditionalFormatting sqref="Z1011">
    <cfRule type="cellIs" dxfId="0" priority="1009" operator="lessThan">
      <formula>30</formula>
    </cfRule>
  </conditionalFormatting>
  <conditionalFormatting sqref="AM1011">
    <cfRule type="cellIs" dxfId="0" priority="123" operator="lessThan">
      <formula>30</formula>
    </cfRule>
  </conditionalFormatting>
  <conditionalFormatting sqref="M1012">
    <cfRule type="cellIs" dxfId="0" priority="1502" operator="lessThan">
      <formula>30</formula>
    </cfRule>
  </conditionalFormatting>
  <conditionalFormatting sqref="Z1012">
    <cfRule type="cellIs" dxfId="0" priority="1008" operator="lessThan">
      <formula>30</formula>
    </cfRule>
  </conditionalFormatting>
  <conditionalFormatting sqref="AM1012">
    <cfRule type="cellIs" dxfId="0" priority="122" operator="lessThan">
      <formula>30</formula>
    </cfRule>
  </conditionalFormatting>
  <conditionalFormatting sqref="M1013">
    <cfRule type="cellIs" dxfId="0" priority="1501" operator="lessThan">
      <formula>30</formula>
    </cfRule>
  </conditionalFormatting>
  <conditionalFormatting sqref="Z1013">
    <cfRule type="cellIs" dxfId="0" priority="1007" operator="lessThan">
      <formula>30</formula>
    </cfRule>
  </conditionalFormatting>
  <conditionalFormatting sqref="AM1013">
    <cfRule type="cellIs" dxfId="0" priority="121" operator="lessThan">
      <formula>30</formula>
    </cfRule>
  </conditionalFormatting>
  <conditionalFormatting sqref="M1014">
    <cfRule type="cellIs" dxfId="0" priority="1500" operator="lessThan">
      <formula>30</formula>
    </cfRule>
  </conditionalFormatting>
  <conditionalFormatting sqref="Z1014">
    <cfRule type="cellIs" dxfId="0" priority="1006" operator="lessThan">
      <formula>30</formula>
    </cfRule>
  </conditionalFormatting>
  <conditionalFormatting sqref="AM1014">
    <cfRule type="cellIs" dxfId="0" priority="120" operator="lessThan">
      <formula>30</formula>
    </cfRule>
  </conditionalFormatting>
  <conditionalFormatting sqref="M1015">
    <cfRule type="cellIs" dxfId="0" priority="1499" operator="lessThan">
      <formula>30</formula>
    </cfRule>
  </conditionalFormatting>
  <conditionalFormatting sqref="Z1015">
    <cfRule type="cellIs" dxfId="0" priority="1005" operator="lessThan">
      <formula>30</formula>
    </cfRule>
  </conditionalFormatting>
  <conditionalFormatting sqref="AM1015">
    <cfRule type="cellIs" dxfId="0" priority="119" operator="lessThan">
      <formula>30</formula>
    </cfRule>
  </conditionalFormatting>
  <conditionalFormatting sqref="M1016">
    <cfRule type="cellIs" dxfId="0" priority="1498" operator="lessThan">
      <formula>30</formula>
    </cfRule>
  </conditionalFormatting>
  <conditionalFormatting sqref="Z1016">
    <cfRule type="cellIs" dxfId="0" priority="1004" operator="lessThan">
      <formula>30</formula>
    </cfRule>
  </conditionalFormatting>
  <conditionalFormatting sqref="AM1016">
    <cfRule type="cellIs" dxfId="0" priority="118" operator="lessThan">
      <formula>30</formula>
    </cfRule>
  </conditionalFormatting>
  <conditionalFormatting sqref="M1017">
    <cfRule type="cellIs" dxfId="0" priority="1496" operator="lessThan">
      <formula>30</formula>
    </cfRule>
  </conditionalFormatting>
  <conditionalFormatting sqref="AM1017">
    <cfRule type="cellIs" dxfId="0" priority="117" operator="lessThan">
      <formula>30</formula>
    </cfRule>
  </conditionalFormatting>
  <conditionalFormatting sqref="M1018">
    <cfRule type="cellIs" dxfId="0" priority="1493" operator="lessThan">
      <formula>30</formula>
    </cfRule>
  </conditionalFormatting>
  <conditionalFormatting sqref="AM1018">
    <cfRule type="cellIs" dxfId="0" priority="116" operator="lessThan">
      <formula>30</formula>
    </cfRule>
  </conditionalFormatting>
  <conditionalFormatting sqref="M1019">
    <cfRule type="cellIs" dxfId="0" priority="1492" operator="lessThan">
      <formula>30</formula>
    </cfRule>
  </conditionalFormatting>
  <conditionalFormatting sqref="AM1019">
    <cfRule type="cellIs" dxfId="0" priority="115" operator="lessThan">
      <formula>30</formula>
    </cfRule>
  </conditionalFormatting>
  <conditionalFormatting sqref="M1020">
    <cfRule type="cellIs" dxfId="0" priority="1491" operator="lessThan">
      <formula>30</formula>
    </cfRule>
  </conditionalFormatting>
  <conditionalFormatting sqref="AM1020">
    <cfRule type="cellIs" dxfId="0" priority="114" operator="lessThan">
      <formula>30</formula>
    </cfRule>
  </conditionalFormatting>
  <conditionalFormatting sqref="M1021">
    <cfRule type="cellIs" dxfId="0" priority="1490" operator="lessThan">
      <formula>30</formula>
    </cfRule>
  </conditionalFormatting>
  <conditionalFormatting sqref="AM1021">
    <cfRule type="cellIs" dxfId="0" priority="113" operator="lessThan">
      <formula>30</formula>
    </cfRule>
  </conditionalFormatting>
  <conditionalFormatting sqref="M1022">
    <cfRule type="cellIs" dxfId="0" priority="1489" operator="lessThan">
      <formula>30</formula>
    </cfRule>
  </conditionalFormatting>
  <conditionalFormatting sqref="AM1022">
    <cfRule type="cellIs" dxfId="0" priority="112" operator="lessThan">
      <formula>30</formula>
    </cfRule>
  </conditionalFormatting>
  <conditionalFormatting sqref="M1023">
    <cfRule type="cellIs" dxfId="0" priority="1488" operator="lessThan">
      <formula>30</formula>
    </cfRule>
  </conditionalFormatting>
  <conditionalFormatting sqref="AM1023">
    <cfRule type="cellIs" dxfId="0" priority="111" operator="lessThan">
      <formula>30</formula>
    </cfRule>
  </conditionalFormatting>
  <conditionalFormatting sqref="M1024">
    <cfRule type="cellIs" dxfId="0" priority="1487" operator="lessThan">
      <formula>30</formula>
    </cfRule>
  </conditionalFormatting>
  <conditionalFormatting sqref="M1025">
    <cfRule type="cellIs" dxfId="0" priority="1486" operator="lessThan">
      <formula>30</formula>
    </cfRule>
  </conditionalFormatting>
  <conditionalFormatting sqref="M1026">
    <cfRule type="cellIs" dxfId="0" priority="1483" operator="lessThan">
      <formula>30</formula>
    </cfRule>
  </conditionalFormatting>
  <conditionalFormatting sqref="M1027">
    <cfRule type="cellIs" dxfId="0" priority="1482" operator="lessThan">
      <formula>30</formula>
    </cfRule>
  </conditionalFormatting>
  <conditionalFormatting sqref="M1028">
    <cfRule type="cellIs" dxfId="0" priority="1481" operator="lessThan">
      <formula>30</formula>
    </cfRule>
  </conditionalFormatting>
  <conditionalFormatting sqref="M1029">
    <cfRule type="cellIs" dxfId="0" priority="1480" operator="lessThan">
      <formula>30</formula>
    </cfRule>
  </conditionalFormatting>
  <conditionalFormatting sqref="Z1029">
    <cfRule type="cellIs" dxfId="0" priority="888" operator="lessThan">
      <formula>30</formula>
    </cfRule>
  </conditionalFormatting>
  <conditionalFormatting sqref="M1030">
    <cfRule type="cellIs" dxfId="0" priority="1479" operator="lessThan">
      <formula>30</formula>
    </cfRule>
  </conditionalFormatting>
  <conditionalFormatting sqref="Z1030">
    <cfRule type="cellIs" dxfId="0" priority="887" operator="lessThan">
      <formula>30</formula>
    </cfRule>
  </conditionalFormatting>
  <conditionalFormatting sqref="M1031">
    <cfRule type="cellIs" dxfId="0" priority="1478" operator="lessThan">
      <formula>30</formula>
    </cfRule>
  </conditionalFormatting>
  <conditionalFormatting sqref="Z1031">
    <cfRule type="cellIs" dxfId="0" priority="886" operator="lessThan">
      <formula>30</formula>
    </cfRule>
  </conditionalFormatting>
  <conditionalFormatting sqref="M1032">
    <cfRule type="cellIs" dxfId="0" priority="1477" operator="lessThan">
      <formula>30</formula>
    </cfRule>
  </conditionalFormatting>
  <conditionalFormatting sqref="Z1032">
    <cfRule type="cellIs" dxfId="0" priority="885" operator="lessThan">
      <formula>30</formula>
    </cfRule>
  </conditionalFormatting>
  <conditionalFormatting sqref="AM1032">
    <cfRule type="cellIs" dxfId="0" priority="107" operator="lessThan">
      <formula>30</formula>
    </cfRule>
  </conditionalFormatting>
  <conditionalFormatting sqref="M1033">
    <cfRule type="cellIs" dxfId="0" priority="1476" operator="lessThan">
      <formula>30</formula>
    </cfRule>
  </conditionalFormatting>
  <conditionalFormatting sqref="Z1033">
    <cfRule type="cellIs" dxfId="0" priority="884" operator="lessThan">
      <formula>30</formula>
    </cfRule>
  </conditionalFormatting>
  <conditionalFormatting sqref="AM1033">
    <cfRule type="cellIs" dxfId="0" priority="106" operator="lessThan">
      <formula>30</formula>
    </cfRule>
  </conditionalFormatting>
  <conditionalFormatting sqref="M1034">
    <cfRule type="cellIs" dxfId="0" priority="1475" operator="lessThan">
      <formula>30</formula>
    </cfRule>
  </conditionalFormatting>
  <conditionalFormatting sqref="Z1034">
    <cfRule type="cellIs" dxfId="0" priority="883" operator="lessThan">
      <formula>30</formula>
    </cfRule>
  </conditionalFormatting>
  <conditionalFormatting sqref="AM1034">
    <cfRule type="cellIs" dxfId="0" priority="105" operator="lessThan">
      <formula>30</formula>
    </cfRule>
  </conditionalFormatting>
  <conditionalFormatting sqref="M1035">
    <cfRule type="cellIs" dxfId="0" priority="1474" operator="lessThan">
      <formula>30</formula>
    </cfRule>
  </conditionalFormatting>
  <conditionalFormatting sqref="Z1035">
    <cfRule type="cellIs" dxfId="0" priority="882" operator="lessThan">
      <formula>30</formula>
    </cfRule>
  </conditionalFormatting>
  <conditionalFormatting sqref="AM1035">
    <cfRule type="cellIs" dxfId="0" priority="104" operator="lessThan">
      <formula>30</formula>
    </cfRule>
  </conditionalFormatting>
  <conditionalFormatting sqref="M1036">
    <cfRule type="cellIs" dxfId="0" priority="1473" operator="lessThan">
      <formula>30</formula>
    </cfRule>
  </conditionalFormatting>
  <conditionalFormatting sqref="Z1036">
    <cfRule type="cellIs" dxfId="0" priority="881" operator="lessThan">
      <formula>30</formula>
    </cfRule>
  </conditionalFormatting>
  <conditionalFormatting sqref="AM1036">
    <cfRule type="cellIs" dxfId="0" priority="103" operator="lessThan">
      <formula>30</formula>
    </cfRule>
  </conditionalFormatting>
  <conditionalFormatting sqref="M1037">
    <cfRule type="cellIs" dxfId="0" priority="1472" operator="lessThan">
      <formula>30</formula>
    </cfRule>
  </conditionalFormatting>
  <conditionalFormatting sqref="Z1037">
    <cfRule type="cellIs" dxfId="0" priority="880" operator="lessThan">
      <formula>30</formula>
    </cfRule>
  </conditionalFormatting>
  <conditionalFormatting sqref="AM1037">
    <cfRule type="cellIs" dxfId="0" priority="102" operator="lessThan">
      <formula>30</formula>
    </cfRule>
  </conditionalFormatting>
  <conditionalFormatting sqref="M1038">
    <cfRule type="cellIs" dxfId="0" priority="1471" operator="lessThan">
      <formula>30</formula>
    </cfRule>
  </conditionalFormatting>
  <conditionalFormatting sqref="Z1038">
    <cfRule type="cellIs" dxfId="0" priority="879" operator="lessThan">
      <formula>30</formula>
    </cfRule>
  </conditionalFormatting>
  <conditionalFormatting sqref="AM1038">
    <cfRule type="cellIs" dxfId="0" priority="101" operator="lessThan">
      <formula>30</formula>
    </cfRule>
  </conditionalFormatting>
  <conditionalFormatting sqref="M1039">
    <cfRule type="cellIs" dxfId="0" priority="1470" operator="lessThan">
      <formula>30</formula>
    </cfRule>
  </conditionalFormatting>
  <conditionalFormatting sqref="Z1039">
    <cfRule type="cellIs" dxfId="0" priority="918" operator="lessThan">
      <formula>30</formula>
    </cfRule>
  </conditionalFormatting>
  <conditionalFormatting sqref="AM1039">
    <cfRule type="cellIs" dxfId="0" priority="100" operator="lessThan">
      <formula>30</formula>
    </cfRule>
  </conditionalFormatting>
  <conditionalFormatting sqref="M1040">
    <cfRule type="cellIs" dxfId="0" priority="1469" operator="lessThan">
      <formula>30</formula>
    </cfRule>
  </conditionalFormatting>
  <conditionalFormatting sqref="Z1040">
    <cfRule type="cellIs" dxfId="0" priority="917" operator="lessThan">
      <formula>30</formula>
    </cfRule>
  </conditionalFormatting>
  <conditionalFormatting sqref="AM1040">
    <cfRule type="cellIs" dxfId="0" priority="99" operator="lessThan">
      <formula>30</formula>
    </cfRule>
  </conditionalFormatting>
  <conditionalFormatting sqref="M1041">
    <cfRule type="cellIs" dxfId="0" priority="1468" operator="lessThan">
      <formula>30</formula>
    </cfRule>
  </conditionalFormatting>
  <conditionalFormatting sqref="Z1041">
    <cfRule type="cellIs" dxfId="0" priority="916" operator="lessThan">
      <formula>30</formula>
    </cfRule>
  </conditionalFormatting>
  <conditionalFormatting sqref="AM1041">
    <cfRule type="cellIs" dxfId="0" priority="98" operator="lessThan">
      <formula>30</formula>
    </cfRule>
  </conditionalFormatting>
  <conditionalFormatting sqref="Z1042">
    <cfRule type="cellIs" dxfId="0" priority="915" operator="lessThan">
      <formula>30</formula>
    </cfRule>
  </conditionalFormatting>
  <conditionalFormatting sqref="AM1042">
    <cfRule type="cellIs" dxfId="0" priority="97" operator="lessThan">
      <formula>30</formula>
    </cfRule>
  </conditionalFormatting>
  <conditionalFormatting sqref="Z1043">
    <cfRule type="cellIs" dxfId="0" priority="914" operator="lessThan">
      <formula>30</formula>
    </cfRule>
  </conditionalFormatting>
  <conditionalFormatting sqref="AM1043">
    <cfRule type="cellIs" dxfId="0" priority="96" operator="lessThan">
      <formula>30</formula>
    </cfRule>
  </conditionalFormatting>
  <conditionalFormatting sqref="M1044">
    <cfRule type="cellIs" dxfId="0" priority="1465" operator="lessThan">
      <formula>30</formula>
    </cfRule>
  </conditionalFormatting>
  <conditionalFormatting sqref="Z1044">
    <cfRule type="cellIs" dxfId="0" priority="913" operator="lessThan">
      <formula>30</formula>
    </cfRule>
  </conditionalFormatting>
  <conditionalFormatting sqref="AM1044">
    <cfRule type="cellIs" dxfId="0" priority="95" operator="lessThan">
      <formula>30</formula>
    </cfRule>
  </conditionalFormatting>
  <conditionalFormatting sqref="M1045">
    <cfRule type="cellIs" dxfId="0" priority="1464" operator="lessThan">
      <formula>30</formula>
    </cfRule>
  </conditionalFormatting>
  <conditionalFormatting sqref="Z1045">
    <cfRule type="cellIs" dxfId="0" priority="912" operator="lessThan">
      <formula>30</formula>
    </cfRule>
  </conditionalFormatting>
  <conditionalFormatting sqref="AM1045">
    <cfRule type="cellIs" dxfId="0" priority="94" operator="lessThan">
      <formula>30</formula>
    </cfRule>
  </conditionalFormatting>
  <conditionalFormatting sqref="M1046">
    <cfRule type="cellIs" dxfId="0" priority="1463" operator="lessThan">
      <formula>30</formula>
    </cfRule>
  </conditionalFormatting>
  <conditionalFormatting sqref="Z1046">
    <cfRule type="cellIs" dxfId="0" priority="911" operator="lessThan">
      <formula>30</formula>
    </cfRule>
  </conditionalFormatting>
  <conditionalFormatting sqref="AM1046">
    <cfRule type="cellIs" dxfId="0" priority="93" operator="lessThan">
      <formula>30</formula>
    </cfRule>
  </conditionalFormatting>
  <conditionalFormatting sqref="M1047">
    <cfRule type="cellIs" dxfId="0" priority="1462" operator="lessThan">
      <formula>30</formula>
    </cfRule>
  </conditionalFormatting>
  <conditionalFormatting sqref="Z1047">
    <cfRule type="cellIs" dxfId="0" priority="910" operator="lessThan">
      <formula>30</formula>
    </cfRule>
  </conditionalFormatting>
  <conditionalFormatting sqref="AM1047">
    <cfRule type="cellIs" dxfId="0" priority="92" operator="lessThan">
      <formula>30</formula>
    </cfRule>
  </conditionalFormatting>
  <conditionalFormatting sqref="M1048">
    <cfRule type="cellIs" dxfId="0" priority="1461" operator="lessThan">
      <formula>30</formula>
    </cfRule>
  </conditionalFormatting>
  <conditionalFormatting sqref="Z1048">
    <cfRule type="cellIs" dxfId="0" priority="909" operator="lessThan">
      <formula>30</formula>
    </cfRule>
  </conditionalFormatting>
  <conditionalFormatting sqref="AM1048">
    <cfRule type="cellIs" dxfId="0" priority="91" operator="lessThan">
      <formula>30</formula>
    </cfRule>
  </conditionalFormatting>
  <conditionalFormatting sqref="M1049">
    <cfRule type="cellIs" dxfId="0" priority="1460" operator="lessThan">
      <formula>30</formula>
    </cfRule>
  </conditionalFormatting>
  <conditionalFormatting sqref="Z1049">
    <cfRule type="cellIs" dxfId="0" priority="908" operator="lessThan">
      <formula>30</formula>
    </cfRule>
  </conditionalFormatting>
  <conditionalFormatting sqref="AM1049">
    <cfRule type="cellIs" dxfId="0" priority="90" operator="lessThan">
      <formula>30</formula>
    </cfRule>
  </conditionalFormatting>
  <conditionalFormatting sqref="M1050">
    <cfRule type="cellIs" dxfId="0" priority="1459" operator="lessThan">
      <formula>30</formula>
    </cfRule>
  </conditionalFormatting>
  <conditionalFormatting sqref="Z1050">
    <cfRule type="cellIs" dxfId="0" priority="907" operator="lessThan">
      <formula>30</formula>
    </cfRule>
  </conditionalFormatting>
  <conditionalFormatting sqref="AM1050">
    <cfRule type="cellIs" dxfId="0" priority="89" operator="lessThan">
      <formula>30</formula>
    </cfRule>
  </conditionalFormatting>
  <conditionalFormatting sqref="M1051">
    <cfRule type="cellIs" dxfId="0" priority="1458" operator="lessThan">
      <formula>30</formula>
    </cfRule>
  </conditionalFormatting>
  <conditionalFormatting sqref="Z1051">
    <cfRule type="cellIs" dxfId="0" priority="906" operator="lessThan">
      <formula>30</formula>
    </cfRule>
  </conditionalFormatting>
  <conditionalFormatting sqref="AM1051">
    <cfRule type="cellIs" dxfId="0" priority="88" operator="lessThan">
      <formula>30</formula>
    </cfRule>
  </conditionalFormatting>
  <conditionalFormatting sqref="M1052">
    <cfRule type="cellIs" dxfId="0" priority="1457" operator="lessThan">
      <formula>30</formula>
    </cfRule>
  </conditionalFormatting>
  <conditionalFormatting sqref="Z1052">
    <cfRule type="cellIs" dxfId="0" priority="905" operator="lessThan">
      <formula>30</formula>
    </cfRule>
  </conditionalFormatting>
  <conditionalFormatting sqref="AM1052">
    <cfRule type="cellIs" dxfId="0" priority="87" operator="lessThan">
      <formula>30</formula>
    </cfRule>
  </conditionalFormatting>
  <conditionalFormatting sqref="M1053">
    <cfRule type="cellIs" dxfId="0" priority="1456" operator="lessThan">
      <formula>30</formula>
    </cfRule>
  </conditionalFormatting>
  <conditionalFormatting sqref="Z1053">
    <cfRule type="cellIs" dxfId="0" priority="904" operator="lessThan">
      <formula>30</formula>
    </cfRule>
  </conditionalFormatting>
  <conditionalFormatting sqref="AM1053">
    <cfRule type="cellIs" dxfId="0" priority="86" operator="lessThan">
      <formula>30</formula>
    </cfRule>
  </conditionalFormatting>
  <conditionalFormatting sqref="M1054">
    <cfRule type="cellIs" dxfId="0" priority="1455" operator="lessThan">
      <formula>30</formula>
    </cfRule>
  </conditionalFormatting>
  <conditionalFormatting sqref="Z1054">
    <cfRule type="cellIs" dxfId="0" priority="903" operator="lessThan">
      <formula>30</formula>
    </cfRule>
  </conditionalFormatting>
  <conditionalFormatting sqref="AM1054">
    <cfRule type="cellIs" dxfId="0" priority="85" operator="lessThan">
      <formula>30</formula>
    </cfRule>
  </conditionalFormatting>
  <conditionalFormatting sqref="M1055">
    <cfRule type="cellIs" dxfId="0" priority="1454" operator="lessThan">
      <formula>30</formula>
    </cfRule>
  </conditionalFormatting>
  <conditionalFormatting sqref="Z1055">
    <cfRule type="cellIs" dxfId="0" priority="902" operator="lessThan">
      <formula>30</formula>
    </cfRule>
  </conditionalFormatting>
  <conditionalFormatting sqref="AM1055">
    <cfRule type="cellIs" dxfId="0" priority="84" operator="lessThan">
      <formula>30</formula>
    </cfRule>
  </conditionalFormatting>
  <conditionalFormatting sqref="M1056">
    <cfRule type="cellIs" dxfId="0" priority="1453" operator="lessThan">
      <formula>30</formula>
    </cfRule>
  </conditionalFormatting>
  <conditionalFormatting sqref="Z1056">
    <cfRule type="cellIs" dxfId="0" priority="901" operator="lessThan">
      <formula>30</formula>
    </cfRule>
  </conditionalFormatting>
  <conditionalFormatting sqref="AM1056">
    <cfRule type="cellIs" dxfId="0" priority="83" operator="lessThan">
      <formula>30</formula>
    </cfRule>
  </conditionalFormatting>
  <conditionalFormatting sqref="M1057">
    <cfRule type="cellIs" dxfId="0" priority="1452" operator="lessThan">
      <formula>30</formula>
    </cfRule>
  </conditionalFormatting>
  <conditionalFormatting sqref="Z1057">
    <cfRule type="cellIs" dxfId="0" priority="900" operator="lessThan">
      <formula>30</formula>
    </cfRule>
  </conditionalFormatting>
  <conditionalFormatting sqref="M1058">
    <cfRule type="cellIs" dxfId="0" priority="1451" operator="lessThan">
      <formula>30</formula>
    </cfRule>
  </conditionalFormatting>
  <conditionalFormatting sqref="Z1058">
    <cfRule type="cellIs" dxfId="0" priority="899" operator="lessThan">
      <formula>30</formula>
    </cfRule>
  </conditionalFormatting>
  <conditionalFormatting sqref="M1059">
    <cfRule type="cellIs" dxfId="0" priority="1450" operator="lessThan">
      <formula>30</formula>
    </cfRule>
  </conditionalFormatting>
  <conditionalFormatting sqref="Z1059">
    <cfRule type="cellIs" dxfId="0" priority="898" operator="lessThan">
      <formula>30</formula>
    </cfRule>
  </conditionalFormatting>
  <conditionalFormatting sqref="M1060">
    <cfRule type="cellIs" dxfId="0" priority="1449" operator="lessThan">
      <formula>30</formula>
    </cfRule>
  </conditionalFormatting>
  <conditionalFormatting sqref="Z1060">
    <cfRule type="cellIs" dxfId="0" priority="897" operator="lessThan">
      <formula>30</formula>
    </cfRule>
  </conditionalFormatting>
  <conditionalFormatting sqref="M1061">
    <cfRule type="cellIs" dxfId="0" priority="1448" operator="lessThan">
      <formula>30</formula>
    </cfRule>
  </conditionalFormatting>
  <conditionalFormatting sqref="Z1061">
    <cfRule type="cellIs" dxfId="0" priority="896" operator="lessThan">
      <formula>30</formula>
    </cfRule>
  </conditionalFormatting>
  <conditionalFormatting sqref="M1062">
    <cfRule type="cellIs" dxfId="0" priority="1447" operator="lessThan">
      <formula>30</formula>
    </cfRule>
  </conditionalFormatting>
  <conditionalFormatting sqref="Z1062">
    <cfRule type="cellIs" dxfId="0" priority="895" operator="lessThan">
      <formula>30</formula>
    </cfRule>
  </conditionalFormatting>
  <conditionalFormatting sqref="M1063">
    <cfRule type="cellIs" dxfId="0" priority="1446" operator="lessThan">
      <formula>30</formula>
    </cfRule>
  </conditionalFormatting>
  <conditionalFormatting sqref="Z1063">
    <cfRule type="cellIs" dxfId="0" priority="894" operator="lessThan">
      <formula>30</formula>
    </cfRule>
  </conditionalFormatting>
  <conditionalFormatting sqref="M1064">
    <cfRule type="cellIs" dxfId="0" priority="1445" operator="lessThan">
      <formula>30</formula>
    </cfRule>
  </conditionalFormatting>
  <conditionalFormatting sqref="Z1064">
    <cfRule type="cellIs" dxfId="0" priority="893" operator="lessThan">
      <formula>30</formula>
    </cfRule>
  </conditionalFormatting>
  <conditionalFormatting sqref="Z1065">
    <cfRule type="cellIs" dxfId="0" priority="892" operator="lessThan">
      <formula>30</formula>
    </cfRule>
  </conditionalFormatting>
  <conditionalFormatting sqref="Z1066">
    <cfRule type="cellIs" dxfId="0" priority="891" operator="lessThan">
      <formula>30</formula>
    </cfRule>
  </conditionalFormatting>
  <conditionalFormatting sqref="Z1067">
    <cfRule type="cellIs" dxfId="0" priority="890" operator="lessThan">
      <formula>30</formula>
    </cfRule>
  </conditionalFormatting>
  <conditionalFormatting sqref="Z1068">
    <cfRule type="cellIs" dxfId="0" priority="889" operator="lessThan">
      <formula>30</formula>
    </cfRule>
  </conditionalFormatting>
  <conditionalFormatting sqref="M1069">
    <cfRule type="cellIs" dxfId="0" priority="1442" operator="lessThan">
      <formula>30</formula>
    </cfRule>
  </conditionalFormatting>
  <conditionalFormatting sqref="M1070">
    <cfRule type="cellIs" dxfId="0" priority="1441" operator="lessThan">
      <formula>30</formula>
    </cfRule>
  </conditionalFormatting>
  <conditionalFormatting sqref="Z1070">
    <cfRule type="cellIs" dxfId="0" priority="711" operator="lessThan">
      <formula>30</formula>
    </cfRule>
  </conditionalFormatting>
  <conditionalFormatting sqref="M1071">
    <cfRule type="cellIs" dxfId="0" priority="1440" operator="lessThan">
      <formula>30</formula>
    </cfRule>
  </conditionalFormatting>
  <conditionalFormatting sqref="Z1071">
    <cfRule type="cellIs" dxfId="0" priority="710" operator="lessThan">
      <formula>30</formula>
    </cfRule>
  </conditionalFormatting>
  <conditionalFormatting sqref="M1072">
    <cfRule type="cellIs" dxfId="0" priority="1439" operator="lessThan">
      <formula>30</formula>
    </cfRule>
  </conditionalFormatting>
  <conditionalFormatting sqref="Z1072">
    <cfRule type="cellIs" dxfId="0" priority="709" operator="lessThan">
      <formula>30</formula>
    </cfRule>
  </conditionalFormatting>
  <conditionalFormatting sqref="AM1072">
    <cfRule type="cellIs" dxfId="0" priority="524" operator="lessThan">
      <formula>30</formula>
    </cfRule>
  </conditionalFormatting>
  <conditionalFormatting sqref="M1073">
    <cfRule type="cellIs" dxfId="0" priority="1438" operator="lessThan">
      <formula>30</formula>
    </cfRule>
  </conditionalFormatting>
  <conditionalFormatting sqref="Z1073">
    <cfRule type="cellIs" dxfId="0" priority="708" operator="lessThan">
      <formula>30</formula>
    </cfRule>
  </conditionalFormatting>
  <conditionalFormatting sqref="AM1073">
    <cfRule type="cellIs" dxfId="0" priority="523" operator="lessThan">
      <formula>30</formula>
    </cfRule>
  </conditionalFormatting>
  <conditionalFormatting sqref="M1074">
    <cfRule type="cellIs" dxfId="0" priority="1437" operator="lessThan">
      <formula>30</formula>
    </cfRule>
  </conditionalFormatting>
  <conditionalFormatting sqref="Z1074">
    <cfRule type="cellIs" dxfId="0" priority="707" operator="lessThan">
      <formula>30</formula>
    </cfRule>
  </conditionalFormatting>
  <conditionalFormatting sqref="AM1074">
    <cfRule type="cellIs" dxfId="0" priority="527" operator="lessThan">
      <formula>30</formula>
    </cfRule>
  </conditionalFormatting>
  <conditionalFormatting sqref="M1075">
    <cfRule type="cellIs" dxfId="0" priority="1436" operator="lessThan">
      <formula>30</formula>
    </cfRule>
  </conditionalFormatting>
  <conditionalFormatting sqref="Z1075">
    <cfRule type="cellIs" dxfId="0" priority="706" operator="lessThan">
      <formula>30</formula>
    </cfRule>
  </conditionalFormatting>
  <conditionalFormatting sqref="AM1075">
    <cfRule type="cellIs" dxfId="0" priority="526" operator="lessThan">
      <formula>30</formula>
    </cfRule>
  </conditionalFormatting>
  <conditionalFormatting sqref="M1076">
    <cfRule type="cellIs" dxfId="0" priority="1435" operator="lessThan">
      <formula>30</formula>
    </cfRule>
  </conditionalFormatting>
  <conditionalFormatting sqref="Z1076">
    <cfRule type="cellIs" dxfId="0" priority="940" operator="lessThan">
      <formula>30</formula>
    </cfRule>
  </conditionalFormatting>
  <conditionalFormatting sqref="AM1076">
    <cfRule type="cellIs" dxfId="0" priority="525" operator="lessThan">
      <formula>30</formula>
    </cfRule>
  </conditionalFormatting>
  <conditionalFormatting sqref="M1077">
    <cfRule type="cellIs" dxfId="0" priority="1426" operator="lessThan">
      <formula>30</formula>
    </cfRule>
  </conditionalFormatting>
  <conditionalFormatting sqref="Z1077">
    <cfRule type="cellIs" dxfId="0" priority="939" operator="lessThan">
      <formula>30</formula>
    </cfRule>
  </conditionalFormatting>
  <conditionalFormatting sqref="AM1077">
    <cfRule type="cellIs" dxfId="0" priority="519" operator="lessThan">
      <formula>30</formula>
    </cfRule>
  </conditionalFormatting>
  <conditionalFormatting sqref="M1078">
    <cfRule type="cellIs" dxfId="0" priority="1425" operator="lessThan">
      <formula>30</formula>
    </cfRule>
  </conditionalFormatting>
  <conditionalFormatting sqref="Z1078">
    <cfRule type="cellIs" dxfId="0" priority="938" operator="lessThan">
      <formula>30</formula>
    </cfRule>
  </conditionalFormatting>
  <conditionalFormatting sqref="AM1078">
    <cfRule type="cellIs" dxfId="0" priority="518" operator="lessThan">
      <formula>30</formula>
    </cfRule>
  </conditionalFormatting>
  <conditionalFormatting sqref="M1079">
    <cfRule type="cellIs" dxfId="0" priority="1424" operator="lessThan">
      <formula>30</formula>
    </cfRule>
  </conditionalFormatting>
  <conditionalFormatting sqref="Z1079">
    <cfRule type="cellIs" dxfId="0" priority="937" operator="lessThan">
      <formula>30</formula>
    </cfRule>
  </conditionalFormatting>
  <conditionalFormatting sqref="AM1079">
    <cfRule type="cellIs" dxfId="0" priority="522" operator="lessThan">
      <formula>30</formula>
    </cfRule>
  </conditionalFormatting>
  <conditionalFormatting sqref="M1080">
    <cfRule type="cellIs" dxfId="0" priority="1423" operator="lessThan">
      <formula>30</formula>
    </cfRule>
  </conditionalFormatting>
  <conditionalFormatting sqref="Z1080">
    <cfRule type="cellIs" dxfId="0" priority="936" operator="lessThan">
      <formula>30</formula>
    </cfRule>
  </conditionalFormatting>
  <conditionalFormatting sqref="AM1080">
    <cfRule type="cellIs" dxfId="0" priority="521" operator="lessThan">
      <formula>30</formula>
    </cfRule>
  </conditionalFormatting>
  <conditionalFormatting sqref="M1081">
    <cfRule type="cellIs" dxfId="0" priority="1422" operator="lessThan">
      <formula>30</formula>
    </cfRule>
  </conditionalFormatting>
  <conditionalFormatting sqref="Z1081">
    <cfRule type="cellIs" dxfId="0" priority="935" operator="lessThan">
      <formula>30</formula>
    </cfRule>
  </conditionalFormatting>
  <conditionalFormatting sqref="AM1081">
    <cfRule type="cellIs" dxfId="0" priority="520" operator="lessThan">
      <formula>30</formula>
    </cfRule>
  </conditionalFormatting>
  <conditionalFormatting sqref="M1082">
    <cfRule type="cellIs" dxfId="0" priority="1421" operator="lessThan">
      <formula>30</formula>
    </cfRule>
  </conditionalFormatting>
  <conditionalFormatting sqref="Z1082">
    <cfRule type="cellIs" dxfId="0" priority="934" operator="lessThan">
      <formula>30</formula>
    </cfRule>
  </conditionalFormatting>
  <conditionalFormatting sqref="AM1082">
    <cfRule type="cellIs" dxfId="0" priority="514" operator="lessThan">
      <formula>30</formula>
    </cfRule>
  </conditionalFormatting>
  <conditionalFormatting sqref="M1083">
    <cfRule type="cellIs" dxfId="0" priority="1420" operator="lessThan">
      <formula>30</formula>
    </cfRule>
  </conditionalFormatting>
  <conditionalFormatting sqref="Z1083">
    <cfRule type="cellIs" dxfId="0" priority="933" operator="lessThan">
      <formula>30</formula>
    </cfRule>
  </conditionalFormatting>
  <conditionalFormatting sqref="AM1083">
    <cfRule type="cellIs" dxfId="0" priority="513" operator="lessThan">
      <formula>30</formula>
    </cfRule>
  </conditionalFormatting>
  <conditionalFormatting sqref="M1084">
    <cfRule type="cellIs" dxfId="0" priority="1419" operator="lessThan">
      <formula>30</formula>
    </cfRule>
  </conditionalFormatting>
  <conditionalFormatting sqref="Z1084">
    <cfRule type="cellIs" dxfId="0" priority="932" operator="lessThan">
      <formula>30</formula>
    </cfRule>
  </conditionalFormatting>
  <conditionalFormatting sqref="AM1084">
    <cfRule type="cellIs" dxfId="0" priority="517" operator="lessThan">
      <formula>30</formula>
    </cfRule>
  </conditionalFormatting>
  <conditionalFormatting sqref="M1085">
    <cfRule type="cellIs" dxfId="0" priority="1418" operator="lessThan">
      <formula>30</formula>
    </cfRule>
  </conditionalFormatting>
  <conditionalFormatting sqref="Z1085">
    <cfRule type="cellIs" dxfId="0" priority="931" operator="lessThan">
      <formula>30</formula>
    </cfRule>
  </conditionalFormatting>
  <conditionalFormatting sqref="AM1085">
    <cfRule type="cellIs" dxfId="0" priority="516" operator="lessThan">
      <formula>30</formula>
    </cfRule>
  </conditionalFormatting>
  <conditionalFormatting sqref="M1086">
    <cfRule type="cellIs" dxfId="0" priority="1417" operator="lessThan">
      <formula>30</formula>
    </cfRule>
  </conditionalFormatting>
  <conditionalFormatting sqref="Z1086">
    <cfRule type="cellIs" dxfId="0" priority="930" operator="lessThan">
      <formula>30</formula>
    </cfRule>
  </conditionalFormatting>
  <conditionalFormatting sqref="AM1086">
    <cfRule type="cellIs" dxfId="0" priority="515" operator="lessThan">
      <formula>30</formula>
    </cfRule>
  </conditionalFormatting>
  <conditionalFormatting sqref="M1087">
    <cfRule type="cellIs" dxfId="0" priority="1413" operator="lessThan">
      <formula>30</formula>
    </cfRule>
  </conditionalFormatting>
  <conditionalFormatting sqref="Z1087">
    <cfRule type="cellIs" dxfId="0" priority="929" operator="lessThan">
      <formula>30</formula>
    </cfRule>
  </conditionalFormatting>
  <conditionalFormatting sqref="AM1087">
    <cfRule type="cellIs" dxfId="0" priority="509" operator="lessThan">
      <formula>30</formula>
    </cfRule>
  </conditionalFormatting>
  <conditionalFormatting sqref="M1088">
    <cfRule type="cellIs" dxfId="0" priority="1412" operator="lessThan">
      <formula>30</formula>
    </cfRule>
  </conditionalFormatting>
  <conditionalFormatting sqref="Z1088">
    <cfRule type="cellIs" dxfId="0" priority="928" operator="lessThan">
      <formula>30</formula>
    </cfRule>
  </conditionalFormatting>
  <conditionalFormatting sqref="AM1088">
    <cfRule type="cellIs" dxfId="0" priority="508" operator="lessThan">
      <formula>30</formula>
    </cfRule>
  </conditionalFormatting>
  <conditionalFormatting sqref="M1089">
    <cfRule type="cellIs" dxfId="0" priority="1411" operator="lessThan">
      <formula>30</formula>
    </cfRule>
  </conditionalFormatting>
  <conditionalFormatting sqref="Z1089">
    <cfRule type="cellIs" dxfId="0" priority="927" operator="lessThan">
      <formula>30</formula>
    </cfRule>
  </conditionalFormatting>
  <conditionalFormatting sqref="AM1089">
    <cfRule type="cellIs" dxfId="0" priority="512" operator="lessThan">
      <formula>30</formula>
    </cfRule>
  </conditionalFormatting>
  <conditionalFormatting sqref="M1090">
    <cfRule type="cellIs" dxfId="0" priority="1410" operator="lessThan">
      <formula>30</formula>
    </cfRule>
  </conditionalFormatting>
  <conditionalFormatting sqref="Z1090">
    <cfRule type="cellIs" dxfId="0" priority="926" operator="lessThan">
      <formula>30</formula>
    </cfRule>
  </conditionalFormatting>
  <conditionalFormatting sqref="AM1090">
    <cfRule type="cellIs" dxfId="0" priority="511" operator="lessThan">
      <formula>30</formula>
    </cfRule>
  </conditionalFormatting>
  <conditionalFormatting sqref="Z1091">
    <cfRule type="cellIs" dxfId="0" priority="925" operator="lessThan">
      <formula>30</formula>
    </cfRule>
  </conditionalFormatting>
  <conditionalFormatting sqref="AM1091">
    <cfRule type="cellIs" dxfId="0" priority="510" operator="lessThan">
      <formula>30</formula>
    </cfRule>
  </conditionalFormatting>
  <conditionalFormatting sqref="Z1092">
    <cfRule type="cellIs" dxfId="0" priority="924" operator="lessThan">
      <formula>30</formula>
    </cfRule>
  </conditionalFormatting>
  <conditionalFormatting sqref="AM1092">
    <cfRule type="cellIs" dxfId="0" priority="504" operator="lessThan">
      <formula>30</formula>
    </cfRule>
  </conditionalFormatting>
  <conditionalFormatting sqref="Z1093">
    <cfRule type="cellIs" dxfId="0" priority="923" operator="lessThan">
      <formula>30</formula>
    </cfRule>
  </conditionalFormatting>
  <conditionalFormatting sqref="AM1093">
    <cfRule type="cellIs" dxfId="0" priority="503" operator="lessThan">
      <formula>30</formula>
    </cfRule>
  </conditionalFormatting>
  <conditionalFormatting sqref="Z1094">
    <cfRule type="cellIs" dxfId="0" priority="922" operator="lessThan">
      <formula>30</formula>
    </cfRule>
  </conditionalFormatting>
  <conditionalFormatting sqref="AM1094">
    <cfRule type="cellIs" dxfId="0" priority="507" operator="lessThan">
      <formula>30</formula>
    </cfRule>
  </conditionalFormatting>
  <conditionalFormatting sqref="Z1095">
    <cfRule type="cellIs" dxfId="0" priority="921" operator="lessThan">
      <formula>30</formula>
    </cfRule>
  </conditionalFormatting>
  <conditionalFormatting sqref="AM1095">
    <cfRule type="cellIs" dxfId="0" priority="506" operator="lessThan">
      <formula>30</formula>
    </cfRule>
  </conditionalFormatting>
  <conditionalFormatting sqref="Z1096">
    <cfRule type="cellIs" dxfId="0" priority="920" operator="lessThan">
      <formula>30</formula>
    </cfRule>
  </conditionalFormatting>
  <conditionalFormatting sqref="AM1096">
    <cfRule type="cellIs" dxfId="0" priority="505" operator="lessThan">
      <formula>30</formula>
    </cfRule>
  </conditionalFormatting>
  <conditionalFormatting sqref="AM1108">
    <cfRule type="cellIs" dxfId="0" priority="369" operator="lessThan">
      <formula>30</formula>
    </cfRule>
  </conditionalFormatting>
  <conditionalFormatting sqref="AM1109">
    <cfRule type="cellIs" dxfId="0" priority="368" operator="lessThan">
      <formula>30</formula>
    </cfRule>
  </conditionalFormatting>
  <conditionalFormatting sqref="AM1110">
    <cfRule type="cellIs" dxfId="0" priority="367" operator="lessThan">
      <formula>30</formula>
    </cfRule>
  </conditionalFormatting>
  <conditionalFormatting sqref="AM1111">
    <cfRule type="cellIs" dxfId="0" priority="366" operator="lessThan">
      <formula>30</formula>
    </cfRule>
  </conditionalFormatting>
  <conditionalFormatting sqref="AM1112">
    <cfRule type="cellIs" dxfId="0" priority="365" operator="lessThan">
      <formula>30</formula>
    </cfRule>
  </conditionalFormatting>
  <conditionalFormatting sqref="M1113">
    <cfRule type="cellIs" dxfId="0" priority="1394" operator="lessThan">
      <formula>30</formula>
    </cfRule>
  </conditionalFormatting>
  <conditionalFormatting sqref="Z1113">
    <cfRule type="cellIs" dxfId="0" priority="877" operator="lessThan">
      <formula>30</formula>
    </cfRule>
  </conditionalFormatting>
  <conditionalFormatting sqref="AM1113">
    <cfRule type="cellIs" dxfId="0" priority="364" operator="lessThan">
      <formula>30</formula>
    </cfRule>
  </conditionalFormatting>
  <conditionalFormatting sqref="M1114">
    <cfRule type="cellIs" dxfId="0" priority="1393" operator="lessThan">
      <formula>30</formula>
    </cfRule>
  </conditionalFormatting>
  <conditionalFormatting sqref="Z1114">
    <cfRule type="cellIs" dxfId="0" priority="876" operator="lessThan">
      <formula>30</formula>
    </cfRule>
  </conditionalFormatting>
  <conditionalFormatting sqref="AM1114">
    <cfRule type="cellIs" dxfId="0" priority="363" operator="lessThan">
      <formula>30</formula>
    </cfRule>
  </conditionalFormatting>
  <conditionalFormatting sqref="M1115">
    <cfRule type="cellIs" dxfId="0" priority="1392" operator="lessThan">
      <formula>30</formula>
    </cfRule>
  </conditionalFormatting>
  <conditionalFormatting sqref="Z1115">
    <cfRule type="cellIs" dxfId="0" priority="875" operator="lessThan">
      <formula>30</formula>
    </cfRule>
  </conditionalFormatting>
  <conditionalFormatting sqref="AM1115">
    <cfRule type="cellIs" dxfId="0" priority="362" operator="lessThan">
      <formula>30</formula>
    </cfRule>
  </conditionalFormatting>
  <conditionalFormatting sqref="M1116">
    <cfRule type="cellIs" dxfId="0" priority="1391" operator="lessThan">
      <formula>30</formula>
    </cfRule>
  </conditionalFormatting>
  <conditionalFormatting sqref="Z1116">
    <cfRule type="cellIs" dxfId="0" priority="874" operator="lessThan">
      <formula>30</formula>
    </cfRule>
  </conditionalFormatting>
  <conditionalFormatting sqref="AM1116">
    <cfRule type="cellIs" dxfId="0" priority="361" operator="lessThan">
      <formula>30</formula>
    </cfRule>
  </conditionalFormatting>
  <conditionalFormatting sqref="M1117">
    <cfRule type="cellIs" dxfId="0" priority="1390" operator="lessThan">
      <formula>30</formula>
    </cfRule>
  </conditionalFormatting>
  <conditionalFormatting sqref="Z1117">
    <cfRule type="cellIs" dxfId="0" priority="873" operator="lessThan">
      <formula>30</formula>
    </cfRule>
  </conditionalFormatting>
  <conditionalFormatting sqref="AM1117">
    <cfRule type="cellIs" dxfId="0" priority="360" operator="lessThan">
      <formula>30</formula>
    </cfRule>
  </conditionalFormatting>
  <conditionalFormatting sqref="M1118">
    <cfRule type="cellIs" dxfId="0" priority="1389" operator="lessThan">
      <formula>30</formula>
    </cfRule>
  </conditionalFormatting>
  <conditionalFormatting sqref="Z1118">
    <cfRule type="cellIs" dxfId="0" priority="872" operator="lessThan">
      <formula>30</formula>
    </cfRule>
  </conditionalFormatting>
  <conditionalFormatting sqref="AM1118">
    <cfRule type="cellIs" dxfId="0" priority="359" operator="lessThan">
      <formula>30</formula>
    </cfRule>
  </conditionalFormatting>
  <conditionalFormatting sqref="M1119">
    <cfRule type="cellIs" dxfId="0" priority="1388" operator="lessThan">
      <formula>30</formula>
    </cfRule>
  </conditionalFormatting>
  <conditionalFormatting sqref="Z1119">
    <cfRule type="cellIs" dxfId="0" priority="871" operator="lessThan">
      <formula>30</formula>
    </cfRule>
  </conditionalFormatting>
  <conditionalFormatting sqref="AM1119">
    <cfRule type="cellIs" dxfId="0" priority="358" operator="lessThan">
      <formula>30</formula>
    </cfRule>
  </conditionalFormatting>
  <conditionalFormatting sqref="AM1120">
    <cfRule type="cellIs" dxfId="0" priority="357" operator="lessThan">
      <formula>30</formula>
    </cfRule>
  </conditionalFormatting>
  <conditionalFormatting sqref="AM1121">
    <cfRule type="cellIs" dxfId="0" priority="356" operator="lessThan">
      <formula>30</formula>
    </cfRule>
  </conditionalFormatting>
  <conditionalFormatting sqref="AM1122">
    <cfRule type="cellIs" dxfId="0" priority="355" operator="lessThan">
      <formula>30</formula>
    </cfRule>
  </conditionalFormatting>
  <conditionalFormatting sqref="AM1123">
    <cfRule type="cellIs" dxfId="0" priority="354" operator="lessThan">
      <formula>30</formula>
    </cfRule>
  </conditionalFormatting>
  <conditionalFormatting sqref="AM1124">
    <cfRule type="cellIs" dxfId="0" priority="353" operator="lessThan">
      <formula>30</formula>
    </cfRule>
  </conditionalFormatting>
  <conditionalFormatting sqref="AM1125">
    <cfRule type="cellIs" dxfId="0" priority="352" operator="lessThan">
      <formula>30</formula>
    </cfRule>
  </conditionalFormatting>
  <conditionalFormatting sqref="AM1126">
    <cfRule type="cellIs" dxfId="0" priority="351" operator="lessThan">
      <formula>30</formula>
    </cfRule>
  </conditionalFormatting>
  <conditionalFormatting sqref="AM1127">
    <cfRule type="cellIs" dxfId="0" priority="350" operator="lessThan">
      <formula>30</formula>
    </cfRule>
  </conditionalFormatting>
  <conditionalFormatting sqref="AM1128">
    <cfRule type="cellIs" dxfId="0" priority="349" operator="lessThan">
      <formula>30</formula>
    </cfRule>
  </conditionalFormatting>
  <conditionalFormatting sqref="AM1129">
    <cfRule type="cellIs" dxfId="0" priority="348" operator="lessThan">
      <formula>30</formula>
    </cfRule>
  </conditionalFormatting>
  <conditionalFormatting sqref="AM1130">
    <cfRule type="cellIs" dxfId="0" priority="347" operator="lessThan">
      <formula>30</formula>
    </cfRule>
  </conditionalFormatting>
  <conditionalFormatting sqref="AM1131">
    <cfRule type="cellIs" dxfId="0" priority="346" operator="lessThan">
      <formula>30</formula>
    </cfRule>
  </conditionalFormatting>
  <conditionalFormatting sqref="M1132">
    <cfRule type="cellIs" dxfId="0" priority="1375" operator="lessThan">
      <formula>30</formula>
    </cfRule>
  </conditionalFormatting>
  <conditionalFormatting sqref="AM1132">
    <cfRule type="cellIs" dxfId="0" priority="345" operator="lessThan">
      <formula>30</formula>
    </cfRule>
  </conditionalFormatting>
  <conditionalFormatting sqref="M1133">
    <cfRule type="cellIs" dxfId="0" priority="1374" operator="lessThan">
      <formula>30</formula>
    </cfRule>
  </conditionalFormatting>
  <conditionalFormatting sqref="AM1133">
    <cfRule type="cellIs" dxfId="0" priority="344" operator="lessThan">
      <formula>30</formula>
    </cfRule>
  </conditionalFormatting>
  <conditionalFormatting sqref="Z1134">
    <cfRule type="cellIs" dxfId="0" priority="868" operator="lessThan">
      <formula>30</formula>
    </cfRule>
  </conditionalFormatting>
  <conditionalFormatting sqref="AM1134">
    <cfRule type="cellIs" dxfId="0" priority="343" operator="lessThan">
      <formula>30</formula>
    </cfRule>
  </conditionalFormatting>
  <conditionalFormatting sqref="Z1135">
    <cfRule type="cellIs" dxfId="0" priority="867" operator="lessThan">
      <formula>30</formula>
    </cfRule>
  </conditionalFormatting>
  <conditionalFormatting sqref="AM1135">
    <cfRule type="cellIs" dxfId="0" priority="342" operator="lessThan">
      <formula>30</formula>
    </cfRule>
  </conditionalFormatting>
  <conditionalFormatting sqref="Z1136">
    <cfRule type="cellIs" dxfId="0" priority="866" operator="lessThan">
      <formula>30</formula>
    </cfRule>
  </conditionalFormatting>
  <conditionalFormatting sqref="AM1136">
    <cfRule type="cellIs" dxfId="0" priority="341" operator="lessThan">
      <formula>30</formula>
    </cfRule>
  </conditionalFormatting>
  <conditionalFormatting sqref="Z1137">
    <cfRule type="cellIs" dxfId="0" priority="865" operator="lessThan">
      <formula>30</formula>
    </cfRule>
  </conditionalFormatting>
  <conditionalFormatting sqref="AM1137">
    <cfRule type="cellIs" dxfId="0" priority="340" operator="lessThan">
      <formula>30</formula>
    </cfRule>
  </conditionalFormatting>
  <conditionalFormatting sqref="Z1138">
    <cfRule type="cellIs" dxfId="0" priority="864" operator="lessThan">
      <formula>30</formula>
    </cfRule>
  </conditionalFormatting>
  <conditionalFormatting sqref="AM1138">
    <cfRule type="cellIs" dxfId="0" priority="339" operator="lessThan">
      <formula>30</formula>
    </cfRule>
  </conditionalFormatting>
  <conditionalFormatting sqref="Z1139">
    <cfRule type="cellIs" dxfId="0" priority="863" operator="lessThan">
      <formula>30</formula>
    </cfRule>
  </conditionalFormatting>
  <conditionalFormatting sqref="AM1139">
    <cfRule type="cellIs" dxfId="0" priority="338" operator="lessThan">
      <formula>30</formula>
    </cfRule>
  </conditionalFormatting>
  <conditionalFormatting sqref="Z1140">
    <cfRule type="cellIs" dxfId="0" priority="862" operator="lessThan">
      <formula>30</formula>
    </cfRule>
  </conditionalFormatting>
  <conditionalFormatting sqref="Z1218">
    <cfRule type="cellIs" dxfId="0" priority="849" operator="lessThan">
      <formula>30</formula>
    </cfRule>
  </conditionalFormatting>
  <conditionalFormatting sqref="M1376">
    <cfRule type="cellIs" dxfId="0" priority="1182" operator="lessThan">
      <formula>30</formula>
    </cfRule>
  </conditionalFormatting>
  <conditionalFormatting sqref="M1710">
    <cfRule type="cellIs" dxfId="0" priority="820" operator="lessThan">
      <formula>30</formula>
    </cfRule>
  </conditionalFormatting>
  <conditionalFormatting sqref="M1711">
    <cfRule type="cellIs" dxfId="0" priority="819" operator="lessThan">
      <formula>30</formula>
    </cfRule>
  </conditionalFormatting>
  <conditionalFormatting sqref="M1712">
    <cfRule type="cellIs" dxfId="0" priority="818" operator="lessThan">
      <formula>30</formula>
    </cfRule>
  </conditionalFormatting>
  <conditionalFormatting sqref="M1713">
    <cfRule type="cellIs" dxfId="0" priority="817" operator="lessThan">
      <formula>30</formula>
    </cfRule>
  </conditionalFormatting>
  <conditionalFormatting sqref="M1714">
    <cfRule type="cellIs" dxfId="0" priority="816" operator="lessThan">
      <formula>30</formula>
    </cfRule>
  </conditionalFormatting>
  <conditionalFormatting sqref="M1715">
    <cfRule type="cellIs" dxfId="0" priority="815" operator="lessThan">
      <formula>30</formula>
    </cfRule>
  </conditionalFormatting>
  <conditionalFormatting sqref="Z1727">
    <cfRule type="cellIs" dxfId="0" priority="325" operator="lessThan">
      <formula>30</formula>
    </cfRule>
  </conditionalFormatting>
  <conditionalFormatting sqref="Z1728">
    <cfRule type="cellIs" dxfId="0" priority="324" operator="lessThan">
      <formula>30</formula>
    </cfRule>
  </conditionalFormatting>
  <conditionalFormatting sqref="Z1745">
    <cfRule type="cellIs" dxfId="0" priority="414" operator="lessThan">
      <formula>30</formula>
    </cfRule>
  </conditionalFormatting>
  <conditionalFormatting sqref="M1851">
    <cfRule type="cellIs" dxfId="0" priority="653" operator="lessThan">
      <formula>30</formula>
    </cfRule>
  </conditionalFormatting>
  <conditionalFormatting sqref="M1852">
    <cfRule type="cellIs" dxfId="0" priority="652" operator="lessThan">
      <formula>30</formula>
    </cfRule>
  </conditionalFormatting>
  <conditionalFormatting sqref="M2151">
    <cfRule type="cellIs" dxfId="0" priority="501" operator="lessThan">
      <formula>30</formula>
    </cfRule>
  </conditionalFormatting>
  <conditionalFormatting sqref="M2152">
    <cfRule type="cellIs" dxfId="0" priority="500" operator="lessThan">
      <formula>30</formula>
    </cfRule>
  </conditionalFormatting>
  <conditionalFormatting sqref="M2180">
    <cfRule type="cellIs" dxfId="0" priority="461" operator="lessThan">
      <formula>30</formula>
    </cfRule>
  </conditionalFormatting>
  <conditionalFormatting sqref="M2215">
    <cfRule type="cellIs" dxfId="0" priority="433" operator="lessThan">
      <formula>30</formula>
    </cfRule>
  </conditionalFormatting>
  <conditionalFormatting sqref="M2216">
    <cfRule type="cellIs" dxfId="0" priority="432" operator="lessThan">
      <formula>30</formula>
    </cfRule>
  </conditionalFormatting>
  <conditionalFormatting sqref="M2217">
    <cfRule type="cellIs" dxfId="0" priority="431" operator="lessThan">
      <formula>30</formula>
    </cfRule>
  </conditionalFormatting>
  <conditionalFormatting sqref="M2218">
    <cfRule type="cellIs" dxfId="0" priority="430" operator="lessThan">
      <formula>30</formula>
    </cfRule>
  </conditionalFormatting>
  <conditionalFormatting sqref="M2219">
    <cfRule type="cellIs" dxfId="0" priority="429" operator="lessThan">
      <formula>30</formula>
    </cfRule>
  </conditionalFormatting>
  <conditionalFormatting sqref="M2220">
    <cfRule type="cellIs" dxfId="0" priority="428" operator="lessThan">
      <formula>30</formula>
    </cfRule>
  </conditionalFormatting>
  <conditionalFormatting sqref="M826:M827">
    <cfRule type="cellIs" dxfId="0" priority="1689" operator="lessThan">
      <formula>30</formula>
    </cfRule>
  </conditionalFormatting>
  <conditionalFormatting sqref="M925:M926">
    <cfRule type="cellIs" dxfId="0" priority="1590" operator="lessThan">
      <formula>30</formula>
    </cfRule>
  </conditionalFormatting>
  <conditionalFormatting sqref="M1042:M1043">
    <cfRule type="cellIs" dxfId="0" priority="1467" operator="lessThan">
      <formula>30</formula>
    </cfRule>
  </conditionalFormatting>
  <conditionalFormatting sqref="M1065:M1068">
    <cfRule type="cellIs" dxfId="0" priority="1444" operator="lessThan">
      <formula>30</formula>
    </cfRule>
  </conditionalFormatting>
  <conditionalFormatting sqref="M1091:M1112">
    <cfRule type="cellIs" dxfId="0" priority="1409" operator="lessThan">
      <formula>30</formula>
    </cfRule>
  </conditionalFormatting>
  <conditionalFormatting sqref="M1120:M1131">
    <cfRule type="cellIs" dxfId="0" priority="1387" operator="lessThan">
      <formula>30</formula>
    </cfRule>
  </conditionalFormatting>
  <conditionalFormatting sqref="M1134:M1248">
    <cfRule type="cellIs" dxfId="0" priority="1373" operator="lessThan">
      <formula>30</formula>
    </cfRule>
  </conditionalFormatting>
  <conditionalFormatting sqref="M1249:M1375">
    <cfRule type="cellIs" dxfId="0" priority="1317" operator="lessThan">
      <formula>30</formula>
    </cfRule>
  </conditionalFormatting>
  <conditionalFormatting sqref="M1377:M1505">
    <cfRule type="cellIs" dxfId="0" priority="1181" operator="lessThan">
      <formula>30</formula>
    </cfRule>
  </conditionalFormatting>
  <conditionalFormatting sqref="M1506:M1651">
    <cfRule type="cellIs" dxfId="0" priority="945" operator="lessThan">
      <formula>30</formula>
    </cfRule>
  </conditionalFormatting>
  <conditionalFormatting sqref="M1652:M1661">
    <cfRule type="cellIs" dxfId="0" priority="860" operator="lessThan">
      <formula>30</formula>
    </cfRule>
  </conditionalFormatting>
  <conditionalFormatting sqref="M1662:M1709">
    <cfRule type="cellIs" dxfId="0" priority="854" operator="lessThan">
      <formula>30</formula>
    </cfRule>
  </conditionalFormatting>
  <conditionalFormatting sqref="M1716:M1850">
    <cfRule type="cellIs" dxfId="0" priority="814" operator="lessThan">
      <formula>30</formula>
    </cfRule>
  </conditionalFormatting>
  <conditionalFormatting sqref="M1853:M2136">
    <cfRule type="cellIs" dxfId="0" priority="651" operator="lessThan">
      <formula>30</formula>
    </cfRule>
  </conditionalFormatting>
  <conditionalFormatting sqref="M2137:M2150">
    <cfRule type="cellIs" dxfId="0" priority="502" operator="lessThan">
      <formula>30</formula>
    </cfRule>
  </conditionalFormatting>
  <conditionalFormatting sqref="M2153:M2179">
    <cfRule type="cellIs" dxfId="0" priority="499" operator="lessThan">
      <formula>30</formula>
    </cfRule>
  </conditionalFormatting>
  <conditionalFormatting sqref="M2181:M2214">
    <cfRule type="cellIs" dxfId="0" priority="460" operator="lessThan">
      <formula>30</formula>
    </cfRule>
  </conditionalFormatting>
  <conditionalFormatting sqref="M2221:M2336">
    <cfRule type="cellIs" dxfId="0" priority="427" operator="lessThan">
      <formula>30</formula>
    </cfRule>
  </conditionalFormatting>
  <conditionalFormatting sqref="M2337:M2430">
    <cfRule type="cellIs" dxfId="0" priority="2786" operator="lessThan">
      <formula>30</formula>
    </cfRule>
  </conditionalFormatting>
  <conditionalFormatting sqref="Z3:Z72">
    <cfRule type="cellIs" dxfId="0" priority="2538" operator="lessThan">
      <formula>30</formula>
    </cfRule>
  </conditionalFormatting>
  <conditionalFormatting sqref="Z73:Z83">
    <cfRule type="cellIs" dxfId="0" priority="1381" operator="lessThan">
      <formula>30</formula>
    </cfRule>
  </conditionalFormatting>
  <conditionalFormatting sqref="Z84:Z102">
    <cfRule type="cellIs" dxfId="0" priority="1385" operator="lessThan">
      <formula>30</formula>
    </cfRule>
  </conditionalFormatting>
  <conditionalFormatting sqref="Z112:Z118">
    <cfRule type="cellIs" dxfId="0" priority="1380" operator="lessThan">
      <formula>30</formula>
    </cfRule>
  </conditionalFormatting>
  <conditionalFormatting sqref="Z119:Z135">
    <cfRule type="cellIs" dxfId="0" priority="1382" operator="lessThan">
      <formula>30</formula>
    </cfRule>
  </conditionalFormatting>
  <conditionalFormatting sqref="Z136:Z163">
    <cfRule type="cellIs" dxfId="0" priority="1384" operator="lessThan">
      <formula>30</formula>
    </cfRule>
  </conditionalFormatting>
  <conditionalFormatting sqref="Z164:Z202">
    <cfRule type="cellIs" dxfId="0" priority="1379" operator="lessThan">
      <formula>30</formula>
    </cfRule>
  </conditionalFormatting>
  <conditionalFormatting sqref="Z203:Z288">
    <cfRule type="cellIs" dxfId="0" priority="1378" operator="lessThan">
      <formula>30</formula>
    </cfRule>
  </conditionalFormatting>
  <conditionalFormatting sqref="Z289:Z397">
    <cfRule type="cellIs" dxfId="0" priority="1370" operator="lessThan">
      <formula>30</formula>
    </cfRule>
  </conditionalFormatting>
  <conditionalFormatting sqref="Z398:Z404">
    <cfRule type="cellIs" dxfId="0" priority="1343" operator="lessThan">
      <formula>30</formula>
    </cfRule>
  </conditionalFormatting>
  <conditionalFormatting sqref="Z409:Z433">
    <cfRule type="cellIs" dxfId="0" priority="1329" operator="lessThan">
      <formula>30</formula>
    </cfRule>
  </conditionalFormatting>
  <conditionalFormatting sqref="Z434:Z470">
    <cfRule type="cellIs" dxfId="0" priority="1331" operator="lessThan">
      <formula>30</formula>
    </cfRule>
  </conditionalFormatting>
  <conditionalFormatting sqref="Z471:Z509">
    <cfRule type="cellIs" dxfId="0" priority="1353" operator="lessThan">
      <formula>30</formula>
    </cfRule>
  </conditionalFormatting>
  <conditionalFormatting sqref="Z519:Z521">
    <cfRule type="cellIs" dxfId="0" priority="1220" operator="lessThan">
      <formula>30</formula>
    </cfRule>
  </conditionalFormatting>
  <conditionalFormatting sqref="Z524:Z558">
    <cfRule type="cellIs" dxfId="0" priority="1328" operator="lessThan">
      <formula>30</formula>
    </cfRule>
  </conditionalFormatting>
  <conditionalFormatting sqref="Z573:Z579">
    <cfRule type="cellIs" dxfId="0" priority="1318" operator="lessThan">
      <formula>30</formula>
    </cfRule>
  </conditionalFormatting>
  <conditionalFormatting sqref="Z588:Z610">
    <cfRule type="cellIs" dxfId="0" priority="1277" operator="lessThan">
      <formula>30</formula>
    </cfRule>
  </conditionalFormatting>
  <conditionalFormatting sqref="Z614:Z625">
    <cfRule type="cellIs" dxfId="0" priority="1240" operator="lessThan">
      <formula>30</formula>
    </cfRule>
  </conditionalFormatting>
  <conditionalFormatting sqref="Z626:Z655">
    <cfRule type="cellIs" dxfId="0" priority="1316" operator="lessThan">
      <formula>30</formula>
    </cfRule>
  </conditionalFormatting>
  <conditionalFormatting sqref="Z672:Z688">
    <cfRule type="cellIs" dxfId="0" priority="1304" operator="lessThan">
      <formula>30</formula>
    </cfRule>
  </conditionalFormatting>
  <conditionalFormatting sqref="Z753:Z776">
    <cfRule type="cellIs" dxfId="0" priority="1183" operator="lessThan">
      <formula>30</formula>
    </cfRule>
  </conditionalFormatting>
  <conditionalFormatting sqref="Z780:Z793">
    <cfRule type="cellIs" dxfId="0" priority="946" operator="lessThan">
      <formula>30</formula>
    </cfRule>
  </conditionalFormatting>
  <conditionalFormatting sqref="Z799:Z824">
    <cfRule type="cellIs" dxfId="0" priority="1147" operator="lessThan">
      <formula>30</formula>
    </cfRule>
  </conditionalFormatting>
  <conditionalFormatting sqref="Z1017:Z1027">
    <cfRule type="cellIs" dxfId="0" priority="1003" operator="lessThan">
      <formula>30</formula>
    </cfRule>
  </conditionalFormatting>
  <conditionalFormatting sqref="Z1097:Z1107">
    <cfRule type="cellIs" dxfId="0" priority="919" operator="lessThan">
      <formula>30</formula>
    </cfRule>
  </conditionalFormatting>
  <conditionalFormatting sqref="Z1108:Z1112">
    <cfRule type="cellIs" dxfId="0" priority="878" operator="lessThan">
      <formula>30</formula>
    </cfRule>
  </conditionalFormatting>
  <conditionalFormatting sqref="Z1120:Z1126">
    <cfRule type="cellIs" dxfId="0" priority="870" operator="lessThan">
      <formula>30</formula>
    </cfRule>
  </conditionalFormatting>
  <conditionalFormatting sqref="Z1127:Z1133">
    <cfRule type="cellIs" dxfId="0" priority="869" operator="lessThan">
      <formula>30</formula>
    </cfRule>
  </conditionalFormatting>
  <conditionalFormatting sqref="Z1141:Z1217">
    <cfRule type="cellIs" dxfId="0" priority="861" operator="lessThan">
      <formula>30</formula>
    </cfRule>
  </conditionalFormatting>
  <conditionalFormatting sqref="Z1219:Z1221">
    <cfRule type="cellIs" dxfId="0" priority="850" operator="lessThan">
      <formula>30</formula>
    </cfRule>
  </conditionalFormatting>
  <conditionalFormatting sqref="Z1222:Z1225">
    <cfRule type="cellIs" dxfId="0" priority="852" operator="lessThan">
      <formula>30</formula>
    </cfRule>
  </conditionalFormatting>
  <conditionalFormatting sqref="Z1226:Z1236">
    <cfRule type="cellIs" dxfId="0" priority="851" operator="lessThan">
      <formula>30</formula>
    </cfRule>
  </conditionalFormatting>
  <conditionalFormatting sqref="Z1237:Z1258">
    <cfRule type="cellIs" dxfId="0" priority="848" operator="lessThan">
      <formula>30</formula>
    </cfRule>
  </conditionalFormatting>
  <conditionalFormatting sqref="Z1259:Z1267">
    <cfRule type="cellIs" dxfId="0" priority="807" operator="lessThan">
      <formula>30</formula>
    </cfRule>
  </conditionalFormatting>
  <conditionalFormatting sqref="Z1268:Z1283">
    <cfRule type="cellIs" dxfId="0" priority="806" operator="lessThan">
      <formula>30</formula>
    </cfRule>
  </conditionalFormatting>
  <conditionalFormatting sqref="Z1284:Z1299">
    <cfRule type="cellIs" dxfId="0" priority="805" operator="lessThan">
      <formula>30</formula>
    </cfRule>
  </conditionalFormatting>
  <conditionalFormatting sqref="Z1300:Z1315">
    <cfRule type="cellIs" dxfId="0" priority="804" operator="lessThan">
      <formula>30</formula>
    </cfRule>
  </conditionalFormatting>
  <conditionalFormatting sqref="Z1316:Z1331">
    <cfRule type="cellIs" dxfId="0" priority="803" operator="lessThan">
      <formula>30</formula>
    </cfRule>
  </conditionalFormatting>
  <conditionalFormatting sqref="Z1332:Z1347">
    <cfRule type="cellIs" dxfId="0" priority="802" operator="lessThan">
      <formula>30</formula>
    </cfRule>
  </conditionalFormatting>
  <conditionalFormatting sqref="Z1348:Z1363">
    <cfRule type="cellIs" dxfId="0" priority="801" operator="lessThan">
      <formula>30</formula>
    </cfRule>
  </conditionalFormatting>
  <conditionalFormatting sqref="Z1364:Z1379">
    <cfRule type="cellIs" dxfId="0" priority="800" operator="lessThan">
      <formula>30</formula>
    </cfRule>
  </conditionalFormatting>
  <conditionalFormatting sqref="Z1380:Z1395">
    <cfRule type="cellIs" dxfId="0" priority="799" operator="lessThan">
      <formula>30</formula>
    </cfRule>
  </conditionalFormatting>
  <conditionalFormatting sqref="Z1396:Z1411">
    <cfRule type="cellIs" dxfId="0" priority="798" operator="lessThan">
      <formula>30</formula>
    </cfRule>
  </conditionalFormatting>
  <conditionalFormatting sqref="Z1412:Z1427">
    <cfRule type="cellIs" dxfId="0" priority="797" operator="lessThan">
      <formula>30</formula>
    </cfRule>
  </conditionalFormatting>
  <conditionalFormatting sqref="Z1428:Z1443">
    <cfRule type="cellIs" dxfId="0" priority="796" operator="lessThan">
      <formula>30</formula>
    </cfRule>
  </conditionalFormatting>
  <conditionalFormatting sqref="Z1444:Z1459">
    <cfRule type="cellIs" dxfId="0" priority="795" operator="lessThan">
      <formula>30</formula>
    </cfRule>
  </conditionalFormatting>
  <conditionalFormatting sqref="Z1460:Z1475">
    <cfRule type="cellIs" dxfId="0" priority="794" operator="lessThan">
      <formula>30</formula>
    </cfRule>
  </conditionalFormatting>
  <conditionalFormatting sqref="Z1476:Z1491">
    <cfRule type="cellIs" dxfId="0" priority="793" operator="lessThan">
      <formula>30</formula>
    </cfRule>
  </conditionalFormatting>
  <conditionalFormatting sqref="Z1492:Z1541">
    <cfRule type="cellIs" dxfId="0" priority="792" operator="lessThan">
      <formula>30</formula>
    </cfRule>
  </conditionalFormatting>
  <conditionalFormatting sqref="Z1542:Z1549">
    <cfRule type="cellIs" dxfId="0" priority="467" operator="lessThan">
      <formula>30</formula>
    </cfRule>
  </conditionalFormatting>
  <conditionalFormatting sqref="Z1550:Z1557">
    <cfRule type="cellIs" dxfId="0" priority="466" operator="lessThan">
      <formula>30</formula>
    </cfRule>
  </conditionalFormatting>
  <conditionalFormatting sqref="Z1558:Z1565">
    <cfRule type="cellIs" dxfId="0" priority="465" operator="lessThan">
      <formula>30</formula>
    </cfRule>
  </conditionalFormatting>
  <conditionalFormatting sqref="Z1566:Z1573">
    <cfRule type="cellIs" dxfId="0" priority="464" operator="lessThan">
      <formula>30</formula>
    </cfRule>
  </conditionalFormatting>
  <conditionalFormatting sqref="Z1574:Z1578">
    <cfRule type="cellIs" dxfId="0" priority="463" operator="lessThan">
      <formula>30</formula>
    </cfRule>
  </conditionalFormatting>
  <conditionalFormatting sqref="Z1579:Z1583">
    <cfRule type="cellIs" dxfId="0" priority="462" operator="lessThan">
      <formula>30</formula>
    </cfRule>
  </conditionalFormatting>
  <conditionalFormatting sqref="Z1584:Z1586">
    <cfRule type="cellIs" dxfId="0" priority="534" operator="lessThan">
      <formula>30</formula>
    </cfRule>
  </conditionalFormatting>
  <conditionalFormatting sqref="Z1587:Z1591">
    <cfRule type="cellIs" dxfId="0" priority="533" operator="lessThan">
      <formula>30</formula>
    </cfRule>
  </conditionalFormatting>
  <conditionalFormatting sqref="Z1592:Z1596">
    <cfRule type="cellIs" dxfId="0" priority="532" operator="lessThan">
      <formula>30</formula>
    </cfRule>
  </conditionalFormatting>
  <conditionalFormatting sqref="Z1597:Z1601">
    <cfRule type="cellIs" dxfId="0" priority="531" operator="lessThan">
      <formula>30</formula>
    </cfRule>
  </conditionalFormatting>
  <conditionalFormatting sqref="Z1602:Z1606">
    <cfRule type="cellIs" dxfId="0" priority="530" operator="lessThan">
      <formula>30</formula>
    </cfRule>
  </conditionalFormatting>
  <conditionalFormatting sqref="Z1607:Z1611">
    <cfRule type="cellIs" dxfId="0" priority="529" operator="lessThan">
      <formula>30</formula>
    </cfRule>
  </conditionalFormatting>
  <conditionalFormatting sqref="Z1612:Z1689">
    <cfRule type="cellIs" dxfId="0" priority="528" operator="lessThan">
      <formula>30</formula>
    </cfRule>
  </conditionalFormatting>
  <conditionalFormatting sqref="Z1711:Z1712">
    <cfRule type="cellIs" dxfId="0" priority="333" operator="lessThan">
      <formula>30</formula>
    </cfRule>
  </conditionalFormatting>
  <conditionalFormatting sqref="Z1713:Z1714">
    <cfRule type="cellIs" dxfId="0" priority="332" operator="lessThan">
      <formula>30</formula>
    </cfRule>
  </conditionalFormatting>
  <conditionalFormatting sqref="Z1715:Z1716">
    <cfRule type="cellIs" dxfId="0" priority="331" operator="lessThan">
      <formula>30</formula>
    </cfRule>
  </conditionalFormatting>
  <conditionalFormatting sqref="Z1717:Z1718">
    <cfRule type="cellIs" dxfId="0" priority="330" operator="lessThan">
      <formula>30</formula>
    </cfRule>
  </conditionalFormatting>
  <conditionalFormatting sqref="Z1719:Z1720">
    <cfRule type="cellIs" dxfId="0" priority="329" operator="lessThan">
      <formula>30</formula>
    </cfRule>
  </conditionalFormatting>
  <conditionalFormatting sqref="Z1721:Z1722">
    <cfRule type="cellIs" dxfId="0" priority="328" operator="lessThan">
      <formula>30</formula>
    </cfRule>
  </conditionalFormatting>
  <conditionalFormatting sqref="Z1723:Z1724">
    <cfRule type="cellIs" dxfId="0" priority="327" operator="lessThan">
      <formula>30</formula>
    </cfRule>
  </conditionalFormatting>
  <conditionalFormatting sqref="Z1725:Z1726">
    <cfRule type="cellIs" dxfId="0" priority="326" operator="lessThan">
      <formula>30</formula>
    </cfRule>
  </conditionalFormatting>
  <conditionalFormatting sqref="Z1729:Z1730">
    <cfRule type="cellIs" dxfId="0" priority="323" operator="lessThan">
      <formula>30</formula>
    </cfRule>
  </conditionalFormatting>
  <conditionalFormatting sqref="Z1731:Z1733">
    <cfRule type="cellIs" dxfId="0" priority="137" operator="lessThan">
      <formula>30</formula>
    </cfRule>
  </conditionalFormatting>
  <conditionalFormatting sqref="Z1734:Z1736">
    <cfRule type="cellIs" dxfId="0" priority="136" operator="lessThan">
      <formula>30</formula>
    </cfRule>
  </conditionalFormatting>
  <conditionalFormatting sqref="Z1737:Z1744">
    <cfRule type="cellIs" dxfId="0" priority="411" operator="lessThan">
      <formula>30</formula>
    </cfRule>
  </conditionalFormatting>
  <conditionalFormatting sqref="Z1746:Z1755">
    <cfRule type="cellIs" dxfId="0" priority="413" operator="lessThan">
      <formula>30</formula>
    </cfRule>
  </conditionalFormatting>
  <conditionalFormatting sqref="Z1756:Z1780">
    <cfRule type="cellIs" dxfId="0" priority="412" operator="lessThan">
      <formula>30</formula>
    </cfRule>
  </conditionalFormatting>
  <conditionalFormatting sqref="Z1783:Z1787">
    <cfRule type="cellIs" dxfId="0" priority="158" operator="lessThan">
      <formula>30</formula>
    </cfRule>
  </conditionalFormatting>
  <conditionalFormatting sqref="Z1788:Z1792">
    <cfRule type="cellIs" dxfId="0" priority="157" operator="lessThan">
      <formula>30</formula>
    </cfRule>
  </conditionalFormatting>
  <conditionalFormatting sqref="Z1793:Z1797">
    <cfRule type="cellIs" dxfId="0" priority="156" operator="lessThan">
      <formula>30</formula>
    </cfRule>
  </conditionalFormatting>
  <conditionalFormatting sqref="Z1798:Z1802">
    <cfRule type="cellIs" dxfId="0" priority="155" operator="lessThan">
      <formula>30</formula>
    </cfRule>
  </conditionalFormatting>
  <conditionalFormatting sqref="Z1803:Z1826">
    <cfRule type="cellIs" dxfId="0" priority="154" operator="lessThan">
      <formula>30</formula>
    </cfRule>
  </conditionalFormatting>
  <conditionalFormatting sqref="Z1838:Z1840">
    <cfRule type="cellIs" dxfId="0" priority="288" operator="lessThan">
      <formula>30</formula>
    </cfRule>
  </conditionalFormatting>
  <conditionalFormatting sqref="Z1841:Z1843">
    <cfRule type="cellIs" dxfId="0" priority="287" operator="lessThan">
      <formula>30</formula>
    </cfRule>
  </conditionalFormatting>
  <conditionalFormatting sqref="Z1844:Z1846">
    <cfRule type="cellIs" dxfId="0" priority="286" operator="lessThan">
      <formula>30</formula>
    </cfRule>
  </conditionalFormatting>
  <conditionalFormatting sqref="Z1847:Z1849">
    <cfRule type="cellIs" dxfId="0" priority="285" operator="lessThan">
      <formula>30</formula>
    </cfRule>
  </conditionalFormatting>
  <conditionalFormatting sqref="Z1850:Z1852">
    <cfRule type="cellIs" dxfId="0" priority="284" operator="lessThan">
      <formula>30</formula>
    </cfRule>
  </conditionalFormatting>
  <conditionalFormatting sqref="Z1853:Z1855">
    <cfRule type="cellIs" dxfId="0" priority="289" operator="lessThan">
      <formula>30</formula>
    </cfRule>
  </conditionalFormatting>
  <conditionalFormatting sqref="Z1856:Z1858">
    <cfRule type="cellIs" dxfId="0" priority="283" operator="lessThan">
      <formula>30</formula>
    </cfRule>
  </conditionalFormatting>
  <conditionalFormatting sqref="Z1859:Z1861">
    <cfRule type="cellIs" dxfId="0" priority="282" operator="lessThan">
      <formula>30</formula>
    </cfRule>
  </conditionalFormatting>
  <conditionalFormatting sqref="Z1862:Z1864">
    <cfRule type="cellIs" dxfId="0" priority="281" operator="lessThan">
      <formula>30</formula>
    </cfRule>
  </conditionalFormatting>
  <conditionalFormatting sqref="Z1865:Z1867">
    <cfRule type="cellIs" dxfId="0" priority="280" operator="lessThan">
      <formula>30</formula>
    </cfRule>
  </conditionalFormatting>
  <conditionalFormatting sqref="Z1868:Z1870">
    <cfRule type="cellIs" dxfId="0" priority="279" operator="lessThan">
      <formula>30</formula>
    </cfRule>
  </conditionalFormatting>
  <conditionalFormatting sqref="Z1871:Z1873">
    <cfRule type="cellIs" dxfId="0" priority="278" operator="lessThan">
      <formula>30</formula>
    </cfRule>
  </conditionalFormatting>
  <conditionalFormatting sqref="Z1874:Z1876">
    <cfRule type="cellIs" dxfId="0" priority="277" operator="lessThan">
      <formula>30</formula>
    </cfRule>
  </conditionalFormatting>
  <conditionalFormatting sqref="Z1877:Z1879">
    <cfRule type="cellIs" dxfId="0" priority="276" operator="lessThan">
      <formula>30</formula>
    </cfRule>
  </conditionalFormatting>
  <conditionalFormatting sqref="Z1880:Z1882">
    <cfRule type="cellIs" dxfId="0" priority="275" operator="lessThan">
      <formula>30</formula>
    </cfRule>
  </conditionalFormatting>
  <conditionalFormatting sqref="Z1883:Z1885">
    <cfRule type="cellIs" dxfId="0" priority="274" operator="lessThan">
      <formula>30</formula>
    </cfRule>
  </conditionalFormatting>
  <conditionalFormatting sqref="Z1886:Z1888">
    <cfRule type="cellIs" dxfId="0" priority="273" operator="lessThan">
      <formula>30</formula>
    </cfRule>
  </conditionalFormatting>
  <conditionalFormatting sqref="Z1889:Z1891">
    <cfRule type="cellIs" dxfId="0" priority="272" operator="lessThan">
      <formula>30</formula>
    </cfRule>
  </conditionalFormatting>
  <conditionalFormatting sqref="Z1892:Z1894">
    <cfRule type="cellIs" dxfId="0" priority="271" operator="lessThan">
      <formula>30</formula>
    </cfRule>
  </conditionalFormatting>
  <conditionalFormatting sqref="Z1895:Z1897">
    <cfRule type="cellIs" dxfId="0" priority="270" operator="lessThan">
      <formula>30</formula>
    </cfRule>
  </conditionalFormatting>
  <conditionalFormatting sqref="Z1898:Z1900">
    <cfRule type="cellIs" dxfId="0" priority="269" operator="lessThan">
      <formula>30</formula>
    </cfRule>
  </conditionalFormatting>
  <conditionalFormatting sqref="Z1901:Z1903">
    <cfRule type="cellIs" dxfId="0" priority="268" operator="lessThan">
      <formula>30</formula>
    </cfRule>
  </conditionalFormatting>
  <conditionalFormatting sqref="AA236:AA254">
    <cfRule type="cellIs" dxfId="0" priority="1376" operator="lessThan">
      <formula>30</formula>
    </cfRule>
  </conditionalFormatting>
  <conditionalFormatting sqref="AM3:AM8">
    <cfRule type="cellIs" dxfId="0" priority="2537" operator="lessThan">
      <formula>30</formula>
    </cfRule>
  </conditionalFormatting>
  <conditionalFormatting sqref="AM9:AM16">
    <cfRule type="cellIs" dxfId="0" priority="847" operator="lessThan">
      <formula>30</formula>
    </cfRule>
  </conditionalFormatting>
  <conditionalFormatting sqref="AM17:AM25">
    <cfRule type="cellIs" dxfId="0" priority="846" operator="lessThan">
      <formula>30</formula>
    </cfRule>
  </conditionalFormatting>
  <conditionalFormatting sqref="AM26:AM36">
    <cfRule type="cellIs" dxfId="0" priority="858" operator="lessThan">
      <formula>30</formula>
    </cfRule>
  </conditionalFormatting>
  <conditionalFormatting sqref="AM37:AM56">
    <cfRule type="cellIs" dxfId="0" priority="857" operator="lessThan">
      <formula>30</formula>
    </cfRule>
  </conditionalFormatting>
  <conditionalFormatting sqref="AM57:AM64">
    <cfRule type="cellIs" dxfId="0" priority="617" operator="lessThan">
      <formula>30</formula>
    </cfRule>
  </conditionalFormatting>
  <conditionalFormatting sqref="AM65:AM69">
    <cfRule type="cellIs" dxfId="0" priority="833" operator="lessThan">
      <formula>30</formula>
    </cfRule>
  </conditionalFormatting>
  <conditionalFormatting sqref="AM70:AM74">
    <cfRule type="cellIs" dxfId="0" priority="832" operator="lessThan">
      <formula>30</formula>
    </cfRule>
  </conditionalFormatting>
  <conditionalFormatting sqref="AM75:AM80">
    <cfRule type="cellIs" dxfId="0" priority="831" operator="lessThan">
      <formula>30</formula>
    </cfRule>
  </conditionalFormatting>
  <conditionalFormatting sqref="AM81:AM85">
    <cfRule type="cellIs" dxfId="0" priority="830" operator="lessThan">
      <formula>30</formula>
    </cfRule>
  </conditionalFormatting>
  <conditionalFormatting sqref="AM86:AM91">
    <cfRule type="cellIs" dxfId="0" priority="845" operator="lessThan">
      <formula>30</formula>
    </cfRule>
  </conditionalFormatting>
  <conditionalFormatting sqref="AM92:AM94">
    <cfRule type="cellIs" dxfId="0" priority="842" operator="lessThan">
      <formula>30</formula>
    </cfRule>
  </conditionalFormatting>
  <conditionalFormatting sqref="AM95:AM103">
    <cfRule type="cellIs" dxfId="0" priority="843" operator="lessThan">
      <formula>30</formula>
    </cfRule>
  </conditionalFormatting>
  <conditionalFormatting sqref="AM104:AM106">
    <cfRule type="cellIs" dxfId="0" priority="840" operator="lessThan">
      <formula>30</formula>
    </cfRule>
  </conditionalFormatting>
  <conditionalFormatting sqref="AM107:AM116">
    <cfRule type="cellIs" dxfId="0" priority="841" operator="lessThan">
      <formula>30</formula>
    </cfRule>
  </conditionalFormatting>
  <conditionalFormatting sqref="AM118:AM134">
    <cfRule type="cellIs" dxfId="0" priority="809" operator="lessThan">
      <formula>30</formula>
    </cfRule>
  </conditionalFormatting>
  <conditionalFormatting sqref="AM136:AM150">
    <cfRule type="cellIs" dxfId="0" priority="837" operator="lessThan">
      <formula>30</formula>
    </cfRule>
  </conditionalFormatting>
  <conditionalFormatting sqref="AM151:AM157">
    <cfRule type="cellIs" dxfId="0" priority="834" operator="lessThan">
      <formula>30</formula>
    </cfRule>
  </conditionalFormatting>
  <conditionalFormatting sqref="AM158:AM184">
    <cfRule type="cellIs" dxfId="0" priority="835" operator="lessThan">
      <formula>30</formula>
    </cfRule>
  </conditionalFormatting>
  <conditionalFormatting sqref="AM185:AM199">
    <cfRule type="cellIs" dxfId="0" priority="813" operator="lessThan">
      <formula>30</formula>
    </cfRule>
  </conditionalFormatting>
  <conditionalFormatting sqref="AM200:AM211">
    <cfRule type="cellIs" dxfId="0" priority="812" operator="lessThan">
      <formula>30</formula>
    </cfRule>
  </conditionalFormatting>
  <conditionalFormatting sqref="AM212:AM218">
    <cfRule type="cellIs" dxfId="0" priority="829" operator="lessThan">
      <formula>30</formula>
    </cfRule>
  </conditionalFormatting>
  <conditionalFormatting sqref="AM219:AM259">
    <cfRule type="cellIs" dxfId="0" priority="828" operator="lessThan">
      <formula>30</formula>
    </cfRule>
  </conditionalFormatting>
  <conditionalFormatting sqref="AM260:AM262">
    <cfRule type="cellIs" dxfId="0" priority="791" operator="lessThan">
      <formula>30</formula>
    </cfRule>
  </conditionalFormatting>
  <conditionalFormatting sqref="AM263:AM265">
    <cfRule type="cellIs" dxfId="0" priority="811" operator="lessThan">
      <formula>30</formula>
    </cfRule>
  </conditionalFormatting>
  <conditionalFormatting sqref="AM266:AM269">
    <cfRule type="cellIs" dxfId="0" priority="810" operator="lessThan">
      <formula>30</formula>
    </cfRule>
  </conditionalFormatting>
  <conditionalFormatting sqref="AM270:AM280">
    <cfRule type="cellIs" dxfId="0" priority="839" operator="lessThan">
      <formula>30</formula>
    </cfRule>
  </conditionalFormatting>
  <conditionalFormatting sqref="AM281:AM294">
    <cfRule type="cellIs" dxfId="0" priority="838" operator="lessThan">
      <formula>30</formula>
    </cfRule>
  </conditionalFormatting>
  <conditionalFormatting sqref="AM297:AM307">
    <cfRule type="cellIs" dxfId="0" priority="821" operator="lessThan">
      <formula>30</formula>
    </cfRule>
  </conditionalFormatting>
  <conditionalFormatting sqref="AM308:AM310">
    <cfRule type="cellIs" dxfId="0" priority="827" operator="lessThan">
      <formula>30</formula>
    </cfRule>
  </conditionalFormatting>
  <conditionalFormatting sqref="AM311:AM321">
    <cfRule type="cellIs" dxfId="0" priority="826" operator="lessThan">
      <formula>30</formula>
    </cfRule>
  </conditionalFormatting>
  <conditionalFormatting sqref="AM322:AM332">
    <cfRule type="cellIs" dxfId="0" priority="825" operator="lessThan">
      <formula>30</formula>
    </cfRule>
  </conditionalFormatting>
  <conditionalFormatting sqref="AM344:AM390">
    <cfRule type="cellIs" dxfId="0" priority="822" operator="lessThan">
      <formula>30</formula>
    </cfRule>
  </conditionalFormatting>
  <conditionalFormatting sqref="AM391:AM392">
    <cfRule type="cellIs" dxfId="0" priority="620" operator="lessThan">
      <formula>30</formula>
    </cfRule>
  </conditionalFormatting>
  <conditionalFormatting sqref="AM393:AM396">
    <cfRule type="cellIs" dxfId="0" priority="619" operator="lessThan">
      <formula>30</formula>
    </cfRule>
  </conditionalFormatting>
  <conditionalFormatting sqref="AM398:AM404">
    <cfRule type="cellIs" dxfId="0" priority="786" operator="lessThan">
      <formula>30</formula>
    </cfRule>
  </conditionalFormatting>
  <conditionalFormatting sqref="AM405:AM406">
    <cfRule type="cellIs" dxfId="0" priority="788" operator="lessThan">
      <formula>30</formula>
    </cfRule>
  </conditionalFormatting>
  <conditionalFormatting sqref="AM407:AM411">
    <cfRule type="cellIs" dxfId="0" priority="784" operator="lessThan">
      <formula>30</formula>
    </cfRule>
  </conditionalFormatting>
  <conditionalFormatting sqref="AM412:AM418">
    <cfRule type="cellIs" dxfId="0" priority="783" operator="lessThan">
      <formula>30</formula>
    </cfRule>
  </conditionalFormatting>
  <conditionalFormatting sqref="AM438:AM498">
    <cfRule type="cellIs" dxfId="0" priority="763" operator="lessThan">
      <formula>30</formula>
    </cfRule>
  </conditionalFormatting>
  <conditionalFormatting sqref="AM532:AM543">
    <cfRule type="cellIs" dxfId="0" priority="629" operator="lessThan">
      <formula>30</formula>
    </cfRule>
  </conditionalFormatting>
  <conditionalFormatting sqref="AM544:AM556">
    <cfRule type="cellIs" dxfId="0" priority="656" operator="lessThan">
      <formula>30</formula>
    </cfRule>
  </conditionalFormatting>
  <conditionalFormatting sqref="AM572:AM577">
    <cfRule type="cellIs" dxfId="0" priority="758" operator="lessThan">
      <formula>30</formula>
    </cfRule>
  </conditionalFormatting>
  <conditionalFormatting sqref="AM584:AM590">
    <cfRule type="cellIs" dxfId="0" priority="751" operator="lessThan">
      <formula>30</formula>
    </cfRule>
  </conditionalFormatting>
  <conditionalFormatting sqref="AM592:AM654">
    <cfRule type="cellIs" dxfId="0" priority="749" operator="lessThan">
      <formula>30</formula>
    </cfRule>
  </conditionalFormatting>
  <conditionalFormatting sqref="AM659:AM662">
    <cfRule type="cellIs" dxfId="0" priority="628" operator="lessThan">
      <formula>30</formula>
    </cfRule>
  </conditionalFormatting>
  <conditionalFormatting sqref="AM663:AM668">
    <cfRule type="cellIs" dxfId="0" priority="627" operator="lessThan">
      <formula>30</formula>
    </cfRule>
  </conditionalFormatting>
  <conditionalFormatting sqref="AM669:AM674">
    <cfRule type="cellIs" dxfId="0" priority="626" operator="lessThan">
      <formula>30</formula>
    </cfRule>
  </conditionalFormatting>
  <conditionalFormatting sqref="AM675:AM680">
    <cfRule type="cellIs" dxfId="0" priority="625" operator="lessThan">
      <formula>30</formula>
    </cfRule>
  </conditionalFormatting>
  <conditionalFormatting sqref="AM685:AM686">
    <cfRule type="cellIs" dxfId="0" priority="648" operator="lessThan">
      <formula>30</formula>
    </cfRule>
  </conditionalFormatting>
  <conditionalFormatting sqref="AM687:AM688">
    <cfRule type="cellIs" dxfId="0" priority="649" operator="lessThan">
      <formula>30</formula>
    </cfRule>
  </conditionalFormatting>
  <conditionalFormatting sqref="AM697:AM700">
    <cfRule type="cellIs" dxfId="0" priority="638" operator="lessThan">
      <formula>30</formula>
    </cfRule>
  </conditionalFormatting>
  <conditionalFormatting sqref="AM742:AM745">
    <cfRule type="cellIs" dxfId="0" priority="607" operator="lessThan">
      <formula>30</formula>
    </cfRule>
  </conditionalFormatting>
  <conditionalFormatting sqref="AM746:AM749">
    <cfRule type="cellIs" dxfId="0" priority="606" operator="lessThan">
      <formula>30</formula>
    </cfRule>
  </conditionalFormatting>
  <conditionalFormatting sqref="AM750:AM753">
    <cfRule type="cellIs" dxfId="0" priority="605" operator="lessThan">
      <formula>30</formula>
    </cfRule>
  </conditionalFormatting>
  <conditionalFormatting sqref="AM754:AM757">
    <cfRule type="cellIs" dxfId="0" priority="604" operator="lessThan">
      <formula>30</formula>
    </cfRule>
  </conditionalFormatting>
  <conditionalFormatting sqref="AM758:AM761">
    <cfRule type="cellIs" dxfId="0" priority="603" operator="lessThan">
      <formula>30</formula>
    </cfRule>
  </conditionalFormatting>
  <conditionalFormatting sqref="AM762:AM765">
    <cfRule type="cellIs" dxfId="0" priority="602" operator="lessThan">
      <formula>30</formula>
    </cfRule>
  </conditionalFormatting>
  <conditionalFormatting sqref="AM766:AM769">
    <cfRule type="cellIs" dxfId="0" priority="601" operator="lessThan">
      <formula>30</formula>
    </cfRule>
  </conditionalFormatting>
  <conditionalFormatting sqref="AM778:AM783">
    <cfRule type="cellIs" dxfId="0" priority="600" operator="lessThan">
      <formula>30</formula>
    </cfRule>
  </conditionalFormatting>
  <conditionalFormatting sqref="AM784:AM789">
    <cfRule type="cellIs" dxfId="0" priority="599" operator="lessThan">
      <formula>30</formula>
    </cfRule>
  </conditionalFormatting>
  <conditionalFormatting sqref="AM790:AM795">
    <cfRule type="cellIs" dxfId="0" priority="598" operator="lessThan">
      <formula>30</formula>
    </cfRule>
  </conditionalFormatting>
  <conditionalFormatting sqref="AM796:AM801">
    <cfRule type="cellIs" dxfId="0" priority="597" operator="lessThan">
      <formula>30</formula>
    </cfRule>
  </conditionalFormatting>
  <conditionalFormatting sqref="AM802:AM830">
    <cfRule type="cellIs" dxfId="0" priority="596" operator="lessThan">
      <formula>30</formula>
    </cfRule>
  </conditionalFormatting>
  <conditionalFormatting sqref="AM895:AM900">
    <cfRule type="cellIs" dxfId="0" priority="535" operator="lessThan">
      <formula>30</formula>
    </cfRule>
  </conditionalFormatting>
  <conditionalFormatting sqref="AM1140:AM1142">
    <cfRule type="cellIs" dxfId="0" priority="197" operator="lessThan">
      <formula>30</formula>
    </cfRule>
  </conditionalFormatting>
  <conditionalFormatting sqref="AM1143:AM1145">
    <cfRule type="cellIs" dxfId="0" priority="196" operator="lessThan">
      <formula>30</formula>
    </cfRule>
  </conditionalFormatting>
  <conditionalFormatting sqref="AM1146:AM1148">
    <cfRule type="cellIs" dxfId="0" priority="195" operator="lessThan">
      <formula>30</formula>
    </cfRule>
  </conditionalFormatting>
  <conditionalFormatting sqref="AM1149:AM1151">
    <cfRule type="cellIs" dxfId="0" priority="194" operator="lessThan">
      <formula>30</formula>
    </cfRule>
  </conditionalFormatting>
  <conditionalFormatting sqref="AM1152:AM1154">
    <cfRule type="cellIs" dxfId="0" priority="193" operator="lessThan">
      <formula>30</formula>
    </cfRule>
  </conditionalFormatting>
  <conditionalFormatting sqref="AM1155:AM1157">
    <cfRule type="cellIs" dxfId="0" priority="192" operator="lessThan">
      <formula>30</formula>
    </cfRule>
  </conditionalFormatting>
  <conditionalFormatting sqref="AM1158:AM1160">
    <cfRule type="cellIs" dxfId="0" priority="191" operator="lessThan">
      <formula>30</formula>
    </cfRule>
  </conditionalFormatting>
  <conditionalFormatting sqref="AM1161:AM1163">
    <cfRule type="cellIs" dxfId="0" priority="190" operator="lessThan">
      <formula>30</formula>
    </cfRule>
  </conditionalFormatting>
  <conditionalFormatting sqref="AM1164:AM1166">
    <cfRule type="cellIs" dxfId="0" priority="189" operator="lessThan">
      <formula>30</formula>
    </cfRule>
  </conditionalFormatting>
  <conditionalFormatting sqref="AM1167:AM1169">
    <cfRule type="cellIs" dxfId="0" priority="188" operator="lessThan">
      <formula>30</formula>
    </cfRule>
  </conditionalFormatting>
  <conditionalFormatting sqref="AM1170:AM1172">
    <cfRule type="cellIs" dxfId="0" priority="187" operator="lessThan">
      <formula>30</formula>
    </cfRule>
  </conditionalFormatting>
  <conditionalFormatting sqref="AM1177:AM1178">
    <cfRule type="cellIs" dxfId="0" priority="311" operator="lessThan">
      <formula>30</formula>
    </cfRule>
  </conditionalFormatting>
  <conditionalFormatting sqref="AM1179:AM1180">
    <cfRule type="cellIs" dxfId="0" priority="310" operator="lessThan">
      <formula>30</formula>
    </cfRule>
  </conditionalFormatting>
  <conditionalFormatting sqref="AM1181:AM1182">
    <cfRule type="cellIs" dxfId="0" priority="309" operator="lessThan">
      <formula>30</formula>
    </cfRule>
  </conditionalFormatting>
  <conditionalFormatting sqref="AM1183:AM1184">
    <cfRule type="cellIs" dxfId="0" priority="308" operator="lessThan">
      <formula>30</formula>
    </cfRule>
  </conditionalFormatting>
  <conditionalFormatting sqref="AM1185:AM1186">
    <cfRule type="cellIs" dxfId="0" priority="307" operator="lessThan">
      <formula>30</formula>
    </cfRule>
  </conditionalFormatting>
  <conditionalFormatting sqref="AM1187:AM1188">
    <cfRule type="cellIs" dxfId="0" priority="306" operator="lessThan">
      <formula>30</formula>
    </cfRule>
  </conditionalFormatting>
  <conditionalFormatting sqref="AM1189:AM1190">
    <cfRule type="cellIs" dxfId="0" priority="305" operator="lessThan">
      <formula>30</formula>
    </cfRule>
  </conditionalFormatting>
  <conditionalFormatting sqref="AM1191:AM1192">
    <cfRule type="cellIs" dxfId="0" priority="304" operator="lessThan">
      <formula>30</formula>
    </cfRule>
  </conditionalFormatting>
  <conditionalFormatting sqref="AM1193:AM1194">
    <cfRule type="cellIs" dxfId="0" priority="303" operator="lessThan">
      <formula>30</formula>
    </cfRule>
  </conditionalFormatting>
  <conditionalFormatting sqref="AM1195:AM1196">
    <cfRule type="cellIs" dxfId="0" priority="302" operator="lessThan">
      <formula>30</formula>
    </cfRule>
  </conditionalFormatting>
  <conditionalFormatting sqref="AM1197:AM1198">
    <cfRule type="cellIs" dxfId="0" priority="301" operator="lessThan">
      <formula>30</formula>
    </cfRule>
  </conditionalFormatting>
  <conditionalFormatting sqref="AM1199:AM1200">
    <cfRule type="cellIs" dxfId="0" priority="300" operator="lessThan">
      <formula>30</formula>
    </cfRule>
  </conditionalFormatting>
  <conditionalFormatting sqref="AM1201:AM1202">
    <cfRule type="cellIs" dxfId="0" priority="299" operator="lessThan">
      <formula>30</formula>
    </cfRule>
  </conditionalFormatting>
  <conditionalFormatting sqref="AM1203:AM1204">
    <cfRule type="cellIs" dxfId="0" priority="298" operator="lessThan">
      <formula>30</formula>
    </cfRule>
  </conditionalFormatting>
  <conditionalFormatting sqref="AM1212:AM1215">
    <cfRule type="cellIs" dxfId="0" priority="58" operator="lessThan">
      <formula>30</formula>
    </cfRule>
  </conditionalFormatting>
  <conditionalFormatting sqref="AM1216:AM1219">
    <cfRule type="cellIs" dxfId="0" priority="57" operator="lessThan">
      <formula>30</formula>
    </cfRule>
  </conditionalFormatting>
  <conditionalFormatting sqref="AM1220:AM1223">
    <cfRule type="cellIs" dxfId="0" priority="56" operator="lessThan">
      <formula>30</formula>
    </cfRule>
  </conditionalFormatting>
  <conditionalFormatting sqref="AM1224:AM1227">
    <cfRule type="cellIs" dxfId="0" priority="55" operator="lessThan">
      <formula>30</formula>
    </cfRule>
  </conditionalFormatting>
  <conditionalFormatting sqref="AM1228:AM1231">
    <cfRule type="cellIs" dxfId="0" priority="54" operator="lessThan">
      <formula>30</formula>
    </cfRule>
  </conditionalFormatting>
  <conditionalFormatting sqref="AM1232:AM1235">
    <cfRule type="cellIs" dxfId="0" priority="53" operator="lessThan">
      <formula>30</formula>
    </cfRule>
  </conditionalFormatting>
  <conditionalFormatting sqref="AM1236:AM1239">
    <cfRule type="cellIs" dxfId="0" priority="52" operator="lessThan">
      <formula>30</formula>
    </cfRule>
  </conditionalFormatting>
  <conditionalFormatting sqref="AM1240:AM1243">
    <cfRule type="cellIs" dxfId="0" priority="51" operator="lessThan">
      <formula>30</formula>
    </cfRule>
  </conditionalFormatting>
  <conditionalFormatting sqref="AZ3:AZ4">
    <cfRule type="cellIs" dxfId="0" priority="2536" operator="lessThan">
      <formula>30</formula>
    </cfRule>
  </conditionalFormatting>
  <conditionalFormatting sqref="AZ6:AZ9">
    <cfRule type="cellIs" dxfId="0" priority="203" operator="lessThan">
      <formula>30</formula>
    </cfRule>
  </conditionalFormatting>
  <conditionalFormatting sqref="AZ12:AZ13">
    <cfRule type="cellIs" dxfId="0" priority="337" operator="lessThan">
      <formula>30</formula>
    </cfRule>
  </conditionalFormatting>
  <conditionalFormatting sqref="AZ14:AZ16">
    <cfRule type="cellIs" dxfId="0" priority="336" operator="lessThan">
      <formula>30</formula>
    </cfRule>
  </conditionalFormatting>
  <conditionalFormatting sqref="AZ17:AZ18">
    <cfRule type="cellIs" dxfId="0" priority="335" operator="lessThan">
      <formula>30</formula>
    </cfRule>
  </conditionalFormatting>
  <conditionalFormatting sqref="AZ19:AZ26">
    <cfRule type="cellIs" dxfId="0" priority="334" operator="lessThan">
      <formula>30</formula>
    </cfRule>
  </conditionalFormatting>
  <conditionalFormatting sqref="AZ27:AZ34">
    <cfRule type="cellIs" dxfId="0" priority="436" operator="lessThan">
      <formula>30</formula>
    </cfRule>
  </conditionalFormatting>
  <conditionalFormatting sqref="AZ35:AZ44">
    <cfRule type="cellIs" dxfId="0" priority="435" operator="lessThan">
      <formula>30</formula>
    </cfRule>
  </conditionalFormatting>
  <conditionalFormatting sqref="AZ45:AZ54">
    <cfRule type="cellIs" dxfId="0" priority="434" operator="lessThan">
      <formula>30</formula>
    </cfRule>
  </conditionalFormatting>
  <conditionalFormatting sqref="AZ76:AZ78">
    <cfRule type="cellIs" dxfId="0" priority="199" operator="lessThan">
      <formula>30</formula>
    </cfRule>
  </conditionalFormatting>
  <conditionalFormatting sqref="AZ80:AZ81">
    <cfRule type="cellIs" dxfId="0" priority="374" operator="lessThan">
      <formula>30</formula>
    </cfRule>
  </conditionalFormatting>
  <conditionalFormatting sqref="AZ82:AZ87">
    <cfRule type="cellIs" dxfId="0" priority="375" operator="lessThan">
      <formula>30</formula>
    </cfRule>
  </conditionalFormatting>
  <conditionalFormatting sqref="AZ88:AZ89">
    <cfRule type="cellIs" dxfId="0" priority="372" operator="lessThan">
      <formula>30</formula>
    </cfRule>
  </conditionalFormatting>
  <conditionalFormatting sqref="AZ90:AZ95">
    <cfRule type="cellIs" dxfId="0" priority="373" operator="lessThan">
      <formula>30</formula>
    </cfRule>
  </conditionalFormatting>
  <conditionalFormatting sqref="AZ96:AZ97">
    <cfRule type="cellIs" dxfId="0" priority="370" operator="lessThan">
      <formula>30</formula>
    </cfRule>
  </conditionalFormatting>
  <conditionalFormatting sqref="AZ98:AZ103">
    <cfRule type="cellIs" dxfId="0" priority="371" operator="lessThan">
      <formula>30</formula>
    </cfRule>
  </conditionalFormatting>
  <conditionalFormatting sqref="AZ110:AZ112">
    <cfRule type="cellIs" dxfId="0" priority="149" operator="lessThan">
      <formula>30</formula>
    </cfRule>
  </conditionalFormatting>
  <conditionalFormatting sqref="AZ114:AZ116">
    <cfRule type="cellIs" dxfId="0" priority="148" operator="lessThan">
      <formula>30</formula>
    </cfRule>
  </conditionalFormatting>
  <conditionalFormatting sqref="AZ117:AZ119">
    <cfRule type="cellIs" dxfId="0" priority="146" operator="lessThan">
      <formula>30</formula>
    </cfRule>
  </conditionalFormatting>
  <conditionalFormatting sqref="AZ121:AZ123">
    <cfRule type="cellIs" dxfId="0" priority="145" operator="lessThan">
      <formula>30</formula>
    </cfRule>
  </conditionalFormatting>
  <conditionalFormatting sqref="AZ124:AZ126">
    <cfRule type="cellIs" dxfId="0" priority="143" operator="lessThan">
      <formula>30</formula>
    </cfRule>
  </conditionalFormatting>
  <conditionalFormatting sqref="AZ128:AZ130">
    <cfRule type="cellIs" dxfId="0" priority="142" operator="lessThan">
      <formula>30</formula>
    </cfRule>
  </conditionalFormatting>
  <conditionalFormatting sqref="AZ131:AZ133">
    <cfRule type="cellIs" dxfId="0" priority="140" operator="lessThan">
      <formula>30</formula>
    </cfRule>
  </conditionalFormatting>
  <conditionalFormatting sqref="AZ135:AZ137">
    <cfRule type="cellIs" dxfId="0" priority="139" operator="lessThan">
      <formula>30</formula>
    </cfRule>
  </conditionalFormatting>
  <conditionalFormatting sqref="AZ139:AZ143">
    <cfRule type="cellIs" dxfId="0" priority="315" operator="lessThan">
      <formula>30</formula>
    </cfRule>
  </conditionalFormatting>
  <conditionalFormatting sqref="AZ144:AZ148">
    <cfRule type="cellIs" dxfId="0" priority="314" operator="lessThan">
      <formula>30</formula>
    </cfRule>
  </conditionalFormatting>
  <conditionalFormatting sqref="AZ149:AZ153">
    <cfRule type="cellIs" dxfId="0" priority="313" operator="lessThan">
      <formula>30</formula>
    </cfRule>
  </conditionalFormatting>
  <conditionalFormatting sqref="AZ154:AZ158">
    <cfRule type="cellIs" dxfId="0" priority="312" operator="lessThan">
      <formula>30</formula>
    </cfRule>
  </conditionalFormatting>
  <conditionalFormatting sqref="AZ164:AZ167">
    <cfRule type="cellIs" dxfId="0" priority="110" operator="lessThan">
      <formula>30</formula>
    </cfRule>
  </conditionalFormatting>
  <conditionalFormatting sqref="AZ168:AZ171">
    <cfRule type="cellIs" dxfId="0" priority="109" operator="lessThan">
      <formula>30</formula>
    </cfRule>
  </conditionalFormatting>
  <conditionalFormatting sqref="AZ172:AZ175">
    <cfRule type="cellIs" dxfId="0" priority="108" operator="lessThan">
      <formula>30</formula>
    </cfRule>
  </conditionalFormatting>
  <conditionalFormatting sqref="AZ176:AZ177">
    <cfRule type="cellIs" dxfId="0" priority="255" operator="lessThan">
      <formula>30</formula>
    </cfRule>
  </conditionalFormatting>
  <conditionalFormatting sqref="AZ178:AZ179">
    <cfRule type="cellIs" dxfId="0" priority="254" operator="lessThan">
      <formula>30</formula>
    </cfRule>
  </conditionalFormatting>
  <conditionalFormatting sqref="AZ180:AZ182">
    <cfRule type="cellIs" dxfId="0" priority="253" operator="lessThan">
      <formula>30</formula>
    </cfRule>
  </conditionalFormatting>
  <conditionalFormatting sqref="AZ183:AZ184">
    <cfRule type="cellIs" dxfId="0" priority="252" operator="lessThan">
      <formula>30</formula>
    </cfRule>
  </conditionalFormatting>
  <conditionalFormatting sqref="AZ185:AZ187">
    <cfRule type="cellIs" dxfId="0" priority="251" operator="lessThan">
      <formula>30</formula>
    </cfRule>
  </conditionalFormatting>
  <conditionalFormatting sqref="AZ188:AZ189">
    <cfRule type="cellIs" dxfId="0" priority="250" operator="lessThan">
      <formula>30</formula>
    </cfRule>
  </conditionalFormatting>
  <conditionalFormatting sqref="AZ190:AZ192">
    <cfRule type="cellIs" dxfId="0" priority="249" operator="lessThan">
      <formula>30</formula>
    </cfRule>
  </conditionalFormatting>
  <conditionalFormatting sqref="AZ193:AZ194">
    <cfRule type="cellIs" dxfId="0" priority="248" operator="lessThan">
      <formula>30</formula>
    </cfRule>
  </conditionalFormatting>
  <conditionalFormatting sqref="AZ195:AZ197">
    <cfRule type="cellIs" dxfId="0" priority="247" operator="lessThan">
      <formula>30</formula>
    </cfRule>
  </conditionalFormatting>
  <conditionalFormatting sqref="AZ198:AZ208">
    <cfRule type="cellIs" dxfId="0" priority="246" operator="lessThan">
      <formula>30</formula>
    </cfRule>
  </conditionalFormatting>
  <conditionalFormatting sqref="AZ212:AZ214">
    <cfRule type="cellIs" dxfId="0" priority="153" operator="lessThan">
      <formula>30</formula>
    </cfRule>
  </conditionalFormatting>
  <conditionalFormatting sqref="AZ216:AZ218">
    <cfRule type="cellIs" dxfId="0" priority="151" operator="lessThan">
      <formula>30</formula>
    </cfRule>
  </conditionalFormatting>
  <conditionalFormatting sqref="AZ220:AZ221">
    <cfRule type="cellIs" dxfId="0" priority="206" operator="lessThan">
      <formula>30</formula>
    </cfRule>
  </conditionalFormatting>
  <conditionalFormatting sqref="AZ222:AZ226">
    <cfRule type="cellIs" dxfId="0" priority="205" operator="lessThan">
      <formula>30</formula>
    </cfRule>
  </conditionalFormatting>
  <conditionalFormatting sqref="AZ227:AZ230">
    <cfRule type="cellIs" dxfId="0" priority="211" operator="lessThan">
      <formula>30</formula>
    </cfRule>
  </conditionalFormatting>
  <conditionalFormatting sqref="AZ231:AZ235">
    <cfRule type="cellIs" dxfId="0" priority="210" operator="lessThan">
      <formula>30</formula>
    </cfRule>
  </conditionalFormatting>
  <conditionalFormatting sqref="AZ236:AZ240">
    <cfRule type="cellIs" dxfId="0" priority="209" operator="lessThan">
      <formula>30</formula>
    </cfRule>
  </conditionalFormatting>
  <conditionalFormatting sqref="AZ241:AZ245">
    <cfRule type="cellIs" dxfId="0" priority="208" operator="lessThan">
      <formula>30</formula>
    </cfRule>
  </conditionalFormatting>
  <conditionalFormatting sqref="AZ246:AZ250">
    <cfRule type="cellIs" dxfId="0" priority="207" operator="lessThan">
      <formula>30</formula>
    </cfRule>
  </conditionalFormatting>
  <conditionalFormatting sqref="AZ251:AZ252">
    <cfRule type="cellIs" dxfId="0" priority="259" operator="lessThan">
      <formula>30</formula>
    </cfRule>
  </conditionalFormatting>
  <conditionalFormatting sqref="AZ253:AZ254">
    <cfRule type="cellIs" dxfId="0" priority="266" operator="lessThan">
      <formula>30</formula>
    </cfRule>
  </conditionalFormatting>
  <conditionalFormatting sqref="AZ255:AZ257">
    <cfRule type="cellIs" dxfId="0" priority="267" operator="lessThan">
      <formula>30</formula>
    </cfRule>
  </conditionalFormatting>
  <conditionalFormatting sqref="AZ258:AZ259">
    <cfRule type="cellIs" dxfId="0" priority="264" operator="lessThan">
      <formula>30</formula>
    </cfRule>
  </conditionalFormatting>
  <conditionalFormatting sqref="AZ260:AZ262">
    <cfRule type="cellIs" dxfId="0" priority="265" operator="lessThan">
      <formula>30</formula>
    </cfRule>
  </conditionalFormatting>
  <conditionalFormatting sqref="AZ263:AZ264">
    <cfRule type="cellIs" dxfId="0" priority="262" operator="lessThan">
      <formula>30</formula>
    </cfRule>
  </conditionalFormatting>
  <conditionalFormatting sqref="AZ265:AZ267">
    <cfRule type="cellIs" dxfId="0" priority="263" operator="lessThan">
      <formula>30</formula>
    </cfRule>
  </conditionalFormatting>
  <conditionalFormatting sqref="AZ268:AZ269">
    <cfRule type="cellIs" dxfId="0" priority="260" operator="lessThan">
      <formula>30</formula>
    </cfRule>
  </conditionalFormatting>
  <conditionalFormatting sqref="AZ270:AZ272">
    <cfRule type="cellIs" dxfId="0" priority="261" operator="lessThan">
      <formula>30</formula>
    </cfRule>
  </conditionalFormatting>
  <conditionalFormatting sqref="AZ273:AZ274">
    <cfRule type="cellIs" dxfId="0" priority="256" operator="lessThan">
      <formula>30</formula>
    </cfRule>
  </conditionalFormatting>
  <conditionalFormatting sqref="AZ275:AZ277">
    <cfRule type="cellIs" dxfId="0" priority="257" operator="lessThan">
      <formula>30</formula>
    </cfRule>
  </conditionalFormatting>
  <conditionalFormatting sqref="AZ279:AZ280">
    <cfRule type="cellIs" dxfId="0" priority="295" operator="lessThan">
      <formula>30</formula>
    </cfRule>
  </conditionalFormatting>
  <conditionalFormatting sqref="AZ281:AZ282">
    <cfRule type="cellIs" dxfId="0" priority="294" operator="lessThan">
      <formula>30</formula>
    </cfRule>
  </conditionalFormatting>
  <conditionalFormatting sqref="AZ283:AZ284">
    <cfRule type="cellIs" dxfId="0" priority="293" operator="lessThan">
      <formula>30</formula>
    </cfRule>
  </conditionalFormatting>
  <conditionalFormatting sqref="AZ285:AZ286">
    <cfRule type="cellIs" dxfId="0" priority="292" operator="lessThan">
      <formula>30</formula>
    </cfRule>
  </conditionalFormatting>
  <conditionalFormatting sqref="AZ287:AZ288">
    <cfRule type="cellIs" dxfId="0" priority="291" operator="lessThan">
      <formula>30</formula>
    </cfRule>
  </conditionalFormatting>
  <conditionalFormatting sqref="AZ289:AZ290">
    <cfRule type="cellIs" dxfId="0" priority="290" operator="lessThan">
      <formula>30</formula>
    </cfRule>
  </conditionalFormatting>
  <conditionalFormatting sqref="AZ291:AZ293">
    <cfRule type="cellIs" dxfId="0" priority="425" operator="lessThan">
      <formula>30</formula>
    </cfRule>
  </conditionalFormatting>
  <conditionalFormatting sqref="AZ294:AZ295">
    <cfRule type="cellIs" dxfId="0" priority="426" operator="lessThan">
      <formula>30</formula>
    </cfRule>
  </conditionalFormatting>
  <conditionalFormatting sqref="AZ297:AZ302">
    <cfRule type="cellIs" dxfId="0" priority="422" operator="lessThan">
      <formula>30</formula>
    </cfRule>
  </conditionalFormatting>
  <conditionalFormatting sqref="AZ303:AZ307">
    <cfRule type="cellIs" dxfId="0" priority="419" operator="lessThan">
      <formula>30</formula>
    </cfRule>
  </conditionalFormatting>
  <conditionalFormatting sqref="AZ309:AZ351">
    <cfRule type="cellIs" dxfId="0" priority="416" operator="lessThan">
      <formula>30</formula>
    </cfRule>
  </conditionalFormatting>
  <conditionalFormatting sqref="AZ352:AZ359">
    <cfRule type="cellIs" dxfId="0" priority="161" operator="lessThan">
      <formula>30</formula>
    </cfRule>
  </conditionalFormatting>
  <conditionalFormatting sqref="AZ360:AZ367">
    <cfRule type="cellIs" dxfId="0" priority="160" operator="lessThan">
      <formula>30</formula>
    </cfRule>
  </conditionalFormatting>
  <conditionalFormatting sqref="AZ368:AZ375">
    <cfRule type="cellIs" dxfId="0" priority="159" operator="lessThan">
      <formula>30</formula>
    </cfRule>
  </conditionalFormatting>
  <conditionalFormatting sqref="AZ394:AZ397">
    <cfRule type="cellIs" dxfId="0" priority="242" operator="lessThan">
      <formula>30</formula>
    </cfRule>
  </conditionalFormatting>
  <conditionalFormatting sqref="AZ399:AZ402">
    <cfRule type="cellIs" dxfId="0" priority="240" operator="lessThan">
      <formula>30</formula>
    </cfRule>
  </conditionalFormatting>
  <conditionalFormatting sqref="AZ404:AZ407">
    <cfRule type="cellIs" dxfId="0" priority="238" operator="lessThan">
      <formula>30</formula>
    </cfRule>
  </conditionalFormatting>
  <conditionalFormatting sqref="AZ409:AZ412">
    <cfRule type="cellIs" dxfId="0" priority="236" operator="lessThan">
      <formula>30</formula>
    </cfRule>
  </conditionalFormatting>
  <conditionalFormatting sqref="AZ414:AZ417">
    <cfRule type="cellIs" dxfId="0" priority="234" operator="lessThan">
      <formula>30</formula>
    </cfRule>
  </conditionalFormatting>
  <conditionalFormatting sqref="AZ419:AZ422">
    <cfRule type="cellIs" dxfId="0" priority="232" operator="lessThan">
      <formula>30</formula>
    </cfRule>
  </conditionalFormatting>
  <conditionalFormatting sqref="AZ424:AZ427">
    <cfRule type="cellIs" dxfId="0" priority="230" operator="lessThan">
      <formula>30</formula>
    </cfRule>
  </conditionalFormatting>
  <conditionalFormatting sqref="AZ429:AZ432">
    <cfRule type="cellIs" dxfId="0" priority="228" operator="lessThan">
      <formula>30</formula>
    </cfRule>
  </conditionalFormatting>
  <conditionalFormatting sqref="AZ434:AZ437">
    <cfRule type="cellIs" dxfId="0" priority="226" operator="lessThan">
      <formula>30</formula>
    </cfRule>
  </conditionalFormatting>
  <conditionalFormatting sqref="AZ439:AZ442">
    <cfRule type="cellIs" dxfId="0" priority="224" operator="lessThan">
      <formula>30</formula>
    </cfRule>
  </conditionalFormatting>
  <conditionalFormatting sqref="AZ444:AZ447">
    <cfRule type="cellIs" dxfId="0" priority="222" operator="lessThan">
      <formula>30</formula>
    </cfRule>
  </conditionalFormatting>
  <conditionalFormatting sqref="AZ449:AZ452">
    <cfRule type="cellIs" dxfId="0" priority="220" operator="lessThan">
      <formula>30</formula>
    </cfRule>
  </conditionalFormatting>
  <conditionalFormatting sqref="AZ454:AZ457">
    <cfRule type="cellIs" dxfId="0" priority="218" operator="lessThan">
      <formula>30</formula>
    </cfRule>
  </conditionalFormatting>
  <conditionalFormatting sqref="AZ459:AZ462">
    <cfRule type="cellIs" dxfId="0" priority="216" operator="lessThan">
      <formula>30</formula>
    </cfRule>
  </conditionalFormatting>
  <conditionalFormatting sqref="AZ464:AZ467">
    <cfRule type="cellIs" dxfId="0" priority="214" operator="lessThan">
      <formula>30</formula>
    </cfRule>
  </conditionalFormatting>
  <conditionalFormatting sqref="AZ469:AZ472">
    <cfRule type="cellIs" dxfId="0" priority="212" operator="lessThan">
      <formula>30</formula>
    </cfRule>
  </conditionalFormatting>
  <conditionalFormatting sqref="AZ535:AZ536">
    <cfRule type="cellIs" dxfId="0" priority="50" operator="lessThan">
      <formula>30</formula>
    </cfRule>
  </conditionalFormatting>
  <conditionalFormatting sqref="AZ537:AZ538">
    <cfRule type="cellIs" dxfId="0" priority="49" operator="lessThan">
      <formula>30</formula>
    </cfRule>
  </conditionalFormatting>
  <conditionalFormatting sqref="AZ539:AZ540">
    <cfRule type="cellIs" dxfId="0" priority="47" operator="lessThan">
      <formula>30</formula>
    </cfRule>
  </conditionalFormatting>
  <conditionalFormatting sqref="AZ541:AZ542">
    <cfRule type="cellIs" dxfId="0" priority="46" operator="lessThan">
      <formula>30</formula>
    </cfRule>
  </conditionalFormatting>
  <conditionalFormatting sqref="AZ543:AZ544">
    <cfRule type="cellIs" dxfId="0" priority="44" operator="lessThan">
      <formula>30</formula>
    </cfRule>
  </conditionalFormatting>
  <conditionalFormatting sqref="AZ547:AZ548">
    <cfRule type="cellIs" dxfId="0" priority="41" operator="lessThan">
      <formula>30</formula>
    </cfRule>
  </conditionalFormatting>
  <conditionalFormatting sqref="AZ549:AZ550">
    <cfRule type="cellIs" dxfId="0" priority="40" operator="lessThan">
      <formula>30</formula>
    </cfRule>
  </conditionalFormatting>
  <conditionalFormatting sqref="AZ551:AZ552">
    <cfRule type="cellIs" dxfId="0" priority="39" operator="lessThan">
      <formula>30</formula>
    </cfRule>
  </conditionalFormatting>
  <conditionalFormatting sqref="AZ553:AZ554">
    <cfRule type="cellIs" dxfId="0" priority="38" operator="lessThan">
      <formula>30</formula>
    </cfRule>
  </conditionalFormatting>
  <conditionalFormatting sqref="AZ555:AZ556">
    <cfRule type="cellIs" dxfId="0" priority="37" operator="lessThan">
      <formula>30</formula>
    </cfRule>
  </conditionalFormatting>
  <conditionalFormatting sqref="AZ557:AZ558">
    <cfRule type="cellIs" dxfId="0" priority="36" operator="lessThan">
      <formula>30</formula>
    </cfRule>
  </conditionalFormatting>
  <conditionalFormatting sqref="AZ559:AZ560">
    <cfRule type="cellIs" dxfId="0" priority="35" operator="lessThan">
      <formula>30</formula>
    </cfRule>
  </conditionalFormatting>
  <conditionalFormatting sqref="AZ592:AZ597">
    <cfRule type="cellIs" dxfId="0" priority="30" operator="lessThan">
      <formula>30</formula>
    </cfRule>
  </conditionalFormatting>
  <conditionalFormatting sqref="AZ598:AZ603">
    <cfRule type="cellIs" dxfId="0" priority="29" operator="lessThan">
      <formula>30</formula>
    </cfRule>
  </conditionalFormatting>
  <conditionalFormatting sqref="AZ605:AZ610">
    <cfRule type="cellIs" dxfId="0" priority="33" operator="lessThan">
      <formula>30</formula>
    </cfRule>
  </conditionalFormatting>
  <conditionalFormatting sqref="AZ611:AZ616">
    <cfRule type="cellIs" dxfId="0" priority="32" operator="lessThan">
      <formula>30</formula>
    </cfRule>
  </conditionalFormatting>
  <conditionalFormatting sqref="AZ617:AZ622">
    <cfRule type="cellIs" dxfId="0" priority="31" operator="lessThan">
      <formula>30</formula>
    </cfRule>
  </conditionalFormatting>
  <conditionalFormatting sqref="AZ627:AZ632">
    <cfRule type="cellIs" dxfId="0" priority="28" operator="lessThan">
      <formula>30</formula>
    </cfRule>
  </conditionalFormatting>
  <conditionalFormatting sqref="AZ633:AZ638">
    <cfRule type="cellIs" dxfId="0" priority="27" operator="lessThan">
      <formula>30</formula>
    </cfRule>
  </conditionalFormatting>
  <conditionalFormatting sqref="AZ639:AZ644">
    <cfRule type="cellIs" dxfId="0" priority="26" operator="lessThan">
      <formula>30</formula>
    </cfRule>
  </conditionalFormatting>
  <conditionalFormatting sqref="AZ645:AZ650">
    <cfRule type="cellIs" dxfId="0" priority="25" operator="lessThan">
      <formula>30</formula>
    </cfRule>
  </conditionalFormatting>
  <conditionalFormatting sqref="AZ75 AZ104:AZ109 AZ159:AZ163 AZ209:AZ211 AZ376:AZ392 AZ473:AZ508 AZ517 AZ534 AZ561:AZ566 AZ623:AZ626 AZ651:AZ711 AZ736:AZ2430">
    <cfRule type="cellIs" dxfId="0" priority="2553" operator="lessThan">
      <formula>30</formula>
    </cfRule>
  </conditionalFormatting>
  <conditionalFormatting sqref="AM295:AM296 AM655 AM709:AM711 AM770:AM777 AM831:AM832 AM857:AM863 AM931:AM960 AM996:AM998 AM1024:AM1031 AM1057:AM1071 AM1097:AM1107 AM1173:AM1176 AM1205:AM1211 AM1244:AM2430">
    <cfRule type="cellIs" dxfId="0" priority="2561" operator="lessThan">
      <formula>30</formula>
    </cfRule>
  </conditionalFormatting>
  <conditionalFormatting sqref="AM333:AM334 AM336:AM343">
    <cfRule type="cellIs" dxfId="0" priority="823" operator="lessThan">
      <formula>30</formula>
    </cfRule>
  </conditionalFormatting>
  <conditionalFormatting sqref="Z689:Z690 Z777 Z1028 Z1069 Z405:Z407">
    <cfRule type="cellIs" dxfId="0" priority="2568" operator="lessThan">
      <formula>30</formula>
    </cfRule>
  </conditionalFormatting>
  <conditionalFormatting sqref="Z1690:Z1710 Z1781:Z1782 Z1827:Z1837 Z1904:Z2430">
    <cfRule type="cellIs" dxfId="0" priority="3083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429" man="1"/>
    <brk id="25" max="242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5599</v>
      </c>
      <c r="B1" s="2"/>
      <c r="C1" s="3"/>
      <c r="D1" s="4" t="s">
        <v>5600</v>
      </c>
      <c r="E1" s="5"/>
      <c r="F1" s="6" t="s">
        <v>5601</v>
      </c>
      <c r="G1" s="6"/>
      <c r="H1" s="6"/>
      <c r="I1" s="35"/>
      <c r="J1" s="35"/>
      <c r="K1" s="35"/>
      <c r="L1" s="35"/>
      <c r="M1" s="3"/>
      <c r="N1" s="3"/>
      <c r="O1" s="36" t="s">
        <v>5602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5603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5604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5605</v>
      </c>
      <c r="D4" s="20"/>
      <c r="E4" s="21"/>
      <c r="F4" s="18" t="s">
        <v>5606</v>
      </c>
      <c r="G4" s="19" t="s">
        <v>5607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5608</v>
      </c>
      <c r="Q4" s="18" t="s">
        <v>5609</v>
      </c>
      <c r="R4" s="18" t="s">
        <v>10</v>
      </c>
      <c r="S4" s="18" t="s">
        <v>5610</v>
      </c>
    </row>
    <row r="5" spans="1:19">
      <c r="A5" s="22">
        <v>1</v>
      </c>
      <c r="B5" s="23" t="s">
        <v>38</v>
      </c>
      <c r="C5" s="24" t="s">
        <v>5611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5612</v>
      </c>
      <c r="Q5" s="52" t="s">
        <v>5613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5614</v>
      </c>
      <c r="C6" s="24" t="s">
        <v>5615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5616</v>
      </c>
      <c r="Q6" s="52" t="s">
        <v>5617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38</v>
      </c>
      <c r="C7" s="24" t="s">
        <v>5618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5616</v>
      </c>
      <c r="Q7" s="52" t="s">
        <v>5619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38</v>
      </c>
      <c r="C8" s="29" t="s">
        <v>5620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5616</v>
      </c>
      <c r="Q8" s="52" t="s">
        <v>5613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5616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5616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5616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5616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5616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2026-10-18T06:27:22Z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