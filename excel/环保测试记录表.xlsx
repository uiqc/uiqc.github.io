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总览表!$A$2:$AZ$1451</definedName>
    <definedName name="_xlnm.Print_Area" localSheetId="0">总览表!$A$1:$AZ$1936</definedName>
  </definedNames>
  <calcPr calcId="144525"/>
</workbook>
</file>

<file path=xl/sharedStrings.xml><?xml version="1.0" encoding="utf-8"?>
<sst xmlns="http://schemas.openxmlformats.org/spreadsheetml/2006/main" count="10440" uniqueCount="3389">
  <si>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</si>
  <si>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</si>
  <si>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</si>
  <si>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</si>
  <si>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</si>
  <si>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</si>
  <si>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</si>
  <si>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</si>
  <si>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</si>
  <si>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</si>
  <si>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</si>
  <si>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</si>
  <si>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</si>
  <si>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</si>
  <si>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</si>
  <si>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</si>
  <si>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</si>
  <si>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</si>
  <si>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</si>
  <si>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</si>
  <si>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</si>
  <si>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</si>
  <si>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</si>
  <si>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</si>
  <si>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</si>
  <si>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</si>
  <si>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</si>
  <si>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</si>
  <si>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</si>
  <si>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</si>
  <si>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</si>
  <si>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</si>
  <si>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</si>
  <si>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</si>
  <si>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</si>
  <si>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</si>
  <si>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</si>
  <si>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</si>
  <si>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</si>
  <si>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</si>
  <si>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</si>
  <si>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</si>
  <si>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</si>
  <si>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</si>
  <si>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</si>
  <si>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</si>
  <si>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</si>
  <si>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</si>
  <si>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</si>
  <si>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</si>
  <si>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</si>
  <si>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</si>
  <si>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</si>
  <si>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</si>
  <si>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</si>
  <si>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</si>
  <si>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</si>
  <si>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</si>
  <si>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</si>
  <si>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</si>
  <si>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</si>
  <si>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</si>
  <si>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</si>
  <si>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</si>
  <si>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</si>
  <si>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</si>
  <si>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</si>
  <si>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</si>
  <si>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</si>
  <si>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</si>
  <si>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</si>
  <si>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</si>
  <si>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</si>
  <si>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</si>
  <si>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</si>
  <si>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</si>
  <si>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</si>
  <si>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</si>
  <si>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</si>
  <si>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</si>
  <si>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</si>
  <si>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</si>
  <si>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</si>
  <si>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</si>
  <si>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</si>
  <si>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</si>
  <si>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</si>
  <si>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</si>
  <si>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</si>
  <si>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</si>
  <si>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</si>
  <si>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</si>
  <si>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</si>
  <si>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</si>
  <si>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</si>
  <si>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</si>
  <si>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</si>
  <si>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</si>
  <si>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</si>
  <si>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</si>
  <si>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</si>
  <si>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</si>
  <si>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</si>
  <si>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</si>
  <si>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</si>
  <si>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</si>
  <si>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</si>
  <si>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</si>
  <si>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</si>
  <si>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</si>
  <si>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</si>
  <si>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</si>
  <si>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</si>
  <si>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</si>
  <si>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</si>
  <si>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</si>
  <si>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</si>
  <si>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</si>
  <si>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</si>
  <si>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</si>
  <si>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</si>
  <si>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</si>
  <si>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</si>
  <si>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</si>
  <si>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</si>
  <si>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</si>
  <si>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</si>
  <si>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</si>
  <si>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</si>
  <si>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</si>
  <si>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</si>
  <si>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</si>
  <si>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</si>
  <si>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</si>
  <si>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</si>
  <si>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</si>
  <si>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</si>
  <si>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</si>
  <si>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</si>
  <si>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</si>
  <si>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</si>
  <si>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</si>
  <si>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</si>
  <si>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</si>
  <si>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</si>
  <si>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</si>
  <si>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</si>
  <si>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</si>
  <si>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</si>
  <si>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</si>
  <si>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</si>
  <si>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</si>
  <si>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</si>
  <si>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</si>
  <si>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</si>
  <si>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</si>
  <si>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</si>
  <si>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</si>
  <si>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</si>
  <si>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</si>
  <si>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</si>
  <si>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</si>
  <si>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</si>
  <si>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</si>
  <si>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</si>
  <si>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</si>
  <si>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</si>
  <si>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</si>
  <si>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</si>
  <si>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</si>
  <si>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</si>
  <si>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</si>
  <si>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</si>
  <si>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</si>
  <si>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</si>
  <si>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</si>
  <si>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</si>
  <si>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</si>
  <si>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</si>
  <si>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</si>
  <si>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</si>
  <si>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</si>
  <si>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</si>
  <si>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</si>
  <si>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</si>
  <si>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</si>
  <si>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</si>
  <si>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</si>
  <si>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</si>
  <si>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</si>
  <si>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</si>
  <si>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</si>
  <si>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</si>
  <si>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</si>
  <si>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</si>
  <si>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</si>
  <si>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</si>
  <si>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</si>
  <si>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</si>
  <si>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</si>
  <si>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</si>
  <si>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</si>
  <si>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</si>
  <si>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</si>
  <si>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</si>
  <si>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</si>
  <si>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</si>
  <si>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</si>
  <si>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</si>
  <si>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</si>
  <si>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</si>
  <si>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</si>
  <si>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</si>
  <si>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</si>
  <si>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</si>
  <si>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</si>
  <si>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</si>
  <si>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</si>
  <si>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</si>
  <si>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</si>
  <si>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</si>
  <si>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</si>
  <si>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</si>
  <si>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</si>
  <si>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</si>
  <si>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</si>
  <si>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</si>
  <si>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</si>
  <si>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</si>
  <si>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</si>
  <si>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</si>
  <si>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</si>
  <si>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</si>
  <si>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</si>
  <si>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</si>
  <si>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</si>
  <si>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</si>
  <si>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</si>
  <si>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</si>
  <si>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</si>
  <si>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</si>
  <si>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</si>
  <si>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</si>
  <si>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</si>
  <si>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</si>
  <si>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</si>
  <si>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</si>
  <si>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</si>
  <si>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</si>
  <si>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H20260417009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</si>
  <si>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</si>
  <si>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</si>
  <si>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</si>
  <si>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</si>
  <si>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</si>
  <si>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</si>
  <si>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</si>
  <si>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</si>
  <si>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</si>
  <si>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</si>
  <si>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</si>
  <si>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</si>
  <si>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</si>
  <si>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</si>
  <si>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</si>
  <si>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</si>
  <si>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</si>
  <si>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</si>
  <si>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</si>
  <si>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</si>
  <si>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</si>
  <si>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</si>
  <si>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</si>
  <si>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</si>
  <si>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H20260417002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</si>
  <si>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</si>
  <si>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</si>
  <si>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</si>
  <si>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</si>
  <si>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</si>
  <si>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</si>
  <si>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</si>
  <si>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</si>
  <si>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</si>
  <si>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</si>
  <si>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H20260416031-038</t>
  </si>
  <si>
    <t>吉达</t>
  </si>
  <si>
    <t>辅料</t>
  </si>
  <si>
    <t>703D7B900021R</t>
  </si>
  <si>
    <t>纸箱</t>
  </si>
  <si>
    <t>H20260107040</t>
  </si>
  <si>
    <t>H20260417030</t>
  </si>
  <si>
    <t>705C4D820011A</t>
  </si>
  <si>
    <t>隔板</t>
  </si>
  <si>
    <t>H20260107041</t>
  </si>
  <si>
    <t>705D6B820011R</t>
  </si>
  <si>
    <t>H20260107042</t>
  </si>
  <si>
    <t>H20260417031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</si>
  <si>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</si>
  <si>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</si>
  <si>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</si>
  <si>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</si>
  <si>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</si>
  <si>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</si>
  <si>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</si>
  <si>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</si>
  <si>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223070400011A</t>
  </si>
  <si>
    <t>H20260107045</t>
  </si>
  <si>
    <t>H20260424013</t>
  </si>
  <si>
    <t>2230700E0051A</t>
  </si>
  <si>
    <t>H20260107046</t>
  </si>
  <si>
    <t>H20260416013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</si>
  <si>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</si>
  <si>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</si>
  <si>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</si>
  <si>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</si>
  <si>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</si>
  <si>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</si>
  <si>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</si>
  <si>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</si>
  <si>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</si>
  <si>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</si>
  <si>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</si>
  <si>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</si>
  <si>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</si>
  <si>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</si>
  <si>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</si>
  <si>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</si>
  <si>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</si>
  <si>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</si>
  <si>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</si>
  <si>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</si>
  <si>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</si>
  <si>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</si>
  <si>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</si>
  <si>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</si>
  <si>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</si>
  <si>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</si>
  <si>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</si>
  <si>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</si>
  <si>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</si>
  <si>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</si>
  <si>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</si>
  <si>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</si>
  <si>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</si>
  <si>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</si>
  <si>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</si>
  <si>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H20260413027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</si>
  <si>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</si>
  <si>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</si>
  <si>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</si>
  <si>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</si>
  <si>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</si>
  <si>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</si>
  <si>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</si>
  <si>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H20260416001-002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</si>
  <si>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</si>
  <si>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</si>
  <si>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</si>
  <si>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</si>
  <si>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</si>
  <si>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</si>
  <si>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</si>
  <si>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</si>
  <si>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</si>
  <si>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</si>
  <si>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</si>
  <si>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</si>
  <si>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</si>
  <si>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</si>
  <si>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</si>
  <si>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</si>
  <si>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</si>
  <si>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</si>
  <si>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</si>
  <si>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</si>
  <si>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</si>
  <si>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</si>
  <si>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</si>
  <si>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</si>
  <si>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</si>
  <si>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H20260519011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</si>
  <si>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</si>
  <si>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</si>
  <si>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</si>
  <si>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</si>
  <si>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</si>
  <si>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</si>
  <si>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</si>
  <si>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</si>
  <si>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</si>
  <si>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</si>
  <si>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</si>
  <si>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</si>
  <si>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</si>
  <si>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</si>
  <si>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</si>
  <si>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</si>
  <si>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</si>
  <si>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</si>
  <si>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</si>
  <si>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</si>
  <si>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</si>
  <si>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</si>
  <si>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</si>
  <si>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</si>
  <si>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</si>
  <si>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</si>
  <si>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</si>
  <si>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</si>
  <si>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</si>
  <si>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</si>
  <si>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</si>
  <si>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</si>
  <si>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</si>
  <si>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</si>
  <si>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</si>
  <si>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</si>
  <si>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</si>
  <si>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</si>
  <si>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</si>
  <si>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</si>
  <si>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</si>
  <si>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</si>
  <si>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</si>
  <si>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</si>
  <si>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</si>
  <si>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</si>
  <si>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</si>
  <si>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</si>
  <si>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</si>
  <si>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</si>
  <si>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</si>
  <si>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</si>
  <si>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</si>
  <si>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</si>
  <si>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</si>
  <si>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</si>
  <si>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</si>
  <si>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</si>
  <si>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</si>
  <si>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</si>
  <si>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</si>
  <si>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</si>
  <si>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</si>
  <si>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</si>
  <si>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</si>
  <si>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</si>
  <si>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</si>
  <si>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</si>
  <si>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</si>
  <si>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</si>
  <si>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</si>
  <si>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</si>
  <si>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</si>
  <si>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</si>
  <si>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</si>
  <si>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</si>
  <si>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</si>
  <si>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</si>
  <si>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</si>
  <si>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</si>
  <si>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</si>
  <si>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</si>
  <si>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</si>
  <si>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</si>
  <si>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</si>
  <si>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</si>
  <si>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</si>
  <si>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</si>
  <si>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</si>
  <si>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</si>
  <si>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</si>
  <si>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</si>
  <si>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</si>
  <si>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</si>
  <si>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</si>
  <si>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</si>
  <si>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</si>
  <si>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</si>
  <si>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</si>
  <si>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</si>
  <si>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</si>
  <si>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</si>
  <si>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</si>
  <si>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</si>
  <si>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</si>
  <si>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</si>
  <si>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</si>
  <si>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</si>
  <si>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</si>
  <si>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</si>
  <si>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</si>
  <si>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</si>
  <si>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</si>
  <si>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</si>
  <si>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</si>
  <si>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</si>
  <si>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</si>
  <si>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</si>
  <si>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</si>
  <si>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</si>
  <si>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</si>
  <si>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</si>
  <si>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</si>
  <si>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</si>
  <si>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</si>
  <si>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</si>
  <si>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</si>
  <si>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</si>
  <si>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</si>
  <si>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</si>
  <si>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</si>
  <si>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</si>
  <si>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</si>
  <si>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</si>
  <si>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</si>
  <si>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</si>
  <si>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</si>
  <si>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</si>
  <si>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</si>
  <si>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</si>
  <si>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</si>
  <si>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</si>
  <si>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</si>
  <si>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</si>
  <si>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</si>
  <si>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</si>
  <si>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</si>
  <si>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</si>
  <si>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</si>
  <si>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</si>
  <si>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</si>
  <si>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</si>
  <si>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</si>
  <si>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</si>
  <si>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</si>
  <si>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</si>
  <si>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</si>
  <si>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</si>
  <si>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</si>
  <si>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</si>
  <si>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</si>
  <si>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</si>
  <si>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</si>
  <si>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</si>
  <si>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H20260514013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</si>
  <si>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</si>
  <si>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</si>
  <si>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</si>
  <si>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</si>
  <si>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</si>
  <si>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</si>
  <si>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</si>
  <si>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</si>
  <si>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</si>
  <si>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</si>
  <si>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</si>
  <si>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</si>
  <si>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</si>
  <si>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</si>
  <si>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</si>
  <si>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</si>
  <si>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</si>
  <si>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</si>
  <si>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</si>
  <si>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</si>
  <si>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</si>
  <si>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</si>
  <si>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</si>
  <si>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</si>
  <si>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</si>
  <si>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</si>
  <si>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</si>
  <si>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</si>
  <si>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</si>
  <si>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</si>
  <si>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</si>
  <si>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</si>
  <si>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</si>
  <si>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</si>
  <si>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</si>
  <si>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</si>
  <si>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</si>
  <si>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</si>
  <si>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</si>
  <si>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</si>
  <si>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</si>
  <si>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</si>
  <si>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</si>
  <si>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</si>
  <si>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</si>
  <si>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</si>
  <si>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</si>
  <si>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</si>
  <si>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</si>
  <si>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</si>
  <si>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</si>
  <si>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</si>
  <si>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</si>
  <si>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</si>
  <si>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</si>
  <si>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</si>
  <si>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</si>
  <si>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</si>
  <si>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</si>
  <si>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</si>
  <si>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</si>
  <si>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</si>
  <si>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</si>
  <si>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H20260424036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</si>
  <si>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</si>
  <si>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</si>
  <si>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</si>
  <si>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</si>
  <si>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</si>
  <si>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</si>
  <si>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</si>
  <si>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</si>
  <si>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</si>
  <si>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</si>
  <si>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</si>
  <si>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</si>
  <si>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H20260413017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</si>
  <si>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</si>
  <si>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</si>
  <si>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</si>
  <si>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</si>
  <si>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</si>
  <si>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</si>
  <si>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</si>
  <si>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</si>
  <si>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</si>
  <si>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</si>
  <si>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</si>
  <si>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</si>
  <si>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</si>
  <si>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</si>
  <si>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</si>
  <si>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</si>
  <si>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</si>
  <si>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</si>
  <si>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</si>
  <si>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</si>
  <si>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</si>
  <si>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</si>
  <si>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</si>
  <si>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</si>
  <si>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</si>
  <si>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</si>
  <si>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</si>
  <si>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</si>
  <si>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</si>
  <si>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</si>
  <si>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</si>
  <si>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</si>
  <si>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</si>
  <si>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</si>
  <si>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</si>
  <si>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</si>
  <si>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</si>
  <si>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</si>
  <si>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</si>
  <si>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</si>
  <si>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</si>
  <si>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</si>
  <si>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</si>
  <si>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</si>
  <si>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H20260420005-007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</si>
  <si>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</si>
  <si>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</si>
  <si>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</si>
  <si>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</si>
  <si>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</si>
  <si>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</si>
  <si>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</si>
  <si>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</si>
  <si>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</si>
  <si>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</si>
  <si>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</si>
  <si>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</si>
  <si>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</si>
  <si>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</si>
  <si>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</si>
  <si>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</si>
  <si>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</si>
  <si>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</si>
  <si>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</si>
  <si>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</si>
  <si>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</si>
  <si>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</si>
  <si>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</si>
  <si>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</si>
  <si>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</si>
  <si>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</si>
  <si>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</si>
  <si>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</si>
  <si>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</si>
  <si>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</si>
  <si>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</si>
  <si>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</si>
  <si>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</si>
  <si>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</si>
  <si>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</si>
  <si>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</si>
  <si>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</si>
  <si>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</si>
  <si>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</si>
  <si>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</si>
  <si>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</si>
  <si>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</si>
  <si>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</si>
  <si>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</si>
  <si>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</si>
  <si>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</si>
  <si>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</si>
  <si>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</si>
  <si>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</si>
  <si>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</si>
  <si>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</si>
  <si>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</si>
  <si>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</si>
  <si>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</si>
  <si>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</si>
  <si>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</si>
  <si>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</si>
  <si>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</si>
  <si>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</si>
  <si>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</si>
  <si>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</si>
  <si>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223020060151A</t>
  </si>
  <si>
    <t>H20260113003</t>
  </si>
  <si>
    <t>H20260507020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</si>
  <si>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</si>
  <si>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</si>
  <si>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</si>
  <si>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</si>
  <si>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</si>
  <si>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</si>
  <si>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</si>
  <si>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</si>
  <si>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</si>
  <si>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</si>
  <si>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</si>
  <si>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</si>
  <si>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</si>
  <si>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</si>
  <si>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</si>
  <si>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</si>
  <si>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</si>
  <si>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</si>
  <si>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</si>
  <si>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</si>
  <si>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</si>
  <si>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</si>
  <si>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</si>
  <si>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</si>
  <si>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</si>
  <si>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</si>
  <si>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</si>
  <si>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</si>
  <si>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</si>
  <si>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</si>
  <si>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</si>
  <si>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</si>
  <si>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223030270021A</t>
  </si>
  <si>
    <t>紫色二次锁扣</t>
  </si>
  <si>
    <t>H20260114053</t>
  </si>
  <si>
    <t>223190070011A</t>
  </si>
  <si>
    <t>H20260114054</t>
  </si>
  <si>
    <t>H20260424012</t>
  </si>
  <si>
    <t>223030270011A</t>
  </si>
  <si>
    <t>H20260114055</t>
  </si>
  <si>
    <t>H20260410003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</si>
  <si>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</si>
  <si>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</si>
  <si>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</si>
  <si>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</si>
  <si>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</si>
  <si>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</si>
  <si>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</si>
  <si>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</si>
  <si>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</si>
  <si>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</si>
  <si>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</si>
  <si>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</si>
  <si>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</si>
  <si>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</si>
  <si>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</si>
  <si>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</si>
  <si>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</si>
  <si>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</si>
  <si>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</si>
  <si>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</si>
  <si>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</si>
  <si>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</si>
  <si>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</si>
  <si>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</si>
  <si>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</si>
  <si>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</si>
  <si>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</si>
  <si>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</si>
  <si>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</si>
  <si>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</si>
  <si>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</si>
  <si>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</si>
  <si>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</si>
  <si>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</si>
  <si>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</si>
  <si>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</si>
  <si>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</si>
  <si>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</si>
  <si>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</si>
  <si>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</si>
  <si>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</si>
  <si>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</si>
  <si>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</si>
  <si>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</si>
  <si>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</si>
  <si>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</si>
  <si>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</si>
  <si>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</si>
  <si>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</si>
  <si>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</si>
  <si>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</si>
  <si>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</si>
  <si>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</si>
  <si>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</si>
  <si>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</si>
  <si>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</si>
  <si>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</si>
  <si>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</si>
  <si>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</si>
  <si>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</si>
  <si>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</si>
  <si>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</si>
  <si>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</si>
  <si>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</si>
  <si>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</si>
  <si>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</si>
  <si>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</si>
  <si>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</si>
  <si>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</si>
  <si>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</si>
  <si>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</si>
  <si>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</si>
  <si>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</si>
  <si>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</si>
  <si>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</si>
  <si>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</si>
  <si>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</si>
  <si>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</si>
  <si>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</si>
  <si>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</si>
  <si>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</si>
  <si>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</si>
  <si>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</si>
  <si>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</si>
  <si>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</si>
  <si>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</si>
  <si>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</si>
  <si>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</si>
  <si>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</si>
  <si>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</si>
  <si>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</si>
  <si>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</si>
  <si>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</si>
  <si>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</si>
  <si>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</si>
  <si>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</si>
  <si>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</si>
  <si>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H20260420002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</si>
  <si>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</si>
  <si>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</si>
  <si>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</si>
  <si>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</si>
  <si>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</si>
  <si>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</si>
  <si>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</si>
  <si>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223100000041A</t>
  </si>
  <si>
    <t>塑胶后盖</t>
  </si>
  <si>
    <t>H20260115029</t>
  </si>
  <si>
    <t>H20260414007</t>
  </si>
  <si>
    <t>224200000011A</t>
  </si>
  <si>
    <t>H20260115030</t>
  </si>
  <si>
    <t>H20260413024</t>
  </si>
  <si>
    <t>223030070061A</t>
  </si>
  <si>
    <t>H20260115031</t>
  </si>
  <si>
    <t>H20260413025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</si>
  <si>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</si>
  <si>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</si>
  <si>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</si>
  <si>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</si>
  <si>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</si>
  <si>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</si>
  <si>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</si>
  <si>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</si>
  <si>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</si>
  <si>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</si>
  <si>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</si>
  <si>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</si>
  <si>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</si>
  <si>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</si>
  <si>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</si>
  <si>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</si>
  <si>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</si>
  <si>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</si>
  <si>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</si>
  <si>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</si>
  <si>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</si>
  <si>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</si>
  <si>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</si>
  <si>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</si>
  <si>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</si>
  <si>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</si>
  <si>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</si>
  <si>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</si>
  <si>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</si>
  <si>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</si>
  <si>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</si>
  <si>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</si>
  <si>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</si>
  <si>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</si>
  <si>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</si>
  <si>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224540200061A</t>
  </si>
  <si>
    <t>H20260116008</t>
  </si>
  <si>
    <t>H20260413028</t>
  </si>
  <si>
    <t>223180000101A</t>
  </si>
  <si>
    <t>H20260116009</t>
  </si>
  <si>
    <t>H20260418007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</si>
  <si>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</si>
  <si>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</si>
  <si>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</si>
  <si>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</si>
  <si>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</si>
  <si>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</si>
  <si>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</si>
  <si>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</si>
  <si>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</si>
  <si>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</si>
  <si>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</si>
  <si>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</si>
  <si>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</si>
  <si>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</si>
  <si>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</si>
  <si>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</si>
  <si>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</si>
  <si>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</si>
  <si>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</si>
  <si>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</si>
  <si>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</si>
  <si>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</si>
  <si>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</si>
  <si>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</si>
  <si>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</si>
  <si>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</si>
  <si>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</si>
  <si>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</si>
  <si>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</si>
  <si>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</si>
  <si>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</si>
  <si>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</si>
  <si>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</si>
  <si>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</si>
  <si>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</si>
  <si>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</si>
  <si>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</si>
  <si>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</si>
  <si>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</si>
  <si>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</si>
  <si>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</si>
  <si>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</si>
  <si>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</si>
  <si>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223020060081A</t>
  </si>
  <si>
    <t>H20260117001</t>
  </si>
  <si>
    <t>宝嘉通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</si>
  <si>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</si>
  <si>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</si>
  <si>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</si>
  <si>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</si>
  <si>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</si>
  <si>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</si>
  <si>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</si>
  <si>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</si>
  <si>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</si>
  <si>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</si>
  <si>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</si>
  <si>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</si>
  <si>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</si>
  <si>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</si>
  <si>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</si>
  <si>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</si>
  <si>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</si>
  <si>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</si>
  <si>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</si>
  <si>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</si>
  <si>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</si>
  <si>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</si>
  <si>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</si>
  <si>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</si>
  <si>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</si>
  <si>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</si>
  <si>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H20260519009-010</t>
  </si>
  <si>
    <t>307150100011A</t>
  </si>
  <si>
    <t>H20260117016</t>
  </si>
  <si>
    <t>H20260413020</t>
  </si>
  <si>
    <t>307210100011A</t>
  </si>
  <si>
    <t>H20260117017</t>
  </si>
  <si>
    <t>H20260413030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</si>
  <si>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</si>
  <si>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</si>
  <si>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</si>
  <si>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</si>
  <si>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</si>
  <si>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</si>
  <si>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</si>
  <si>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224640100041A</t>
  </si>
  <si>
    <t>H20260119001</t>
  </si>
  <si>
    <t>H20260422063</t>
  </si>
  <si>
    <t>221079380011A</t>
  </si>
  <si>
    <t>H20260119002</t>
  </si>
  <si>
    <t>H20260410018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</si>
  <si>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</si>
  <si>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</si>
  <si>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</si>
  <si>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</si>
  <si>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</si>
  <si>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</si>
  <si>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</si>
  <si>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</si>
  <si>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</si>
  <si>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</si>
  <si>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</si>
  <si>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</si>
  <si>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</si>
  <si>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</si>
  <si>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</si>
  <si>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</si>
  <si>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</si>
  <si>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</si>
  <si>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</si>
  <si>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</si>
  <si>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</si>
  <si>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</si>
  <si>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</si>
  <si>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</si>
  <si>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</si>
  <si>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</si>
  <si>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</si>
  <si>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</si>
  <si>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</si>
  <si>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</si>
  <si>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</si>
  <si>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</si>
  <si>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</si>
  <si>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</si>
  <si>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</si>
  <si>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</si>
  <si>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</si>
  <si>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</si>
  <si>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</si>
  <si>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</si>
  <si>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</si>
  <si>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</si>
  <si>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</si>
  <si>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</si>
  <si>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</si>
  <si>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</si>
  <si>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</si>
  <si>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</si>
  <si>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</si>
  <si>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</si>
  <si>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</si>
  <si>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</si>
  <si>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</si>
  <si>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</si>
  <si>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</si>
  <si>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</si>
  <si>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</si>
  <si>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</si>
  <si>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</si>
  <si>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</si>
  <si>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</si>
  <si>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</si>
  <si>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</si>
  <si>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</si>
  <si>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</si>
  <si>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</si>
  <si>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</si>
  <si>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</si>
  <si>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</si>
  <si>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</si>
  <si>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</si>
  <si>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</si>
  <si>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</si>
  <si>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</si>
  <si>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</si>
  <si>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</si>
  <si>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</si>
  <si>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</si>
  <si>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</si>
  <si>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707806500021R</t>
  </si>
  <si>
    <t>H20260119048</t>
  </si>
  <si>
    <t>221072030021A</t>
  </si>
  <si>
    <t>H20260119049</t>
  </si>
  <si>
    <t>H20260417020</t>
  </si>
  <si>
    <t>301040090111A</t>
  </si>
  <si>
    <t>H20260119050</t>
  </si>
  <si>
    <t>H20260414009</t>
  </si>
  <si>
    <t>223180090201A</t>
  </si>
  <si>
    <t>H20260119051</t>
  </si>
  <si>
    <t>H20260411020</t>
  </si>
  <si>
    <t>306080000261H</t>
  </si>
  <si>
    <t>H20260119052</t>
  </si>
  <si>
    <t>H20260420004</t>
  </si>
  <si>
    <t>301150000021A</t>
  </si>
  <si>
    <t>H20260119053</t>
  </si>
  <si>
    <t>H20260422055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</si>
  <si>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</si>
  <si>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</si>
  <si>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</si>
  <si>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</si>
  <si>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</si>
  <si>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</si>
  <si>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</si>
  <si>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</si>
  <si>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</si>
  <si>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</si>
  <si>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</si>
  <si>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</si>
  <si>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</si>
  <si>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</si>
  <si>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</si>
  <si>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</si>
  <si>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</si>
  <si>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</si>
  <si>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</si>
  <si>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</si>
  <si>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</si>
  <si>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</si>
  <si>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221072200071A</t>
  </si>
  <si>
    <t>H20260120012</t>
  </si>
  <si>
    <t>H20260417016</t>
  </si>
  <si>
    <t>223080060041A</t>
  </si>
  <si>
    <t>H20260120013-014</t>
  </si>
  <si>
    <t>H20260507056-057</t>
  </si>
  <si>
    <t>224540200211A</t>
  </si>
  <si>
    <t>H20260120015</t>
  </si>
  <si>
    <t>H20260417017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</si>
  <si>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</si>
  <si>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</si>
  <si>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</si>
  <si>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</si>
  <si>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</si>
  <si>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</si>
  <si>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</si>
  <si>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</si>
  <si>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</si>
  <si>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</si>
  <si>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</si>
  <si>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</si>
  <si>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</si>
  <si>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</si>
  <si>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</si>
  <si>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</si>
  <si>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</si>
  <si>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</si>
  <si>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</si>
  <si>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</si>
  <si>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</si>
  <si>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</si>
  <si>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</si>
  <si>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</si>
  <si>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</si>
  <si>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</si>
  <si>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</si>
  <si>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</si>
  <si>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</si>
  <si>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</si>
  <si>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</si>
  <si>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</si>
  <si>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</si>
  <si>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</si>
  <si>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</si>
  <si>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</si>
  <si>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</si>
  <si>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</si>
  <si>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</si>
  <si>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</si>
  <si>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</si>
  <si>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</si>
  <si>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</si>
  <si>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</si>
  <si>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</si>
  <si>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</si>
  <si>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</si>
  <si>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</si>
  <si>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</si>
  <si>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</si>
  <si>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</si>
  <si>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</si>
  <si>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</si>
  <si>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</si>
  <si>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</si>
  <si>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</si>
  <si>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</si>
  <si>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</si>
  <si>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</si>
  <si>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</si>
  <si>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</si>
  <si>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</si>
  <si>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</si>
  <si>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</si>
  <si>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</si>
  <si>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</si>
  <si>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</si>
  <si>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</si>
  <si>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</si>
  <si>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</si>
  <si>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</si>
  <si>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</si>
  <si>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</si>
  <si>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</si>
  <si>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</si>
  <si>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</si>
  <si>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</si>
  <si>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</si>
  <si>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</si>
  <si>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</si>
  <si>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</si>
  <si>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</si>
  <si>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</si>
  <si>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</si>
  <si>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</si>
  <si>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</si>
  <si>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</si>
  <si>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</si>
  <si>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</si>
  <si>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</si>
  <si>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</si>
  <si>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</si>
  <si>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</si>
  <si>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</si>
  <si>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</si>
  <si>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</si>
  <si>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</si>
  <si>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</si>
  <si>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</si>
  <si>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</si>
  <si>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</si>
  <si>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</si>
  <si>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</si>
  <si>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</si>
  <si>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</si>
  <si>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</si>
  <si>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</si>
  <si>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</si>
  <si>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</si>
  <si>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</si>
  <si>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</si>
  <si>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</si>
  <si>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</si>
  <si>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</si>
  <si>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</si>
  <si>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</si>
  <si>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</si>
  <si>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</si>
  <si>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</si>
  <si>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</si>
  <si>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</si>
  <si>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</si>
  <si>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</si>
  <si>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</si>
  <si>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</si>
  <si>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</si>
  <si>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</si>
  <si>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</si>
  <si>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</si>
  <si>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</si>
  <si>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</si>
  <si>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</si>
  <si>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</si>
  <si>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</si>
  <si>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</si>
  <si>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</si>
  <si>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</si>
  <si>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</si>
  <si>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</si>
  <si>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</si>
  <si>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</si>
  <si>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</si>
  <si>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</si>
  <si>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H20260417006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</si>
  <si>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</si>
  <si>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</si>
  <si>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</si>
  <si>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</si>
  <si>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</si>
  <si>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</si>
  <si>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</si>
  <si>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</si>
  <si>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</si>
  <si>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</si>
  <si>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</si>
  <si>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</si>
  <si>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</si>
  <si>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</si>
  <si>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</si>
  <si>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</si>
  <si>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</si>
  <si>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</si>
  <si>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</si>
  <si>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</si>
  <si>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</si>
  <si>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</si>
  <si>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</si>
  <si>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</si>
  <si>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</si>
  <si>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</si>
  <si>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</si>
  <si>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</si>
  <si>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</si>
  <si>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</si>
  <si>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</si>
  <si>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</si>
  <si>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</si>
  <si>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</si>
  <si>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</si>
  <si>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</si>
  <si>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</si>
  <si>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</si>
  <si>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</si>
  <si>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</si>
  <si>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</si>
  <si>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</si>
  <si>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</si>
  <si>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</si>
  <si>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</si>
  <si>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</si>
  <si>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</si>
  <si>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</si>
  <si>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</si>
  <si>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</si>
  <si>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</si>
  <si>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</si>
  <si>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</si>
  <si>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</si>
  <si>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</si>
  <si>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</si>
  <si>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</si>
  <si>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</si>
  <si>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</si>
  <si>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</si>
  <si>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</si>
  <si>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</si>
  <si>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</si>
  <si>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</si>
  <si>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</si>
  <si>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</si>
  <si>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</si>
  <si>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</si>
  <si>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</si>
  <si>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</si>
  <si>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</si>
  <si>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</si>
  <si>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</si>
  <si>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</si>
  <si>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</si>
  <si>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</si>
  <si>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</si>
  <si>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</si>
  <si>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</si>
  <si>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H20260416011-012</t>
  </si>
  <si>
    <t>223020090161A</t>
  </si>
  <si>
    <t>H20260124008-009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</si>
  <si>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</si>
  <si>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</si>
  <si>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</si>
  <si>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</si>
  <si>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</si>
  <si>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</si>
  <si>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</si>
  <si>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</si>
  <si>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</si>
  <si>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</si>
  <si>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</si>
  <si>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</si>
  <si>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</si>
  <si>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</si>
  <si>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</si>
  <si>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</si>
  <si>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</si>
  <si>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</si>
  <si>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</si>
  <si>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</si>
  <si>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</si>
  <si>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</si>
  <si>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</si>
  <si>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</si>
  <si>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</si>
  <si>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</si>
  <si>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</si>
  <si>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</si>
  <si>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</si>
  <si>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</si>
  <si>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</si>
  <si>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</si>
  <si>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</si>
  <si>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</si>
  <si>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224042200011A</t>
  </si>
  <si>
    <t>H20260126006</t>
  </si>
  <si>
    <t>H20260417013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</si>
  <si>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</si>
  <si>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</si>
  <si>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</si>
  <si>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</si>
  <si>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</si>
  <si>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</si>
  <si>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</si>
  <si>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</si>
  <si>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</si>
  <si>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</si>
  <si>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</si>
  <si>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</si>
  <si>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</si>
  <si>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</si>
  <si>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</si>
  <si>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</si>
  <si>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</si>
  <si>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</si>
  <si>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</si>
  <si>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</si>
  <si>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</si>
  <si>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</si>
  <si>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</si>
  <si>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</si>
  <si>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</si>
  <si>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</si>
  <si>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</si>
  <si>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</si>
  <si>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</si>
  <si>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</si>
  <si>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</si>
  <si>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</si>
  <si>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</si>
  <si>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</si>
  <si>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</si>
  <si>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</si>
  <si>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</si>
  <si>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</si>
  <si>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</si>
  <si>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</si>
  <si>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</si>
  <si>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</si>
  <si>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</si>
  <si>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</si>
  <si>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</si>
  <si>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</si>
  <si>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</si>
  <si>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</si>
  <si>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</si>
  <si>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</si>
  <si>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</si>
  <si>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</si>
  <si>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</si>
  <si>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</si>
  <si>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</si>
  <si>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</si>
  <si>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</si>
  <si>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</si>
  <si>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</si>
  <si>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</si>
  <si>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</si>
  <si>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</si>
  <si>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</si>
  <si>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</si>
  <si>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</si>
  <si>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</si>
  <si>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</si>
  <si>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</si>
  <si>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</si>
  <si>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</si>
  <si>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</si>
  <si>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</si>
  <si>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</si>
  <si>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</si>
  <si>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</si>
  <si>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</si>
  <si>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</si>
  <si>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</si>
  <si>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</si>
  <si>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</si>
  <si>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</si>
  <si>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</si>
  <si>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</si>
  <si>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</si>
  <si>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</si>
  <si>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</si>
  <si>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</si>
  <si>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</si>
  <si>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</si>
  <si>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</si>
  <si>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</si>
  <si>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</si>
  <si>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</si>
  <si>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</si>
  <si>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</si>
  <si>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</si>
  <si>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</si>
  <si>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</si>
  <si>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</si>
  <si>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</si>
  <si>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</si>
  <si>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</si>
  <si>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</si>
  <si>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221072100061A</t>
  </si>
  <si>
    <t>H20260127004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</si>
  <si>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</si>
  <si>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</si>
  <si>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</si>
  <si>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</si>
  <si>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</si>
  <si>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</si>
  <si>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</si>
  <si>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</si>
  <si>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</si>
  <si>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</si>
  <si>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</si>
  <si>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</si>
  <si>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</si>
  <si>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</si>
  <si>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</si>
  <si>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</si>
  <si>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</si>
  <si>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</si>
  <si>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</si>
  <si>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</si>
  <si>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</si>
  <si>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</si>
  <si>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</si>
  <si>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</si>
  <si>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</si>
  <si>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</si>
  <si>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</si>
  <si>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</si>
  <si>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</si>
  <si>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</si>
  <si>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</si>
  <si>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</si>
  <si>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</si>
  <si>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</si>
  <si>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</si>
  <si>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</si>
  <si>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</si>
  <si>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</si>
  <si>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</si>
  <si>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</si>
  <si>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</si>
  <si>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</si>
  <si>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</si>
  <si>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</si>
  <si>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</si>
  <si>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</si>
  <si>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</si>
  <si>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</si>
  <si>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</si>
  <si>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</si>
  <si>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</si>
  <si>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</si>
  <si>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</si>
  <si>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</si>
  <si>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</si>
  <si>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</si>
  <si>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</si>
  <si>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</si>
  <si>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</si>
  <si>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</si>
  <si>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</si>
  <si>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</si>
  <si>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</si>
  <si>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</si>
  <si>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</si>
  <si>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</si>
  <si>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</si>
  <si>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</si>
  <si>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</si>
  <si>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</si>
  <si>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</si>
  <si>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</si>
  <si>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</si>
  <si>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</si>
  <si>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</si>
  <si>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</si>
  <si>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</si>
  <si>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</si>
  <si>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</si>
  <si>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</si>
  <si>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</si>
  <si>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</si>
  <si>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</si>
  <si>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</si>
  <si>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</si>
  <si>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</si>
  <si>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</si>
  <si>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</si>
  <si>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</si>
  <si>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</si>
  <si>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</si>
  <si>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</si>
  <si>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</si>
  <si>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</si>
  <si>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新衡焱（泰科）</t>
  </si>
  <si>
    <t>223020001101A</t>
  </si>
  <si>
    <t>H20260128099</t>
  </si>
  <si>
    <t>（泰科）</t>
  </si>
  <si>
    <t>H20260421001</t>
  </si>
  <si>
    <t>223080000331A</t>
  </si>
  <si>
    <t>H20260128100-101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</si>
  <si>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</si>
  <si>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</si>
  <si>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</si>
  <si>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</si>
  <si>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</si>
  <si>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</si>
  <si>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</si>
  <si>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</si>
  <si>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</si>
  <si>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</si>
  <si>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</si>
  <si>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</si>
  <si>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</si>
  <si>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</si>
  <si>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</si>
  <si>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</si>
  <si>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</si>
  <si>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</si>
  <si>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</si>
  <si>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</si>
  <si>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</si>
  <si>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</si>
  <si>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</si>
  <si>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</si>
  <si>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</si>
  <si>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</si>
  <si>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</si>
  <si>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</si>
  <si>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</si>
  <si>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</si>
  <si>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</si>
  <si>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</si>
  <si>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</si>
  <si>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</si>
  <si>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</si>
  <si>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</si>
  <si>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</si>
  <si>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</si>
  <si>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</si>
  <si>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</si>
  <si>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</si>
  <si>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</si>
  <si>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</si>
  <si>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</si>
  <si>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</si>
  <si>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</si>
  <si>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</si>
  <si>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</si>
  <si>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</si>
  <si>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</si>
  <si>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</si>
  <si>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</si>
  <si>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</si>
  <si>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</si>
  <si>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</si>
  <si>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</si>
  <si>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</si>
  <si>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</si>
  <si>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</si>
  <si>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</si>
  <si>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</si>
  <si>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</si>
  <si>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</si>
  <si>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</si>
  <si>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</si>
  <si>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</si>
  <si>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</si>
  <si>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</si>
  <si>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</si>
  <si>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</si>
  <si>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</si>
  <si>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</si>
  <si>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</si>
  <si>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</si>
  <si>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</si>
  <si>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</si>
  <si>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</si>
  <si>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</si>
  <si>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</si>
  <si>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</si>
  <si>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</si>
  <si>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</si>
  <si>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</si>
  <si>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</si>
  <si>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</si>
  <si>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</si>
  <si>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</si>
  <si>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</si>
  <si>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</si>
  <si>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</si>
  <si>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</si>
  <si>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</si>
  <si>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</si>
  <si>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</si>
  <si>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</si>
  <si>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</si>
  <si>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</si>
  <si>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</si>
  <si>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2231800Z0061A</t>
  </si>
  <si>
    <t>H20260130011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</si>
  <si>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</si>
  <si>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</si>
  <si>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</si>
  <si>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</si>
  <si>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</si>
  <si>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</si>
  <si>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</si>
  <si>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</si>
  <si>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</si>
  <si>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</si>
  <si>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</si>
  <si>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</si>
  <si>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</si>
  <si>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</si>
  <si>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</si>
  <si>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</si>
  <si>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</si>
  <si>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</si>
  <si>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</si>
  <si>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</si>
  <si>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</si>
  <si>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</si>
  <si>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</si>
  <si>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</si>
  <si>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</si>
  <si>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</si>
  <si>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</si>
  <si>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</si>
  <si>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旭柏智联（泰科）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</si>
  <si>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</si>
  <si>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</si>
  <si>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</si>
  <si>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</si>
  <si>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</si>
  <si>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</si>
  <si>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</si>
  <si>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</si>
  <si>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</si>
  <si>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</si>
  <si>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</si>
  <si>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</si>
  <si>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</si>
  <si>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</si>
  <si>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</si>
  <si>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</si>
  <si>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</si>
  <si>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</si>
  <si>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</si>
  <si>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</si>
  <si>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</si>
  <si>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</si>
  <si>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</si>
  <si>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</si>
  <si>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</si>
  <si>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</si>
  <si>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</si>
  <si>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</si>
  <si>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</si>
  <si>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</si>
  <si>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</si>
  <si>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</si>
  <si>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</si>
  <si>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</si>
  <si>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</si>
  <si>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</si>
  <si>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</si>
  <si>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</si>
  <si>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</si>
  <si>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</si>
  <si>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</si>
  <si>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</si>
  <si>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</si>
  <si>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</si>
  <si>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</si>
  <si>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</si>
  <si>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</si>
  <si>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</si>
  <si>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</si>
  <si>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</si>
  <si>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</si>
  <si>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</si>
  <si>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</si>
  <si>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H20260513056</t>
  </si>
  <si>
    <t>223180090141H</t>
  </si>
  <si>
    <t>H20260202010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</si>
  <si>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</si>
  <si>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</si>
  <si>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</si>
  <si>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</si>
  <si>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</si>
  <si>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</si>
  <si>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</si>
  <si>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</si>
  <si>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</si>
  <si>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</si>
  <si>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</si>
  <si>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</si>
  <si>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</si>
  <si>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</si>
  <si>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</si>
  <si>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</si>
  <si>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</si>
  <si>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</si>
  <si>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</si>
  <si>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</si>
  <si>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</si>
  <si>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</si>
  <si>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</si>
  <si>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</si>
  <si>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</si>
  <si>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</si>
  <si>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</si>
  <si>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</si>
  <si>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</si>
  <si>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</si>
  <si>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</si>
  <si>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</si>
  <si>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</si>
  <si>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</si>
  <si>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</si>
  <si>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</si>
  <si>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</si>
  <si>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</si>
  <si>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</si>
  <si>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</si>
  <si>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</si>
  <si>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</si>
  <si>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</si>
  <si>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</si>
  <si>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</si>
  <si>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</si>
  <si>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</si>
  <si>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</si>
  <si>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</si>
  <si>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</si>
  <si>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</si>
  <si>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</si>
  <si>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</si>
  <si>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</si>
  <si>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</si>
  <si>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</si>
  <si>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</si>
  <si>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</si>
  <si>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</si>
  <si>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</si>
  <si>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</si>
  <si>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</si>
  <si>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</si>
  <si>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</si>
  <si>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</si>
  <si>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</si>
  <si>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</si>
  <si>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</si>
  <si>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</si>
  <si>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</si>
  <si>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</si>
  <si>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</si>
  <si>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</si>
  <si>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</si>
  <si>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</si>
  <si>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</si>
  <si>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</si>
  <si>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</si>
  <si>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</si>
  <si>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</si>
  <si>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</si>
  <si>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</si>
  <si>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</si>
  <si>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</si>
  <si>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</si>
  <si>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</si>
  <si>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</si>
  <si>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</si>
  <si>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</si>
  <si>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</si>
  <si>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</si>
  <si>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</si>
  <si>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</si>
  <si>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</si>
  <si>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</si>
  <si>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</si>
  <si>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</si>
  <si>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</si>
  <si>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</si>
  <si>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</si>
  <si>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</si>
  <si>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</si>
  <si>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</si>
  <si>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</si>
  <si>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</si>
  <si>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</si>
  <si>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</si>
  <si>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</si>
  <si>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</si>
  <si>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</si>
  <si>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</si>
  <si>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</si>
  <si>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</si>
  <si>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</si>
  <si>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</si>
  <si>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</si>
  <si>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</si>
  <si>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</si>
  <si>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</si>
  <si>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</si>
  <si>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</si>
  <si>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</si>
  <si>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</si>
  <si>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</si>
  <si>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</si>
  <si>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</si>
  <si>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</si>
  <si>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</si>
  <si>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</si>
  <si>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</si>
  <si>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</si>
  <si>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</si>
  <si>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</si>
  <si>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</si>
  <si>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</si>
  <si>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</si>
  <si>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</si>
  <si>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</si>
  <si>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</si>
  <si>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</si>
  <si>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</si>
  <si>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</si>
  <si>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</si>
  <si>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</si>
  <si>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</si>
  <si>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</si>
  <si>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</si>
  <si>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</si>
  <si>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</si>
  <si>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</si>
  <si>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</si>
  <si>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</si>
  <si>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</si>
  <si>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</si>
  <si>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</si>
  <si>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</si>
  <si>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</si>
  <si>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</si>
  <si>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</si>
  <si>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</si>
  <si>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</si>
  <si>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</si>
  <si>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</si>
  <si>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</si>
  <si>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</si>
  <si>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</si>
  <si>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</si>
  <si>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</si>
  <si>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</si>
  <si>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</si>
  <si>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</si>
  <si>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</si>
  <si>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</si>
  <si>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</si>
  <si>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</si>
  <si>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</si>
  <si>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</si>
  <si>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</si>
  <si>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</si>
  <si>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</si>
  <si>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</si>
  <si>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</si>
  <si>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</si>
  <si>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</si>
  <si>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</si>
  <si>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</si>
  <si>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</si>
  <si>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</si>
  <si>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</si>
  <si>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</si>
  <si>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</si>
  <si>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</si>
  <si>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</si>
  <si>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</si>
  <si>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</si>
  <si>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</si>
  <si>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</si>
  <si>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</si>
  <si>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</si>
  <si>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</si>
  <si>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</si>
  <si>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</si>
  <si>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</si>
  <si>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</si>
  <si>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</si>
  <si>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</si>
  <si>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</si>
  <si>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</si>
  <si>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</si>
  <si>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</si>
  <si>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</si>
  <si>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</si>
  <si>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</si>
  <si>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</si>
  <si>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</si>
  <si>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</si>
  <si>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</si>
  <si>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</si>
  <si>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</si>
  <si>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</si>
  <si>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</si>
  <si>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</si>
  <si>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</si>
  <si>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</si>
  <si>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</si>
  <si>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</si>
  <si>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</si>
  <si>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</si>
  <si>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</si>
  <si>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</si>
  <si>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</si>
  <si>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</si>
  <si>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</si>
  <si>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</si>
  <si>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</si>
  <si>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</si>
  <si>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</si>
  <si>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</si>
  <si>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</si>
  <si>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</si>
  <si>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</si>
  <si>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</si>
  <si>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</si>
  <si>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</si>
  <si>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</si>
  <si>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</si>
  <si>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</si>
  <si>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</si>
  <si>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</si>
  <si>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</si>
  <si>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</si>
  <si>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</si>
  <si>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</si>
  <si>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</si>
  <si>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</si>
  <si>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</si>
  <si>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</si>
  <si>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</si>
  <si>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</si>
  <si>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</si>
  <si>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</si>
  <si>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</si>
  <si>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</si>
  <si>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</si>
  <si>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</si>
  <si>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</si>
  <si>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</si>
  <si>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</si>
  <si>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</si>
  <si>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</si>
  <si>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</si>
  <si>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</si>
  <si>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</si>
  <si>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</si>
  <si>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</si>
  <si>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</si>
  <si>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</si>
  <si>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</si>
  <si>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</si>
  <si>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</si>
  <si>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</si>
  <si>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</si>
  <si>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</si>
  <si>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</si>
  <si>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</si>
  <si>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</si>
  <si>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</si>
  <si>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</si>
  <si>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</si>
  <si>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</si>
  <si>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</si>
  <si>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</si>
  <si>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</si>
  <si>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</si>
  <si>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</si>
  <si>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</si>
  <si>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</si>
  <si>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</si>
  <si>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</si>
  <si>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</si>
  <si>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</si>
  <si>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</si>
  <si>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</si>
  <si>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</si>
  <si>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</si>
  <si>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</si>
  <si>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</si>
  <si>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</si>
  <si>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</si>
  <si>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</si>
  <si>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</si>
  <si>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</si>
  <si>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</si>
  <si>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</si>
  <si>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</si>
  <si>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</si>
  <si>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</si>
  <si>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</si>
  <si>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</si>
  <si>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</si>
  <si>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</si>
  <si>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</si>
  <si>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</si>
  <si>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</si>
  <si>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</si>
  <si>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</si>
  <si>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</si>
  <si>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</si>
  <si>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</si>
  <si>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</si>
  <si>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</si>
  <si>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</si>
  <si>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</si>
  <si>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</si>
  <si>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</si>
  <si>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</si>
  <si>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</si>
  <si>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</si>
  <si>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</si>
  <si>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</si>
  <si>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</si>
  <si>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</si>
  <si>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</si>
  <si>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</si>
  <si>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</si>
  <si>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</si>
  <si>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</si>
  <si>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</si>
  <si>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H20260514003-004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</si>
  <si>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</si>
  <si>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</si>
  <si>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</si>
  <si>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</si>
  <si>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</si>
  <si>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</si>
  <si>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</si>
  <si>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</si>
  <si>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</si>
  <si>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</si>
  <si>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</si>
  <si>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</si>
  <si>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</si>
  <si>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</si>
  <si>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</si>
  <si>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</si>
  <si>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</si>
  <si>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</si>
  <si>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</si>
  <si>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</si>
  <si>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</si>
  <si>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</si>
  <si>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</si>
  <si>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</si>
  <si>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</si>
  <si>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</si>
  <si>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</si>
  <si>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</si>
  <si>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</si>
  <si>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</si>
  <si>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</si>
  <si>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</si>
  <si>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</si>
  <si>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</si>
  <si>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</si>
  <si>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</si>
  <si>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</si>
  <si>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</si>
  <si>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</si>
  <si>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</si>
  <si>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</si>
  <si>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红色胶壳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</si>
  <si>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</si>
  <si>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</si>
  <si>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</si>
  <si>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</si>
  <si>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</si>
  <si>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</si>
  <si>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</si>
  <si>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</si>
  <si>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</si>
  <si>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</si>
  <si>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</si>
  <si>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</si>
  <si>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</si>
  <si>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</si>
  <si>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</si>
  <si>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</si>
  <si>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</si>
  <si>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</si>
  <si>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</si>
  <si>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</si>
  <si>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</si>
  <si>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</si>
  <si>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</si>
  <si>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</si>
  <si>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</si>
  <si>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</si>
  <si>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</si>
  <si>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</si>
  <si>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</si>
  <si>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</si>
  <si>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</si>
  <si>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</si>
  <si>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</si>
  <si>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</si>
  <si>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</si>
  <si>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</si>
  <si>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</si>
  <si>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</si>
  <si>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</si>
  <si>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</si>
  <si>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</si>
  <si>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</si>
  <si>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</si>
  <si>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</si>
  <si>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</si>
  <si>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</si>
  <si>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</si>
  <si>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</si>
  <si>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</si>
  <si>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</si>
  <si>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</si>
  <si>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</si>
  <si>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</si>
  <si>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</si>
  <si>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</si>
  <si>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</si>
  <si>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</si>
  <si>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</si>
  <si>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</si>
  <si>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</si>
  <si>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</si>
  <si>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</si>
  <si>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</si>
  <si>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</si>
  <si>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</si>
  <si>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</si>
  <si>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</si>
  <si>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</si>
  <si>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</si>
  <si>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</si>
  <si>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</si>
  <si>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</si>
  <si>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</si>
  <si>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</si>
  <si>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</si>
  <si>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</si>
  <si>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</si>
  <si>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</si>
  <si>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</si>
  <si>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</si>
  <si>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</si>
  <si>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</si>
  <si>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</si>
  <si>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</si>
  <si>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</si>
  <si>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</si>
  <si>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</si>
  <si>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</si>
  <si>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</si>
  <si>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</si>
  <si>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</si>
  <si>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</si>
  <si>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</si>
  <si>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</si>
  <si>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</si>
  <si>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</si>
  <si>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</si>
  <si>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</si>
  <si>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</si>
  <si>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</si>
  <si>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</si>
  <si>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</si>
  <si>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</si>
  <si>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</si>
  <si>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</si>
  <si>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</si>
  <si>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</si>
  <si>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</si>
  <si>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</si>
  <si>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</si>
  <si>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</si>
  <si>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</si>
  <si>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</si>
  <si>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</si>
  <si>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</si>
  <si>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</si>
  <si>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</si>
  <si>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</si>
  <si>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</si>
  <si>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</si>
  <si>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</si>
  <si>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</si>
  <si>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</si>
  <si>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</si>
  <si>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</si>
  <si>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</si>
  <si>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</si>
  <si>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</si>
  <si>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</si>
  <si>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</si>
  <si>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</si>
  <si>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</si>
  <si>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</si>
  <si>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</si>
  <si>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</si>
  <si>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</si>
  <si>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</si>
  <si>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</si>
  <si>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</si>
  <si>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</si>
  <si>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</si>
  <si>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</si>
  <si>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</si>
  <si>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</si>
  <si>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</si>
  <si>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</si>
  <si>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</si>
  <si>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</si>
  <si>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</si>
  <si>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</si>
  <si>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</si>
  <si>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</si>
  <si>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</si>
  <si>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</si>
  <si>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</si>
  <si>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</si>
  <si>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</si>
  <si>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</si>
  <si>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</si>
  <si>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</si>
  <si>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</si>
  <si>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</si>
  <si>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</si>
  <si>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</si>
  <si>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</si>
  <si>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</si>
  <si>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</si>
  <si>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</si>
  <si>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</si>
  <si>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</si>
  <si>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</si>
  <si>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</si>
  <si>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</si>
  <si>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</si>
  <si>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</si>
  <si>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</si>
  <si>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</si>
  <si>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</si>
  <si>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</si>
  <si>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</si>
  <si>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</si>
  <si>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</si>
  <si>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</si>
  <si>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</si>
  <si>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</si>
  <si>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</si>
  <si>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</si>
  <si>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</si>
  <si>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</si>
  <si>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</si>
  <si>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</si>
  <si>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</si>
  <si>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</si>
  <si>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</si>
  <si>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</si>
  <si>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</si>
  <si>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</si>
  <si>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</si>
  <si>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</si>
  <si>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</si>
  <si>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</si>
  <si>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</si>
  <si>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</si>
  <si>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</si>
  <si>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</si>
  <si>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</si>
  <si>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</si>
  <si>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</si>
  <si>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</si>
  <si>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</si>
  <si>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</si>
  <si>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</si>
  <si>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</si>
  <si>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</si>
  <si>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</si>
  <si>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</si>
  <si>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</si>
  <si>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</si>
  <si>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</si>
  <si>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</si>
  <si>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</si>
  <si>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</si>
  <si>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</si>
  <si>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</si>
  <si>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</si>
  <si>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</si>
  <si>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</si>
  <si>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</si>
  <si>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</si>
  <si>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</si>
  <si>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</si>
  <si>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</si>
  <si>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</si>
  <si>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</si>
  <si>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</si>
  <si>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</si>
  <si>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</si>
  <si>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</si>
  <si>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</si>
  <si>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</si>
  <si>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</si>
  <si>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</si>
  <si>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</si>
  <si>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</si>
  <si>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</si>
  <si>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</si>
  <si>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</si>
  <si>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</si>
  <si>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</si>
  <si>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</si>
  <si>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</si>
  <si>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</si>
  <si>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</si>
  <si>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</si>
  <si>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</si>
  <si>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</si>
  <si>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</si>
  <si>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</si>
  <si>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</si>
  <si>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</si>
  <si>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</si>
  <si>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</si>
  <si>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</si>
  <si>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</si>
  <si>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</si>
  <si>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</si>
  <si>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</si>
  <si>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</si>
  <si>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</si>
  <si>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</si>
  <si>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</si>
  <si>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</si>
  <si>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</si>
  <si>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</si>
  <si>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</si>
  <si>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</si>
  <si>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</si>
  <si>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</si>
  <si>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</si>
  <si>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</si>
  <si>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</si>
  <si>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</si>
  <si>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</si>
  <si>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</si>
  <si>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</si>
  <si>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</si>
  <si>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</si>
  <si>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</si>
  <si>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</si>
  <si>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</si>
  <si>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</si>
  <si>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</si>
  <si>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</si>
  <si>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</si>
  <si>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</si>
  <si>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</si>
  <si>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</si>
  <si>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</si>
  <si>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</si>
  <si>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</si>
  <si>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</si>
  <si>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</si>
  <si>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</si>
  <si>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</si>
  <si>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</si>
  <si>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</si>
  <si>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</si>
  <si>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</si>
  <si>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</si>
  <si>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</si>
  <si>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</si>
  <si>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</si>
  <si>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</si>
  <si>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</si>
  <si>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</si>
  <si>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</si>
  <si>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</si>
  <si>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</si>
  <si>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</si>
  <si>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</si>
  <si>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</si>
  <si>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</si>
  <si>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</si>
  <si>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</si>
  <si>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</si>
  <si>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</si>
  <si>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</si>
  <si>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</si>
  <si>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</si>
  <si>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</si>
  <si>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</si>
  <si>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</si>
  <si>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</si>
  <si>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</si>
  <si>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</si>
  <si>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</si>
  <si>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</si>
  <si>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</si>
  <si>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</si>
  <si>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</si>
  <si>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</si>
  <si>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</si>
  <si>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</si>
  <si>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</si>
  <si>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</si>
  <si>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</si>
  <si>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</si>
  <si>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</si>
  <si>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</si>
  <si>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</si>
  <si>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</si>
  <si>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</si>
  <si>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</si>
  <si>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</si>
  <si>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</si>
  <si>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</si>
  <si>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</si>
  <si>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</si>
  <si>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</si>
  <si>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</si>
  <si>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</si>
  <si>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</si>
  <si>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</si>
  <si>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</si>
  <si>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</si>
  <si>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</si>
  <si>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</si>
  <si>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</si>
  <si>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</si>
  <si>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</si>
  <si>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</si>
  <si>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</si>
  <si>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</si>
  <si>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</si>
  <si>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</si>
  <si>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</si>
  <si>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</si>
  <si>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</si>
  <si>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</si>
  <si>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</si>
  <si>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</si>
  <si>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</si>
  <si>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</si>
  <si>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</si>
  <si>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</si>
  <si>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</si>
  <si>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</si>
  <si>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</si>
  <si>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</si>
  <si>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</si>
  <si>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</si>
  <si>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</si>
  <si>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</si>
  <si>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</si>
  <si>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</si>
  <si>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</si>
  <si>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</si>
  <si>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</si>
  <si>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</si>
  <si>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</si>
  <si>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</si>
  <si>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</si>
  <si>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</si>
  <si>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</si>
  <si>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</si>
  <si>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</si>
  <si>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</si>
  <si>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</si>
  <si>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</si>
  <si>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</si>
  <si>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</si>
  <si>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</si>
  <si>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</si>
  <si>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</si>
  <si>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</si>
  <si>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</si>
  <si>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</si>
  <si>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</si>
  <si>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</si>
  <si>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</si>
  <si>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</si>
  <si>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</si>
  <si>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</si>
  <si>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</si>
  <si>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</si>
  <si>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</si>
  <si>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</si>
  <si>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</si>
  <si>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</si>
  <si>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</si>
  <si>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</si>
  <si>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</si>
  <si>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</si>
  <si>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</si>
  <si>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</si>
  <si>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</si>
  <si>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</si>
  <si>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</si>
  <si>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</si>
  <si>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</si>
  <si>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</si>
  <si>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</si>
  <si>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</si>
  <si>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</si>
  <si>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</si>
  <si>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</si>
  <si>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</si>
  <si>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</si>
  <si>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</si>
  <si>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</si>
  <si>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</si>
  <si>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</si>
  <si>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</si>
  <si>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</si>
  <si>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</si>
  <si>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</si>
  <si>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</si>
  <si>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</si>
  <si>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</si>
  <si>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</si>
  <si>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</si>
  <si>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</si>
  <si>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</si>
  <si>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</si>
  <si>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</si>
  <si>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</si>
  <si>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</si>
  <si>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</si>
  <si>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</si>
  <si>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</si>
  <si>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</si>
  <si>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</si>
  <si>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</si>
  <si>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</si>
  <si>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</si>
  <si>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</si>
  <si>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</si>
  <si>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</si>
  <si>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</si>
  <si>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</si>
  <si>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</si>
  <si>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</si>
  <si>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</si>
  <si>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</si>
  <si>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</si>
  <si>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</si>
  <si>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</si>
  <si>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</si>
  <si>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</si>
  <si>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</si>
  <si>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</si>
  <si>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</si>
  <si>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</si>
  <si>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</si>
  <si>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</si>
  <si>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</si>
  <si>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</si>
  <si>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</si>
  <si>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</si>
  <si>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</si>
  <si>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</si>
  <si>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</si>
  <si>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</si>
  <si>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</si>
  <si>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</si>
  <si>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</si>
  <si>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</si>
  <si>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</si>
  <si>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</si>
  <si>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</si>
  <si>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</si>
  <si>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</si>
  <si>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</si>
  <si>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</si>
  <si>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</si>
  <si>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</si>
  <si>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</si>
  <si>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</si>
  <si>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</si>
  <si>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</si>
  <si>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</si>
  <si>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</si>
  <si>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</si>
  <si>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</si>
  <si>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</si>
  <si>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</si>
  <si>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</si>
  <si>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</si>
  <si>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</si>
  <si>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</si>
  <si>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</si>
  <si>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</si>
  <si>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</si>
  <si>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</si>
  <si>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</si>
  <si>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</si>
  <si>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</si>
  <si>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</si>
  <si>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</si>
  <si>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</si>
  <si>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</si>
  <si>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</si>
  <si>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</si>
  <si>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</si>
  <si>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</si>
  <si>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</si>
  <si>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</si>
  <si>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</si>
  <si>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</si>
  <si>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</si>
  <si>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</si>
  <si>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</si>
  <si>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</si>
  <si>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</si>
  <si>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</si>
  <si>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</si>
  <si>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</si>
  <si>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</si>
  <si>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</si>
  <si>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</si>
  <si>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</si>
  <si>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</si>
  <si>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</si>
  <si>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</si>
  <si>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</si>
  <si>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</si>
  <si>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</si>
  <si>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</si>
  <si>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</si>
  <si>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</si>
  <si>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</si>
  <si>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</si>
  <si>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</si>
  <si>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</si>
  <si>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</si>
  <si>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</si>
  <si>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</si>
  <si>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</si>
  <si>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</si>
  <si>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</si>
  <si>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</si>
  <si>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</si>
  <si>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</si>
  <si>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</si>
  <si>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</si>
  <si>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</si>
  <si>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</si>
  <si>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</si>
  <si>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</si>
  <si>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</si>
  <si>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</si>
  <si>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</si>
  <si>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</si>
  <si>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</si>
  <si>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</si>
  <si>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</si>
  <si>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</si>
  <si>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</si>
  <si>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</si>
  <si>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</si>
  <si>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</si>
  <si>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</si>
  <si>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</si>
  <si>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</si>
  <si>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</si>
  <si>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</si>
  <si>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</si>
  <si>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</si>
  <si>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</si>
  <si>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</si>
  <si>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</si>
  <si>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</si>
  <si>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</si>
  <si>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</si>
  <si>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</si>
  <si>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</si>
  <si>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</si>
  <si>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</si>
  <si>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</si>
  <si>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</si>
  <si>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</si>
  <si>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</si>
  <si>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</si>
  <si>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</si>
  <si>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</si>
  <si>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</si>
  <si>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</si>
  <si>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</si>
  <si>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</si>
  <si>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</si>
  <si>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</si>
  <si>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</si>
  <si>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</si>
  <si>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</si>
  <si>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</si>
  <si>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</si>
  <si>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</si>
  <si>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</si>
  <si>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</si>
  <si>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</si>
  <si>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</si>
  <si>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</si>
  <si>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</si>
  <si>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</si>
  <si>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</si>
  <si>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</si>
  <si>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</si>
  <si>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</si>
  <si>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</si>
  <si>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</si>
  <si>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</si>
  <si>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</si>
  <si>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</si>
  <si>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</si>
  <si>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</si>
  <si>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</si>
  <si>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</si>
  <si>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</si>
  <si>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</si>
  <si>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</si>
  <si>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</si>
  <si>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</si>
  <si>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</si>
  <si>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</si>
  <si>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</si>
  <si>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</si>
  <si>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</si>
  <si>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</si>
  <si>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</si>
  <si>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</si>
  <si>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</si>
  <si>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</si>
  <si>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</si>
  <si>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</si>
  <si>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</si>
  <si>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</si>
  <si>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</si>
  <si>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</si>
  <si>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</si>
  <si>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</si>
  <si>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</si>
  <si>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</si>
  <si>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</si>
  <si>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</si>
  <si>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</si>
  <si>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</si>
  <si>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</si>
  <si>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</si>
  <si>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</si>
  <si>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</si>
  <si>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</si>
  <si>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</si>
  <si>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</si>
  <si>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</si>
  <si>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</si>
  <si>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</si>
  <si>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</si>
  <si>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</si>
  <si>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</si>
  <si>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</si>
  <si>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</si>
  <si>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</si>
  <si>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</si>
  <si>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</si>
  <si>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</si>
  <si>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</si>
  <si>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</si>
  <si>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</si>
  <si>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</si>
  <si>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</si>
  <si>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</si>
  <si>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</si>
  <si>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</si>
  <si>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</si>
  <si>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</si>
  <si>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</si>
  <si>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</si>
  <si>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</si>
  <si>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</si>
  <si>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</si>
  <si>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</si>
  <si>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</si>
  <si>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</si>
  <si>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</si>
  <si>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</si>
  <si>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</si>
  <si>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</si>
  <si>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</si>
  <si>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</si>
  <si>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</si>
  <si>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</si>
  <si>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</si>
  <si>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</si>
  <si>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</si>
  <si>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</si>
  <si>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</si>
  <si>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</si>
  <si>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</si>
  <si>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</si>
  <si>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</si>
  <si>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</si>
  <si>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</si>
  <si>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</si>
  <si>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</si>
  <si>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</si>
  <si>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</si>
  <si>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</si>
  <si>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</si>
  <si>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</si>
  <si>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</si>
  <si>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</si>
  <si>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</si>
  <si>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</si>
  <si>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</si>
  <si>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</si>
  <si>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</si>
  <si>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</si>
  <si>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</si>
  <si>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</si>
  <si>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</si>
  <si>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</si>
  <si>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</si>
  <si>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</si>
  <si>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</si>
  <si>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</si>
  <si>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</si>
  <si>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</si>
  <si>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</si>
  <si>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</si>
  <si>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</si>
  <si>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</si>
  <si>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</si>
  <si>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</si>
  <si>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</si>
  <si>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</si>
  <si>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</si>
  <si>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</si>
  <si>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</si>
  <si>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</si>
  <si>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</si>
  <si>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</si>
  <si>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</si>
  <si>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</si>
  <si>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</si>
  <si>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</si>
  <si>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</si>
  <si>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</si>
  <si>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</si>
  <si>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</si>
  <si>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</si>
  <si>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</si>
  <si>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</si>
  <si>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</si>
  <si>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</si>
  <si>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</si>
  <si>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</si>
  <si>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2230200E0021A</t>
  </si>
  <si>
    <t>H20260414005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</si>
  <si>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</si>
  <si>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</si>
  <si>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</si>
  <si>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</si>
  <si>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</si>
  <si>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</si>
  <si>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</si>
  <si>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</si>
  <si>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</si>
  <si>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</si>
  <si>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</si>
  <si>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</si>
  <si>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</si>
  <si>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</si>
  <si>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</si>
  <si>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</si>
  <si>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</si>
  <si>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</si>
  <si>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</si>
  <si>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</si>
  <si>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</si>
  <si>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</si>
  <si>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</si>
  <si>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</si>
  <si>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</si>
  <si>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</si>
  <si>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</si>
  <si>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</si>
  <si>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</si>
  <si>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</si>
  <si>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</si>
  <si>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</si>
  <si>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</si>
  <si>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</si>
  <si>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</si>
  <si>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</si>
  <si>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</si>
  <si>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</si>
  <si>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</si>
  <si>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</si>
  <si>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</si>
  <si>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</si>
  <si>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</si>
  <si>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</si>
  <si>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</si>
  <si>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</si>
  <si>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</si>
  <si>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</si>
  <si>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</si>
  <si>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</si>
  <si>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</si>
  <si>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</si>
  <si>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</si>
  <si>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</si>
  <si>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</si>
  <si>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</si>
  <si>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</si>
  <si>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</si>
  <si>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</si>
  <si>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</si>
  <si>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</si>
  <si>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</si>
  <si>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</si>
  <si>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</si>
  <si>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</si>
  <si>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</si>
  <si>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</si>
  <si>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</si>
  <si>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</si>
  <si>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</si>
  <si>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</si>
  <si>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</si>
  <si>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</si>
  <si>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</si>
  <si>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</si>
  <si>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</si>
  <si>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</si>
  <si>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</si>
  <si>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</si>
  <si>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</si>
  <si>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</si>
  <si>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</si>
  <si>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</si>
  <si>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</si>
  <si>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</si>
  <si>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</si>
  <si>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</si>
  <si>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</si>
  <si>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</si>
  <si>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</si>
  <si>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</si>
  <si>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</si>
  <si>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</si>
  <si>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</si>
  <si>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</si>
  <si>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</si>
  <si>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</si>
  <si>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</si>
  <si>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</si>
  <si>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</si>
  <si>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</si>
  <si>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</si>
  <si>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</si>
  <si>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</si>
  <si>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</si>
  <si>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</si>
  <si>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</si>
  <si>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</si>
  <si>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</si>
  <si>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</si>
  <si>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</si>
  <si>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</si>
  <si>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</si>
  <si>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</si>
  <si>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</si>
  <si>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</si>
  <si>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</si>
  <si>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</si>
  <si>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</si>
  <si>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</si>
  <si>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</si>
  <si>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</si>
  <si>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</si>
  <si>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</si>
  <si>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</si>
  <si>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</si>
  <si>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</si>
  <si>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</si>
  <si>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</si>
  <si>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</si>
  <si>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</si>
  <si>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</si>
  <si>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</si>
  <si>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</si>
  <si>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</si>
  <si>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</si>
  <si>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</si>
  <si>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</si>
  <si>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</si>
  <si>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</si>
  <si>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</si>
  <si>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</si>
  <si>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</si>
  <si>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</si>
  <si>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</si>
  <si>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</si>
  <si>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</si>
  <si>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</si>
  <si>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</si>
  <si>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</si>
  <si>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</si>
  <si>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</si>
  <si>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</si>
  <si>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</si>
  <si>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</si>
  <si>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</si>
  <si>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</si>
  <si>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</si>
  <si>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</si>
  <si>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</si>
  <si>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</si>
  <si>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</si>
  <si>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</si>
  <si>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</si>
  <si>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</si>
  <si>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</si>
  <si>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</si>
  <si>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</si>
  <si>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</si>
  <si>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</si>
  <si>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</si>
  <si>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</si>
  <si>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</si>
  <si>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</si>
  <si>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</si>
  <si>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</si>
  <si>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</si>
  <si>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</si>
  <si>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</si>
  <si>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</si>
  <si>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</si>
  <si>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</si>
  <si>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</si>
  <si>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</si>
  <si>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</si>
  <si>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</si>
  <si>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</si>
  <si>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</si>
  <si>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</si>
  <si>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</si>
  <si>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</si>
  <si>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</si>
  <si>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</si>
  <si>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</si>
  <si>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</si>
  <si>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</si>
  <si>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</si>
  <si>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</si>
  <si>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</si>
  <si>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</si>
  <si>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</si>
  <si>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</si>
  <si>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</si>
  <si>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</si>
  <si>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</si>
  <si>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</si>
  <si>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</si>
  <si>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</si>
  <si>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</si>
  <si>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</si>
  <si>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</si>
  <si>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</si>
  <si>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</si>
  <si>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</si>
  <si>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</si>
  <si>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</si>
  <si>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</si>
  <si>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</si>
  <si>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</si>
  <si>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</si>
  <si>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</si>
  <si>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</si>
  <si>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</si>
  <si>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</si>
  <si>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</si>
  <si>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</si>
  <si>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</si>
  <si>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</si>
  <si>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</si>
  <si>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</si>
  <si>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</si>
  <si>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</si>
  <si>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</si>
  <si>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</si>
  <si>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</si>
  <si>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</si>
  <si>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</si>
  <si>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</si>
  <si>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</si>
  <si>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</si>
  <si>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</si>
  <si>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</si>
  <si>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</si>
  <si>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</si>
  <si>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</si>
  <si>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</si>
  <si>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</si>
  <si>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</si>
  <si>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</si>
  <si>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</si>
  <si>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</si>
  <si>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</si>
  <si>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</si>
  <si>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</si>
  <si>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</si>
  <si>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</si>
  <si>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</si>
  <si>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</si>
  <si>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</si>
  <si>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</si>
  <si>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</si>
  <si>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</si>
  <si>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</si>
  <si>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</si>
  <si>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</si>
  <si>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</si>
  <si>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</si>
  <si>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</si>
  <si>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</si>
  <si>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</si>
  <si>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</si>
  <si>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</si>
  <si>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</si>
  <si>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</si>
  <si>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</si>
  <si>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</si>
  <si>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</si>
  <si>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</si>
  <si>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</si>
  <si>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</si>
  <si>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</si>
  <si>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</si>
  <si>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</si>
  <si>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</si>
  <si>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</si>
  <si>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</si>
  <si>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</si>
  <si>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</si>
  <si>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</si>
  <si>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</si>
  <si>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</si>
  <si>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</si>
  <si>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</si>
  <si>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</si>
  <si>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</si>
  <si>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</si>
  <si>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</si>
  <si>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</si>
  <si>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</si>
  <si>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</si>
  <si>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</si>
  <si>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</si>
  <si>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</si>
  <si>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</si>
  <si>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</si>
  <si>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</si>
  <si>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</si>
  <si>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</si>
  <si>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</si>
  <si>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</si>
  <si>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</si>
  <si>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</si>
  <si>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</si>
  <si>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</si>
  <si>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</si>
  <si>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</si>
  <si>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</si>
  <si>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</si>
  <si>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</si>
  <si>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</si>
  <si>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</si>
  <si>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</si>
  <si>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</si>
  <si>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</si>
  <si>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</si>
  <si>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</si>
  <si>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</si>
  <si>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</si>
  <si>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</si>
  <si>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</si>
  <si>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</si>
  <si>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</si>
  <si>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</si>
  <si>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</si>
  <si>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</si>
  <si>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</si>
  <si>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</si>
  <si>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</si>
  <si>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</si>
  <si>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</si>
  <si>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</si>
  <si>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</si>
  <si>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</si>
  <si>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</si>
  <si>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</si>
  <si>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</si>
  <si>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</si>
  <si>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402441800021A</t>
  </si>
  <si>
    <t>铜环</t>
  </si>
  <si>
    <t>801P05020041A</t>
  </si>
  <si>
    <t>705403010011H</t>
  </si>
  <si>
    <t>219202080021A</t>
  </si>
  <si>
    <t>220202030041A</t>
  </si>
  <si>
    <t>电子</t>
  </si>
  <si>
    <t>101300600021A</t>
  </si>
  <si>
    <t>UL21394</t>
  </si>
  <si>
    <t>224542100091A</t>
  </si>
  <si>
    <t>221072100101A</t>
  </si>
  <si>
    <t>223020050261A</t>
  </si>
  <si>
    <t>223020000271A</t>
  </si>
  <si>
    <t>网尾扣</t>
  </si>
  <si>
    <t>223090030011A</t>
  </si>
  <si>
    <t>201012890011A</t>
  </si>
  <si>
    <t>宏腾</t>
  </si>
  <si>
    <t>224540200041A</t>
  </si>
  <si>
    <t>223080000451A</t>
  </si>
  <si>
    <t>219301020011A</t>
  </si>
  <si>
    <t>801214040011A</t>
  </si>
  <si>
    <t>乐庭</t>
  </si>
  <si>
    <t>101300600011A</t>
  </si>
  <si>
    <t>104200270011A</t>
  </si>
  <si>
    <t>UL1007#20紫色</t>
  </si>
  <si>
    <t>101260590011A</t>
  </si>
  <si>
    <t>101260300041A</t>
  </si>
  <si>
    <t>UL1007#20白注黑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</si>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</sst>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#\ ?/?"/>
  </numFmts>
  <fonts count="69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4"/>
      <color theme="1"/>
      <name val="微软雅黑"/>
      <charset val="134"/>
    </font>
    <font>
      <sz val="14"/>
      <name val="微软雅黑"/>
      <charset val="134"/>
    </font>
    <font>
      <sz val="12"/>
      <name val="微软雅黑"/>
      <charset val="134"/>
    </font>
    <font>
      <sz val="12"/>
      <color theme="1"/>
      <name val="微软雅黑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0"/>
      <name val="Times New Roman"/>
      <charset val="134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47" fillId="24" borderId="0" applyNumberFormat="0" applyBorder="0" applyAlignment="0" applyProtection="0">
      <alignment vertical="center"/>
    </xf>
    <xf numFmtId="0" fontId="54" fillId="20" borderId="19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50" fillId="14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48" fillId="13" borderId="0" applyNumberFormat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49" fillId="27" borderId="21" applyNumberFormat="0" applyFont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0" borderId="22" applyNumberFormat="0" applyFill="0" applyAlignment="0" applyProtection="0">
      <alignment vertical="center"/>
    </xf>
    <xf numFmtId="0" fontId="63" fillId="0" borderId="22" applyNumberFormat="0" applyFill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58" fillId="0" borderId="23" applyNumberFormat="0" applyFill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0" fontId="53" fillId="17" borderId="20" applyNumberFormat="0" applyAlignment="0" applyProtection="0">
      <alignment vertical="center"/>
    </xf>
    <xf numFmtId="0" fontId="52" fillId="17" borderId="19" applyNumberFormat="0" applyAlignment="0" applyProtection="0">
      <alignment vertical="center"/>
    </xf>
    <xf numFmtId="0" fontId="65" fillId="32" borderId="25" applyNumberFormat="0" applyAlignment="0" applyProtection="0">
      <alignment vertical="center"/>
    </xf>
    <xf numFmtId="0" fontId="47" fillId="33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64" fillId="0" borderId="24" applyNumberFormat="0" applyFill="0" applyAlignment="0" applyProtection="0">
      <alignment vertical="center"/>
    </xf>
    <xf numFmtId="0" fontId="66" fillId="0" borderId="26" applyNumberFormat="0" applyFill="0" applyAlignment="0" applyProtection="0">
      <alignment vertical="center"/>
    </xf>
    <xf numFmtId="0" fontId="55" fillId="22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7" fillId="12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7" fillId="9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7" fillId="8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7" fillId="26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67" fillId="0" borderId="0"/>
  </cellStyleXfs>
  <cellXfs count="252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4" fontId="37" fillId="2" borderId="2" xfId="0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9" fillId="0" borderId="5" xfId="0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40" fillId="0" borderId="5" xfId="0" applyFont="1" applyFill="1" applyBorder="1" applyAlignment="1">
      <alignment horizontal="center" vertical="center"/>
    </xf>
    <xf numFmtId="177" fontId="40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/>
    </xf>
    <xf numFmtId="177" fontId="42" fillId="0" borderId="5" xfId="0" applyNumberFormat="1" applyFont="1" applyFill="1" applyBorder="1" applyAlignment="1">
      <alignment horizontal="center" vertical="center"/>
    </xf>
    <xf numFmtId="0" fontId="43" fillId="0" borderId="5" xfId="0" applyFont="1" applyFill="1" applyBorder="1" applyAlignment="1">
      <alignment horizontal="center" vertical="center"/>
    </xf>
    <xf numFmtId="177" fontId="43" fillId="0" borderId="5" xfId="0" applyNumberFormat="1" applyFont="1" applyFill="1" applyBorder="1" applyAlignment="1">
      <alignment horizontal="center" vertical="center"/>
    </xf>
    <xf numFmtId="0" fontId="44" fillId="0" borderId="5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0" fontId="45" fillId="0" borderId="5" xfId="0" applyFont="1" applyFill="1" applyBorder="1" applyAlignment="1">
      <alignment horizontal="center" vertical="center"/>
    </xf>
    <xf numFmtId="0" fontId="45" fillId="2" borderId="1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6" fillId="0" borderId="5" xfId="0" applyFont="1" applyFill="1" applyBorder="1" applyAlignment="1">
      <alignment horizontal="center" vertical="center"/>
    </xf>
    <xf numFmtId="177" fontId="46" fillId="0" borderId="5" xfId="0" applyNumberFormat="1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5" fillId="2" borderId="5" xfId="0" applyFont="1" applyFill="1" applyBorder="1" applyAlignment="1">
      <alignment horizontal="center" vertical="center"/>
    </xf>
    <xf numFmtId="0" fontId="45" fillId="2" borderId="1" xfId="49" applyFont="1" applyFill="1" applyBorder="1" applyAlignment="1">
      <alignment horizontal="center" vertical="center"/>
    </xf>
    <xf numFmtId="0" fontId="45" fillId="7" borderId="1" xfId="49" applyFont="1" applyFill="1" applyBorder="1" applyAlignment="1">
      <alignment horizontal="center" vertical="center"/>
    </xf>
    <xf numFmtId="0" fontId="46" fillId="5" borderId="1" xfId="49" applyFont="1" applyFill="1" applyBorder="1" applyAlignment="1">
      <alignment horizontal="center" vertical="center"/>
    </xf>
    <xf numFmtId="0" fontId="45" fillId="5" borderId="1" xfId="49" applyFont="1" applyFill="1" applyBorder="1" applyAlignment="1">
      <alignment horizontal="center" vertical="center"/>
    </xf>
    <xf numFmtId="176" fontId="45" fillId="2" borderId="1" xfId="0" applyNumberFormat="1" applyFont="1" applyFill="1" applyBorder="1" applyAlignment="1">
      <alignment horizontal="center" vertical="center"/>
    </xf>
    <xf numFmtId="0" fontId="45" fillId="5" borderId="1" xfId="0" applyFont="1" applyFill="1" applyBorder="1" applyAlignment="1">
      <alignment horizontal="center" vertical="center" shrinkToFit="1"/>
    </xf>
    <xf numFmtId="14" fontId="30" fillId="2" borderId="11" xfId="0" applyNumberFormat="1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6"/>
  <sheetViews>
    <sheetView tabSelected="1" view="pageBreakPreview" zoomScale="130" zoomScaleNormal="100" zoomScaleSheetLayoutView="130" topLeftCell="I1" workbookViewId="0">
      <pane ySplit="2" topLeftCell="A323" activePane="bottomLeft" state="frozen"/>
      <selection/>
      <selection pane="bottomLeft" activeCell="U328" sqref="U328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0.5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-52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52</v>
      </c>
      <c r="AA3" s="70"/>
      <c r="AB3" s="70"/>
      <c r="AC3" s="70"/>
      <c r="AD3" s="70"/>
      <c r="AE3" s="71"/>
      <c r="AF3" s="72"/>
      <c r="AG3" s="73"/>
      <c r="AH3" s="79"/>
      <c r="AI3" s="102"/>
      <c r="AJ3" s="70"/>
      <c r="AK3" s="103"/>
      <c r="AL3" s="104">
        <f>EDATE(AI3,AJ3)</f>
        <v>0</v>
      </c>
      <c r="AM3" s="105">
        <f ca="1">AL3-TODAY()</f>
        <v>-46167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-46167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19</v>
      </c>
      <c r="E4" s="71" t="s">
        <v>20</v>
      </c>
      <c r="F4" s="72"/>
      <c r="G4" s="73"/>
      <c r="H4" s="74" t="s">
        <v>16</v>
      </c>
      <c r="I4" s="102">
        <v>46025</v>
      </c>
      <c r="J4" s="70">
        <v>3</v>
      </c>
      <c r="K4" s="103" t="s">
        <v>21</v>
      </c>
      <c r="L4" s="104">
        <f t="shared" si="0"/>
        <v>46115</v>
      </c>
      <c r="M4" s="105">
        <f ca="1" t="shared" si="1"/>
        <v>-52</v>
      </c>
      <c r="N4" s="70"/>
      <c r="O4" s="70" t="s">
        <v>12</v>
      </c>
      <c r="P4" s="70" t="s">
        <v>13</v>
      </c>
      <c r="Q4" s="71" t="s">
        <v>19</v>
      </c>
      <c r="R4" s="71" t="s">
        <v>20</v>
      </c>
      <c r="S4" s="72"/>
      <c r="T4" s="73"/>
      <c r="U4" s="74" t="s">
        <v>16</v>
      </c>
      <c r="V4" s="104">
        <v>46133</v>
      </c>
      <c r="W4" s="70">
        <v>3</v>
      </c>
      <c r="X4" s="103" t="s">
        <v>22</v>
      </c>
      <c r="Y4" s="104">
        <f t="shared" ref="Y4:Y35" si="2">EDATE(V4,W4)</f>
        <v>46224</v>
      </c>
      <c r="Z4" s="105">
        <f ca="1" t="shared" ref="Z4:Z35" si="3">Y4-TODAY()</f>
        <v>57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>EDATE(AI4,AJ4)</f>
        <v>0</v>
      </c>
      <c r="AM4" s="105">
        <f ca="1">AL4-TODAY()</f>
        <v>-46167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-46167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23</v>
      </c>
      <c r="E5" s="71" t="s">
        <v>24</v>
      </c>
      <c r="F5" s="72"/>
      <c r="G5" s="73"/>
      <c r="H5" s="74" t="s">
        <v>16</v>
      </c>
      <c r="I5" s="102">
        <v>46025</v>
      </c>
      <c r="J5" s="70">
        <v>3</v>
      </c>
      <c r="K5" s="103" t="s">
        <v>25</v>
      </c>
      <c r="L5" s="104">
        <f t="shared" si="0"/>
        <v>46115</v>
      </c>
      <c r="M5" s="105">
        <f ca="1" t="shared" si="1"/>
        <v>-52</v>
      </c>
      <c r="N5" s="70"/>
      <c r="O5" s="70" t="s">
        <v>12</v>
      </c>
      <c r="P5" s="70" t="s">
        <v>13</v>
      </c>
      <c r="Q5" s="71" t="s">
        <v>23</v>
      </c>
      <c r="R5" s="71" t="s">
        <v>24</v>
      </c>
      <c r="S5" s="72"/>
      <c r="T5" s="73"/>
      <c r="U5" s="74" t="s">
        <v>16</v>
      </c>
      <c r="V5" s="102">
        <v>46127</v>
      </c>
      <c r="W5" s="70">
        <v>3</v>
      </c>
      <c r="X5" s="103" t="s">
        <v>26</v>
      </c>
      <c r="Y5" s="104">
        <f t="shared" si="2"/>
        <v>46218</v>
      </c>
      <c r="Z5" s="105">
        <f ca="1" t="shared" si="3"/>
        <v>51</v>
      </c>
      <c r="AA5" s="70"/>
      <c r="AB5" s="70"/>
      <c r="AC5" s="70"/>
      <c r="AD5" s="71"/>
      <c r="AE5" s="71"/>
      <c r="AF5" s="72"/>
      <c r="AG5" s="73"/>
      <c r="AH5" s="79"/>
      <c r="AI5" s="102"/>
      <c r="AJ5" s="70"/>
      <c r="AK5" s="103"/>
      <c r="AL5" s="104"/>
      <c r="AM5" s="105"/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27</v>
      </c>
      <c r="E6" s="71" t="s">
        <v>28</v>
      </c>
      <c r="F6" s="72"/>
      <c r="G6" s="73"/>
      <c r="H6" s="75"/>
      <c r="I6" s="102">
        <v>46025</v>
      </c>
      <c r="J6" s="70">
        <v>3</v>
      </c>
      <c r="K6" s="103" t="s">
        <v>29</v>
      </c>
      <c r="L6" s="104">
        <f t="shared" si="0"/>
        <v>46115</v>
      </c>
      <c r="M6" s="105">
        <f ca="1" t="shared" si="1"/>
        <v>-52</v>
      </c>
      <c r="N6" s="70"/>
      <c r="O6" s="70" t="s">
        <v>12</v>
      </c>
      <c r="P6" s="70" t="s">
        <v>13</v>
      </c>
      <c r="Q6" s="71" t="s">
        <v>27</v>
      </c>
      <c r="R6" s="71" t="s">
        <v>28</v>
      </c>
      <c r="S6" s="72"/>
      <c r="T6" s="73"/>
      <c r="U6" s="75"/>
      <c r="V6" s="102">
        <v>46147</v>
      </c>
      <c r="W6" s="70">
        <v>3</v>
      </c>
      <c r="X6" s="103" t="s">
        <v>30</v>
      </c>
      <c r="Y6" s="104">
        <f t="shared" si="2"/>
        <v>46239</v>
      </c>
      <c r="Z6" s="105">
        <f ca="1" t="shared" si="3"/>
        <v>72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/>
      <c r="AM6" s="105"/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31</v>
      </c>
      <c r="D7" s="71" t="s">
        <v>32</v>
      </c>
      <c r="E7" s="71" t="s">
        <v>33</v>
      </c>
      <c r="F7" s="72"/>
      <c r="G7" s="73"/>
      <c r="H7" s="76" t="s">
        <v>16</v>
      </c>
      <c r="I7" s="102">
        <v>46025</v>
      </c>
      <c r="J7" s="70">
        <v>3</v>
      </c>
      <c r="K7" s="103" t="s">
        <v>34</v>
      </c>
      <c r="L7" s="104">
        <f t="shared" si="0"/>
        <v>46115</v>
      </c>
      <c r="M7" s="105">
        <f ca="1" t="shared" si="1"/>
        <v>-52</v>
      </c>
      <c r="N7" s="70"/>
      <c r="O7" s="70" t="s">
        <v>12</v>
      </c>
      <c r="P7" s="70" t="s">
        <v>31</v>
      </c>
      <c r="Q7" s="71" t="s">
        <v>32</v>
      </c>
      <c r="R7" s="71" t="s">
        <v>33</v>
      </c>
      <c r="S7" s="72"/>
      <c r="T7" s="73"/>
      <c r="U7" s="76" t="s">
        <v>16</v>
      </c>
      <c r="V7" s="102">
        <v>46134</v>
      </c>
      <c r="W7" s="70">
        <v>3</v>
      </c>
      <c r="X7" s="103" t="s">
        <v>35</v>
      </c>
      <c r="Y7" s="104">
        <f t="shared" si="2"/>
        <v>46225</v>
      </c>
      <c r="Z7" s="105">
        <f ca="1" t="shared" si="3"/>
        <v>58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/>
      <c r="AM7" s="105"/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36</v>
      </c>
      <c r="E8" s="71" t="s">
        <v>37</v>
      </c>
      <c r="F8" s="72"/>
      <c r="G8" s="73"/>
      <c r="H8" s="76" t="s">
        <v>16</v>
      </c>
      <c r="I8" s="102">
        <v>46025</v>
      </c>
      <c r="J8" s="70">
        <v>3</v>
      </c>
      <c r="K8" s="103" t="s">
        <v>38</v>
      </c>
      <c r="L8" s="104">
        <f t="shared" si="0"/>
        <v>46115</v>
      </c>
      <c r="M8" s="105">
        <f ca="1" t="shared" si="1"/>
        <v>-52</v>
      </c>
      <c r="N8" s="70"/>
      <c r="O8" s="70" t="s">
        <v>12</v>
      </c>
      <c r="P8" s="70" t="s">
        <v>13</v>
      </c>
      <c r="Q8" s="71" t="s">
        <v>36</v>
      </c>
      <c r="R8" s="71" t="s">
        <v>37</v>
      </c>
      <c r="S8" s="72"/>
      <c r="T8" s="73"/>
      <c r="U8" s="76" t="s">
        <v>16</v>
      </c>
      <c r="V8" s="102">
        <v>46114</v>
      </c>
      <c r="W8" s="70">
        <v>3</v>
      </c>
      <c r="X8" s="103" t="s">
        <v>39</v>
      </c>
      <c r="Y8" s="104">
        <f t="shared" si="2"/>
        <v>46205</v>
      </c>
      <c r="Z8" s="105">
        <f ca="1" t="shared" si="3"/>
        <v>38</v>
      </c>
      <c r="AA8" s="70"/>
      <c r="AB8" s="70"/>
      <c r="AC8" s="70"/>
      <c r="AD8" s="71"/>
      <c r="AE8" s="71"/>
      <c r="AF8" s="72"/>
      <c r="AG8" s="73"/>
      <c r="AH8" s="114"/>
      <c r="AI8" s="102"/>
      <c r="AJ8" s="70"/>
      <c r="AK8" s="103"/>
      <c r="AL8" s="104"/>
      <c r="AM8" s="105"/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31</v>
      </c>
      <c r="D9" s="71" t="s">
        <v>40</v>
      </c>
      <c r="E9" s="71" t="s">
        <v>41</v>
      </c>
      <c r="F9" s="72"/>
      <c r="G9" s="73"/>
      <c r="H9" s="76" t="s">
        <v>16</v>
      </c>
      <c r="I9" s="102">
        <v>46025</v>
      </c>
      <c r="J9" s="70">
        <v>3</v>
      </c>
      <c r="K9" s="103" t="s">
        <v>42</v>
      </c>
      <c r="L9" s="104">
        <f t="shared" si="0"/>
        <v>46115</v>
      </c>
      <c r="M9" s="105">
        <f ca="1" t="shared" si="1"/>
        <v>-52</v>
      </c>
      <c r="N9" s="70"/>
      <c r="O9" s="70" t="s">
        <v>12</v>
      </c>
      <c r="P9" s="70" t="s">
        <v>31</v>
      </c>
      <c r="Q9" s="71" t="s">
        <v>40</v>
      </c>
      <c r="R9" s="71" t="s">
        <v>41</v>
      </c>
      <c r="S9" s="72"/>
      <c r="T9" s="73"/>
      <c r="U9" s="76" t="s">
        <v>16</v>
      </c>
      <c r="V9" s="102">
        <v>46113</v>
      </c>
      <c r="W9" s="70">
        <v>3</v>
      </c>
      <c r="X9" s="103" t="s">
        <v>43</v>
      </c>
      <c r="Y9" s="104">
        <f t="shared" si="2"/>
        <v>46204</v>
      </c>
      <c r="Z9" s="105">
        <f ca="1" t="shared" si="3"/>
        <v>37</v>
      </c>
      <c r="AA9" s="70"/>
      <c r="AB9" s="70"/>
      <c r="AC9" s="70"/>
      <c r="AD9" s="71"/>
      <c r="AE9" s="71"/>
      <c r="AF9" s="72"/>
      <c r="AG9" s="73"/>
      <c r="AH9" s="79"/>
      <c r="AI9" s="102"/>
      <c r="AJ9" s="70"/>
      <c r="AK9" s="103"/>
      <c r="AL9" s="104"/>
      <c r="AM9" s="105"/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44</v>
      </c>
      <c r="C10" s="70" t="s">
        <v>31</v>
      </c>
      <c r="D10" s="77" t="s">
        <v>45</v>
      </c>
      <c r="E10" s="71" t="s">
        <v>24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46</v>
      </c>
      <c r="L10" s="104">
        <f t="shared" si="0"/>
        <v>46115</v>
      </c>
      <c r="M10" s="105">
        <f ca="1" t="shared" si="1"/>
        <v>-52</v>
      </c>
      <c r="N10" s="70"/>
      <c r="O10" s="70" t="s">
        <v>44</v>
      </c>
      <c r="P10" s="70" t="s">
        <v>31</v>
      </c>
      <c r="Q10" s="77" t="s">
        <v>45</v>
      </c>
      <c r="R10" s="71" t="s">
        <v>24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47</v>
      </c>
      <c r="Y10" s="104">
        <f t="shared" si="2"/>
        <v>46205</v>
      </c>
      <c r="Z10" s="105">
        <f ca="1" t="shared" si="3"/>
        <v>38</v>
      </c>
      <c r="AA10" s="70"/>
      <c r="AB10" s="70"/>
      <c r="AC10" s="78"/>
      <c r="AD10" s="77"/>
      <c r="AE10" s="71"/>
      <c r="AF10" s="72"/>
      <c r="AG10" s="73"/>
      <c r="AH10" s="114"/>
      <c r="AI10" s="102"/>
      <c r="AJ10" s="70"/>
      <c r="AK10" s="97"/>
      <c r="AL10" s="104"/>
      <c r="AM10" s="105"/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44</v>
      </c>
      <c r="C11" s="70" t="s">
        <v>31</v>
      </c>
      <c r="D11" s="78" t="s">
        <v>48</v>
      </c>
      <c r="E11" s="71" t="s">
        <v>24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49</v>
      </c>
      <c r="L11" s="104">
        <f t="shared" si="0"/>
        <v>46115</v>
      </c>
      <c r="M11" s="105">
        <f ca="1" t="shared" si="1"/>
        <v>-52</v>
      </c>
      <c r="N11" s="70"/>
      <c r="O11" s="70" t="s">
        <v>44</v>
      </c>
      <c r="P11" s="70" t="s">
        <v>31</v>
      </c>
      <c r="Q11" s="78" t="s">
        <v>48</v>
      </c>
      <c r="R11" s="71" t="s">
        <v>24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50</v>
      </c>
      <c r="Y11" s="104">
        <f t="shared" si="2"/>
        <v>46207</v>
      </c>
      <c r="Z11" s="105">
        <f ca="1" t="shared" si="3"/>
        <v>40</v>
      </c>
      <c r="AA11" s="70"/>
      <c r="AB11" s="70"/>
      <c r="AC11" s="78"/>
      <c r="AD11" s="78"/>
      <c r="AE11" s="71"/>
      <c r="AF11" s="72"/>
      <c r="AG11" s="73"/>
      <c r="AH11" s="114"/>
      <c r="AI11" s="102"/>
      <c r="AJ11" s="70"/>
      <c r="AK11" s="97"/>
      <c r="AL11" s="104"/>
      <c r="AM11" s="105"/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44</v>
      </c>
      <c r="C12" s="70" t="s">
        <v>31</v>
      </c>
      <c r="D12" s="77" t="s">
        <v>51</v>
      </c>
      <c r="E12" s="71" t="s">
        <v>52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53</v>
      </c>
      <c r="L12" s="104">
        <f t="shared" si="0"/>
        <v>46115</v>
      </c>
      <c r="M12" s="105">
        <f ca="1" t="shared" si="1"/>
        <v>-52</v>
      </c>
      <c r="N12" s="70"/>
      <c r="O12" s="70" t="s">
        <v>44</v>
      </c>
      <c r="P12" s="70" t="s">
        <v>31</v>
      </c>
      <c r="Q12" s="77" t="s">
        <v>51</v>
      </c>
      <c r="R12" s="71" t="s">
        <v>52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54</v>
      </c>
      <c r="Y12" s="104">
        <f t="shared" si="2"/>
        <v>46207</v>
      </c>
      <c r="Z12" s="105">
        <f ca="1" t="shared" si="3"/>
        <v>40</v>
      </c>
      <c r="AA12" s="70"/>
      <c r="AB12" s="70"/>
      <c r="AC12" s="78"/>
      <c r="AD12" s="77"/>
      <c r="AE12" s="71"/>
      <c r="AF12" s="72"/>
      <c r="AG12" s="73"/>
      <c r="AH12" s="74"/>
      <c r="AI12" s="102"/>
      <c r="AJ12" s="70"/>
      <c r="AK12" s="97"/>
      <c r="AL12" s="104"/>
      <c r="AM12" s="105"/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55</v>
      </c>
      <c r="C13" s="78" t="s">
        <v>13</v>
      </c>
      <c r="D13" s="77" t="s">
        <v>56</v>
      </c>
      <c r="E13" s="71" t="s">
        <v>57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58</v>
      </c>
      <c r="L13" s="104">
        <f t="shared" si="0"/>
        <v>46116</v>
      </c>
      <c r="M13" s="105">
        <f ca="1" t="shared" si="1"/>
        <v>-51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2"/>
        <v>0</v>
      </c>
      <c r="Z13" s="105">
        <f ca="1" t="shared" si="3"/>
        <v>-46167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/>
      <c r="AM13" s="105"/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59</v>
      </c>
      <c r="C14" s="78" t="s">
        <v>13</v>
      </c>
      <c r="D14" s="77" t="s">
        <v>60</v>
      </c>
      <c r="E14" s="71" t="s">
        <v>61</v>
      </c>
      <c r="F14" s="72"/>
      <c r="G14" s="73"/>
      <c r="H14" s="75"/>
      <c r="I14" s="102">
        <v>46026</v>
      </c>
      <c r="J14" s="70">
        <v>3</v>
      </c>
      <c r="K14" s="106" t="s">
        <v>62</v>
      </c>
      <c r="L14" s="104">
        <f t="shared" si="0"/>
        <v>46116</v>
      </c>
      <c r="M14" s="105">
        <f ca="1" t="shared" si="1"/>
        <v>-51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2"/>
        <v>0</v>
      </c>
      <c r="Z14" s="105">
        <f ca="1" t="shared" si="3"/>
        <v>-46167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/>
      <c r="AM14" s="105"/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59</v>
      </c>
      <c r="C15" s="78" t="s">
        <v>31</v>
      </c>
      <c r="D15" s="77" t="s">
        <v>63</v>
      </c>
      <c r="E15" s="71" t="s">
        <v>64</v>
      </c>
      <c r="F15" s="72"/>
      <c r="G15" s="73"/>
      <c r="H15" s="75"/>
      <c r="I15" s="102">
        <v>46026</v>
      </c>
      <c r="J15" s="70">
        <v>3</v>
      </c>
      <c r="K15" s="106" t="s">
        <v>65</v>
      </c>
      <c r="L15" s="104">
        <f t="shared" si="0"/>
        <v>46116</v>
      </c>
      <c r="M15" s="105">
        <f ca="1" t="shared" si="1"/>
        <v>-51</v>
      </c>
      <c r="N15" s="70"/>
      <c r="O15" s="70" t="s">
        <v>59</v>
      </c>
      <c r="P15" s="78" t="s">
        <v>31</v>
      </c>
      <c r="Q15" s="77" t="s">
        <v>63</v>
      </c>
      <c r="R15" s="71" t="s">
        <v>64</v>
      </c>
      <c r="S15" s="72"/>
      <c r="T15" s="73"/>
      <c r="U15" s="75"/>
      <c r="V15" s="102">
        <v>46127</v>
      </c>
      <c r="W15" s="70">
        <v>3</v>
      </c>
      <c r="X15" s="97" t="s">
        <v>66</v>
      </c>
      <c r="Y15" s="104">
        <f t="shared" si="2"/>
        <v>46218</v>
      </c>
      <c r="Z15" s="105">
        <f ca="1" t="shared" si="3"/>
        <v>51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/>
      <c r="AM15" s="105"/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59</v>
      </c>
      <c r="C16" s="78" t="s">
        <v>13</v>
      </c>
      <c r="D16" s="77" t="s">
        <v>67</v>
      </c>
      <c r="E16" s="71" t="s">
        <v>68</v>
      </c>
      <c r="F16" s="72"/>
      <c r="G16" s="73"/>
      <c r="H16" s="75"/>
      <c r="I16" s="102">
        <v>46026</v>
      </c>
      <c r="J16" s="70">
        <v>3</v>
      </c>
      <c r="K16" s="106" t="s">
        <v>69</v>
      </c>
      <c r="L16" s="104">
        <f t="shared" si="0"/>
        <v>46116</v>
      </c>
      <c r="M16" s="105">
        <f ca="1" t="shared" si="1"/>
        <v>-51</v>
      </c>
      <c r="N16" s="70"/>
      <c r="O16" s="70" t="s">
        <v>59</v>
      </c>
      <c r="P16" s="78" t="s">
        <v>13</v>
      </c>
      <c r="Q16" s="77" t="s">
        <v>67</v>
      </c>
      <c r="R16" s="71" t="s">
        <v>68</v>
      </c>
      <c r="S16" s="72"/>
      <c r="T16" s="73"/>
      <c r="U16" s="75"/>
      <c r="V16" s="102">
        <v>46127</v>
      </c>
      <c r="W16" s="70">
        <v>3</v>
      </c>
      <c r="X16" s="97" t="s">
        <v>70</v>
      </c>
      <c r="Y16" s="104">
        <f t="shared" si="2"/>
        <v>46218</v>
      </c>
      <c r="Z16" s="105">
        <f ca="1" t="shared" si="3"/>
        <v>51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/>
      <c r="AM16" s="105"/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71</v>
      </c>
      <c r="C17" s="78" t="s">
        <v>13</v>
      </c>
      <c r="D17" s="77" t="s">
        <v>72</v>
      </c>
      <c r="E17" s="71" t="s">
        <v>73</v>
      </c>
      <c r="F17" s="72"/>
      <c r="G17" s="73"/>
      <c r="H17" s="75"/>
      <c r="I17" s="102">
        <v>46026</v>
      </c>
      <c r="J17" s="70">
        <v>3</v>
      </c>
      <c r="K17" s="106" t="s">
        <v>74</v>
      </c>
      <c r="L17" s="104">
        <f t="shared" si="0"/>
        <v>46116</v>
      </c>
      <c r="M17" s="105">
        <f ca="1" t="shared" si="1"/>
        <v>-51</v>
      </c>
      <c r="N17" s="70"/>
      <c r="O17" s="70" t="s">
        <v>71</v>
      </c>
      <c r="P17" s="78" t="s">
        <v>13</v>
      </c>
      <c r="Q17" s="77" t="s">
        <v>72</v>
      </c>
      <c r="R17" s="71" t="s">
        <v>73</v>
      </c>
      <c r="S17" s="72"/>
      <c r="T17" s="73"/>
      <c r="U17" s="75"/>
      <c r="V17" s="102">
        <v>46115</v>
      </c>
      <c r="W17" s="70">
        <v>3</v>
      </c>
      <c r="X17" s="97" t="s">
        <v>75</v>
      </c>
      <c r="Y17" s="104">
        <f t="shared" si="2"/>
        <v>46206</v>
      </c>
      <c r="Z17" s="105">
        <f ca="1" t="shared" si="3"/>
        <v>39</v>
      </c>
      <c r="AA17" s="70"/>
      <c r="AB17" s="70"/>
      <c r="AC17" s="78"/>
      <c r="AD17" s="77"/>
      <c r="AE17" s="71"/>
      <c r="AF17" s="72"/>
      <c r="AG17" s="73"/>
      <c r="AH17" s="79"/>
      <c r="AI17" s="102"/>
      <c r="AJ17" s="70"/>
      <c r="AK17" s="97"/>
      <c r="AL17" s="104"/>
      <c r="AM17" s="105"/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44</v>
      </c>
      <c r="C18" s="78" t="s">
        <v>31</v>
      </c>
      <c r="D18" s="77" t="s">
        <v>76</v>
      </c>
      <c r="E18" s="71" t="s">
        <v>77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78</v>
      </c>
      <c r="L18" s="104">
        <f t="shared" si="0"/>
        <v>46116</v>
      </c>
      <c r="M18" s="105">
        <f ca="1" t="shared" si="1"/>
        <v>-51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2"/>
        <v>0</v>
      </c>
      <c r="Z18" s="105">
        <f ca="1" t="shared" si="3"/>
        <v>-46167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/>
      <c r="AM18" s="105"/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44</v>
      </c>
      <c r="C19" s="78" t="s">
        <v>31</v>
      </c>
      <c r="D19" s="77" t="s">
        <v>79</v>
      </c>
      <c r="E19" s="71" t="s">
        <v>52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80</v>
      </c>
      <c r="L19" s="104">
        <f t="shared" si="0"/>
        <v>46116</v>
      </c>
      <c r="M19" s="105">
        <f ca="1" t="shared" si="1"/>
        <v>-51</v>
      </c>
      <c r="N19" s="70"/>
      <c r="O19" s="70" t="s">
        <v>44</v>
      </c>
      <c r="P19" s="78" t="s">
        <v>31</v>
      </c>
      <c r="Q19" s="77" t="s">
        <v>79</v>
      </c>
      <c r="R19" s="71" t="s">
        <v>52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81</v>
      </c>
      <c r="Y19" s="104">
        <f t="shared" si="2"/>
        <v>46207</v>
      </c>
      <c r="Z19" s="105">
        <f ca="1" t="shared" si="3"/>
        <v>40</v>
      </c>
      <c r="AA19" s="70"/>
      <c r="AB19" s="70"/>
      <c r="AC19" s="78"/>
      <c r="AD19" s="77"/>
      <c r="AE19" s="71"/>
      <c r="AF19" s="72"/>
      <c r="AG19" s="73"/>
      <c r="AH19" s="79"/>
      <c r="AI19" s="102"/>
      <c r="AJ19" s="70"/>
      <c r="AK19" s="97"/>
      <c r="AL19" s="104"/>
      <c r="AM19" s="105"/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44</v>
      </c>
      <c r="C20" s="78" t="s">
        <v>31</v>
      </c>
      <c r="D20" s="77" t="s">
        <v>82</v>
      </c>
      <c r="E20" s="71" t="s">
        <v>52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83</v>
      </c>
      <c r="L20" s="104">
        <f t="shared" si="0"/>
        <v>46116</v>
      </c>
      <c r="M20" s="105">
        <f ca="1" t="shared" si="1"/>
        <v>-51</v>
      </c>
      <c r="N20" s="70"/>
      <c r="O20" s="70" t="s">
        <v>44</v>
      </c>
      <c r="P20" s="78" t="s">
        <v>31</v>
      </c>
      <c r="Q20" s="77" t="s">
        <v>82</v>
      </c>
      <c r="R20" s="71" t="s">
        <v>52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84</v>
      </c>
      <c r="Y20" s="104">
        <f t="shared" si="2"/>
        <v>46207</v>
      </c>
      <c r="Z20" s="105">
        <f ca="1" t="shared" si="3"/>
        <v>40</v>
      </c>
      <c r="AA20" s="70"/>
      <c r="AB20" s="70"/>
      <c r="AC20" s="78"/>
      <c r="AD20" s="77"/>
      <c r="AE20" s="71"/>
      <c r="AF20" s="72"/>
      <c r="AG20" s="73"/>
      <c r="AH20" s="114"/>
      <c r="AI20" s="102"/>
      <c r="AJ20" s="70"/>
      <c r="AK20" s="107"/>
      <c r="AL20" s="104"/>
      <c r="AM20" s="105"/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44</v>
      </c>
      <c r="C21" s="78" t="s">
        <v>13</v>
      </c>
      <c r="D21" s="80" t="s">
        <v>85</v>
      </c>
      <c r="E21" s="77" t="s">
        <v>86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87</v>
      </c>
      <c r="L21" s="104">
        <f t="shared" si="0"/>
        <v>46116</v>
      </c>
      <c r="M21" s="105">
        <f ca="1" t="shared" si="1"/>
        <v>-51</v>
      </c>
      <c r="N21" s="70"/>
      <c r="O21" s="70" t="s">
        <v>44</v>
      </c>
      <c r="P21" s="78" t="s">
        <v>13</v>
      </c>
      <c r="Q21" s="80" t="s">
        <v>85</v>
      </c>
      <c r="R21" s="77" t="s">
        <v>86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88</v>
      </c>
      <c r="Y21" s="104">
        <f t="shared" si="2"/>
        <v>46212</v>
      </c>
      <c r="Z21" s="105">
        <f ca="1" t="shared" si="3"/>
        <v>45</v>
      </c>
      <c r="AA21" s="70"/>
      <c r="AB21" s="70"/>
      <c r="AC21" s="70"/>
      <c r="AD21" s="80"/>
      <c r="AE21" s="77"/>
      <c r="AF21" s="81"/>
      <c r="AG21" s="82"/>
      <c r="AH21" s="114"/>
      <c r="AI21" s="110"/>
      <c r="AJ21" s="70"/>
      <c r="AK21" s="97"/>
      <c r="AL21" s="104"/>
      <c r="AM21" s="105"/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44</v>
      </c>
      <c r="C22" s="78" t="s">
        <v>13</v>
      </c>
      <c r="D22" s="70" t="s">
        <v>89</v>
      </c>
      <c r="E22" s="72" t="s">
        <v>57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90</v>
      </c>
      <c r="L22" s="104">
        <f t="shared" si="0"/>
        <v>46116</v>
      </c>
      <c r="M22" s="105">
        <f ca="1" t="shared" si="1"/>
        <v>-51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2"/>
        <v>0</v>
      </c>
      <c r="Z22" s="105">
        <f ca="1" t="shared" si="3"/>
        <v>-46167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/>
      <c r="AM22" s="105"/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44</v>
      </c>
      <c r="C23" s="78" t="s">
        <v>13</v>
      </c>
      <c r="D23" s="70" t="s">
        <v>91</v>
      </c>
      <c r="E23" s="72" t="s">
        <v>57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92</v>
      </c>
      <c r="L23" s="104">
        <f t="shared" si="0"/>
        <v>46116</v>
      </c>
      <c r="M23" s="105">
        <f ca="1" t="shared" si="1"/>
        <v>-51</v>
      </c>
      <c r="N23" s="70"/>
      <c r="O23" s="70" t="s">
        <v>44</v>
      </c>
      <c r="P23" s="78" t="s">
        <v>13</v>
      </c>
      <c r="Q23" s="70" t="s">
        <v>91</v>
      </c>
      <c r="R23" s="72" t="s">
        <v>57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93</v>
      </c>
      <c r="Y23" s="104">
        <f t="shared" si="2"/>
        <v>46212</v>
      </c>
      <c r="Z23" s="105">
        <f ca="1" t="shared" si="3"/>
        <v>45</v>
      </c>
      <c r="AA23" s="70"/>
      <c r="AB23" s="70"/>
      <c r="AC23" s="70"/>
      <c r="AD23" s="70"/>
      <c r="AE23" s="72"/>
      <c r="AF23" s="72"/>
      <c r="AG23" s="73"/>
      <c r="AH23" s="114"/>
      <c r="AI23" s="110"/>
      <c r="AJ23" s="70"/>
      <c r="AK23" s="103"/>
      <c r="AL23" s="104"/>
      <c r="AM23" s="105"/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44</v>
      </c>
      <c r="C24" s="78" t="s">
        <v>13</v>
      </c>
      <c r="D24" s="83" t="s">
        <v>94</v>
      </c>
      <c r="E24" s="72" t="s">
        <v>95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96</v>
      </c>
      <c r="L24" s="104">
        <f t="shared" si="0"/>
        <v>46116</v>
      </c>
      <c r="M24" s="105">
        <f ca="1" t="shared" si="1"/>
        <v>-51</v>
      </c>
      <c r="N24" s="70"/>
      <c r="O24" s="70" t="s">
        <v>44</v>
      </c>
      <c r="P24" s="78" t="s">
        <v>13</v>
      </c>
      <c r="Q24" s="83" t="s">
        <v>94</v>
      </c>
      <c r="R24" s="72" t="s">
        <v>95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97</v>
      </c>
      <c r="Y24" s="104">
        <f t="shared" si="2"/>
        <v>46205</v>
      </c>
      <c r="Z24" s="105">
        <f ca="1" t="shared" si="3"/>
        <v>38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/>
      <c r="AM24" s="105"/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98</v>
      </c>
      <c r="C25" s="78" t="s">
        <v>13</v>
      </c>
      <c r="D25" s="83" t="s">
        <v>99</v>
      </c>
      <c r="E25" s="72" t="s">
        <v>57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100</v>
      </c>
      <c r="L25" s="104">
        <f t="shared" si="0"/>
        <v>46116</v>
      </c>
      <c r="M25" s="105">
        <f ca="1" t="shared" si="1"/>
        <v>-51</v>
      </c>
      <c r="N25" s="70"/>
      <c r="O25" s="70" t="s">
        <v>98</v>
      </c>
      <c r="P25" s="78" t="s">
        <v>13</v>
      </c>
      <c r="Q25" s="83" t="s">
        <v>99</v>
      </c>
      <c r="R25" s="72" t="s">
        <v>57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101</v>
      </c>
      <c r="Y25" s="104">
        <f t="shared" si="2"/>
        <v>46206</v>
      </c>
      <c r="Z25" s="105">
        <f ca="1" t="shared" si="3"/>
        <v>39</v>
      </c>
      <c r="AA25" s="70"/>
      <c r="AB25" s="70"/>
      <c r="AC25" s="70"/>
      <c r="AD25" s="83"/>
      <c r="AE25" s="72"/>
      <c r="AF25" s="72"/>
      <c r="AG25" s="73"/>
      <c r="AH25" s="114"/>
      <c r="AI25" s="110"/>
      <c r="AJ25" s="70"/>
      <c r="AK25" s="103"/>
      <c r="AL25" s="104"/>
      <c r="AM25" s="105"/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102</v>
      </c>
      <c r="C26" s="70" t="s">
        <v>13</v>
      </c>
      <c r="D26" s="83" t="s">
        <v>103</v>
      </c>
      <c r="E26" s="72" t="s">
        <v>104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105</v>
      </c>
      <c r="L26" s="104">
        <f t="shared" si="0"/>
        <v>46116</v>
      </c>
      <c r="M26" s="105">
        <f ca="1" t="shared" si="1"/>
        <v>-51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2"/>
        <v>0</v>
      </c>
      <c r="Z26" s="105">
        <f ca="1" t="shared" si="3"/>
        <v>-46167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/>
      <c r="AM26" s="105"/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102</v>
      </c>
      <c r="C27" s="70" t="s">
        <v>13</v>
      </c>
      <c r="D27" s="83" t="s">
        <v>106</v>
      </c>
      <c r="E27" s="72" t="s">
        <v>57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107</v>
      </c>
      <c r="L27" s="104">
        <f t="shared" si="0"/>
        <v>46116</v>
      </c>
      <c r="M27" s="105">
        <f ca="1" t="shared" si="1"/>
        <v>-51</v>
      </c>
      <c r="N27" s="70"/>
      <c r="O27" s="70" t="s">
        <v>102</v>
      </c>
      <c r="P27" s="70" t="s">
        <v>13</v>
      </c>
      <c r="Q27" s="83" t="s">
        <v>106</v>
      </c>
      <c r="R27" s="72" t="s">
        <v>57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108</v>
      </c>
      <c r="Y27" s="104">
        <f t="shared" si="2"/>
        <v>46204</v>
      </c>
      <c r="Z27" s="105">
        <f ca="1" t="shared" si="3"/>
        <v>37</v>
      </c>
      <c r="AA27" s="70"/>
      <c r="AB27" s="70"/>
      <c r="AC27" s="70"/>
      <c r="AD27" s="83"/>
      <c r="AE27" s="72"/>
      <c r="AF27" s="72"/>
      <c r="AG27" s="73"/>
      <c r="AH27" s="79"/>
      <c r="AI27" s="110"/>
      <c r="AJ27" s="70"/>
      <c r="AK27" s="103"/>
      <c r="AL27" s="104"/>
      <c r="AM27" s="105"/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109</v>
      </c>
      <c r="C28" s="70" t="s">
        <v>31</v>
      </c>
      <c r="D28" s="70" t="s">
        <v>110</v>
      </c>
      <c r="E28" s="72" t="s">
        <v>111</v>
      </c>
      <c r="F28" s="72"/>
      <c r="G28" s="73"/>
      <c r="H28" s="75"/>
      <c r="I28" s="102">
        <v>46026</v>
      </c>
      <c r="J28" s="70">
        <v>3</v>
      </c>
      <c r="K28" s="106" t="s">
        <v>112</v>
      </c>
      <c r="L28" s="104">
        <f t="shared" si="0"/>
        <v>46116</v>
      </c>
      <c r="M28" s="105">
        <f ca="1" t="shared" si="1"/>
        <v>-51</v>
      </c>
      <c r="N28" s="70"/>
      <c r="O28" s="70" t="s">
        <v>109</v>
      </c>
      <c r="P28" s="70" t="s">
        <v>31</v>
      </c>
      <c r="Q28" s="70" t="s">
        <v>110</v>
      </c>
      <c r="R28" s="72" t="s">
        <v>111</v>
      </c>
      <c r="S28" s="72"/>
      <c r="T28" s="73"/>
      <c r="U28" s="75"/>
      <c r="V28" s="110">
        <v>46156</v>
      </c>
      <c r="W28" s="70">
        <v>3</v>
      </c>
      <c r="X28" s="103" t="s">
        <v>113</v>
      </c>
      <c r="Y28" s="104">
        <f t="shared" si="2"/>
        <v>46248</v>
      </c>
      <c r="Z28" s="105">
        <f ca="1" t="shared" si="3"/>
        <v>81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/>
      <c r="AM28" s="105"/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114</v>
      </c>
      <c r="C29" s="70" t="s">
        <v>31</v>
      </c>
      <c r="D29" s="83" t="s">
        <v>115</v>
      </c>
      <c r="E29" s="72" t="s">
        <v>116</v>
      </c>
      <c r="F29" s="72"/>
      <c r="G29" s="73"/>
      <c r="H29" s="75"/>
      <c r="I29" s="102">
        <v>46026</v>
      </c>
      <c r="J29" s="70">
        <v>3</v>
      </c>
      <c r="K29" s="106" t="s">
        <v>117</v>
      </c>
      <c r="L29" s="104">
        <f t="shared" si="0"/>
        <v>46116</v>
      </c>
      <c r="M29" s="105">
        <f ca="1" t="shared" si="1"/>
        <v>-51</v>
      </c>
      <c r="N29" s="70"/>
      <c r="O29" s="70" t="s">
        <v>114</v>
      </c>
      <c r="P29" s="70" t="s">
        <v>31</v>
      </c>
      <c r="Q29" s="83" t="s">
        <v>115</v>
      </c>
      <c r="R29" s="72" t="s">
        <v>116</v>
      </c>
      <c r="S29" s="72"/>
      <c r="T29" s="73"/>
      <c r="U29" s="75"/>
      <c r="V29" s="102">
        <v>46116</v>
      </c>
      <c r="W29" s="70">
        <v>3</v>
      </c>
      <c r="X29" s="103" t="s">
        <v>118</v>
      </c>
      <c r="Y29" s="104">
        <f t="shared" si="2"/>
        <v>46207</v>
      </c>
      <c r="Z29" s="105">
        <f ca="1" t="shared" si="3"/>
        <v>40</v>
      </c>
      <c r="AA29" s="70"/>
      <c r="AB29" s="70"/>
      <c r="AC29" s="70"/>
      <c r="AD29" s="71"/>
      <c r="AE29" s="71"/>
      <c r="AF29" s="72"/>
      <c r="AG29" s="73"/>
      <c r="AH29" s="74"/>
      <c r="AI29" s="102"/>
      <c r="AJ29" s="70"/>
      <c r="AK29" s="103"/>
      <c r="AL29" s="104"/>
      <c r="AM29" s="105"/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114</v>
      </c>
      <c r="C30" s="70" t="s">
        <v>31</v>
      </c>
      <c r="D30" s="83" t="s">
        <v>119</v>
      </c>
      <c r="E30" s="72" t="s">
        <v>120</v>
      </c>
      <c r="F30" s="72"/>
      <c r="G30" s="73"/>
      <c r="H30" s="75"/>
      <c r="I30" s="102">
        <v>46026</v>
      </c>
      <c r="J30" s="70">
        <v>3</v>
      </c>
      <c r="K30" s="106" t="s">
        <v>121</v>
      </c>
      <c r="L30" s="104">
        <f t="shared" si="0"/>
        <v>46116</v>
      </c>
      <c r="M30" s="105">
        <f ca="1" t="shared" si="1"/>
        <v>-51</v>
      </c>
      <c r="N30" s="70"/>
      <c r="O30" s="70" t="s">
        <v>114</v>
      </c>
      <c r="P30" s="70" t="s">
        <v>31</v>
      </c>
      <c r="Q30" s="83" t="s">
        <v>119</v>
      </c>
      <c r="R30" s="72" t="s">
        <v>120</v>
      </c>
      <c r="S30" s="72"/>
      <c r="T30" s="73"/>
      <c r="U30" s="75"/>
      <c r="V30" s="102">
        <v>46116</v>
      </c>
      <c r="W30" s="70">
        <v>3</v>
      </c>
      <c r="X30" s="103" t="s">
        <v>122</v>
      </c>
      <c r="Y30" s="104">
        <f t="shared" si="2"/>
        <v>46207</v>
      </c>
      <c r="Z30" s="105">
        <f ca="1" t="shared" si="3"/>
        <v>40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/>
      <c r="AM30" s="105"/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123</v>
      </c>
      <c r="C31" s="70" t="s">
        <v>31</v>
      </c>
      <c r="D31" s="83" t="s">
        <v>124</v>
      </c>
      <c r="E31" s="72" t="s">
        <v>125</v>
      </c>
      <c r="F31" s="72"/>
      <c r="G31" s="73"/>
      <c r="H31" s="75"/>
      <c r="I31" s="102">
        <v>46026</v>
      </c>
      <c r="J31" s="70">
        <v>3</v>
      </c>
      <c r="K31" s="106" t="s">
        <v>126</v>
      </c>
      <c r="L31" s="104">
        <f t="shared" si="0"/>
        <v>46116</v>
      </c>
      <c r="M31" s="105">
        <f ca="1" t="shared" si="1"/>
        <v>-51</v>
      </c>
      <c r="N31" s="70"/>
      <c r="O31" s="70" t="s">
        <v>123</v>
      </c>
      <c r="P31" s="70" t="s">
        <v>31</v>
      </c>
      <c r="Q31" s="83" t="s">
        <v>124</v>
      </c>
      <c r="R31" s="72" t="s">
        <v>125</v>
      </c>
      <c r="S31" s="72"/>
      <c r="T31" s="73"/>
      <c r="U31" s="75"/>
      <c r="V31" s="110">
        <v>46125</v>
      </c>
      <c r="W31" s="70">
        <v>3</v>
      </c>
      <c r="X31" s="103" t="s">
        <v>127</v>
      </c>
      <c r="Y31" s="104">
        <f t="shared" si="2"/>
        <v>46216</v>
      </c>
      <c r="Z31" s="105">
        <f ca="1" t="shared" si="3"/>
        <v>49</v>
      </c>
      <c r="AA31" s="70"/>
      <c r="AB31" s="70"/>
      <c r="AC31" s="70"/>
      <c r="AD31" s="83"/>
      <c r="AE31" s="72"/>
      <c r="AF31" s="72"/>
      <c r="AG31" s="73"/>
      <c r="AH31" s="75"/>
      <c r="AI31" s="110"/>
      <c r="AJ31" s="70"/>
      <c r="AK31" s="103"/>
      <c r="AL31" s="104"/>
      <c r="AM31" s="105"/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128</v>
      </c>
      <c r="C32" s="70" t="s">
        <v>13</v>
      </c>
      <c r="D32" s="83" t="s">
        <v>129</v>
      </c>
      <c r="E32" s="72" t="s">
        <v>57</v>
      </c>
      <c r="F32" s="72"/>
      <c r="G32" s="73"/>
      <c r="H32" s="75"/>
      <c r="I32" s="102">
        <v>46026</v>
      </c>
      <c r="J32" s="70">
        <v>3</v>
      </c>
      <c r="K32" s="106" t="s">
        <v>130</v>
      </c>
      <c r="L32" s="104">
        <f t="shared" si="0"/>
        <v>46116</v>
      </c>
      <c r="M32" s="105">
        <f ca="1" t="shared" si="1"/>
        <v>-51</v>
      </c>
      <c r="N32" s="70"/>
      <c r="O32" s="70" t="s">
        <v>128</v>
      </c>
      <c r="P32" s="70" t="s">
        <v>13</v>
      </c>
      <c r="Q32" s="83" t="s">
        <v>129</v>
      </c>
      <c r="R32" s="72" t="s">
        <v>57</v>
      </c>
      <c r="S32" s="72"/>
      <c r="T32" s="73"/>
      <c r="U32" s="75"/>
      <c r="V32" s="110">
        <v>46129</v>
      </c>
      <c r="W32" s="70">
        <v>3</v>
      </c>
      <c r="X32" s="103" t="s">
        <v>131</v>
      </c>
      <c r="Y32" s="104">
        <f t="shared" si="2"/>
        <v>46220</v>
      </c>
      <c r="Z32" s="105">
        <f ca="1" t="shared" si="3"/>
        <v>53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/>
      <c r="AM32" s="105"/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132</v>
      </c>
      <c r="C33" s="70" t="s">
        <v>31</v>
      </c>
      <c r="D33" s="83" t="s">
        <v>133</v>
      </c>
      <c r="E33" s="72" t="s">
        <v>134</v>
      </c>
      <c r="F33" s="72"/>
      <c r="G33" s="73"/>
      <c r="H33" s="75"/>
      <c r="I33" s="102">
        <v>46026</v>
      </c>
      <c r="J33" s="70">
        <v>3</v>
      </c>
      <c r="K33" s="106" t="s">
        <v>135</v>
      </c>
      <c r="L33" s="104">
        <f t="shared" si="0"/>
        <v>46116</v>
      </c>
      <c r="M33" s="105">
        <f ca="1" t="shared" si="1"/>
        <v>-51</v>
      </c>
      <c r="N33" s="70"/>
      <c r="O33" s="70" t="s">
        <v>132</v>
      </c>
      <c r="P33" s="70" t="s">
        <v>31</v>
      </c>
      <c r="Q33" s="83" t="s">
        <v>133</v>
      </c>
      <c r="R33" s="72" t="s">
        <v>134</v>
      </c>
      <c r="S33" s="72"/>
      <c r="T33" s="73"/>
      <c r="U33" s="75"/>
      <c r="V33" s="102">
        <v>46114</v>
      </c>
      <c r="W33" s="70">
        <v>3</v>
      </c>
      <c r="X33" s="103" t="s">
        <v>136</v>
      </c>
      <c r="Y33" s="104">
        <f t="shared" si="2"/>
        <v>46205</v>
      </c>
      <c r="Z33" s="105">
        <f ca="1" t="shared" si="3"/>
        <v>38</v>
      </c>
      <c r="AA33" s="70"/>
      <c r="AB33" s="70"/>
      <c r="AC33" s="70"/>
      <c r="AD33" s="83"/>
      <c r="AE33" s="72"/>
      <c r="AF33" s="72"/>
      <c r="AG33" s="73"/>
      <c r="AH33" s="79"/>
      <c r="AI33" s="110"/>
      <c r="AJ33" s="70"/>
      <c r="AK33" s="103"/>
      <c r="AL33" s="104"/>
      <c r="AM33" s="105"/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137</v>
      </c>
      <c r="C34" s="70" t="s">
        <v>31</v>
      </c>
      <c r="D34" s="84" t="s">
        <v>138</v>
      </c>
      <c r="E34" s="72" t="s">
        <v>41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139</v>
      </c>
      <c r="L34" s="104">
        <f t="shared" si="0"/>
        <v>46116</v>
      </c>
      <c r="M34" s="105">
        <f ca="1" t="shared" si="1"/>
        <v>-51</v>
      </c>
      <c r="N34" s="70"/>
      <c r="O34" s="70" t="s">
        <v>137</v>
      </c>
      <c r="P34" s="70" t="s">
        <v>31</v>
      </c>
      <c r="Q34" s="84" t="s">
        <v>138</v>
      </c>
      <c r="R34" s="72" t="s">
        <v>41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140</v>
      </c>
      <c r="Y34" s="104">
        <f t="shared" si="2"/>
        <v>46233</v>
      </c>
      <c r="Z34" s="105">
        <f ca="1" t="shared" si="3"/>
        <v>66</v>
      </c>
      <c r="AA34" s="70"/>
      <c r="AB34" s="115"/>
      <c r="AC34" s="115"/>
      <c r="AD34" s="116"/>
      <c r="AE34" s="117"/>
      <c r="AF34" s="117"/>
      <c r="AG34" s="123"/>
      <c r="AH34" s="92"/>
      <c r="AI34" s="110"/>
      <c r="AJ34" s="70"/>
      <c r="AK34" s="103"/>
      <c r="AL34" s="104"/>
      <c r="AM34" s="105"/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137</v>
      </c>
      <c r="C35" s="70" t="s">
        <v>31</v>
      </c>
      <c r="D35" s="84" t="s">
        <v>141</v>
      </c>
      <c r="E35" s="72" t="s">
        <v>33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142</v>
      </c>
      <c r="L35" s="104">
        <f t="shared" si="0"/>
        <v>46116</v>
      </c>
      <c r="M35" s="105">
        <f ca="1" t="shared" si="1"/>
        <v>-51</v>
      </c>
      <c r="N35" s="71"/>
      <c r="O35" s="70" t="s">
        <v>137</v>
      </c>
      <c r="P35" s="70" t="s">
        <v>31</v>
      </c>
      <c r="Q35" s="84" t="s">
        <v>141</v>
      </c>
      <c r="R35" s="72" t="s">
        <v>33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143</v>
      </c>
      <c r="Y35" s="104">
        <f t="shared" si="2"/>
        <v>46233</v>
      </c>
      <c r="Z35" s="105">
        <f ca="1" t="shared" si="3"/>
        <v>66</v>
      </c>
      <c r="AA35" s="70"/>
      <c r="AB35" s="70"/>
      <c r="AC35" s="70"/>
      <c r="AD35" s="118"/>
      <c r="AE35" s="72"/>
      <c r="AF35" s="72"/>
      <c r="AG35" s="73"/>
      <c r="AH35" s="86"/>
      <c r="AI35" s="111"/>
      <c r="AJ35" s="70"/>
      <c r="AK35" s="103"/>
      <c r="AL35" s="104"/>
      <c r="AM35" s="105"/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137</v>
      </c>
      <c r="C36" s="70" t="s">
        <v>13</v>
      </c>
      <c r="D36" s="87" t="s">
        <v>144</v>
      </c>
      <c r="E36" s="88" t="s">
        <v>104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145</v>
      </c>
      <c r="L36" s="104">
        <f t="shared" si="0"/>
        <v>46116</v>
      </c>
      <c r="M36" s="105">
        <f ca="1" t="shared" si="1"/>
        <v>-51</v>
      </c>
      <c r="N36" s="71"/>
      <c r="O36" s="70" t="s">
        <v>137</v>
      </c>
      <c r="P36" s="70" t="s">
        <v>13</v>
      </c>
      <c r="Q36" s="87" t="s">
        <v>144</v>
      </c>
      <c r="R36" s="88" t="s">
        <v>104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146</v>
      </c>
      <c r="Y36" s="104">
        <f t="shared" ref="Y36:Y61" si="4">EDATE(V36,W36)</f>
        <v>46233</v>
      </c>
      <c r="Z36" s="105">
        <f ca="1" t="shared" ref="Z36:Z61" si="5">Y36-TODAY()</f>
        <v>66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/>
      <c r="AM36" s="105"/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137</v>
      </c>
      <c r="C37" s="91" t="s">
        <v>31</v>
      </c>
      <c r="D37" s="87" t="s">
        <v>147</v>
      </c>
      <c r="E37" s="88" t="s">
        <v>148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149</v>
      </c>
      <c r="L37" s="104">
        <f t="shared" si="0"/>
        <v>46116</v>
      </c>
      <c r="M37" s="105">
        <f ca="1" t="shared" si="1"/>
        <v>-51</v>
      </c>
      <c r="N37" s="70"/>
      <c r="O37" s="70" t="s">
        <v>137</v>
      </c>
      <c r="P37" s="91" t="s">
        <v>31</v>
      </c>
      <c r="Q37" s="87" t="s">
        <v>147</v>
      </c>
      <c r="R37" s="88" t="s">
        <v>148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150</v>
      </c>
      <c r="Y37" s="104">
        <f t="shared" si="4"/>
        <v>46233</v>
      </c>
      <c r="Z37" s="105">
        <f ca="1" t="shared" si="5"/>
        <v>66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/>
      <c r="AM37" s="105"/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151</v>
      </c>
      <c r="E38" s="88" t="s">
        <v>28</v>
      </c>
      <c r="F38" s="89"/>
      <c r="G38" s="90"/>
      <c r="H38" s="92"/>
      <c r="I38" s="102">
        <v>46027</v>
      </c>
      <c r="J38" s="70">
        <v>3</v>
      </c>
      <c r="K38" s="107" t="s">
        <v>152</v>
      </c>
      <c r="L38" s="104">
        <f t="shared" si="0"/>
        <v>46117</v>
      </c>
      <c r="M38" s="105">
        <f ca="1" t="shared" si="1"/>
        <v>-50</v>
      </c>
      <c r="N38" s="70"/>
      <c r="O38" s="70" t="s">
        <v>12</v>
      </c>
      <c r="P38" s="91" t="s">
        <v>13</v>
      </c>
      <c r="Q38" s="87" t="s">
        <v>151</v>
      </c>
      <c r="R38" s="88" t="s">
        <v>28</v>
      </c>
      <c r="S38" s="89"/>
      <c r="T38" s="90"/>
      <c r="U38" s="92"/>
      <c r="V38" s="111">
        <v>46120</v>
      </c>
      <c r="W38" s="70">
        <v>3</v>
      </c>
      <c r="X38" s="103" t="s">
        <v>153</v>
      </c>
      <c r="Y38" s="104">
        <f t="shared" si="4"/>
        <v>46211</v>
      </c>
      <c r="Z38" s="105">
        <f ca="1" t="shared" si="5"/>
        <v>44</v>
      </c>
      <c r="AA38" s="70"/>
      <c r="AB38" s="70"/>
      <c r="AC38" s="91"/>
      <c r="AD38" s="87"/>
      <c r="AE38" s="88"/>
      <c r="AF38" s="89"/>
      <c r="AG38" s="90"/>
      <c r="AH38" s="86"/>
      <c r="AI38" s="111"/>
      <c r="AJ38" s="70"/>
      <c r="AK38" s="103"/>
      <c r="AL38" s="104"/>
      <c r="AM38" s="105"/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31</v>
      </c>
      <c r="D39" s="87" t="s">
        <v>154</v>
      </c>
      <c r="E39" s="88" t="s">
        <v>52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155</v>
      </c>
      <c r="L39" s="104">
        <f t="shared" si="0"/>
        <v>46117</v>
      </c>
      <c r="M39" s="105">
        <f ca="1" t="shared" si="1"/>
        <v>-50</v>
      </c>
      <c r="N39" s="70"/>
      <c r="O39" s="70" t="s">
        <v>12</v>
      </c>
      <c r="P39" s="91" t="s">
        <v>31</v>
      </c>
      <c r="Q39" s="87" t="s">
        <v>154</v>
      </c>
      <c r="R39" s="88" t="s">
        <v>52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156</v>
      </c>
      <c r="Y39" s="104">
        <f t="shared" si="4"/>
        <v>46213</v>
      </c>
      <c r="Z39" s="105">
        <f ca="1" t="shared" si="5"/>
        <v>46</v>
      </c>
      <c r="AA39" s="70"/>
      <c r="AB39" s="70"/>
      <c r="AC39" s="84"/>
      <c r="AD39" s="87"/>
      <c r="AE39" s="88"/>
      <c r="AF39" s="89"/>
      <c r="AG39" s="90"/>
      <c r="AH39" s="86"/>
      <c r="AI39" s="111"/>
      <c r="AJ39" s="70"/>
      <c r="AK39" s="103"/>
      <c r="AL39" s="104"/>
      <c r="AM39" s="105"/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31</v>
      </c>
      <c r="D40" s="87" t="s">
        <v>157</v>
      </c>
      <c r="E40" s="88" t="s">
        <v>52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158</v>
      </c>
      <c r="L40" s="104">
        <f t="shared" si="0"/>
        <v>46117</v>
      </c>
      <c r="M40" s="105">
        <f ca="1" t="shared" si="1"/>
        <v>-50</v>
      </c>
      <c r="N40" s="70"/>
      <c r="O40" s="70" t="s">
        <v>12</v>
      </c>
      <c r="P40" s="91" t="s">
        <v>31</v>
      </c>
      <c r="Q40" s="87" t="s">
        <v>157</v>
      </c>
      <c r="R40" s="88" t="s">
        <v>52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159</v>
      </c>
      <c r="Y40" s="104">
        <f t="shared" si="4"/>
        <v>46212</v>
      </c>
      <c r="Z40" s="105">
        <f ca="1" t="shared" si="5"/>
        <v>45</v>
      </c>
      <c r="AA40" s="70"/>
      <c r="AB40" s="70"/>
      <c r="AC40" s="84"/>
      <c r="AD40" s="87"/>
      <c r="AE40" s="88"/>
      <c r="AF40" s="89"/>
      <c r="AG40" s="90"/>
      <c r="AH40" s="86"/>
      <c r="AI40" s="111"/>
      <c r="AJ40" s="70"/>
      <c r="AK40" s="103"/>
      <c r="AL40" s="104"/>
      <c r="AM40" s="105"/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31</v>
      </c>
      <c r="D41" s="87" t="s">
        <v>160</v>
      </c>
      <c r="E41" s="88" t="s">
        <v>52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161</v>
      </c>
      <c r="L41" s="104">
        <f t="shared" si="0"/>
        <v>46117</v>
      </c>
      <c r="M41" s="105">
        <f ca="1" t="shared" si="1"/>
        <v>-50</v>
      </c>
      <c r="N41" s="70"/>
      <c r="O41" s="70" t="s">
        <v>12</v>
      </c>
      <c r="P41" s="91" t="s">
        <v>31</v>
      </c>
      <c r="Q41" s="87" t="s">
        <v>160</v>
      </c>
      <c r="R41" s="88" t="s">
        <v>52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162</v>
      </c>
      <c r="Y41" s="104">
        <f t="shared" si="4"/>
        <v>46225</v>
      </c>
      <c r="Z41" s="105">
        <f ca="1" t="shared" si="5"/>
        <v>58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/>
      <c r="AM41" s="105"/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31</v>
      </c>
      <c r="D42" s="93" t="s">
        <v>163</v>
      </c>
      <c r="E42" s="93" t="s">
        <v>24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164</v>
      </c>
      <c r="L42" s="104">
        <f t="shared" si="0"/>
        <v>46117</v>
      </c>
      <c r="M42" s="105">
        <f ca="1" t="shared" si="1"/>
        <v>-50</v>
      </c>
      <c r="N42" s="70"/>
      <c r="O42" s="70" t="s">
        <v>12</v>
      </c>
      <c r="P42" s="91" t="s">
        <v>31</v>
      </c>
      <c r="Q42" s="93" t="s">
        <v>163</v>
      </c>
      <c r="R42" s="93" t="s">
        <v>24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165</v>
      </c>
      <c r="Y42" s="104">
        <f t="shared" si="4"/>
        <v>46218</v>
      </c>
      <c r="Z42" s="105">
        <f ca="1" t="shared" si="5"/>
        <v>51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/>
      <c r="AM42" s="105"/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59</v>
      </c>
      <c r="C43" s="91" t="s">
        <v>31</v>
      </c>
      <c r="D43" s="93" t="s">
        <v>166</v>
      </c>
      <c r="E43" s="93" t="s">
        <v>167</v>
      </c>
      <c r="F43" s="94"/>
      <c r="G43" s="95"/>
      <c r="H43" s="96"/>
      <c r="I43" s="102">
        <v>46027</v>
      </c>
      <c r="J43" s="70">
        <v>3</v>
      </c>
      <c r="K43" s="107" t="s">
        <v>168</v>
      </c>
      <c r="L43" s="104">
        <f t="shared" si="0"/>
        <v>46117</v>
      </c>
      <c r="M43" s="105">
        <f ca="1" t="shared" si="1"/>
        <v>-50</v>
      </c>
      <c r="N43" s="70"/>
      <c r="O43" s="91" t="s">
        <v>59</v>
      </c>
      <c r="P43" s="91" t="s">
        <v>31</v>
      </c>
      <c r="Q43" s="93" t="s">
        <v>166</v>
      </c>
      <c r="R43" s="93" t="s">
        <v>167</v>
      </c>
      <c r="S43" s="94"/>
      <c r="T43" s="95"/>
      <c r="U43" s="96"/>
      <c r="V43" s="102">
        <v>46122</v>
      </c>
      <c r="W43" s="70">
        <v>3</v>
      </c>
      <c r="X43" s="97" t="s">
        <v>169</v>
      </c>
      <c r="Y43" s="104">
        <f t="shared" si="4"/>
        <v>46213</v>
      </c>
      <c r="Z43" s="105">
        <f ca="1" t="shared" si="5"/>
        <v>46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/>
      <c r="AM43" s="105"/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59</v>
      </c>
      <c r="C44" s="91" t="s">
        <v>31</v>
      </c>
      <c r="D44" s="93" t="s">
        <v>170</v>
      </c>
      <c r="E44" s="93" t="s">
        <v>171</v>
      </c>
      <c r="F44" s="94"/>
      <c r="G44" s="95"/>
      <c r="H44" s="96"/>
      <c r="I44" s="102">
        <v>46027</v>
      </c>
      <c r="J44" s="70">
        <v>3</v>
      </c>
      <c r="K44" s="107" t="s">
        <v>172</v>
      </c>
      <c r="L44" s="104">
        <f t="shared" si="0"/>
        <v>46117</v>
      </c>
      <c r="M44" s="105">
        <f ca="1" t="shared" si="1"/>
        <v>-50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4"/>
        <v>0</v>
      </c>
      <c r="Z44" s="105">
        <f ca="1" t="shared" si="5"/>
        <v>-46167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/>
      <c r="AM44" s="105"/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173</v>
      </c>
      <c r="C45" s="91" t="s">
        <v>31</v>
      </c>
      <c r="D45" s="93" t="s">
        <v>174</v>
      </c>
      <c r="E45" s="93" t="s">
        <v>175</v>
      </c>
      <c r="F45" s="94"/>
      <c r="G45" s="95"/>
      <c r="H45" s="96"/>
      <c r="I45" s="102">
        <v>46027</v>
      </c>
      <c r="J45" s="70">
        <v>3</v>
      </c>
      <c r="K45" s="107" t="s">
        <v>176</v>
      </c>
      <c r="L45" s="104">
        <f t="shared" si="0"/>
        <v>46117</v>
      </c>
      <c r="M45" s="105">
        <f ca="1" t="shared" si="1"/>
        <v>-50</v>
      </c>
      <c r="N45" s="70"/>
      <c r="O45" s="91" t="s">
        <v>173</v>
      </c>
      <c r="P45" s="91" t="s">
        <v>31</v>
      </c>
      <c r="Q45" s="93" t="s">
        <v>174</v>
      </c>
      <c r="R45" s="93" t="s">
        <v>175</v>
      </c>
      <c r="S45" s="94"/>
      <c r="T45" s="95"/>
      <c r="U45" s="96"/>
      <c r="V45" s="102">
        <v>46120</v>
      </c>
      <c r="W45" s="70">
        <v>3</v>
      </c>
      <c r="X45" s="97" t="s">
        <v>177</v>
      </c>
      <c r="Y45" s="104">
        <f t="shared" si="4"/>
        <v>46211</v>
      </c>
      <c r="Z45" s="105">
        <f ca="1" t="shared" si="5"/>
        <v>44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/>
      <c r="AM45" s="105"/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178</v>
      </c>
      <c r="C46" s="91" t="s">
        <v>13</v>
      </c>
      <c r="D46" s="70" t="s">
        <v>179</v>
      </c>
      <c r="E46" s="71" t="s">
        <v>28</v>
      </c>
      <c r="F46" s="72"/>
      <c r="G46" s="73"/>
      <c r="H46" s="96"/>
      <c r="I46" s="102">
        <v>46027</v>
      </c>
      <c r="J46" s="70">
        <v>3</v>
      </c>
      <c r="K46" s="107" t="s">
        <v>180</v>
      </c>
      <c r="L46" s="104">
        <f t="shared" si="0"/>
        <v>46117</v>
      </c>
      <c r="M46" s="105">
        <f ca="1" t="shared" si="1"/>
        <v>-50</v>
      </c>
      <c r="N46" s="70"/>
      <c r="O46" s="91" t="s">
        <v>178</v>
      </c>
      <c r="P46" s="91" t="s">
        <v>13</v>
      </c>
      <c r="Q46" s="70" t="s">
        <v>179</v>
      </c>
      <c r="R46" s="71" t="s">
        <v>28</v>
      </c>
      <c r="S46" s="72"/>
      <c r="T46" s="73"/>
      <c r="U46" s="96"/>
      <c r="V46" s="110">
        <v>46135</v>
      </c>
      <c r="W46" s="70">
        <v>3</v>
      </c>
      <c r="X46" s="97" t="s">
        <v>181</v>
      </c>
      <c r="Y46" s="104">
        <f t="shared" si="4"/>
        <v>46226</v>
      </c>
      <c r="Z46" s="105">
        <f ca="1" t="shared" si="5"/>
        <v>59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/>
      <c r="AM46" s="105"/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178</v>
      </c>
      <c r="C47" s="91" t="s">
        <v>13</v>
      </c>
      <c r="D47" s="71" t="s">
        <v>182</v>
      </c>
      <c r="E47" s="71" t="s">
        <v>57</v>
      </c>
      <c r="F47" s="72"/>
      <c r="G47" s="73"/>
      <c r="H47" s="96"/>
      <c r="I47" s="102">
        <v>46027</v>
      </c>
      <c r="J47" s="70">
        <v>3</v>
      </c>
      <c r="K47" s="107" t="s">
        <v>183</v>
      </c>
      <c r="L47" s="104">
        <f t="shared" si="0"/>
        <v>46117</v>
      </c>
      <c r="M47" s="105">
        <f ca="1" t="shared" si="1"/>
        <v>-50</v>
      </c>
      <c r="N47" s="70"/>
      <c r="O47" s="91" t="s">
        <v>178</v>
      </c>
      <c r="P47" s="91" t="s">
        <v>13</v>
      </c>
      <c r="Q47" s="71" t="s">
        <v>182</v>
      </c>
      <c r="R47" s="71" t="s">
        <v>57</v>
      </c>
      <c r="S47" s="72"/>
      <c r="T47" s="73"/>
      <c r="U47" s="96"/>
      <c r="V47" s="110">
        <v>46114</v>
      </c>
      <c r="W47" s="70">
        <v>3</v>
      </c>
      <c r="X47" s="103" t="s">
        <v>184</v>
      </c>
      <c r="Y47" s="104">
        <f t="shared" si="4"/>
        <v>46205</v>
      </c>
      <c r="Z47" s="105">
        <f ca="1" t="shared" si="5"/>
        <v>38</v>
      </c>
      <c r="AA47" s="70"/>
      <c r="AB47" s="70"/>
      <c r="AC47" s="70"/>
      <c r="AD47" s="71"/>
      <c r="AE47" s="71"/>
      <c r="AF47" s="72"/>
      <c r="AG47" s="73"/>
      <c r="AH47" s="79"/>
      <c r="AI47" s="110"/>
      <c r="AJ47" s="70"/>
      <c r="AK47" s="103"/>
      <c r="AL47" s="104"/>
      <c r="AM47" s="105"/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178</v>
      </c>
      <c r="C48" s="91" t="s">
        <v>13</v>
      </c>
      <c r="D48" s="71" t="s">
        <v>185</v>
      </c>
      <c r="E48" s="71" t="s">
        <v>28</v>
      </c>
      <c r="F48" s="72"/>
      <c r="G48" s="73"/>
      <c r="H48" s="96"/>
      <c r="I48" s="102">
        <v>46027</v>
      </c>
      <c r="J48" s="70">
        <v>3</v>
      </c>
      <c r="K48" s="107" t="s">
        <v>186</v>
      </c>
      <c r="L48" s="104">
        <f t="shared" si="0"/>
        <v>46117</v>
      </c>
      <c r="M48" s="105">
        <f ca="1" t="shared" si="1"/>
        <v>-50</v>
      </c>
      <c r="N48" s="70"/>
      <c r="O48" s="91" t="s">
        <v>178</v>
      </c>
      <c r="P48" s="91" t="s">
        <v>13</v>
      </c>
      <c r="Q48" s="71" t="s">
        <v>185</v>
      </c>
      <c r="R48" s="71" t="s">
        <v>28</v>
      </c>
      <c r="S48" s="72"/>
      <c r="T48" s="73"/>
      <c r="U48" s="96"/>
      <c r="V48" s="110">
        <v>46122</v>
      </c>
      <c r="W48" s="70">
        <v>3</v>
      </c>
      <c r="X48" s="103" t="s">
        <v>187</v>
      </c>
      <c r="Y48" s="104">
        <f t="shared" si="4"/>
        <v>46213</v>
      </c>
      <c r="Z48" s="105">
        <f ca="1" t="shared" si="5"/>
        <v>46</v>
      </c>
      <c r="AA48" s="70"/>
      <c r="AB48" s="70"/>
      <c r="AC48" s="70"/>
      <c r="AD48" s="71"/>
      <c r="AE48" s="71"/>
      <c r="AF48" s="72"/>
      <c r="AG48" s="73"/>
      <c r="AH48" s="79"/>
      <c r="AI48" s="110"/>
      <c r="AJ48" s="70"/>
      <c r="AK48" s="103"/>
      <c r="AL48" s="104"/>
      <c r="AM48" s="105"/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44</v>
      </c>
      <c r="C49" s="70" t="s">
        <v>31</v>
      </c>
      <c r="D49" s="71" t="s">
        <v>188</v>
      </c>
      <c r="E49" s="71" t="s">
        <v>148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189</v>
      </c>
      <c r="L49" s="104">
        <f t="shared" si="0"/>
        <v>46117</v>
      </c>
      <c r="M49" s="105">
        <f ca="1" t="shared" si="1"/>
        <v>-50</v>
      </c>
      <c r="N49" s="70"/>
      <c r="O49" s="70" t="s">
        <v>44</v>
      </c>
      <c r="P49" s="70" t="s">
        <v>31</v>
      </c>
      <c r="Q49" s="71" t="s">
        <v>188</v>
      </c>
      <c r="R49" s="71" t="s">
        <v>148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190</v>
      </c>
      <c r="Y49" s="104">
        <f t="shared" si="4"/>
        <v>46207</v>
      </c>
      <c r="Z49" s="105">
        <f ca="1" t="shared" si="5"/>
        <v>40</v>
      </c>
      <c r="AA49" s="70"/>
      <c r="AB49" s="70"/>
      <c r="AC49" s="70"/>
      <c r="AD49" s="71"/>
      <c r="AE49" s="71"/>
      <c r="AF49" s="72"/>
      <c r="AG49" s="73"/>
      <c r="AH49" s="79"/>
      <c r="AI49" s="113"/>
      <c r="AJ49" s="70"/>
      <c r="AK49" s="103"/>
      <c r="AL49" s="104"/>
      <c r="AM49" s="105"/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44</v>
      </c>
      <c r="C50" s="70" t="s">
        <v>31</v>
      </c>
      <c r="D50" s="71" t="s">
        <v>191</v>
      </c>
      <c r="E50" s="71" t="s">
        <v>148</v>
      </c>
      <c r="F50" s="72"/>
      <c r="G50" s="73"/>
      <c r="H50" s="92"/>
      <c r="I50" s="102">
        <v>46027</v>
      </c>
      <c r="J50" s="70">
        <v>3</v>
      </c>
      <c r="K50" s="107" t="s">
        <v>192</v>
      </c>
      <c r="L50" s="104">
        <f t="shared" si="0"/>
        <v>46117</v>
      </c>
      <c r="M50" s="105">
        <f ca="1" t="shared" si="1"/>
        <v>-50</v>
      </c>
      <c r="N50" s="70"/>
      <c r="O50" s="70" t="s">
        <v>44</v>
      </c>
      <c r="P50" s="70" t="s">
        <v>31</v>
      </c>
      <c r="Q50" s="71" t="s">
        <v>191</v>
      </c>
      <c r="R50" s="71" t="s">
        <v>148</v>
      </c>
      <c r="S50" s="72"/>
      <c r="T50" s="73"/>
      <c r="U50" s="92"/>
      <c r="V50" s="113">
        <v>46116</v>
      </c>
      <c r="W50" s="70">
        <v>3</v>
      </c>
      <c r="X50" s="103" t="s">
        <v>193</v>
      </c>
      <c r="Y50" s="104">
        <f t="shared" si="4"/>
        <v>46207</v>
      </c>
      <c r="Z50" s="105">
        <f ca="1" t="shared" si="5"/>
        <v>40</v>
      </c>
      <c r="AA50" s="70"/>
      <c r="AB50" s="70"/>
      <c r="AC50" s="70"/>
      <c r="AD50" s="71"/>
      <c r="AE50" s="71"/>
      <c r="AF50" s="72"/>
      <c r="AG50" s="73"/>
      <c r="AH50" s="114"/>
      <c r="AI50" s="113"/>
      <c r="AJ50" s="70"/>
      <c r="AK50" s="103"/>
      <c r="AL50" s="104"/>
      <c r="AM50" s="105"/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44</v>
      </c>
      <c r="C51" s="70" t="s">
        <v>13</v>
      </c>
      <c r="D51" s="71" t="s">
        <v>194</v>
      </c>
      <c r="E51" s="71" t="s">
        <v>95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195</v>
      </c>
      <c r="L51" s="104">
        <f t="shared" si="0"/>
        <v>46117</v>
      </c>
      <c r="M51" s="105">
        <f ca="1" t="shared" si="1"/>
        <v>-50</v>
      </c>
      <c r="N51" s="70"/>
      <c r="O51" s="108" t="s">
        <v>196</v>
      </c>
      <c r="P51" s="70" t="s">
        <v>13</v>
      </c>
      <c r="Q51" s="71" t="s">
        <v>194</v>
      </c>
      <c r="R51" s="71" t="s">
        <v>95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197</v>
      </c>
      <c r="Y51" s="104">
        <f t="shared" si="4"/>
        <v>46203</v>
      </c>
      <c r="Z51" s="105">
        <f ca="1" t="shared" si="5"/>
        <v>36</v>
      </c>
      <c r="AA51" s="70"/>
      <c r="AB51" s="70"/>
      <c r="AC51" s="70"/>
      <c r="AD51" s="71"/>
      <c r="AE51" s="71"/>
      <c r="AF51" s="72"/>
      <c r="AG51" s="73"/>
      <c r="AH51" s="114"/>
      <c r="AI51" s="113"/>
      <c r="AJ51" s="70"/>
      <c r="AK51" s="103"/>
      <c r="AL51" s="104"/>
      <c r="AM51" s="105"/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198</v>
      </c>
      <c r="C52" s="70" t="s">
        <v>31</v>
      </c>
      <c r="D52" s="71" t="s">
        <v>199</v>
      </c>
      <c r="E52" s="71" t="s">
        <v>200</v>
      </c>
      <c r="F52" s="72"/>
      <c r="G52" s="73"/>
      <c r="H52" s="92"/>
      <c r="I52" s="102">
        <v>46027</v>
      </c>
      <c r="J52" s="70">
        <v>3</v>
      </c>
      <c r="K52" s="107" t="s">
        <v>201</v>
      </c>
      <c r="L52" s="104">
        <f t="shared" si="0"/>
        <v>46117</v>
      </c>
      <c r="M52" s="105">
        <f ca="1" t="shared" si="1"/>
        <v>-50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4"/>
        <v>0</v>
      </c>
      <c r="Z52" s="105">
        <f ca="1" t="shared" si="5"/>
        <v>-46167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/>
      <c r="AM52" s="105"/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202</v>
      </c>
      <c r="C53" s="70" t="s">
        <v>203</v>
      </c>
      <c r="D53" s="71" t="s">
        <v>204</v>
      </c>
      <c r="E53" s="71" t="s">
        <v>205</v>
      </c>
      <c r="F53" s="72"/>
      <c r="G53" s="73"/>
      <c r="H53" s="92"/>
      <c r="I53" s="102">
        <v>46027</v>
      </c>
      <c r="J53" s="70">
        <v>3</v>
      </c>
      <c r="K53" s="107" t="s">
        <v>206</v>
      </c>
      <c r="L53" s="104">
        <f t="shared" si="0"/>
        <v>46117</v>
      </c>
      <c r="M53" s="105">
        <f ca="1" t="shared" si="1"/>
        <v>-50</v>
      </c>
      <c r="N53" s="70"/>
      <c r="O53" s="70" t="s">
        <v>202</v>
      </c>
      <c r="P53" s="70" t="s">
        <v>203</v>
      </c>
      <c r="Q53" s="71" t="s">
        <v>204</v>
      </c>
      <c r="R53" s="71" t="s">
        <v>205</v>
      </c>
      <c r="S53" s="72"/>
      <c r="T53" s="73"/>
      <c r="U53" s="92"/>
      <c r="V53" s="113">
        <v>46120</v>
      </c>
      <c r="W53" s="70">
        <v>3</v>
      </c>
      <c r="X53" s="103" t="s">
        <v>207</v>
      </c>
      <c r="Y53" s="104">
        <f t="shared" si="4"/>
        <v>46211</v>
      </c>
      <c r="Z53" s="105">
        <f ca="1" t="shared" si="5"/>
        <v>44</v>
      </c>
      <c r="AA53" s="70"/>
      <c r="AB53" s="70"/>
      <c r="AC53" s="70"/>
      <c r="AD53" s="71"/>
      <c r="AE53" s="71"/>
      <c r="AF53" s="72"/>
      <c r="AG53" s="73"/>
      <c r="AH53" s="79"/>
      <c r="AI53" s="113"/>
      <c r="AJ53" s="70"/>
      <c r="AK53" s="103"/>
      <c r="AL53" s="104"/>
      <c r="AM53" s="105"/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208</v>
      </c>
      <c r="C54" s="70" t="s">
        <v>203</v>
      </c>
      <c r="D54" s="71" t="s">
        <v>209</v>
      </c>
      <c r="E54" s="71" t="s">
        <v>210</v>
      </c>
      <c r="F54" s="72"/>
      <c r="G54" s="73"/>
      <c r="H54" s="92"/>
      <c r="I54" s="102">
        <v>46027</v>
      </c>
      <c r="J54" s="70">
        <v>3</v>
      </c>
      <c r="K54" s="107" t="s">
        <v>211</v>
      </c>
      <c r="L54" s="104">
        <f t="shared" si="0"/>
        <v>46117</v>
      </c>
      <c r="M54" s="105">
        <f ca="1" t="shared" si="1"/>
        <v>-50</v>
      </c>
      <c r="N54" s="70"/>
      <c r="O54" s="70" t="s">
        <v>208</v>
      </c>
      <c r="P54" s="70" t="s">
        <v>203</v>
      </c>
      <c r="Q54" s="71" t="s">
        <v>209</v>
      </c>
      <c r="R54" s="71" t="s">
        <v>210</v>
      </c>
      <c r="S54" s="72"/>
      <c r="T54" s="73"/>
      <c r="U54" s="92"/>
      <c r="V54" s="113">
        <v>46114</v>
      </c>
      <c r="W54" s="70">
        <v>3</v>
      </c>
      <c r="X54" s="103" t="s">
        <v>212</v>
      </c>
      <c r="Y54" s="104">
        <f t="shared" si="4"/>
        <v>46205</v>
      </c>
      <c r="Z54" s="105">
        <f ca="1" t="shared" si="5"/>
        <v>38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/>
      <c r="AM54" s="105"/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208</v>
      </c>
      <c r="C55" s="70" t="s">
        <v>203</v>
      </c>
      <c r="D55" s="71" t="s">
        <v>213</v>
      </c>
      <c r="E55" s="71" t="s">
        <v>214</v>
      </c>
      <c r="F55" s="72"/>
      <c r="G55" s="73"/>
      <c r="H55" s="92"/>
      <c r="I55" s="102">
        <v>46027</v>
      </c>
      <c r="J55" s="70">
        <v>3</v>
      </c>
      <c r="K55" s="107" t="s">
        <v>215</v>
      </c>
      <c r="L55" s="104">
        <f t="shared" si="0"/>
        <v>46117</v>
      </c>
      <c r="M55" s="105">
        <f ca="1" t="shared" si="1"/>
        <v>-50</v>
      </c>
      <c r="N55" s="70"/>
      <c r="O55" s="70" t="s">
        <v>208</v>
      </c>
      <c r="P55" s="70" t="s">
        <v>203</v>
      </c>
      <c r="Q55" s="71" t="s">
        <v>213</v>
      </c>
      <c r="R55" s="71" t="s">
        <v>214</v>
      </c>
      <c r="S55" s="72"/>
      <c r="T55" s="73"/>
      <c r="U55" s="92"/>
      <c r="V55" s="102">
        <v>46127</v>
      </c>
      <c r="W55" s="70">
        <v>3</v>
      </c>
      <c r="X55" s="103" t="s">
        <v>216</v>
      </c>
      <c r="Y55" s="104">
        <f t="shared" si="4"/>
        <v>46218</v>
      </c>
      <c r="Z55" s="105">
        <f ca="1" t="shared" si="5"/>
        <v>51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/>
      <c r="AM55" s="105"/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217</v>
      </c>
      <c r="C56" s="70" t="s">
        <v>203</v>
      </c>
      <c r="D56" s="71" t="s">
        <v>218</v>
      </c>
      <c r="E56" s="71" t="s">
        <v>214</v>
      </c>
      <c r="F56" s="72"/>
      <c r="G56" s="73"/>
      <c r="H56" s="92"/>
      <c r="I56" s="102">
        <v>46027</v>
      </c>
      <c r="J56" s="70">
        <v>3</v>
      </c>
      <c r="K56" s="107" t="s">
        <v>219</v>
      </c>
      <c r="L56" s="104">
        <f t="shared" si="0"/>
        <v>46117</v>
      </c>
      <c r="M56" s="105">
        <f ca="1" t="shared" si="1"/>
        <v>-50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4"/>
        <v>0</v>
      </c>
      <c r="Z56" s="105">
        <f ca="1" t="shared" si="5"/>
        <v>-46167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/>
      <c r="AM56" s="105"/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217</v>
      </c>
      <c r="C57" s="70" t="s">
        <v>203</v>
      </c>
      <c r="D57" s="71" t="s">
        <v>220</v>
      </c>
      <c r="E57" s="71" t="s">
        <v>221</v>
      </c>
      <c r="F57" s="72"/>
      <c r="G57" s="73"/>
      <c r="H57" s="92"/>
      <c r="I57" s="102">
        <v>46027</v>
      </c>
      <c r="J57" s="70">
        <v>3</v>
      </c>
      <c r="K57" s="107" t="s">
        <v>222</v>
      </c>
      <c r="L57" s="104">
        <f t="shared" si="0"/>
        <v>46117</v>
      </c>
      <c r="M57" s="105">
        <f ca="1" t="shared" si="1"/>
        <v>-50</v>
      </c>
      <c r="N57" s="70"/>
      <c r="O57" s="70" t="s">
        <v>217</v>
      </c>
      <c r="P57" s="70" t="s">
        <v>203</v>
      </c>
      <c r="Q57" s="71" t="s">
        <v>220</v>
      </c>
      <c r="R57" s="71" t="s">
        <v>221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4"/>
        <v>46210</v>
      </c>
      <c r="Z57" s="105">
        <f ca="1" t="shared" si="5"/>
        <v>43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217</v>
      </c>
      <c r="C58" s="70" t="s">
        <v>203</v>
      </c>
      <c r="D58" s="71" t="s">
        <v>223</v>
      </c>
      <c r="E58" s="71" t="s">
        <v>224</v>
      </c>
      <c r="F58" s="72"/>
      <c r="G58" s="73"/>
      <c r="H58" s="92"/>
      <c r="I58" s="102">
        <v>46027</v>
      </c>
      <c r="J58" s="70">
        <v>3</v>
      </c>
      <c r="K58" s="107" t="s">
        <v>225</v>
      </c>
      <c r="L58" s="104">
        <f t="shared" si="0"/>
        <v>46117</v>
      </c>
      <c r="M58" s="105">
        <f ca="1" t="shared" si="1"/>
        <v>-50</v>
      </c>
      <c r="N58" s="70"/>
      <c r="O58" s="70" t="s">
        <v>217</v>
      </c>
      <c r="P58" s="70" t="s">
        <v>203</v>
      </c>
      <c r="Q58" s="71" t="s">
        <v>223</v>
      </c>
      <c r="R58" s="71" t="s">
        <v>224</v>
      </c>
      <c r="S58" s="72"/>
      <c r="T58" s="73"/>
      <c r="U58" s="92"/>
      <c r="V58" s="113">
        <v>46124</v>
      </c>
      <c r="W58" s="70">
        <v>3</v>
      </c>
      <c r="X58" s="103" t="s">
        <v>226</v>
      </c>
      <c r="Y58" s="104">
        <f t="shared" si="4"/>
        <v>46215</v>
      </c>
      <c r="Z58" s="105">
        <f ca="1" t="shared" si="5"/>
        <v>48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217</v>
      </c>
      <c r="C59" s="70" t="s">
        <v>203</v>
      </c>
      <c r="D59" s="71" t="s">
        <v>227</v>
      </c>
      <c r="E59" s="71" t="s">
        <v>228</v>
      </c>
      <c r="F59" s="72"/>
      <c r="G59" s="73"/>
      <c r="H59" s="92"/>
      <c r="I59" s="102">
        <v>46027</v>
      </c>
      <c r="J59" s="70">
        <v>3</v>
      </c>
      <c r="K59" s="107" t="s">
        <v>229</v>
      </c>
      <c r="L59" s="104">
        <f t="shared" si="0"/>
        <v>46117</v>
      </c>
      <c r="M59" s="105">
        <f ca="1" t="shared" si="1"/>
        <v>-50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4"/>
        <v>0</v>
      </c>
      <c r="Z59" s="105">
        <f ca="1" t="shared" si="5"/>
        <v>-46167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230</v>
      </c>
      <c r="C60" s="70" t="s">
        <v>203</v>
      </c>
      <c r="D60" s="71" t="s">
        <v>231</v>
      </c>
      <c r="E60" s="71" t="s">
        <v>232</v>
      </c>
      <c r="F60" s="72"/>
      <c r="G60" s="73"/>
      <c r="H60" s="92"/>
      <c r="I60" s="102">
        <v>46027</v>
      </c>
      <c r="J60" s="70">
        <v>3</v>
      </c>
      <c r="K60" s="107" t="s">
        <v>233</v>
      </c>
      <c r="L60" s="104">
        <f t="shared" si="0"/>
        <v>46117</v>
      </c>
      <c r="M60" s="105">
        <f ca="1" t="shared" si="1"/>
        <v>-50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4"/>
        <v>0</v>
      </c>
      <c r="Z60" s="105">
        <f ca="1" t="shared" si="5"/>
        <v>-46167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230</v>
      </c>
      <c r="C61" s="70" t="s">
        <v>203</v>
      </c>
      <c r="D61" s="71" t="s">
        <v>234</v>
      </c>
      <c r="E61" s="71" t="s">
        <v>235</v>
      </c>
      <c r="F61" s="72"/>
      <c r="G61" s="73"/>
      <c r="H61" s="92"/>
      <c r="I61" s="102">
        <v>46027</v>
      </c>
      <c r="J61" s="70">
        <v>3</v>
      </c>
      <c r="K61" s="107" t="s">
        <v>236</v>
      </c>
      <c r="L61" s="104">
        <f t="shared" si="0"/>
        <v>46117</v>
      </c>
      <c r="M61" s="105">
        <f ca="1" t="shared" si="1"/>
        <v>-50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4"/>
        <v>0</v>
      </c>
      <c r="Z61" s="105">
        <f ca="1" t="shared" si="5"/>
        <v>-46167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55</v>
      </c>
      <c r="C62" s="70" t="s">
        <v>31</v>
      </c>
      <c r="D62" s="80" t="s">
        <v>237</v>
      </c>
      <c r="E62" s="71" t="s">
        <v>41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238</v>
      </c>
      <c r="L62" s="104">
        <f t="shared" si="0"/>
        <v>46118</v>
      </c>
      <c r="M62" s="105">
        <f ca="1" t="shared" si="1"/>
        <v>-49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6">EDATE(V62,W62)</f>
        <v>0</v>
      </c>
      <c r="Z62" s="105">
        <f ca="1" t="shared" ref="Z62:Z72" si="7">Y62-TODAY()</f>
        <v>-46167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55</v>
      </c>
      <c r="C63" s="97" t="s">
        <v>13</v>
      </c>
      <c r="D63" s="80" t="s">
        <v>239</v>
      </c>
      <c r="E63" s="71" t="s">
        <v>57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240</v>
      </c>
      <c r="L63" s="104">
        <f t="shared" si="0"/>
        <v>46118</v>
      </c>
      <c r="M63" s="105">
        <f ca="1" t="shared" si="1"/>
        <v>-49</v>
      </c>
      <c r="N63" s="70"/>
      <c r="O63" s="70" t="s">
        <v>55</v>
      </c>
      <c r="P63" s="97" t="s">
        <v>13</v>
      </c>
      <c r="Q63" s="80" t="s">
        <v>239</v>
      </c>
      <c r="R63" s="71" t="s">
        <v>57</v>
      </c>
      <c r="S63" s="72"/>
      <c r="T63" s="73"/>
      <c r="U63" s="75"/>
      <c r="V63" s="113">
        <v>46165</v>
      </c>
      <c r="W63" s="70">
        <v>3</v>
      </c>
      <c r="X63" s="97"/>
      <c r="Y63" s="104">
        <f t="shared" si="6"/>
        <v>46257</v>
      </c>
      <c r="Z63" s="105">
        <f ca="1" t="shared" si="7"/>
        <v>90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241</v>
      </c>
      <c r="C64" s="97" t="s">
        <v>13</v>
      </c>
      <c r="D64" s="80" t="s">
        <v>242</v>
      </c>
      <c r="E64" s="71" t="s">
        <v>243</v>
      </c>
      <c r="F64" s="72"/>
      <c r="G64" s="73"/>
      <c r="H64" s="75"/>
      <c r="I64" s="102">
        <v>46028</v>
      </c>
      <c r="J64" s="70">
        <v>3</v>
      </c>
      <c r="K64" s="106" t="s">
        <v>244</v>
      </c>
      <c r="L64" s="104">
        <f t="shared" si="0"/>
        <v>46118</v>
      </c>
      <c r="M64" s="105">
        <f ca="1" t="shared" si="1"/>
        <v>-49</v>
      </c>
      <c r="N64" s="70"/>
      <c r="O64" s="70" t="s">
        <v>241</v>
      </c>
      <c r="P64" s="97" t="s">
        <v>13</v>
      </c>
      <c r="Q64" s="80" t="s">
        <v>242</v>
      </c>
      <c r="R64" s="71" t="s">
        <v>243</v>
      </c>
      <c r="S64" s="72"/>
      <c r="T64" s="73"/>
      <c r="U64" s="75"/>
      <c r="V64" s="113">
        <v>46115</v>
      </c>
      <c r="W64" s="70">
        <v>3</v>
      </c>
      <c r="X64" s="97" t="s">
        <v>245</v>
      </c>
      <c r="Y64" s="104">
        <f t="shared" si="6"/>
        <v>46206</v>
      </c>
      <c r="Z64" s="105">
        <f ca="1" t="shared" si="7"/>
        <v>39</v>
      </c>
      <c r="AA64" s="70"/>
      <c r="AB64" s="70"/>
      <c r="AC64" s="97"/>
      <c r="AD64" s="80"/>
      <c r="AE64" s="71"/>
      <c r="AF64" s="72"/>
      <c r="AG64" s="73"/>
      <c r="AH64" s="79"/>
      <c r="AI64" s="113"/>
      <c r="AJ64" s="70"/>
      <c r="AK64" s="97"/>
      <c r="AL64" s="104"/>
      <c r="AM64" s="105"/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102</v>
      </c>
      <c r="C65" s="97" t="s">
        <v>13</v>
      </c>
      <c r="D65" s="70" t="s">
        <v>246</v>
      </c>
      <c r="E65" s="140" t="s">
        <v>247</v>
      </c>
      <c r="F65" s="141"/>
      <c r="G65" s="142"/>
      <c r="H65" s="75"/>
      <c r="I65" s="102">
        <v>46028</v>
      </c>
      <c r="J65" s="70">
        <v>3</v>
      </c>
      <c r="K65" s="106" t="s">
        <v>248</v>
      </c>
      <c r="L65" s="104">
        <f t="shared" si="0"/>
        <v>46118</v>
      </c>
      <c r="M65" s="105">
        <f ca="1" t="shared" si="1"/>
        <v>-49</v>
      </c>
      <c r="N65" s="70"/>
      <c r="O65" s="70" t="s">
        <v>102</v>
      </c>
      <c r="P65" s="97" t="s">
        <v>13</v>
      </c>
      <c r="Q65" s="70" t="s">
        <v>246</v>
      </c>
      <c r="R65" s="140" t="s">
        <v>247</v>
      </c>
      <c r="S65" s="141"/>
      <c r="T65" s="142"/>
      <c r="U65" s="75"/>
      <c r="V65" s="113">
        <v>46128</v>
      </c>
      <c r="W65" s="70">
        <v>3</v>
      </c>
      <c r="X65" s="97" t="s">
        <v>249</v>
      </c>
      <c r="Y65" s="104">
        <f t="shared" si="6"/>
        <v>46219</v>
      </c>
      <c r="Z65" s="105">
        <f ca="1" t="shared" si="7"/>
        <v>52</v>
      </c>
      <c r="AA65" s="70"/>
      <c r="AB65" s="70"/>
      <c r="AC65" s="97"/>
      <c r="AD65" s="70"/>
      <c r="AE65" s="140"/>
      <c r="AF65" s="141"/>
      <c r="AG65" s="142"/>
      <c r="AH65" s="79"/>
      <c r="AI65" s="113"/>
      <c r="AJ65" s="70"/>
      <c r="AK65" s="97"/>
      <c r="AL65" s="104"/>
      <c r="AM65" s="105"/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44</v>
      </c>
      <c r="C66" s="97" t="s">
        <v>13</v>
      </c>
      <c r="D66" s="80" t="s">
        <v>250</v>
      </c>
      <c r="E66" s="140" t="s">
        <v>104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251</v>
      </c>
      <c r="L66" s="104">
        <f t="shared" si="0"/>
        <v>46118</v>
      </c>
      <c r="M66" s="105">
        <f ca="1" t="shared" si="1"/>
        <v>-49</v>
      </c>
      <c r="N66" s="70"/>
      <c r="O66" s="70" t="s">
        <v>44</v>
      </c>
      <c r="P66" s="97" t="s">
        <v>13</v>
      </c>
      <c r="Q66" s="80" t="s">
        <v>250</v>
      </c>
      <c r="R66" s="140" t="s">
        <v>104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252</v>
      </c>
      <c r="Y66" s="104">
        <f t="shared" si="6"/>
        <v>46206</v>
      </c>
      <c r="Z66" s="105">
        <f ca="1" t="shared" si="7"/>
        <v>39</v>
      </c>
      <c r="AA66" s="70"/>
      <c r="AB66" s="70"/>
      <c r="AC66" s="70"/>
      <c r="AD66" s="80"/>
      <c r="AE66" s="140"/>
      <c r="AF66" s="141"/>
      <c r="AG66" s="142"/>
      <c r="AH66" s="79"/>
      <c r="AI66" s="113"/>
      <c r="AJ66" s="70"/>
      <c r="AK66" s="97"/>
      <c r="AL66" s="104"/>
      <c r="AM66" s="105"/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98</v>
      </c>
      <c r="C67" s="97" t="s">
        <v>13</v>
      </c>
      <c r="D67" s="71" t="s">
        <v>253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254</v>
      </c>
      <c r="L67" s="104">
        <f t="shared" ref="L67:L130" si="8">EDATE(I67,J67)</f>
        <v>46118</v>
      </c>
      <c r="M67" s="105">
        <f ca="1" t="shared" ref="M67:M130" si="9">L67-TODAY()</f>
        <v>-49</v>
      </c>
      <c r="N67" s="70"/>
      <c r="O67" s="70" t="s">
        <v>98</v>
      </c>
      <c r="P67" s="97" t="s">
        <v>13</v>
      </c>
      <c r="Q67" s="71" t="s">
        <v>253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255</v>
      </c>
      <c r="Y67" s="104">
        <f t="shared" si="6"/>
        <v>46206</v>
      </c>
      <c r="Z67" s="105">
        <f ca="1" t="shared" si="7"/>
        <v>39</v>
      </c>
      <c r="AA67" s="70"/>
      <c r="AB67" s="70"/>
      <c r="AC67" s="70"/>
      <c r="AD67" s="71"/>
      <c r="AE67" s="140"/>
      <c r="AF67" s="141"/>
      <c r="AG67" s="142"/>
      <c r="AH67" s="79"/>
      <c r="AI67" s="113"/>
      <c r="AJ67" s="70"/>
      <c r="AK67" s="97"/>
      <c r="AL67" s="104"/>
      <c r="AM67" s="105"/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256</v>
      </c>
      <c r="C68" s="70" t="s">
        <v>31</v>
      </c>
      <c r="D68" s="71" t="s">
        <v>257</v>
      </c>
      <c r="E68" s="140" t="s">
        <v>258</v>
      </c>
      <c r="F68" s="141"/>
      <c r="G68" s="142"/>
      <c r="H68" s="75"/>
      <c r="I68" s="102">
        <v>46028</v>
      </c>
      <c r="J68" s="70">
        <v>3</v>
      </c>
      <c r="K68" s="106" t="s">
        <v>259</v>
      </c>
      <c r="L68" s="104">
        <f t="shared" si="8"/>
        <v>46118</v>
      </c>
      <c r="M68" s="105">
        <f ca="1" t="shared" si="9"/>
        <v>-49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6"/>
        <v>0</v>
      </c>
      <c r="Z68" s="105">
        <f ca="1" t="shared" si="7"/>
        <v>-46167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/>
      <c r="AM68" s="105"/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128</v>
      </c>
      <c r="C69" s="70" t="s">
        <v>13</v>
      </c>
      <c r="D69" s="71" t="s">
        <v>260</v>
      </c>
      <c r="E69" s="140" t="s">
        <v>57</v>
      </c>
      <c r="F69" s="141"/>
      <c r="G69" s="142"/>
      <c r="H69" s="75"/>
      <c r="I69" s="102">
        <v>46028</v>
      </c>
      <c r="J69" s="70">
        <v>3</v>
      </c>
      <c r="K69" s="106" t="s">
        <v>261</v>
      </c>
      <c r="L69" s="104">
        <f t="shared" si="8"/>
        <v>46118</v>
      </c>
      <c r="M69" s="105">
        <f ca="1" t="shared" si="9"/>
        <v>-49</v>
      </c>
      <c r="N69" s="70"/>
      <c r="O69" s="70" t="s">
        <v>128</v>
      </c>
      <c r="P69" s="70" t="s">
        <v>13</v>
      </c>
      <c r="Q69" s="71" t="s">
        <v>260</v>
      </c>
      <c r="R69" s="140" t="s">
        <v>57</v>
      </c>
      <c r="S69" s="141"/>
      <c r="T69" s="142"/>
      <c r="U69" s="75"/>
      <c r="V69" s="113">
        <v>46129</v>
      </c>
      <c r="W69" s="70">
        <v>3</v>
      </c>
      <c r="X69" s="97" t="s">
        <v>262</v>
      </c>
      <c r="Y69" s="104">
        <f t="shared" si="6"/>
        <v>46220</v>
      </c>
      <c r="Z69" s="105">
        <f ca="1" t="shared" si="7"/>
        <v>53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/>
      <c r="AM69" s="105"/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263</v>
      </c>
      <c r="E70" s="140" t="s">
        <v>264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265</v>
      </c>
      <c r="L70" s="104">
        <f t="shared" si="8"/>
        <v>46118</v>
      </c>
      <c r="M70" s="105">
        <f ca="1" t="shared" si="9"/>
        <v>-49</v>
      </c>
      <c r="N70" s="70"/>
      <c r="O70" s="70" t="s">
        <v>12</v>
      </c>
      <c r="P70" s="70" t="s">
        <v>13</v>
      </c>
      <c r="Q70" s="71" t="s">
        <v>263</v>
      </c>
      <c r="R70" s="140" t="s">
        <v>264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266</v>
      </c>
      <c r="Y70" s="104">
        <f t="shared" si="6"/>
        <v>46225</v>
      </c>
      <c r="Z70" s="105">
        <f ca="1" t="shared" si="7"/>
        <v>58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/>
      <c r="AM70" s="105"/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267</v>
      </c>
      <c r="E71" s="71" t="s">
        <v>28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268</v>
      </c>
      <c r="L71" s="104">
        <f t="shared" si="8"/>
        <v>46118</v>
      </c>
      <c r="M71" s="105">
        <f ca="1" t="shared" si="9"/>
        <v>-49</v>
      </c>
      <c r="N71" s="70"/>
      <c r="O71" s="70"/>
      <c r="P71" s="70"/>
      <c r="Q71" s="80"/>
      <c r="R71" s="71"/>
      <c r="S71" s="72"/>
      <c r="T71" s="73"/>
      <c r="U71" s="79"/>
      <c r="V71" s="102"/>
      <c r="W71" s="70"/>
      <c r="X71" s="97"/>
      <c r="Y71" s="104">
        <f t="shared" si="6"/>
        <v>0</v>
      </c>
      <c r="Z71" s="105">
        <f ca="1" t="shared" si="7"/>
        <v>-46167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/>
      <c r="AM71" s="105"/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269</v>
      </c>
      <c r="E72" s="140" t="s">
        <v>41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270</v>
      </c>
      <c r="L72" s="104">
        <f t="shared" si="8"/>
        <v>46118</v>
      </c>
      <c r="M72" s="105">
        <f ca="1" t="shared" si="9"/>
        <v>-49</v>
      </c>
      <c r="N72" s="70"/>
      <c r="O72" s="70" t="s">
        <v>12</v>
      </c>
      <c r="P72" s="70" t="s">
        <v>13</v>
      </c>
      <c r="Q72" s="80" t="s">
        <v>269</v>
      </c>
      <c r="R72" s="140" t="s">
        <v>41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271</v>
      </c>
      <c r="Y72" s="104">
        <f t="shared" si="6"/>
        <v>46213</v>
      </c>
      <c r="Z72" s="105">
        <f ca="1" t="shared" si="7"/>
        <v>46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/>
      <c r="AM72" s="105"/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31</v>
      </c>
      <c r="D73" s="80" t="s">
        <v>272</v>
      </c>
      <c r="E73" s="140" t="s">
        <v>24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273</v>
      </c>
      <c r="L73" s="104">
        <f t="shared" si="8"/>
        <v>46118</v>
      </c>
      <c r="M73" s="105">
        <f ca="1" t="shared" si="9"/>
        <v>-49</v>
      </c>
      <c r="N73" s="70"/>
      <c r="O73" s="70" t="s">
        <v>12</v>
      </c>
      <c r="P73" s="70" t="s">
        <v>31</v>
      </c>
      <c r="Q73" s="80" t="s">
        <v>272</v>
      </c>
      <c r="R73" s="140" t="s">
        <v>24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274</v>
      </c>
      <c r="Y73" s="104">
        <f t="shared" ref="Y67:Y83" si="10">EDATE(V73,W73)</f>
        <v>46219</v>
      </c>
      <c r="Z73" s="105">
        <f ca="1" t="shared" ref="Z67:Z83" si="11">Y73-TODAY()</f>
        <v>52</v>
      </c>
      <c r="AA73" s="70"/>
      <c r="AB73" s="70"/>
      <c r="AC73" s="97"/>
      <c r="AD73" s="80"/>
      <c r="AE73" s="140"/>
      <c r="AF73" s="141"/>
      <c r="AG73" s="142"/>
      <c r="AH73" s="79"/>
      <c r="AI73" s="113"/>
      <c r="AJ73" s="70"/>
      <c r="AK73" s="97"/>
      <c r="AL73" s="104"/>
      <c r="AM73" s="105"/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275</v>
      </c>
      <c r="E74" s="71" t="s">
        <v>37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276</v>
      </c>
      <c r="L74" s="104">
        <f t="shared" si="8"/>
        <v>46118</v>
      </c>
      <c r="M74" s="105">
        <f ca="1" t="shared" si="9"/>
        <v>-49</v>
      </c>
      <c r="N74" s="70"/>
      <c r="O74" s="70" t="s">
        <v>12</v>
      </c>
      <c r="P74" s="70" t="s">
        <v>13</v>
      </c>
      <c r="Q74" s="80" t="s">
        <v>275</v>
      </c>
      <c r="R74" s="71" t="s">
        <v>37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277</v>
      </c>
      <c r="Y74" s="104">
        <f t="shared" si="10"/>
        <v>46239</v>
      </c>
      <c r="Z74" s="105">
        <f ca="1" t="shared" si="11"/>
        <v>72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/>
      <c r="AM74" s="105"/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217</v>
      </c>
      <c r="C75" s="70" t="s">
        <v>203</v>
      </c>
      <c r="D75" s="80" t="s">
        <v>278</v>
      </c>
      <c r="E75" s="71" t="s">
        <v>279</v>
      </c>
      <c r="F75" s="72"/>
      <c r="G75" s="73"/>
      <c r="H75" s="75"/>
      <c r="I75" s="102">
        <v>46028</v>
      </c>
      <c r="J75" s="70">
        <v>3</v>
      </c>
      <c r="K75" s="106" t="s">
        <v>280</v>
      </c>
      <c r="L75" s="104">
        <f t="shared" si="8"/>
        <v>46118</v>
      </c>
      <c r="M75" s="105">
        <f ca="1" t="shared" si="9"/>
        <v>-49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0"/>
        <v>0</v>
      </c>
      <c r="Z75" s="105">
        <f ca="1" t="shared" si="11"/>
        <v>-46167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/>
      <c r="AM75" s="105"/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281</v>
      </c>
      <c r="C76" s="70" t="s">
        <v>203</v>
      </c>
      <c r="D76" s="80" t="s">
        <v>282</v>
      </c>
      <c r="E76" s="71" t="s">
        <v>283</v>
      </c>
      <c r="F76" s="72"/>
      <c r="G76" s="73"/>
      <c r="H76" s="75"/>
      <c r="I76" s="102">
        <v>46028</v>
      </c>
      <c r="J76" s="70">
        <v>3</v>
      </c>
      <c r="K76" s="106" t="s">
        <v>284</v>
      </c>
      <c r="L76" s="104">
        <f t="shared" si="8"/>
        <v>46118</v>
      </c>
      <c r="M76" s="105">
        <f ca="1" t="shared" si="9"/>
        <v>-49</v>
      </c>
      <c r="N76" s="70"/>
      <c r="O76" s="70" t="s">
        <v>281</v>
      </c>
      <c r="P76" s="70" t="s">
        <v>203</v>
      </c>
      <c r="Q76" s="80" t="s">
        <v>282</v>
      </c>
      <c r="R76" s="71" t="s">
        <v>283</v>
      </c>
      <c r="S76" s="72"/>
      <c r="T76" s="73"/>
      <c r="U76" s="75"/>
      <c r="V76" s="110">
        <v>46127</v>
      </c>
      <c r="W76" s="70">
        <v>3</v>
      </c>
      <c r="X76" s="97" t="s">
        <v>285</v>
      </c>
      <c r="Y76" s="104">
        <f t="shared" si="10"/>
        <v>46218</v>
      </c>
      <c r="Z76" s="105">
        <f ca="1" t="shared" si="11"/>
        <v>51</v>
      </c>
      <c r="AA76" s="70"/>
      <c r="AB76" s="70"/>
      <c r="AC76" s="97"/>
      <c r="AD76" s="80"/>
      <c r="AE76" s="71"/>
      <c r="AF76" s="72"/>
      <c r="AG76" s="73"/>
      <c r="AH76" s="79"/>
      <c r="AI76" s="110"/>
      <c r="AJ76" s="70"/>
      <c r="AK76" s="97"/>
      <c r="AL76" s="104"/>
      <c r="AM76" s="105"/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286</v>
      </c>
      <c r="C77" s="70" t="s">
        <v>287</v>
      </c>
      <c r="D77" s="80" t="s">
        <v>288</v>
      </c>
      <c r="E77" s="71" t="s">
        <v>289</v>
      </c>
      <c r="F77" s="72"/>
      <c r="G77" s="73"/>
      <c r="H77" s="75"/>
      <c r="I77" s="102">
        <v>46028</v>
      </c>
      <c r="J77" s="70">
        <v>3</v>
      </c>
      <c r="K77" s="106" t="s">
        <v>290</v>
      </c>
      <c r="L77" s="104">
        <f t="shared" si="8"/>
        <v>46118</v>
      </c>
      <c r="M77" s="105">
        <f ca="1" t="shared" si="9"/>
        <v>-49</v>
      </c>
      <c r="N77" s="70"/>
      <c r="O77" s="70" t="s">
        <v>286</v>
      </c>
      <c r="P77" s="70" t="s">
        <v>287</v>
      </c>
      <c r="Q77" s="80" t="s">
        <v>288</v>
      </c>
      <c r="R77" s="71" t="s">
        <v>289</v>
      </c>
      <c r="S77" s="72"/>
      <c r="T77" s="73"/>
      <c r="U77" s="75"/>
      <c r="V77" s="110">
        <v>46128</v>
      </c>
      <c r="W77" s="70">
        <v>3</v>
      </c>
      <c r="X77" s="97" t="s">
        <v>291</v>
      </c>
      <c r="Y77" s="104">
        <f t="shared" si="10"/>
        <v>46219</v>
      </c>
      <c r="Z77" s="105">
        <f ca="1" t="shared" si="11"/>
        <v>52</v>
      </c>
      <c r="AA77" s="70"/>
      <c r="AB77" s="70"/>
      <c r="AC77" s="70"/>
      <c r="AD77" s="80"/>
      <c r="AE77" s="71"/>
      <c r="AF77" s="72"/>
      <c r="AG77" s="73"/>
      <c r="AH77" s="79"/>
      <c r="AI77" s="110"/>
      <c r="AJ77" s="70"/>
      <c r="AK77" s="97"/>
      <c r="AL77" s="104"/>
      <c r="AM77" s="105"/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286</v>
      </c>
      <c r="C78" s="70" t="s">
        <v>287</v>
      </c>
      <c r="D78" s="71" t="s">
        <v>292</v>
      </c>
      <c r="E78" s="71" t="s">
        <v>293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294</v>
      </c>
      <c r="L78" s="104">
        <f t="shared" si="8"/>
        <v>46118</v>
      </c>
      <c r="M78" s="105">
        <f ca="1" t="shared" si="9"/>
        <v>-49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0"/>
        <v>0</v>
      </c>
      <c r="Z78" s="105">
        <f ca="1" t="shared" si="11"/>
        <v>-46167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/>
      <c r="AM78" s="105"/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286</v>
      </c>
      <c r="C79" s="70" t="s">
        <v>287</v>
      </c>
      <c r="D79" s="70" t="s">
        <v>295</v>
      </c>
      <c r="E79" s="71" t="s">
        <v>293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296</v>
      </c>
      <c r="L79" s="104">
        <f t="shared" si="8"/>
        <v>46118</v>
      </c>
      <c r="M79" s="105">
        <f ca="1" t="shared" si="9"/>
        <v>-49</v>
      </c>
      <c r="N79" s="70"/>
      <c r="O79" s="70" t="s">
        <v>286</v>
      </c>
      <c r="P79" s="70" t="s">
        <v>287</v>
      </c>
      <c r="Q79" s="70" t="s">
        <v>295</v>
      </c>
      <c r="R79" s="71" t="s">
        <v>293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297</v>
      </c>
      <c r="Y79" s="104">
        <f t="shared" si="10"/>
        <v>46219</v>
      </c>
      <c r="Z79" s="105">
        <f ca="1" t="shared" si="11"/>
        <v>52</v>
      </c>
      <c r="AA79" s="70"/>
      <c r="AB79" s="70"/>
      <c r="AC79" s="97"/>
      <c r="AD79" s="70"/>
      <c r="AE79" s="71"/>
      <c r="AF79" s="72"/>
      <c r="AG79" s="73"/>
      <c r="AH79" s="79"/>
      <c r="AI79" s="110"/>
      <c r="AJ79" s="70"/>
      <c r="AK79" s="97"/>
      <c r="AL79" s="104"/>
      <c r="AM79" s="105"/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178</v>
      </c>
      <c r="C80" s="97" t="s">
        <v>13</v>
      </c>
      <c r="D80" s="71" t="s">
        <v>298</v>
      </c>
      <c r="E80" s="71" t="s">
        <v>299</v>
      </c>
      <c r="F80" s="72"/>
      <c r="G80" s="73"/>
      <c r="H80" s="75"/>
      <c r="I80" s="102">
        <v>46028</v>
      </c>
      <c r="J80" s="70">
        <v>3</v>
      </c>
      <c r="K80" s="106" t="s">
        <v>300</v>
      </c>
      <c r="L80" s="104">
        <f t="shared" si="8"/>
        <v>46118</v>
      </c>
      <c r="M80" s="105">
        <f ca="1" t="shared" si="9"/>
        <v>-49</v>
      </c>
      <c r="N80" s="70"/>
      <c r="O80" s="70" t="s">
        <v>178</v>
      </c>
      <c r="P80" s="97" t="s">
        <v>13</v>
      </c>
      <c r="Q80" s="71" t="s">
        <v>298</v>
      </c>
      <c r="R80" s="71" t="s">
        <v>299</v>
      </c>
      <c r="S80" s="72"/>
      <c r="T80" s="73"/>
      <c r="U80" s="75"/>
      <c r="V80" s="110">
        <v>46134</v>
      </c>
      <c r="W80" s="70">
        <v>3</v>
      </c>
      <c r="X80" s="97" t="s">
        <v>301</v>
      </c>
      <c r="Y80" s="104">
        <f t="shared" si="10"/>
        <v>46225</v>
      </c>
      <c r="Z80" s="105">
        <f ca="1" t="shared" si="11"/>
        <v>58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/>
      <c r="AM80" s="105"/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178</v>
      </c>
      <c r="C81" s="97" t="s">
        <v>13</v>
      </c>
      <c r="D81" s="70" t="s">
        <v>302</v>
      </c>
      <c r="E81" s="71" t="s">
        <v>303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304</v>
      </c>
      <c r="L81" s="104">
        <f t="shared" si="8"/>
        <v>46118</v>
      </c>
      <c r="M81" s="105">
        <f ca="1" t="shared" si="9"/>
        <v>-49</v>
      </c>
      <c r="N81" s="70"/>
      <c r="O81" s="70" t="s">
        <v>178</v>
      </c>
      <c r="P81" s="97" t="s">
        <v>13</v>
      </c>
      <c r="Q81" s="70" t="s">
        <v>302</v>
      </c>
      <c r="R81" s="71" t="s">
        <v>303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305</v>
      </c>
      <c r="Y81" s="104">
        <f t="shared" si="10"/>
        <v>46204</v>
      </c>
      <c r="Z81" s="105">
        <f ca="1" t="shared" si="11"/>
        <v>37</v>
      </c>
      <c r="AA81" s="70"/>
      <c r="AB81" s="70"/>
      <c r="AC81" s="70"/>
      <c r="AD81" s="70"/>
      <c r="AE81" s="71"/>
      <c r="AF81" s="72"/>
      <c r="AG81" s="73"/>
      <c r="AH81" s="114"/>
      <c r="AI81" s="110"/>
      <c r="AJ81" s="70"/>
      <c r="AK81" s="97"/>
      <c r="AL81" s="104"/>
      <c r="AM81" s="105"/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178</v>
      </c>
      <c r="C82" s="97" t="s">
        <v>13</v>
      </c>
      <c r="D82" s="143" t="s">
        <v>306</v>
      </c>
      <c r="E82" s="143" t="s">
        <v>95</v>
      </c>
      <c r="F82" s="117"/>
      <c r="G82" s="123"/>
      <c r="H82" s="144"/>
      <c r="I82" s="102">
        <v>46028</v>
      </c>
      <c r="J82" s="70">
        <v>3</v>
      </c>
      <c r="K82" s="106" t="s">
        <v>307</v>
      </c>
      <c r="L82" s="104">
        <f t="shared" si="8"/>
        <v>46118</v>
      </c>
      <c r="M82" s="105">
        <f ca="1" t="shared" si="9"/>
        <v>-49</v>
      </c>
      <c r="N82" s="70"/>
      <c r="O82" s="70" t="s">
        <v>178</v>
      </c>
      <c r="P82" s="97" t="s">
        <v>13</v>
      </c>
      <c r="Q82" s="143" t="s">
        <v>306</v>
      </c>
      <c r="R82" s="143" t="s">
        <v>95</v>
      </c>
      <c r="S82" s="117"/>
      <c r="T82" s="123"/>
      <c r="U82" s="144"/>
      <c r="V82" s="110">
        <v>46135</v>
      </c>
      <c r="W82" s="70">
        <v>3</v>
      </c>
      <c r="X82" s="97" t="s">
        <v>308</v>
      </c>
      <c r="Y82" s="104">
        <f t="shared" si="10"/>
        <v>46226</v>
      </c>
      <c r="Z82" s="105">
        <f ca="1" t="shared" si="11"/>
        <v>59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/>
      <c r="AM82" s="105"/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178</v>
      </c>
      <c r="C83" s="97" t="s">
        <v>13</v>
      </c>
      <c r="D83" s="71" t="s">
        <v>309</v>
      </c>
      <c r="E83" s="105" t="s">
        <v>104</v>
      </c>
      <c r="F83" s="105"/>
      <c r="G83" s="105"/>
      <c r="H83" s="144"/>
      <c r="I83" s="102">
        <v>46028</v>
      </c>
      <c r="J83" s="70">
        <v>3</v>
      </c>
      <c r="K83" s="106" t="s">
        <v>310</v>
      </c>
      <c r="L83" s="104">
        <f t="shared" si="8"/>
        <v>46118</v>
      </c>
      <c r="M83" s="105">
        <f ca="1" t="shared" si="9"/>
        <v>-49</v>
      </c>
      <c r="N83" s="70"/>
      <c r="O83" s="70" t="s">
        <v>178</v>
      </c>
      <c r="P83" s="97" t="s">
        <v>13</v>
      </c>
      <c r="Q83" s="71" t="s">
        <v>309</v>
      </c>
      <c r="R83" s="105" t="s">
        <v>104</v>
      </c>
      <c r="S83" s="105"/>
      <c r="T83" s="105"/>
      <c r="U83" s="144"/>
      <c r="V83" s="110">
        <v>46127</v>
      </c>
      <c r="W83" s="70">
        <v>3</v>
      </c>
      <c r="X83" s="97" t="s">
        <v>311</v>
      </c>
      <c r="Y83" s="104">
        <f t="shared" si="10"/>
        <v>46218</v>
      </c>
      <c r="Z83" s="105">
        <f ca="1" t="shared" si="11"/>
        <v>51</v>
      </c>
      <c r="AA83" s="70"/>
      <c r="AB83" s="70"/>
      <c r="AC83" s="71"/>
      <c r="AD83" s="71"/>
      <c r="AE83" s="105"/>
      <c r="AF83" s="105"/>
      <c r="AG83" s="105"/>
      <c r="AH83" s="151"/>
      <c r="AI83" s="110"/>
      <c r="AJ83" s="70"/>
      <c r="AK83" s="97"/>
      <c r="AL83" s="104"/>
      <c r="AM83" s="105"/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178</v>
      </c>
      <c r="C84" s="97" t="s">
        <v>13</v>
      </c>
      <c r="D84" s="105" t="s">
        <v>312</v>
      </c>
      <c r="E84" s="105" t="s">
        <v>95</v>
      </c>
      <c r="F84" s="105"/>
      <c r="G84" s="105"/>
      <c r="H84" s="144"/>
      <c r="I84" s="102">
        <v>46028</v>
      </c>
      <c r="J84" s="70">
        <v>3</v>
      </c>
      <c r="K84" s="106" t="s">
        <v>313</v>
      </c>
      <c r="L84" s="104">
        <f t="shared" si="8"/>
        <v>46118</v>
      </c>
      <c r="M84" s="105">
        <f ca="1" t="shared" si="9"/>
        <v>-49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12">EDATE(V84,W84)</f>
        <v>0</v>
      </c>
      <c r="Z84" s="105">
        <f ca="1" t="shared" ref="Z82:Z111" si="13">Y84-TODAY()</f>
        <v>-46167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/>
      <c r="AM84" s="105"/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178</v>
      </c>
      <c r="C85" s="97" t="s">
        <v>13</v>
      </c>
      <c r="D85" s="105" t="s">
        <v>314</v>
      </c>
      <c r="E85" s="105" t="s">
        <v>95</v>
      </c>
      <c r="F85" s="105"/>
      <c r="G85" s="105"/>
      <c r="H85" s="144"/>
      <c r="I85" s="102">
        <v>46028</v>
      </c>
      <c r="J85" s="70">
        <v>3</v>
      </c>
      <c r="K85" s="106" t="s">
        <v>315</v>
      </c>
      <c r="L85" s="104">
        <f t="shared" si="8"/>
        <v>46118</v>
      </c>
      <c r="M85" s="105">
        <f ca="1" t="shared" si="9"/>
        <v>-49</v>
      </c>
      <c r="N85" s="70"/>
      <c r="O85" s="70" t="s">
        <v>178</v>
      </c>
      <c r="P85" s="97" t="s">
        <v>13</v>
      </c>
      <c r="Q85" s="105" t="s">
        <v>314</v>
      </c>
      <c r="R85" s="105" t="s">
        <v>95</v>
      </c>
      <c r="S85" s="105"/>
      <c r="T85" s="105"/>
      <c r="U85" s="144"/>
      <c r="V85" s="110">
        <v>46113</v>
      </c>
      <c r="W85" s="70">
        <v>3</v>
      </c>
      <c r="X85" s="97" t="s">
        <v>316</v>
      </c>
      <c r="Y85" s="104">
        <f t="shared" si="12"/>
        <v>46204</v>
      </c>
      <c r="Z85" s="105">
        <f ca="1" t="shared" si="13"/>
        <v>37</v>
      </c>
      <c r="AA85" s="70"/>
      <c r="AB85" s="70"/>
      <c r="AC85" s="71"/>
      <c r="AD85" s="105"/>
      <c r="AE85" s="105"/>
      <c r="AF85" s="105"/>
      <c r="AG85" s="105"/>
      <c r="AH85" s="151"/>
      <c r="AI85" s="110"/>
      <c r="AJ85" s="70"/>
      <c r="AK85" s="97"/>
      <c r="AL85" s="104"/>
      <c r="AM85" s="105"/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178</v>
      </c>
      <c r="C86" s="97" t="s">
        <v>31</v>
      </c>
      <c r="D86" s="105" t="s">
        <v>317</v>
      </c>
      <c r="E86" s="105" t="s">
        <v>111</v>
      </c>
      <c r="F86" s="105"/>
      <c r="G86" s="105"/>
      <c r="H86" s="144"/>
      <c r="I86" s="102">
        <v>46028</v>
      </c>
      <c r="J86" s="70">
        <v>3</v>
      </c>
      <c r="K86" s="106" t="s">
        <v>318</v>
      </c>
      <c r="L86" s="104">
        <f t="shared" si="8"/>
        <v>46118</v>
      </c>
      <c r="M86" s="105">
        <f ca="1" t="shared" si="9"/>
        <v>-49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12"/>
        <v>0</v>
      </c>
      <c r="Z86" s="105">
        <f ca="1" t="shared" si="13"/>
        <v>-46167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/>
      <c r="AM86" s="105"/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178</v>
      </c>
      <c r="C87" s="97" t="s">
        <v>13</v>
      </c>
      <c r="D87" s="105" t="s">
        <v>319</v>
      </c>
      <c r="E87" s="105" t="s">
        <v>320</v>
      </c>
      <c r="F87" s="105"/>
      <c r="G87" s="105"/>
      <c r="H87" s="144"/>
      <c r="I87" s="102">
        <v>46028</v>
      </c>
      <c r="J87" s="70">
        <v>3</v>
      </c>
      <c r="K87" s="106" t="s">
        <v>321</v>
      </c>
      <c r="L87" s="104">
        <f t="shared" si="8"/>
        <v>46118</v>
      </c>
      <c r="M87" s="105">
        <f ca="1" t="shared" si="9"/>
        <v>-49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12"/>
        <v>0</v>
      </c>
      <c r="Z87" s="105">
        <f ca="1" t="shared" si="13"/>
        <v>-46167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/>
      <c r="AM87" s="105"/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178</v>
      </c>
      <c r="C88" s="97" t="s">
        <v>13</v>
      </c>
      <c r="D88" s="71" t="s">
        <v>322</v>
      </c>
      <c r="E88" s="105" t="s">
        <v>303</v>
      </c>
      <c r="F88" s="105"/>
      <c r="G88" s="105"/>
      <c r="H88" s="144"/>
      <c r="I88" s="102">
        <v>46028</v>
      </c>
      <c r="J88" s="70">
        <v>3</v>
      </c>
      <c r="K88" s="106" t="s">
        <v>323</v>
      </c>
      <c r="L88" s="104">
        <f t="shared" si="8"/>
        <v>46118</v>
      </c>
      <c r="M88" s="105">
        <f ca="1" t="shared" si="9"/>
        <v>-49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12"/>
        <v>0</v>
      </c>
      <c r="Z88" s="105">
        <f ca="1" t="shared" si="13"/>
        <v>-46167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/>
      <c r="AM88" s="105"/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178</v>
      </c>
      <c r="C89" s="97" t="s">
        <v>31</v>
      </c>
      <c r="D89" s="71" t="s">
        <v>324</v>
      </c>
      <c r="E89" s="105" t="s">
        <v>33</v>
      </c>
      <c r="F89" s="105"/>
      <c r="G89" s="105"/>
      <c r="H89" s="96"/>
      <c r="I89" s="102">
        <v>46028</v>
      </c>
      <c r="J89" s="70">
        <v>3</v>
      </c>
      <c r="K89" s="106" t="s">
        <v>325</v>
      </c>
      <c r="L89" s="104">
        <f t="shared" si="8"/>
        <v>46118</v>
      </c>
      <c r="M89" s="105">
        <f ca="1" t="shared" si="9"/>
        <v>-49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12"/>
        <v>0</v>
      </c>
      <c r="Z89" s="105">
        <f ca="1" t="shared" si="13"/>
        <v>-46167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/>
      <c r="AM89" s="105"/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178</v>
      </c>
      <c r="C90" s="97" t="s">
        <v>13</v>
      </c>
      <c r="D90" s="145" t="s">
        <v>326</v>
      </c>
      <c r="E90" s="105" t="s">
        <v>327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328</v>
      </c>
      <c r="L90" s="104">
        <f t="shared" si="8"/>
        <v>46118</v>
      </c>
      <c r="M90" s="105">
        <f ca="1" t="shared" si="9"/>
        <v>-49</v>
      </c>
      <c r="N90" s="70"/>
      <c r="O90" s="70" t="s">
        <v>178</v>
      </c>
      <c r="P90" s="97" t="s">
        <v>13</v>
      </c>
      <c r="Q90" s="145" t="s">
        <v>326</v>
      </c>
      <c r="R90" s="105" t="s">
        <v>327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329</v>
      </c>
      <c r="Y90" s="104">
        <f t="shared" si="12"/>
        <v>46219</v>
      </c>
      <c r="Z90" s="105">
        <f ca="1" t="shared" si="13"/>
        <v>52</v>
      </c>
      <c r="AA90" s="70"/>
      <c r="AB90" s="70"/>
      <c r="AC90" s="71"/>
      <c r="AD90" s="145"/>
      <c r="AE90" s="105"/>
      <c r="AF90" s="105"/>
      <c r="AG90" s="105"/>
      <c r="AH90" s="112"/>
      <c r="AI90" s="152"/>
      <c r="AJ90" s="70"/>
      <c r="AK90" s="153"/>
      <c r="AL90" s="104"/>
      <c r="AM90" s="105"/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178</v>
      </c>
      <c r="C91" s="71" t="s">
        <v>31</v>
      </c>
      <c r="D91" s="71" t="s">
        <v>330</v>
      </c>
      <c r="E91" s="140" t="s">
        <v>52</v>
      </c>
      <c r="F91" s="141"/>
      <c r="G91" s="142"/>
      <c r="H91" s="92"/>
      <c r="I91" s="102">
        <v>46029</v>
      </c>
      <c r="J91" s="70">
        <v>3</v>
      </c>
      <c r="K91" s="106" t="s">
        <v>331</v>
      </c>
      <c r="L91" s="104">
        <f t="shared" si="8"/>
        <v>46119</v>
      </c>
      <c r="M91" s="105">
        <f ca="1" t="shared" si="9"/>
        <v>-48</v>
      </c>
      <c r="N91" s="70"/>
      <c r="O91" s="70" t="s">
        <v>178</v>
      </c>
      <c r="P91" s="71" t="s">
        <v>31</v>
      </c>
      <c r="Q91" s="71" t="s">
        <v>330</v>
      </c>
      <c r="R91" s="140" t="s">
        <v>52</v>
      </c>
      <c r="S91" s="141"/>
      <c r="T91" s="142"/>
      <c r="U91" s="92"/>
      <c r="V91" s="152">
        <v>46121</v>
      </c>
      <c r="W91" s="70">
        <v>3</v>
      </c>
      <c r="X91" s="153" t="s">
        <v>332</v>
      </c>
      <c r="Y91" s="104">
        <f t="shared" si="12"/>
        <v>46212</v>
      </c>
      <c r="Z91" s="105">
        <f ca="1" t="shared" si="13"/>
        <v>45</v>
      </c>
      <c r="AA91" s="70"/>
      <c r="AB91" s="70"/>
      <c r="AC91" s="71"/>
      <c r="AD91" s="71"/>
      <c r="AE91" s="140"/>
      <c r="AF91" s="141"/>
      <c r="AG91" s="142"/>
      <c r="AH91" s="112"/>
      <c r="AI91" s="152"/>
      <c r="AJ91" s="70"/>
      <c r="AK91" s="153"/>
      <c r="AL91" s="104"/>
      <c r="AM91" s="105"/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178</v>
      </c>
      <c r="C92" s="71" t="s">
        <v>31</v>
      </c>
      <c r="D92" s="71" t="s">
        <v>333</v>
      </c>
      <c r="E92" s="71" t="s">
        <v>24</v>
      </c>
      <c r="F92" s="72"/>
      <c r="G92" s="73"/>
      <c r="H92" s="92" t="s">
        <v>334</v>
      </c>
      <c r="I92" s="102">
        <v>46029</v>
      </c>
      <c r="J92" s="70">
        <v>3</v>
      </c>
      <c r="K92" s="106" t="s">
        <v>335</v>
      </c>
      <c r="L92" s="104">
        <f t="shared" si="8"/>
        <v>46119</v>
      </c>
      <c r="M92" s="105">
        <f ca="1" t="shared" si="9"/>
        <v>-48</v>
      </c>
      <c r="N92" s="70"/>
      <c r="O92" s="70" t="s">
        <v>178</v>
      </c>
      <c r="P92" s="71" t="s">
        <v>31</v>
      </c>
      <c r="Q92" s="71" t="s">
        <v>333</v>
      </c>
      <c r="R92" s="71" t="s">
        <v>24</v>
      </c>
      <c r="S92" s="72"/>
      <c r="T92" s="73"/>
      <c r="U92" s="92" t="s">
        <v>334</v>
      </c>
      <c r="V92" s="152">
        <v>46119</v>
      </c>
      <c r="W92" s="70">
        <v>3</v>
      </c>
      <c r="X92" s="153" t="s">
        <v>336</v>
      </c>
      <c r="Y92" s="104">
        <f t="shared" si="12"/>
        <v>46210</v>
      </c>
      <c r="Z92" s="105">
        <f ca="1" t="shared" si="13"/>
        <v>43</v>
      </c>
      <c r="AA92" s="70"/>
      <c r="AB92" s="70"/>
      <c r="AC92" s="70"/>
      <c r="AD92" s="71"/>
      <c r="AE92" s="71"/>
      <c r="AF92" s="72"/>
      <c r="AG92" s="73"/>
      <c r="AH92" s="112"/>
      <c r="AI92" s="152"/>
      <c r="AJ92" s="70"/>
      <c r="AK92" s="153"/>
      <c r="AL92" s="104"/>
      <c r="AM92" s="105"/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178</v>
      </c>
      <c r="C93" s="71" t="s">
        <v>13</v>
      </c>
      <c r="D93" s="70" t="s">
        <v>337</v>
      </c>
      <c r="E93" s="71" t="s">
        <v>338</v>
      </c>
      <c r="F93" s="72"/>
      <c r="G93" s="73"/>
      <c r="H93" s="92"/>
      <c r="I93" s="102">
        <v>46029</v>
      </c>
      <c r="J93" s="70">
        <v>3</v>
      </c>
      <c r="K93" s="106" t="s">
        <v>339</v>
      </c>
      <c r="L93" s="104">
        <f t="shared" si="8"/>
        <v>46119</v>
      </c>
      <c r="M93" s="105">
        <f ca="1" t="shared" si="9"/>
        <v>-48</v>
      </c>
      <c r="N93" s="70"/>
      <c r="O93" s="70" t="s">
        <v>178</v>
      </c>
      <c r="P93" s="71" t="s">
        <v>13</v>
      </c>
      <c r="Q93" s="70" t="s">
        <v>337</v>
      </c>
      <c r="R93" s="71" t="s">
        <v>338</v>
      </c>
      <c r="S93" s="72"/>
      <c r="T93" s="73"/>
      <c r="U93" s="92"/>
      <c r="V93" s="152">
        <v>46119</v>
      </c>
      <c r="W93" s="70">
        <v>3</v>
      </c>
      <c r="X93" s="153" t="s">
        <v>340</v>
      </c>
      <c r="Y93" s="104">
        <f t="shared" si="12"/>
        <v>46210</v>
      </c>
      <c r="Z93" s="105">
        <f ca="1" t="shared" si="13"/>
        <v>43</v>
      </c>
      <c r="AA93" s="70"/>
      <c r="AB93" s="70"/>
      <c r="AC93" s="70"/>
      <c r="AD93" s="70"/>
      <c r="AE93" s="71"/>
      <c r="AF93" s="72"/>
      <c r="AG93" s="73"/>
      <c r="AH93" s="112"/>
      <c r="AI93" s="154"/>
      <c r="AJ93" s="70"/>
      <c r="AK93" s="153"/>
      <c r="AL93" s="104"/>
      <c r="AM93" s="105"/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178</v>
      </c>
      <c r="C94" s="71" t="s">
        <v>13</v>
      </c>
      <c r="D94" s="71" t="s">
        <v>341</v>
      </c>
      <c r="E94" s="71" t="s">
        <v>342</v>
      </c>
      <c r="F94" s="72"/>
      <c r="G94" s="73"/>
      <c r="H94" s="92"/>
      <c r="I94" s="102">
        <v>46029</v>
      </c>
      <c r="J94" s="70">
        <v>3</v>
      </c>
      <c r="K94" s="106" t="s">
        <v>343</v>
      </c>
      <c r="L94" s="104">
        <f t="shared" si="8"/>
        <v>46119</v>
      </c>
      <c r="M94" s="105">
        <f ca="1" t="shared" si="9"/>
        <v>-48</v>
      </c>
      <c r="N94" s="70"/>
      <c r="O94" s="70" t="s">
        <v>178</v>
      </c>
      <c r="P94" s="71" t="s">
        <v>13</v>
      </c>
      <c r="Q94" s="71" t="s">
        <v>341</v>
      </c>
      <c r="R94" s="71" t="s">
        <v>342</v>
      </c>
      <c r="S94" s="72"/>
      <c r="T94" s="73"/>
      <c r="U94" s="92"/>
      <c r="V94" s="152">
        <v>46114</v>
      </c>
      <c r="W94" s="70">
        <v>3</v>
      </c>
      <c r="X94" s="153" t="s">
        <v>344</v>
      </c>
      <c r="Y94" s="104">
        <f t="shared" si="12"/>
        <v>46205</v>
      </c>
      <c r="Z94" s="105">
        <f ca="1" t="shared" si="13"/>
        <v>38</v>
      </c>
      <c r="AA94" s="70"/>
      <c r="AB94" s="70"/>
      <c r="AC94" s="70"/>
      <c r="AD94" s="71"/>
      <c r="AE94" s="71"/>
      <c r="AF94" s="72"/>
      <c r="AG94" s="73"/>
      <c r="AH94" s="112"/>
      <c r="AI94" s="152"/>
      <c r="AJ94" s="70"/>
      <c r="AK94" s="153"/>
      <c r="AL94" s="104"/>
      <c r="AM94" s="105"/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178</v>
      </c>
      <c r="C95" s="71" t="s">
        <v>31</v>
      </c>
      <c r="D95" s="97" t="s">
        <v>345</v>
      </c>
      <c r="E95" s="71" t="s">
        <v>148</v>
      </c>
      <c r="F95" s="72"/>
      <c r="G95" s="73"/>
      <c r="H95" s="92" t="s">
        <v>334</v>
      </c>
      <c r="I95" s="102">
        <v>46029</v>
      </c>
      <c r="J95" s="70">
        <v>3</v>
      </c>
      <c r="K95" s="106" t="s">
        <v>346</v>
      </c>
      <c r="L95" s="104">
        <f t="shared" si="8"/>
        <v>46119</v>
      </c>
      <c r="M95" s="105">
        <f ca="1" t="shared" si="9"/>
        <v>-48</v>
      </c>
      <c r="N95" s="70"/>
      <c r="O95" s="70" t="s">
        <v>178</v>
      </c>
      <c r="P95" s="71" t="s">
        <v>31</v>
      </c>
      <c r="Q95" s="97" t="s">
        <v>345</v>
      </c>
      <c r="R95" s="71" t="s">
        <v>148</v>
      </c>
      <c r="S95" s="72"/>
      <c r="T95" s="73"/>
      <c r="U95" s="92" t="s">
        <v>334</v>
      </c>
      <c r="V95" s="152">
        <v>46124</v>
      </c>
      <c r="W95" s="70">
        <v>3</v>
      </c>
      <c r="X95" s="107" t="s">
        <v>347</v>
      </c>
      <c r="Y95" s="104">
        <f t="shared" si="12"/>
        <v>46215</v>
      </c>
      <c r="Z95" s="105">
        <f ca="1" t="shared" si="13"/>
        <v>48</v>
      </c>
      <c r="AA95" s="70"/>
      <c r="AB95" s="70"/>
      <c r="AC95" s="97"/>
      <c r="AD95" s="97"/>
      <c r="AE95" s="71"/>
      <c r="AF95" s="72"/>
      <c r="AG95" s="73"/>
      <c r="AH95" s="112"/>
      <c r="AI95" s="152"/>
      <c r="AJ95" s="70"/>
      <c r="AK95" s="97"/>
      <c r="AL95" s="104"/>
      <c r="AM95" s="105"/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178</v>
      </c>
      <c r="C96" s="71" t="s">
        <v>31</v>
      </c>
      <c r="D96" s="80" t="s">
        <v>348</v>
      </c>
      <c r="E96" s="71" t="s">
        <v>349</v>
      </c>
      <c r="F96" s="72"/>
      <c r="G96" s="73"/>
      <c r="H96" s="92"/>
      <c r="I96" s="102">
        <v>46029</v>
      </c>
      <c r="J96" s="70">
        <v>3</v>
      </c>
      <c r="K96" s="106" t="s">
        <v>350</v>
      </c>
      <c r="L96" s="104">
        <f t="shared" si="8"/>
        <v>46119</v>
      </c>
      <c r="M96" s="105">
        <f ca="1" t="shared" si="9"/>
        <v>-48</v>
      </c>
      <c r="N96" s="70"/>
      <c r="O96" s="70" t="s">
        <v>178</v>
      </c>
      <c r="P96" s="71" t="s">
        <v>31</v>
      </c>
      <c r="Q96" s="80" t="s">
        <v>348</v>
      </c>
      <c r="R96" s="71" t="s">
        <v>349</v>
      </c>
      <c r="S96" s="72"/>
      <c r="T96" s="73"/>
      <c r="U96" s="92"/>
      <c r="V96" s="152">
        <v>46121</v>
      </c>
      <c r="W96" s="70">
        <v>3</v>
      </c>
      <c r="X96" s="97" t="s">
        <v>351</v>
      </c>
      <c r="Y96" s="104">
        <f t="shared" si="12"/>
        <v>46212</v>
      </c>
      <c r="Z96" s="105">
        <f ca="1" t="shared" si="13"/>
        <v>45</v>
      </c>
      <c r="AA96" s="70"/>
      <c r="AB96" s="70"/>
      <c r="AC96" s="97"/>
      <c r="AD96" s="80"/>
      <c r="AE96" s="71"/>
      <c r="AF96" s="72"/>
      <c r="AG96" s="73"/>
      <c r="AH96" s="146"/>
      <c r="AI96" s="152"/>
      <c r="AJ96" s="70"/>
      <c r="AK96" s="97"/>
      <c r="AL96" s="104"/>
      <c r="AM96" s="105"/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31</v>
      </c>
      <c r="D97" s="93" t="s">
        <v>352</v>
      </c>
      <c r="E97" s="137" t="s">
        <v>353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354</v>
      </c>
      <c r="L97" s="104">
        <f t="shared" si="8"/>
        <v>46119</v>
      </c>
      <c r="M97" s="105">
        <f ca="1" t="shared" si="9"/>
        <v>-48</v>
      </c>
      <c r="N97" s="70"/>
      <c r="O97" s="70" t="s">
        <v>12</v>
      </c>
      <c r="P97" s="71" t="s">
        <v>31</v>
      </c>
      <c r="Q97" s="93" t="s">
        <v>352</v>
      </c>
      <c r="R97" s="137" t="s">
        <v>353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355</v>
      </c>
      <c r="Y97" s="104">
        <f t="shared" si="12"/>
        <v>46218</v>
      </c>
      <c r="Z97" s="105">
        <f ca="1" t="shared" si="13"/>
        <v>51</v>
      </c>
      <c r="AA97" s="70"/>
      <c r="AB97" s="70"/>
      <c r="AC97" s="97"/>
      <c r="AD97" s="93"/>
      <c r="AE97" s="137"/>
      <c r="AF97" s="138"/>
      <c r="AG97" s="139"/>
      <c r="AH97" s="79"/>
      <c r="AI97" s="152"/>
      <c r="AJ97" s="122"/>
      <c r="AK97" s="97"/>
      <c r="AL97" s="104"/>
      <c r="AM97" s="105"/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356</v>
      </c>
      <c r="E98" s="137" t="s">
        <v>95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357</v>
      </c>
      <c r="L98" s="104">
        <f t="shared" si="8"/>
        <v>46119</v>
      </c>
      <c r="M98" s="105">
        <f ca="1" t="shared" si="9"/>
        <v>-48</v>
      </c>
      <c r="N98" s="70"/>
      <c r="O98" s="70" t="s">
        <v>12</v>
      </c>
      <c r="P98" s="71" t="s">
        <v>13</v>
      </c>
      <c r="Q98" s="93" t="s">
        <v>356</v>
      </c>
      <c r="R98" s="137" t="s">
        <v>95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358</v>
      </c>
      <c r="Y98" s="104">
        <f t="shared" si="12"/>
        <v>46213</v>
      </c>
      <c r="Z98" s="105">
        <f ca="1" t="shared" si="13"/>
        <v>46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/>
      <c r="AM98" s="105"/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359</v>
      </c>
      <c r="C99" s="97" t="s">
        <v>31</v>
      </c>
      <c r="D99" s="93" t="s">
        <v>360</v>
      </c>
      <c r="E99" s="137" t="s">
        <v>361</v>
      </c>
      <c r="F99" s="138"/>
      <c r="G99" s="139"/>
      <c r="H99" s="96"/>
      <c r="I99" s="102">
        <v>46029</v>
      </c>
      <c r="J99" s="70">
        <v>3</v>
      </c>
      <c r="K99" s="106" t="s">
        <v>362</v>
      </c>
      <c r="L99" s="104">
        <f t="shared" si="8"/>
        <v>46119</v>
      </c>
      <c r="M99" s="105">
        <f ca="1" t="shared" si="9"/>
        <v>-48</v>
      </c>
      <c r="N99" s="70"/>
      <c r="O99" s="70" t="s">
        <v>359</v>
      </c>
      <c r="P99" s="97" t="s">
        <v>31</v>
      </c>
      <c r="Q99" s="93" t="s">
        <v>360</v>
      </c>
      <c r="R99" s="137" t="s">
        <v>361</v>
      </c>
      <c r="S99" s="138"/>
      <c r="T99" s="139"/>
      <c r="U99" s="96"/>
      <c r="V99" s="152">
        <v>46122</v>
      </c>
      <c r="W99" s="122">
        <v>3</v>
      </c>
      <c r="X99" s="97" t="s">
        <v>363</v>
      </c>
      <c r="Y99" s="104">
        <f t="shared" si="12"/>
        <v>46213</v>
      </c>
      <c r="Z99" s="105">
        <f ca="1" t="shared" si="13"/>
        <v>46</v>
      </c>
      <c r="AA99" s="70"/>
      <c r="AB99" s="70"/>
      <c r="AC99" s="97"/>
      <c r="AD99" s="93"/>
      <c r="AE99" s="137"/>
      <c r="AF99" s="138"/>
      <c r="AG99" s="139"/>
      <c r="AH99" s="79"/>
      <c r="AI99" s="152"/>
      <c r="AJ99" s="122"/>
      <c r="AK99" s="97"/>
      <c r="AL99" s="104"/>
      <c r="AM99" s="105"/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364</v>
      </c>
      <c r="C100" s="97" t="s">
        <v>13</v>
      </c>
      <c r="D100" s="93" t="s">
        <v>365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366</v>
      </c>
      <c r="L100" s="104">
        <f t="shared" si="8"/>
        <v>46119</v>
      </c>
      <c r="M100" s="105">
        <f ca="1" t="shared" si="9"/>
        <v>-48</v>
      </c>
      <c r="N100" s="70"/>
      <c r="O100" s="70" t="s">
        <v>364</v>
      </c>
      <c r="P100" s="97" t="s">
        <v>13</v>
      </c>
      <c r="Q100" s="93" t="s">
        <v>365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367</v>
      </c>
      <c r="Y100" s="104">
        <f t="shared" si="12"/>
        <v>46213</v>
      </c>
      <c r="Z100" s="105">
        <f ca="1" t="shared" si="13"/>
        <v>46</v>
      </c>
      <c r="AA100" s="70"/>
      <c r="AB100" s="70"/>
      <c r="AC100" s="97"/>
      <c r="AD100" s="93"/>
      <c r="AE100" s="137"/>
      <c r="AF100" s="138"/>
      <c r="AG100" s="139"/>
      <c r="AH100" s="79"/>
      <c r="AI100" s="102"/>
      <c r="AJ100" s="70"/>
      <c r="AK100" s="97"/>
      <c r="AL100" s="104"/>
      <c r="AM100" s="105"/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364</v>
      </c>
      <c r="C101" s="97" t="s">
        <v>13</v>
      </c>
      <c r="D101" s="93" t="s">
        <v>368</v>
      </c>
      <c r="E101" s="93" t="s">
        <v>37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369</v>
      </c>
      <c r="L101" s="104">
        <f t="shared" si="8"/>
        <v>46119</v>
      </c>
      <c r="M101" s="105">
        <f ca="1" t="shared" si="9"/>
        <v>-48</v>
      </c>
      <c r="N101" s="70"/>
      <c r="O101" s="70" t="s">
        <v>364</v>
      </c>
      <c r="P101" s="97" t="s">
        <v>13</v>
      </c>
      <c r="Q101" s="93" t="s">
        <v>368</v>
      </c>
      <c r="R101" s="93" t="s">
        <v>37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370</v>
      </c>
      <c r="Y101" s="104">
        <f t="shared" si="12"/>
        <v>46204</v>
      </c>
      <c r="Z101" s="105">
        <f ca="1" t="shared" si="13"/>
        <v>37</v>
      </c>
      <c r="AA101" s="70"/>
      <c r="AB101" s="70"/>
      <c r="AC101" s="97"/>
      <c r="AD101" s="93"/>
      <c r="AE101" s="93"/>
      <c r="AF101" s="94"/>
      <c r="AG101" s="95"/>
      <c r="AH101" s="86"/>
      <c r="AI101" s="132"/>
      <c r="AJ101" s="122"/>
      <c r="AK101" s="107"/>
      <c r="AL101" s="104"/>
      <c r="AM101" s="105"/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364</v>
      </c>
      <c r="C102" s="97" t="s">
        <v>13</v>
      </c>
      <c r="D102" s="93" t="s">
        <v>371</v>
      </c>
      <c r="E102" s="93" t="s">
        <v>86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372</v>
      </c>
      <c r="L102" s="104">
        <f t="shared" si="8"/>
        <v>46119</v>
      </c>
      <c r="M102" s="105">
        <f ca="1" t="shared" si="9"/>
        <v>-48</v>
      </c>
      <c r="N102" s="70"/>
      <c r="O102" s="70" t="s">
        <v>364</v>
      </c>
      <c r="P102" s="97" t="s">
        <v>13</v>
      </c>
      <c r="Q102" s="93" t="s">
        <v>371</v>
      </c>
      <c r="R102" s="93" t="s">
        <v>86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373</v>
      </c>
      <c r="Y102" s="104">
        <f t="shared" si="12"/>
        <v>46204</v>
      </c>
      <c r="Z102" s="105">
        <f ca="1" t="shared" si="13"/>
        <v>37</v>
      </c>
      <c r="AA102" s="70"/>
      <c r="AB102" s="122"/>
      <c r="AC102" s="122"/>
      <c r="AD102" s="93"/>
      <c r="AE102" s="93"/>
      <c r="AF102" s="94"/>
      <c r="AG102" s="95"/>
      <c r="AH102" s="86"/>
      <c r="AI102" s="132"/>
      <c r="AJ102" s="122"/>
      <c r="AK102" s="107"/>
      <c r="AL102" s="104"/>
      <c r="AM102" s="105"/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55</v>
      </c>
      <c r="C103" s="122" t="s">
        <v>31</v>
      </c>
      <c r="D103" s="93" t="s">
        <v>374</v>
      </c>
      <c r="E103" s="93" t="s">
        <v>375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376</v>
      </c>
      <c r="L103" s="104">
        <f t="shared" si="8"/>
        <v>46119</v>
      </c>
      <c r="M103" s="105">
        <f ca="1" t="shared" si="9"/>
        <v>-48</v>
      </c>
      <c r="N103" s="70"/>
      <c r="O103" s="122"/>
      <c r="P103" s="122"/>
      <c r="Q103" s="93"/>
      <c r="R103" s="93"/>
      <c r="S103" s="94"/>
      <c r="T103" s="95"/>
      <c r="U103" s="79"/>
      <c r="V103" s="132"/>
      <c r="W103" s="122"/>
      <c r="X103" s="107"/>
      <c r="Y103" s="104">
        <f t="shared" si="12"/>
        <v>0</v>
      </c>
      <c r="Z103" s="105">
        <f ca="1" t="shared" si="13"/>
        <v>-46167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/>
      <c r="AM103" s="105"/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55</v>
      </c>
      <c r="C104" s="122" t="s">
        <v>31</v>
      </c>
      <c r="D104" s="93" t="s">
        <v>377</v>
      </c>
      <c r="E104" s="93" t="s">
        <v>24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378</v>
      </c>
      <c r="L104" s="104">
        <f t="shared" si="8"/>
        <v>46119</v>
      </c>
      <c r="M104" s="105">
        <f ca="1" t="shared" si="9"/>
        <v>-48</v>
      </c>
      <c r="N104" s="70"/>
      <c r="O104" s="122"/>
      <c r="P104" s="122"/>
      <c r="Q104" s="93"/>
      <c r="R104" s="93"/>
      <c r="S104" s="94"/>
      <c r="T104" s="95"/>
      <c r="U104" s="114"/>
      <c r="V104" s="132"/>
      <c r="W104" s="122"/>
      <c r="X104" s="107"/>
      <c r="Y104" s="104">
        <f t="shared" si="12"/>
        <v>0</v>
      </c>
      <c r="Z104" s="105">
        <f ca="1" t="shared" si="13"/>
        <v>-46167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/>
      <c r="AM104" s="105"/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55</v>
      </c>
      <c r="C105" s="122" t="s">
        <v>31</v>
      </c>
      <c r="D105" s="71" t="s">
        <v>379</v>
      </c>
      <c r="E105" s="93" t="s">
        <v>24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380</v>
      </c>
      <c r="L105" s="104">
        <f t="shared" si="8"/>
        <v>46119</v>
      </c>
      <c r="M105" s="105">
        <f ca="1" t="shared" si="9"/>
        <v>-48</v>
      </c>
      <c r="N105" s="70"/>
      <c r="O105" s="122" t="s">
        <v>55</v>
      </c>
      <c r="P105" s="122" t="s">
        <v>31</v>
      </c>
      <c r="Q105" s="71" t="s">
        <v>379</v>
      </c>
      <c r="R105" s="93" t="s">
        <v>24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381</v>
      </c>
      <c r="Y105" s="104">
        <f t="shared" si="12"/>
        <v>46252</v>
      </c>
      <c r="Z105" s="105">
        <f ca="1" t="shared" si="13"/>
        <v>85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/>
      <c r="AM105" s="105"/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55</v>
      </c>
      <c r="C106" s="122" t="s">
        <v>13</v>
      </c>
      <c r="D106" s="71" t="s">
        <v>382</v>
      </c>
      <c r="E106" s="93" t="s">
        <v>383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384</v>
      </c>
      <c r="L106" s="104">
        <f t="shared" si="8"/>
        <v>46119</v>
      </c>
      <c r="M106" s="105">
        <f ca="1" t="shared" si="9"/>
        <v>-48</v>
      </c>
      <c r="N106" s="70"/>
      <c r="O106" s="122"/>
      <c r="P106" s="122"/>
      <c r="Q106" s="71"/>
      <c r="R106" s="93"/>
      <c r="S106" s="94"/>
      <c r="T106" s="95"/>
      <c r="U106" s="107"/>
      <c r="V106" s="132"/>
      <c r="W106" s="70"/>
      <c r="X106" s="107"/>
      <c r="Y106" s="104">
        <f t="shared" si="12"/>
        <v>0</v>
      </c>
      <c r="Z106" s="105">
        <f ca="1" t="shared" si="13"/>
        <v>-46167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/>
      <c r="AM106" s="105"/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55</v>
      </c>
      <c r="C107" s="122" t="s">
        <v>13</v>
      </c>
      <c r="D107" s="93" t="s">
        <v>385</v>
      </c>
      <c r="E107" s="137" t="s">
        <v>386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387</v>
      </c>
      <c r="L107" s="104">
        <f t="shared" si="8"/>
        <v>46119</v>
      </c>
      <c r="M107" s="105">
        <f ca="1" t="shared" si="9"/>
        <v>-48</v>
      </c>
      <c r="N107" s="70"/>
      <c r="O107" s="122"/>
      <c r="P107" s="122"/>
      <c r="Q107" s="93"/>
      <c r="R107" s="137"/>
      <c r="S107" s="138"/>
      <c r="T107" s="139"/>
      <c r="U107" s="79"/>
      <c r="V107" s="132"/>
      <c r="W107" s="122"/>
      <c r="X107" s="107"/>
      <c r="Y107" s="104">
        <f t="shared" si="12"/>
        <v>0</v>
      </c>
      <c r="Z107" s="105">
        <f ca="1" t="shared" si="13"/>
        <v>-46167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/>
      <c r="AM107" s="105"/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55</v>
      </c>
      <c r="C108" s="122" t="s">
        <v>13</v>
      </c>
      <c r="D108" s="93" t="s">
        <v>388</v>
      </c>
      <c r="E108" s="137" t="s">
        <v>389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390</v>
      </c>
      <c r="L108" s="104">
        <f t="shared" si="8"/>
        <v>46119</v>
      </c>
      <c r="M108" s="105">
        <f ca="1" t="shared" si="9"/>
        <v>-48</v>
      </c>
      <c r="N108" s="70"/>
      <c r="O108" s="122"/>
      <c r="P108" s="122"/>
      <c r="Q108" s="93"/>
      <c r="R108" s="137"/>
      <c r="S108" s="138"/>
      <c r="T108" s="139"/>
      <c r="U108" s="79"/>
      <c r="V108" s="132"/>
      <c r="W108" s="122"/>
      <c r="X108" s="107"/>
      <c r="Y108" s="104">
        <f t="shared" si="12"/>
        <v>0</v>
      </c>
      <c r="Z108" s="105">
        <f ca="1" t="shared" si="13"/>
        <v>-46167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/>
      <c r="AM108" s="105"/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55</v>
      </c>
      <c r="C109" s="122" t="s">
        <v>13</v>
      </c>
      <c r="D109" s="93" t="s">
        <v>391</v>
      </c>
      <c r="E109" s="137" t="s">
        <v>392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393</v>
      </c>
      <c r="L109" s="104">
        <f t="shared" si="8"/>
        <v>46119</v>
      </c>
      <c r="M109" s="105">
        <f ca="1" t="shared" si="9"/>
        <v>-48</v>
      </c>
      <c r="N109" s="70"/>
      <c r="O109" s="122" t="s">
        <v>55</v>
      </c>
      <c r="P109" s="122" t="s">
        <v>13</v>
      </c>
      <c r="Q109" s="93" t="s">
        <v>391</v>
      </c>
      <c r="R109" s="137" t="s">
        <v>392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394</v>
      </c>
      <c r="Y109" s="104">
        <f t="shared" si="12"/>
        <v>46243</v>
      </c>
      <c r="Z109" s="105">
        <f ca="1" t="shared" si="13"/>
        <v>76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/>
      <c r="AM109" s="105"/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395</v>
      </c>
      <c r="C110" s="122" t="s">
        <v>31</v>
      </c>
      <c r="D110" s="93" t="s">
        <v>396</v>
      </c>
      <c r="E110" s="137" t="s">
        <v>148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397</v>
      </c>
      <c r="L110" s="104">
        <f t="shared" si="8"/>
        <v>46119</v>
      </c>
      <c r="M110" s="105">
        <f ca="1" t="shared" si="9"/>
        <v>-48</v>
      </c>
      <c r="N110" s="70"/>
      <c r="O110" s="122" t="s">
        <v>395</v>
      </c>
      <c r="P110" s="122" t="s">
        <v>31</v>
      </c>
      <c r="Q110" s="93" t="s">
        <v>396</v>
      </c>
      <c r="R110" s="137" t="s">
        <v>148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398</v>
      </c>
      <c r="Y110" s="104">
        <f t="shared" si="12"/>
        <v>46206</v>
      </c>
      <c r="Z110" s="105">
        <f ca="1" t="shared" si="13"/>
        <v>39</v>
      </c>
      <c r="AA110" s="70"/>
      <c r="AB110" s="122"/>
      <c r="AC110" s="122"/>
      <c r="AD110" s="93"/>
      <c r="AE110" s="137"/>
      <c r="AF110" s="138"/>
      <c r="AG110" s="139"/>
      <c r="AH110" s="114"/>
      <c r="AI110" s="102"/>
      <c r="AJ110" s="70"/>
      <c r="AK110" s="103"/>
      <c r="AL110" s="104"/>
      <c r="AM110" s="105"/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395</v>
      </c>
      <c r="C111" s="122" t="s">
        <v>31</v>
      </c>
      <c r="D111" s="93" t="s">
        <v>399</v>
      </c>
      <c r="E111" s="93" t="s">
        <v>400</v>
      </c>
      <c r="F111" s="94"/>
      <c r="G111" s="95"/>
      <c r="H111" s="96"/>
      <c r="I111" s="102">
        <v>46029</v>
      </c>
      <c r="J111" s="70">
        <v>3</v>
      </c>
      <c r="K111" s="106" t="s">
        <v>401</v>
      </c>
      <c r="L111" s="104">
        <f t="shared" si="8"/>
        <v>46119</v>
      </c>
      <c r="M111" s="105">
        <f ca="1" t="shared" si="9"/>
        <v>-48</v>
      </c>
      <c r="N111" s="70"/>
      <c r="O111" s="122" t="s">
        <v>395</v>
      </c>
      <c r="P111" s="122" t="s">
        <v>31</v>
      </c>
      <c r="Q111" s="93" t="s">
        <v>399</v>
      </c>
      <c r="R111" s="93" t="s">
        <v>400</v>
      </c>
      <c r="S111" s="94"/>
      <c r="T111" s="95"/>
      <c r="U111" s="96"/>
      <c r="V111" s="102">
        <v>46115</v>
      </c>
      <c r="W111" s="122">
        <v>3</v>
      </c>
      <c r="X111" s="103" t="s">
        <v>402</v>
      </c>
      <c r="Y111" s="104">
        <f t="shared" si="12"/>
        <v>46206</v>
      </c>
      <c r="Z111" s="105">
        <f ca="1" t="shared" si="13"/>
        <v>39</v>
      </c>
      <c r="AA111" s="70"/>
      <c r="AB111" s="122"/>
      <c r="AC111" s="122"/>
      <c r="AD111" s="93"/>
      <c r="AE111" s="93"/>
      <c r="AF111" s="94"/>
      <c r="AG111" s="95"/>
      <c r="AH111" s="79"/>
      <c r="AI111" s="132"/>
      <c r="AJ111" s="122"/>
      <c r="AK111" s="107"/>
      <c r="AL111" s="104"/>
      <c r="AM111" s="105"/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403</v>
      </c>
      <c r="C112" s="122" t="s">
        <v>203</v>
      </c>
      <c r="D112" s="93" t="s">
        <v>404</v>
      </c>
      <c r="E112" s="93" t="s">
        <v>405</v>
      </c>
      <c r="F112" s="94"/>
      <c r="G112" s="95"/>
      <c r="H112" s="96"/>
      <c r="I112" s="102">
        <v>46029</v>
      </c>
      <c r="J112" s="70">
        <v>3</v>
      </c>
      <c r="K112" s="106" t="s">
        <v>406</v>
      </c>
      <c r="L112" s="104">
        <f t="shared" si="8"/>
        <v>46119</v>
      </c>
      <c r="M112" s="105">
        <f ca="1" t="shared" si="9"/>
        <v>-48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14">EDATE(V112,W112)</f>
        <v>0</v>
      </c>
      <c r="Z112" s="105">
        <f ca="1" t="shared" ref="Z111:Z118" si="15">Y112-TODAY()</f>
        <v>-46167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/>
      <c r="AM112" s="105"/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407</v>
      </c>
      <c r="C113" s="122" t="s">
        <v>13</v>
      </c>
      <c r="D113" s="93" t="s">
        <v>408</v>
      </c>
      <c r="E113" s="93" t="s">
        <v>409</v>
      </c>
      <c r="F113" s="94"/>
      <c r="G113" s="95"/>
      <c r="H113" s="96"/>
      <c r="I113" s="102">
        <v>46029</v>
      </c>
      <c r="J113" s="70">
        <v>3</v>
      </c>
      <c r="K113" s="106" t="s">
        <v>410</v>
      </c>
      <c r="L113" s="104">
        <f t="shared" si="8"/>
        <v>46119</v>
      </c>
      <c r="M113" s="105">
        <f ca="1" t="shared" si="9"/>
        <v>-48</v>
      </c>
      <c r="N113" s="70"/>
      <c r="O113" s="122" t="s">
        <v>407</v>
      </c>
      <c r="P113" s="122" t="s">
        <v>13</v>
      </c>
      <c r="Q113" s="93" t="s">
        <v>408</v>
      </c>
      <c r="R113" s="93" t="s">
        <v>409</v>
      </c>
      <c r="S113" s="94"/>
      <c r="T113" s="95"/>
      <c r="U113" s="96"/>
      <c r="V113" s="132">
        <v>46126</v>
      </c>
      <c r="W113" s="122">
        <v>3</v>
      </c>
      <c r="X113" s="107" t="s">
        <v>411</v>
      </c>
      <c r="Y113" s="104">
        <f t="shared" si="14"/>
        <v>46217</v>
      </c>
      <c r="Z113" s="105">
        <f ca="1" t="shared" si="15"/>
        <v>50</v>
      </c>
      <c r="AA113" s="70"/>
      <c r="AB113" s="122"/>
      <c r="AC113" s="122"/>
      <c r="AD113" s="93"/>
      <c r="AE113" s="93"/>
      <c r="AF113" s="94"/>
      <c r="AG113" s="95"/>
      <c r="AH113" s="79"/>
      <c r="AI113" s="132"/>
      <c r="AJ113" s="122"/>
      <c r="AK113" s="107"/>
      <c r="AL113" s="104"/>
      <c r="AM113" s="105"/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412</v>
      </c>
      <c r="C114" s="122" t="s">
        <v>287</v>
      </c>
      <c r="D114" s="93" t="s">
        <v>413</v>
      </c>
      <c r="E114" s="93" t="s">
        <v>414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415</v>
      </c>
      <c r="L114" s="104">
        <f t="shared" si="8"/>
        <v>46119</v>
      </c>
      <c r="M114" s="105">
        <f ca="1" t="shared" si="9"/>
        <v>-48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14"/>
        <v>0</v>
      </c>
      <c r="Z114" s="105">
        <f ca="1" t="shared" si="15"/>
        <v>-46167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/>
      <c r="AM114" s="105"/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416</v>
      </c>
      <c r="C115" s="122" t="s">
        <v>287</v>
      </c>
      <c r="D115" s="93" t="s">
        <v>417</v>
      </c>
      <c r="E115" s="93" t="s">
        <v>418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419</v>
      </c>
      <c r="L115" s="104">
        <f t="shared" si="8"/>
        <v>46119</v>
      </c>
      <c r="M115" s="105">
        <f ca="1" t="shared" si="9"/>
        <v>-48</v>
      </c>
      <c r="N115" s="70"/>
      <c r="O115" s="122" t="s">
        <v>416</v>
      </c>
      <c r="P115" s="122" t="s">
        <v>287</v>
      </c>
      <c r="Q115" s="93" t="s">
        <v>417</v>
      </c>
      <c r="R115" s="93" t="s">
        <v>418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420</v>
      </c>
      <c r="Y115" s="104">
        <f t="shared" si="14"/>
        <v>46225</v>
      </c>
      <c r="Z115" s="105">
        <f ca="1" t="shared" si="15"/>
        <v>58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/>
      <c r="AM115" s="105"/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416</v>
      </c>
      <c r="C116" s="122" t="s">
        <v>287</v>
      </c>
      <c r="D116" s="122" t="s">
        <v>421</v>
      </c>
      <c r="E116" s="93" t="s">
        <v>418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422</v>
      </c>
      <c r="L116" s="104">
        <f t="shared" si="8"/>
        <v>46119</v>
      </c>
      <c r="M116" s="105">
        <f ca="1" t="shared" si="9"/>
        <v>-48</v>
      </c>
      <c r="N116" s="70"/>
      <c r="O116" s="122" t="s">
        <v>416</v>
      </c>
      <c r="P116" s="122" t="s">
        <v>287</v>
      </c>
      <c r="Q116" s="122" t="s">
        <v>421</v>
      </c>
      <c r="R116" s="93" t="s">
        <v>418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423</v>
      </c>
      <c r="Y116" s="104">
        <f t="shared" si="14"/>
        <v>46214</v>
      </c>
      <c r="Z116" s="105">
        <f ca="1" t="shared" si="15"/>
        <v>47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/>
      <c r="AM116" s="105"/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424</v>
      </c>
      <c r="C117" s="122" t="s">
        <v>287</v>
      </c>
      <c r="D117" s="147" t="s">
        <v>425</v>
      </c>
      <c r="E117" s="93" t="s">
        <v>426</v>
      </c>
      <c r="F117" s="94"/>
      <c r="G117" s="95"/>
      <c r="H117" s="75"/>
      <c r="I117" s="102">
        <v>46029</v>
      </c>
      <c r="J117" s="70">
        <v>3</v>
      </c>
      <c r="K117" s="106" t="s">
        <v>427</v>
      </c>
      <c r="L117" s="104">
        <f t="shared" si="8"/>
        <v>46119</v>
      </c>
      <c r="M117" s="105">
        <f ca="1" t="shared" si="9"/>
        <v>-48</v>
      </c>
      <c r="N117" s="70"/>
      <c r="O117" s="122" t="s">
        <v>424</v>
      </c>
      <c r="P117" s="122" t="s">
        <v>287</v>
      </c>
      <c r="Q117" s="147" t="s">
        <v>425</v>
      </c>
      <c r="R117" s="93" t="s">
        <v>426</v>
      </c>
      <c r="S117" s="94"/>
      <c r="T117" s="95"/>
      <c r="U117" s="75"/>
      <c r="V117" s="132">
        <v>46114</v>
      </c>
      <c r="W117" s="122">
        <v>3</v>
      </c>
      <c r="X117" s="107" t="s">
        <v>428</v>
      </c>
      <c r="Y117" s="104">
        <f t="shared" si="14"/>
        <v>46205</v>
      </c>
      <c r="Z117" s="105">
        <f ca="1" t="shared" si="15"/>
        <v>38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/>
      <c r="AM117" s="105"/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429</v>
      </c>
      <c r="C118" s="122" t="s">
        <v>287</v>
      </c>
      <c r="D118" s="129" t="s">
        <v>430</v>
      </c>
      <c r="E118" s="93" t="s">
        <v>431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432</v>
      </c>
      <c r="L118" s="104">
        <f t="shared" si="8"/>
        <v>46119</v>
      </c>
      <c r="M118" s="105">
        <f ca="1" t="shared" si="9"/>
        <v>-48</v>
      </c>
      <c r="N118" s="70"/>
      <c r="O118" s="122" t="s">
        <v>429</v>
      </c>
      <c r="P118" s="122" t="s">
        <v>287</v>
      </c>
      <c r="Q118" s="129" t="s">
        <v>430</v>
      </c>
      <c r="R118" s="93" t="s">
        <v>431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433</v>
      </c>
      <c r="Y118" s="104">
        <f t="shared" si="14"/>
        <v>46212</v>
      </c>
      <c r="Z118" s="105">
        <f ca="1" t="shared" si="15"/>
        <v>45</v>
      </c>
      <c r="AA118" s="70"/>
      <c r="AB118" s="122"/>
      <c r="AC118" s="122"/>
      <c r="AD118" s="129"/>
      <c r="AE118" s="93"/>
      <c r="AF118" s="94"/>
      <c r="AG118" s="95"/>
      <c r="AH118" s="79"/>
      <c r="AI118" s="132"/>
      <c r="AJ118" s="122"/>
      <c r="AK118" s="107"/>
      <c r="AL118" s="104"/>
      <c r="AM118" s="105"/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429</v>
      </c>
      <c r="C119" s="122" t="s">
        <v>287</v>
      </c>
      <c r="D119" s="129" t="s">
        <v>434</v>
      </c>
      <c r="E119" s="93" t="s">
        <v>435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436</v>
      </c>
      <c r="L119" s="104">
        <f t="shared" si="8"/>
        <v>46119</v>
      </c>
      <c r="M119" s="105">
        <f ca="1" t="shared" si="9"/>
        <v>-48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16">EDATE(V119,W119)</f>
        <v>0</v>
      </c>
      <c r="Z119" s="105">
        <f ca="1" t="shared" ref="Z118:Z135" si="17">Y119-TODAY()</f>
        <v>-46167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/>
      <c r="AM119" s="105"/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437</v>
      </c>
      <c r="C120" s="122" t="s">
        <v>31</v>
      </c>
      <c r="D120" s="147" t="s">
        <v>438</v>
      </c>
      <c r="E120" s="93" t="s">
        <v>24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439</v>
      </c>
      <c r="L120" s="104">
        <f t="shared" si="8"/>
        <v>46120</v>
      </c>
      <c r="M120" s="105">
        <f ca="1" t="shared" si="9"/>
        <v>-47</v>
      </c>
      <c r="N120" s="70"/>
      <c r="O120" s="122" t="s">
        <v>437</v>
      </c>
      <c r="P120" s="122" t="s">
        <v>31</v>
      </c>
      <c r="Q120" s="147" t="s">
        <v>438</v>
      </c>
      <c r="R120" s="93" t="s">
        <v>24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440</v>
      </c>
      <c r="Y120" s="104">
        <f t="shared" si="16"/>
        <v>46247</v>
      </c>
      <c r="Z120" s="105">
        <f ca="1" t="shared" si="17"/>
        <v>80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/>
      <c r="AM120" s="105"/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31</v>
      </c>
      <c r="D121" s="147" t="s">
        <v>441</v>
      </c>
      <c r="E121" s="93" t="s">
        <v>148</v>
      </c>
      <c r="F121" s="94"/>
      <c r="G121" s="95"/>
      <c r="H121" s="75"/>
      <c r="I121" s="102">
        <v>46030</v>
      </c>
      <c r="J121" s="122">
        <v>3</v>
      </c>
      <c r="K121" s="107" t="s">
        <v>442</v>
      </c>
      <c r="L121" s="104">
        <f t="shared" si="8"/>
        <v>46120</v>
      </c>
      <c r="M121" s="105">
        <f ca="1" t="shared" si="9"/>
        <v>-47</v>
      </c>
      <c r="N121" s="70"/>
      <c r="O121" s="122" t="s">
        <v>12</v>
      </c>
      <c r="P121" s="122" t="s">
        <v>31</v>
      </c>
      <c r="Q121" s="147" t="s">
        <v>441</v>
      </c>
      <c r="R121" s="93" t="s">
        <v>148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443</v>
      </c>
      <c r="Y121" s="104">
        <f t="shared" si="16"/>
        <v>46218</v>
      </c>
      <c r="Z121" s="105">
        <f ca="1" t="shared" si="17"/>
        <v>51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/>
      <c r="AM121" s="105"/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178</v>
      </c>
      <c r="C122" s="122" t="s">
        <v>13</v>
      </c>
      <c r="D122" s="147" t="s">
        <v>444</v>
      </c>
      <c r="E122" s="93" t="s">
        <v>95</v>
      </c>
      <c r="F122" s="94"/>
      <c r="G122" s="95"/>
      <c r="H122" s="75"/>
      <c r="I122" s="102">
        <v>46030</v>
      </c>
      <c r="J122" s="122">
        <v>3</v>
      </c>
      <c r="K122" s="107" t="s">
        <v>445</v>
      </c>
      <c r="L122" s="104">
        <f t="shared" si="8"/>
        <v>46120</v>
      </c>
      <c r="M122" s="105">
        <f ca="1" t="shared" si="9"/>
        <v>-47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16"/>
        <v>0</v>
      </c>
      <c r="Z122" s="105">
        <f ca="1" t="shared" si="17"/>
        <v>-46167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/>
      <c r="AM122" s="105"/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178</v>
      </c>
      <c r="C123" s="122" t="s">
        <v>13</v>
      </c>
      <c r="D123" s="147" t="s">
        <v>446</v>
      </c>
      <c r="E123" s="93" t="s">
        <v>104</v>
      </c>
      <c r="F123" s="94"/>
      <c r="G123" s="95"/>
      <c r="H123" s="75"/>
      <c r="I123" s="102">
        <v>46030</v>
      </c>
      <c r="J123" s="122">
        <v>3</v>
      </c>
      <c r="K123" s="107" t="s">
        <v>447</v>
      </c>
      <c r="L123" s="104">
        <f t="shared" si="8"/>
        <v>46120</v>
      </c>
      <c r="M123" s="105">
        <f ca="1" t="shared" si="9"/>
        <v>-47</v>
      </c>
      <c r="N123" s="70"/>
      <c r="O123" s="122" t="s">
        <v>178</v>
      </c>
      <c r="P123" s="122" t="s">
        <v>13</v>
      </c>
      <c r="Q123" s="147" t="s">
        <v>446</v>
      </c>
      <c r="R123" s="93" t="s">
        <v>104</v>
      </c>
      <c r="S123" s="94"/>
      <c r="T123" s="95"/>
      <c r="U123" s="75"/>
      <c r="V123" s="132">
        <v>46124</v>
      </c>
      <c r="W123" s="122">
        <v>3</v>
      </c>
      <c r="X123" s="107" t="s">
        <v>448</v>
      </c>
      <c r="Y123" s="104">
        <f t="shared" si="16"/>
        <v>46215</v>
      </c>
      <c r="Z123" s="105">
        <f ca="1" t="shared" si="17"/>
        <v>48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/>
      <c r="AM123" s="105"/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178</v>
      </c>
      <c r="C124" s="122" t="s">
        <v>13</v>
      </c>
      <c r="D124" s="147" t="s">
        <v>449</v>
      </c>
      <c r="E124" s="93" t="s">
        <v>57</v>
      </c>
      <c r="F124" s="94"/>
      <c r="G124" s="95"/>
      <c r="H124" s="75"/>
      <c r="I124" s="102">
        <v>46030</v>
      </c>
      <c r="J124" s="122">
        <v>3</v>
      </c>
      <c r="K124" s="107" t="s">
        <v>450</v>
      </c>
      <c r="L124" s="104">
        <f t="shared" si="8"/>
        <v>46120</v>
      </c>
      <c r="M124" s="105">
        <f ca="1" t="shared" si="9"/>
        <v>-47</v>
      </c>
      <c r="N124" s="70"/>
      <c r="O124" s="122" t="s">
        <v>178</v>
      </c>
      <c r="P124" s="122" t="s">
        <v>13</v>
      </c>
      <c r="Q124" s="147" t="s">
        <v>449</v>
      </c>
      <c r="R124" s="93" t="s">
        <v>57</v>
      </c>
      <c r="S124" s="94"/>
      <c r="T124" s="95"/>
      <c r="U124" s="75"/>
      <c r="V124" s="132">
        <v>46160</v>
      </c>
      <c r="W124" s="122">
        <v>3</v>
      </c>
      <c r="X124" s="107" t="s">
        <v>451</v>
      </c>
      <c r="Y124" s="104">
        <f t="shared" si="16"/>
        <v>46252</v>
      </c>
      <c r="Z124" s="105">
        <f ca="1" t="shared" si="17"/>
        <v>85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/>
      <c r="AM124" s="105"/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178</v>
      </c>
      <c r="C125" s="122" t="s">
        <v>31</v>
      </c>
      <c r="D125" s="147" t="s">
        <v>452</v>
      </c>
      <c r="E125" s="93" t="s">
        <v>453</v>
      </c>
      <c r="F125" s="94"/>
      <c r="G125" s="95"/>
      <c r="H125" s="75"/>
      <c r="I125" s="102">
        <v>46030</v>
      </c>
      <c r="J125" s="122">
        <v>3</v>
      </c>
      <c r="K125" s="107" t="s">
        <v>454</v>
      </c>
      <c r="L125" s="104">
        <f t="shared" si="8"/>
        <v>46120</v>
      </c>
      <c r="M125" s="105">
        <f ca="1" t="shared" si="9"/>
        <v>-47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16"/>
        <v>0</v>
      </c>
      <c r="Z125" s="105">
        <f ca="1" t="shared" si="17"/>
        <v>-46167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/>
      <c r="AM125" s="105"/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178</v>
      </c>
      <c r="C126" s="122" t="s">
        <v>31</v>
      </c>
      <c r="D126" s="148" t="s">
        <v>455</v>
      </c>
      <c r="E126" s="93" t="s">
        <v>456</v>
      </c>
      <c r="F126" s="94"/>
      <c r="G126" s="95"/>
      <c r="H126" s="75"/>
      <c r="I126" s="102">
        <v>46030</v>
      </c>
      <c r="J126" s="122">
        <v>3</v>
      </c>
      <c r="K126" s="107" t="s">
        <v>457</v>
      </c>
      <c r="L126" s="104">
        <f t="shared" si="8"/>
        <v>46120</v>
      </c>
      <c r="M126" s="105">
        <f ca="1" t="shared" si="9"/>
        <v>-47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16"/>
        <v>0</v>
      </c>
      <c r="Z126" s="105">
        <f ca="1" t="shared" si="17"/>
        <v>-46167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/>
      <c r="AM126" s="105"/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178</v>
      </c>
      <c r="C127" s="122" t="s">
        <v>31</v>
      </c>
      <c r="D127" s="149" t="s">
        <v>458</v>
      </c>
      <c r="E127" s="71" t="s">
        <v>459</v>
      </c>
      <c r="F127" s="72"/>
      <c r="G127" s="73"/>
      <c r="H127" s="75"/>
      <c r="I127" s="102">
        <v>46030</v>
      </c>
      <c r="J127" s="122">
        <v>3</v>
      </c>
      <c r="K127" s="107" t="s">
        <v>460</v>
      </c>
      <c r="L127" s="104">
        <f t="shared" si="8"/>
        <v>46120</v>
      </c>
      <c r="M127" s="105">
        <f ca="1" t="shared" si="9"/>
        <v>-47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16"/>
        <v>0</v>
      </c>
      <c r="Z127" s="105">
        <f ca="1" t="shared" si="17"/>
        <v>-46167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/>
      <c r="AM127" s="105"/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178</v>
      </c>
      <c r="C128" s="122" t="s">
        <v>31</v>
      </c>
      <c r="D128" s="149" t="s">
        <v>461</v>
      </c>
      <c r="E128" s="71" t="s">
        <v>33</v>
      </c>
      <c r="F128" s="72"/>
      <c r="G128" s="73"/>
      <c r="H128" s="75"/>
      <c r="I128" s="102">
        <v>46030</v>
      </c>
      <c r="J128" s="122">
        <v>3</v>
      </c>
      <c r="K128" s="107" t="s">
        <v>462</v>
      </c>
      <c r="L128" s="104">
        <f t="shared" si="8"/>
        <v>46120</v>
      </c>
      <c r="M128" s="105">
        <f ca="1" t="shared" si="9"/>
        <v>-47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16"/>
        <v>0</v>
      </c>
      <c r="Z128" s="105">
        <f ca="1" t="shared" si="17"/>
        <v>-46167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/>
      <c r="AM128" s="105"/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178</v>
      </c>
      <c r="C129" s="150" t="s">
        <v>13</v>
      </c>
      <c r="D129" s="149" t="s">
        <v>463</v>
      </c>
      <c r="E129" s="71" t="s">
        <v>464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465</v>
      </c>
      <c r="L129" s="104">
        <f t="shared" si="8"/>
        <v>46120</v>
      </c>
      <c r="M129" s="105">
        <f ca="1" t="shared" si="9"/>
        <v>-47</v>
      </c>
      <c r="N129" s="70"/>
      <c r="O129" s="122" t="s">
        <v>178</v>
      </c>
      <c r="P129" s="150" t="s">
        <v>13</v>
      </c>
      <c r="Q129" s="149" t="s">
        <v>463</v>
      </c>
      <c r="R129" s="71" t="s">
        <v>464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466</v>
      </c>
      <c r="Y129" s="104">
        <f t="shared" si="16"/>
        <v>47310</v>
      </c>
      <c r="Z129" s="105">
        <f ca="1" t="shared" si="17"/>
        <v>1143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/>
      <c r="AM129" s="105"/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178</v>
      </c>
      <c r="C130" s="150" t="s">
        <v>13</v>
      </c>
      <c r="D130" s="149" t="s">
        <v>467</v>
      </c>
      <c r="E130" s="71" t="s">
        <v>68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468</v>
      </c>
      <c r="L130" s="104">
        <f t="shared" si="8"/>
        <v>46120</v>
      </c>
      <c r="M130" s="105">
        <f ca="1" t="shared" si="9"/>
        <v>-47</v>
      </c>
      <c r="N130" s="70"/>
      <c r="O130" s="122" t="s">
        <v>178</v>
      </c>
      <c r="P130" s="150" t="s">
        <v>13</v>
      </c>
      <c r="Q130" s="149" t="s">
        <v>467</v>
      </c>
      <c r="R130" s="71" t="s">
        <v>68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469</v>
      </c>
      <c r="Y130" s="104">
        <f t="shared" si="16"/>
        <v>47310</v>
      </c>
      <c r="Z130" s="105">
        <f ca="1" t="shared" si="17"/>
        <v>1143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/>
      <c r="AM130" s="105"/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470</v>
      </c>
      <c r="C131" s="148" t="s">
        <v>13</v>
      </c>
      <c r="D131" s="149" t="s">
        <v>471</v>
      </c>
      <c r="E131" s="71" t="s">
        <v>57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472</v>
      </c>
      <c r="L131" s="104">
        <f t="shared" ref="L131:L194" si="18">EDATE(I131,J131)</f>
        <v>46120</v>
      </c>
      <c r="M131" s="105">
        <f ca="1" t="shared" ref="M131:M194" si="19">L131-TODAY()</f>
        <v>-47</v>
      </c>
      <c r="N131" s="70"/>
      <c r="O131" s="122" t="s">
        <v>12</v>
      </c>
      <c r="P131" s="148" t="s">
        <v>13</v>
      </c>
      <c r="Q131" s="149" t="s">
        <v>471</v>
      </c>
      <c r="R131" s="71" t="s">
        <v>57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473</v>
      </c>
      <c r="Y131" s="104">
        <f t="shared" si="16"/>
        <v>46239</v>
      </c>
      <c r="Z131" s="105">
        <f ca="1" t="shared" si="17"/>
        <v>72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/>
      <c r="AM131" s="105"/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474</v>
      </c>
      <c r="C132" s="148" t="s">
        <v>13</v>
      </c>
      <c r="D132" s="149" t="s">
        <v>475</v>
      </c>
      <c r="E132" s="71" t="s">
        <v>61</v>
      </c>
      <c r="F132" s="72"/>
      <c r="G132" s="73"/>
      <c r="H132" s="75"/>
      <c r="I132" s="102">
        <v>46030</v>
      </c>
      <c r="J132" s="122">
        <v>3</v>
      </c>
      <c r="K132" s="107" t="s">
        <v>476</v>
      </c>
      <c r="L132" s="104">
        <f t="shared" si="18"/>
        <v>46120</v>
      </c>
      <c r="M132" s="105">
        <f ca="1" t="shared" si="19"/>
        <v>-47</v>
      </c>
      <c r="N132" s="70"/>
      <c r="O132" s="122" t="s">
        <v>474</v>
      </c>
      <c r="P132" s="148" t="s">
        <v>13</v>
      </c>
      <c r="Q132" s="149" t="s">
        <v>475</v>
      </c>
      <c r="R132" s="71" t="s">
        <v>61</v>
      </c>
      <c r="S132" s="72"/>
      <c r="T132" s="73"/>
      <c r="U132" s="75"/>
      <c r="V132" s="132">
        <v>46115</v>
      </c>
      <c r="W132" s="70">
        <v>3</v>
      </c>
      <c r="X132" s="107" t="s">
        <v>477</v>
      </c>
      <c r="Y132" s="104">
        <f t="shared" si="16"/>
        <v>46206</v>
      </c>
      <c r="Z132" s="105">
        <f ca="1" t="shared" si="17"/>
        <v>39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/>
      <c r="AM132" s="105"/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102</v>
      </c>
      <c r="C133" s="148" t="s">
        <v>31</v>
      </c>
      <c r="D133" s="162" t="s">
        <v>478</v>
      </c>
      <c r="E133" s="71" t="s">
        <v>148</v>
      </c>
      <c r="F133" s="72"/>
      <c r="G133" s="73"/>
      <c r="H133" s="75"/>
      <c r="I133" s="102">
        <v>46030</v>
      </c>
      <c r="J133" s="122">
        <v>3</v>
      </c>
      <c r="K133" s="107" t="s">
        <v>479</v>
      </c>
      <c r="L133" s="104">
        <f t="shared" si="18"/>
        <v>46120</v>
      </c>
      <c r="M133" s="105">
        <f ca="1" t="shared" si="19"/>
        <v>-47</v>
      </c>
      <c r="N133" s="70"/>
      <c r="O133" s="122" t="s">
        <v>102</v>
      </c>
      <c r="P133" s="148" t="s">
        <v>31</v>
      </c>
      <c r="Q133" s="162" t="s">
        <v>478</v>
      </c>
      <c r="R133" s="71" t="s">
        <v>148</v>
      </c>
      <c r="S133" s="72"/>
      <c r="T133" s="73"/>
      <c r="U133" s="75"/>
      <c r="V133" s="132">
        <v>46114</v>
      </c>
      <c r="W133" s="70">
        <v>3</v>
      </c>
      <c r="X133" s="107" t="s">
        <v>480</v>
      </c>
      <c r="Y133" s="104">
        <f t="shared" si="16"/>
        <v>46205</v>
      </c>
      <c r="Z133" s="105">
        <f ca="1" t="shared" si="17"/>
        <v>38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/>
      <c r="AM133" s="105"/>
      <c r="AN133" s="122"/>
      <c r="AO133" s="122"/>
      <c r="AP133" s="150"/>
      <c r="AQ133" s="178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102</v>
      </c>
      <c r="C134" s="148" t="s">
        <v>31</v>
      </c>
      <c r="D134" s="162" t="s">
        <v>481</v>
      </c>
      <c r="E134" s="71" t="s">
        <v>482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483</v>
      </c>
      <c r="L134" s="104">
        <f t="shared" si="18"/>
        <v>46120</v>
      </c>
      <c r="M134" s="105">
        <f ca="1" t="shared" si="19"/>
        <v>-47</v>
      </c>
      <c r="N134" s="70"/>
      <c r="O134" s="122" t="s">
        <v>102</v>
      </c>
      <c r="P134" s="148" t="s">
        <v>31</v>
      </c>
      <c r="Q134" s="162" t="s">
        <v>481</v>
      </c>
      <c r="R134" s="71" t="s">
        <v>482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484</v>
      </c>
      <c r="Y134" s="104">
        <f t="shared" si="16"/>
        <v>46204</v>
      </c>
      <c r="Z134" s="105">
        <f ca="1" t="shared" si="17"/>
        <v>37</v>
      </c>
      <c r="AA134" s="70"/>
      <c r="AB134" s="70"/>
      <c r="AC134" s="148"/>
      <c r="AD134" s="162"/>
      <c r="AE134" s="71"/>
      <c r="AF134" s="72"/>
      <c r="AG134" s="73"/>
      <c r="AH134" s="164"/>
      <c r="AI134" s="132"/>
      <c r="AJ134" s="70"/>
      <c r="AK134" s="107"/>
      <c r="AL134" s="104"/>
      <c r="AM134" s="105"/>
      <c r="AN134" s="122"/>
      <c r="AO134" s="122"/>
      <c r="AP134" s="150"/>
      <c r="AQ134" s="178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102</v>
      </c>
      <c r="C135" s="148" t="s">
        <v>31</v>
      </c>
      <c r="D135" s="162" t="s">
        <v>485</v>
      </c>
      <c r="E135" s="71" t="s">
        <v>482</v>
      </c>
      <c r="F135" s="72"/>
      <c r="G135" s="73"/>
      <c r="H135" s="75"/>
      <c r="I135" s="102">
        <v>46030</v>
      </c>
      <c r="J135" s="122">
        <v>3</v>
      </c>
      <c r="K135" s="107" t="s">
        <v>486</v>
      </c>
      <c r="L135" s="104">
        <f t="shared" si="18"/>
        <v>46120</v>
      </c>
      <c r="M135" s="105">
        <f ca="1" t="shared" si="19"/>
        <v>-47</v>
      </c>
      <c r="N135" s="70"/>
      <c r="O135" s="122" t="s">
        <v>102</v>
      </c>
      <c r="P135" s="148" t="s">
        <v>31</v>
      </c>
      <c r="Q135" s="162" t="s">
        <v>485</v>
      </c>
      <c r="R135" s="71" t="s">
        <v>482</v>
      </c>
      <c r="S135" s="72"/>
      <c r="T135" s="73"/>
      <c r="U135" s="75"/>
      <c r="V135" s="132">
        <v>46122</v>
      </c>
      <c r="W135" s="70">
        <v>3</v>
      </c>
      <c r="X135" s="103" t="s">
        <v>487</v>
      </c>
      <c r="Y135" s="104">
        <f t="shared" si="16"/>
        <v>46213</v>
      </c>
      <c r="Z135" s="105">
        <f ca="1" t="shared" si="17"/>
        <v>46</v>
      </c>
      <c r="AA135" s="70"/>
      <c r="AB135" s="70"/>
      <c r="AC135" s="148"/>
      <c r="AD135" s="162"/>
      <c r="AE135" s="71"/>
      <c r="AF135" s="72"/>
      <c r="AG135" s="73"/>
      <c r="AH135" s="164"/>
      <c r="AI135" s="132"/>
      <c r="AJ135" s="70"/>
      <c r="AK135" s="103"/>
      <c r="AL135" s="104"/>
      <c r="AM135" s="105"/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102</v>
      </c>
      <c r="C136" s="163" t="s">
        <v>13</v>
      </c>
      <c r="D136" s="162" t="s">
        <v>488</v>
      </c>
      <c r="E136" s="143" t="s">
        <v>95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489</v>
      </c>
      <c r="L136" s="104">
        <f t="shared" si="18"/>
        <v>46120</v>
      </c>
      <c r="M136" s="105">
        <f ca="1" t="shared" si="19"/>
        <v>-47</v>
      </c>
      <c r="N136" s="70"/>
      <c r="O136" s="122" t="s">
        <v>102</v>
      </c>
      <c r="P136" s="163" t="s">
        <v>13</v>
      </c>
      <c r="Q136" s="162" t="s">
        <v>488</v>
      </c>
      <c r="R136" s="143" t="s">
        <v>95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490</v>
      </c>
      <c r="Y136" s="104">
        <f t="shared" ref="Y135:Y151" si="20">EDATE(V136,W136)</f>
        <v>46211</v>
      </c>
      <c r="Z136" s="105">
        <f ca="1" t="shared" ref="Z135:Z151" si="21">Y136-TODAY()</f>
        <v>44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/>
      <c r="AM136" s="105"/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5"/>
      <c r="AX136" s="107"/>
      <c r="AY136" s="104"/>
      <c r="AZ136" s="105"/>
    </row>
    <row r="137" customHeight="1" spans="1:52">
      <c r="A137" s="70">
        <v>135</v>
      </c>
      <c r="B137" s="122" t="s">
        <v>102</v>
      </c>
      <c r="C137" s="163" t="s">
        <v>13</v>
      </c>
      <c r="D137" s="162" t="s">
        <v>491</v>
      </c>
      <c r="E137" s="143" t="s">
        <v>57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492</v>
      </c>
      <c r="L137" s="104">
        <f t="shared" si="18"/>
        <v>46120</v>
      </c>
      <c r="M137" s="105">
        <f ca="1" t="shared" si="19"/>
        <v>-47</v>
      </c>
      <c r="N137" s="70"/>
      <c r="O137" s="122" t="s">
        <v>102</v>
      </c>
      <c r="P137" s="163" t="s">
        <v>13</v>
      </c>
      <c r="Q137" s="162" t="s">
        <v>491</v>
      </c>
      <c r="R137" s="143" t="s">
        <v>57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493</v>
      </c>
      <c r="Y137" s="104">
        <f t="shared" si="20"/>
        <v>46216</v>
      </c>
      <c r="Z137" s="105">
        <f ca="1" t="shared" si="21"/>
        <v>49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/>
      <c r="AM137" s="105"/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5"/>
      <c r="AX137" s="107"/>
      <c r="AY137" s="104"/>
      <c r="AZ137" s="105"/>
    </row>
    <row r="138" customHeight="1" spans="1:52">
      <c r="A138" s="70">
        <v>136</v>
      </c>
      <c r="B138" s="122" t="s">
        <v>102</v>
      </c>
      <c r="C138" s="163" t="s">
        <v>13</v>
      </c>
      <c r="D138" s="162" t="s">
        <v>494</v>
      </c>
      <c r="E138" s="143" t="s">
        <v>95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495</v>
      </c>
      <c r="L138" s="104">
        <f t="shared" si="18"/>
        <v>46120</v>
      </c>
      <c r="M138" s="105">
        <f ca="1" t="shared" si="19"/>
        <v>-47</v>
      </c>
      <c r="N138" s="70"/>
      <c r="O138" s="122" t="s">
        <v>102</v>
      </c>
      <c r="P138" s="163" t="s">
        <v>13</v>
      </c>
      <c r="Q138" s="162" t="s">
        <v>494</v>
      </c>
      <c r="R138" s="143" t="s">
        <v>95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496</v>
      </c>
      <c r="Y138" s="104">
        <f t="shared" si="20"/>
        <v>46221</v>
      </c>
      <c r="Z138" s="105">
        <f ca="1" t="shared" si="21"/>
        <v>54</v>
      </c>
      <c r="AA138" s="70"/>
      <c r="AB138" s="70"/>
      <c r="AC138" s="163"/>
      <c r="AD138" s="162"/>
      <c r="AE138" s="143"/>
      <c r="AF138" s="117"/>
      <c r="AG138" s="123"/>
      <c r="AH138" s="164"/>
      <c r="AI138" s="134"/>
      <c r="AJ138" s="115"/>
      <c r="AK138" s="107"/>
      <c r="AL138" s="104"/>
      <c r="AM138" s="105"/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5"/>
      <c r="AX138" s="107"/>
      <c r="AY138" s="104"/>
      <c r="AZ138" s="105"/>
    </row>
    <row r="139" customHeight="1" spans="1:52">
      <c r="A139" s="70">
        <v>137</v>
      </c>
      <c r="B139" s="70" t="s">
        <v>497</v>
      </c>
      <c r="C139" s="163" t="s">
        <v>203</v>
      </c>
      <c r="D139" s="162" t="s">
        <v>204</v>
      </c>
      <c r="E139" s="143" t="s">
        <v>205</v>
      </c>
      <c r="F139" s="117"/>
      <c r="G139" s="123"/>
      <c r="H139" s="165"/>
      <c r="I139" s="102">
        <v>46030</v>
      </c>
      <c r="J139" s="122">
        <v>3</v>
      </c>
      <c r="K139" s="107" t="s">
        <v>498</v>
      </c>
      <c r="L139" s="104">
        <f t="shared" si="18"/>
        <v>46120</v>
      </c>
      <c r="M139" s="105">
        <f ca="1" t="shared" si="19"/>
        <v>-47</v>
      </c>
      <c r="N139" s="70"/>
      <c r="O139" s="70" t="s">
        <v>497</v>
      </c>
      <c r="P139" s="163" t="s">
        <v>203</v>
      </c>
      <c r="Q139" s="162" t="s">
        <v>204</v>
      </c>
      <c r="R139" s="143" t="s">
        <v>205</v>
      </c>
      <c r="S139" s="117"/>
      <c r="T139" s="123"/>
      <c r="U139" s="165"/>
      <c r="V139" s="173">
        <v>46114</v>
      </c>
      <c r="W139" s="115">
        <v>3</v>
      </c>
      <c r="X139" s="174" t="s">
        <v>499</v>
      </c>
      <c r="Y139" s="104">
        <f t="shared" si="20"/>
        <v>46205</v>
      </c>
      <c r="Z139" s="105">
        <f ca="1" t="shared" si="21"/>
        <v>38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/>
      <c r="AM139" s="105"/>
      <c r="AN139" s="122"/>
      <c r="AO139" s="70"/>
      <c r="AP139" s="163"/>
      <c r="AQ139" s="162"/>
      <c r="AR139" s="143"/>
      <c r="AS139" s="117"/>
      <c r="AT139" s="123"/>
      <c r="AU139" s="179"/>
      <c r="AV139" s="180"/>
      <c r="AW139" s="185"/>
      <c r="AX139" s="91"/>
      <c r="AY139" s="104"/>
      <c r="AZ139" s="105"/>
    </row>
    <row r="140" customHeight="1" spans="1:52">
      <c r="A140" s="70">
        <v>138</v>
      </c>
      <c r="B140" s="70" t="s">
        <v>500</v>
      </c>
      <c r="C140" s="163" t="s">
        <v>203</v>
      </c>
      <c r="D140" s="162" t="s">
        <v>501</v>
      </c>
      <c r="E140" s="143" t="s">
        <v>502</v>
      </c>
      <c r="F140" s="117"/>
      <c r="G140" s="123"/>
      <c r="H140" s="165"/>
      <c r="I140" s="102">
        <v>46030</v>
      </c>
      <c r="J140" s="122">
        <v>3</v>
      </c>
      <c r="K140" s="107" t="s">
        <v>503</v>
      </c>
      <c r="L140" s="104">
        <f t="shared" si="18"/>
        <v>46120</v>
      </c>
      <c r="M140" s="105">
        <f ca="1" t="shared" si="19"/>
        <v>-47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20"/>
        <v>0</v>
      </c>
      <c r="Z140" s="105">
        <f ca="1" t="shared" si="21"/>
        <v>-46167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/>
      <c r="AM140" s="105"/>
      <c r="AN140" s="122"/>
      <c r="AO140" s="70"/>
      <c r="AP140" s="163"/>
      <c r="AQ140" s="162"/>
      <c r="AR140" s="143"/>
      <c r="AS140" s="117"/>
      <c r="AT140" s="123"/>
      <c r="AU140" s="179"/>
      <c r="AV140" s="180"/>
      <c r="AW140" s="185"/>
      <c r="AX140" s="84"/>
      <c r="AY140" s="104"/>
      <c r="AZ140" s="105"/>
    </row>
    <row r="141" customHeight="1" spans="1:52">
      <c r="A141" s="70">
        <v>139</v>
      </c>
      <c r="B141" s="70" t="s">
        <v>504</v>
      </c>
      <c r="C141" s="163" t="s">
        <v>287</v>
      </c>
      <c r="D141" s="153" t="s">
        <v>505</v>
      </c>
      <c r="E141" s="143" t="s">
        <v>506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507</v>
      </c>
      <c r="L141" s="104">
        <f t="shared" si="18"/>
        <v>46120</v>
      </c>
      <c r="M141" s="105">
        <f ca="1" t="shared" si="19"/>
        <v>-47</v>
      </c>
      <c r="N141" s="70"/>
      <c r="O141" s="70" t="s">
        <v>504</v>
      </c>
      <c r="P141" s="163" t="s">
        <v>287</v>
      </c>
      <c r="Q141" s="153" t="s">
        <v>505</v>
      </c>
      <c r="R141" s="143" t="s">
        <v>506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508</v>
      </c>
      <c r="Y141" s="104">
        <f t="shared" si="20"/>
        <v>46228</v>
      </c>
      <c r="Z141" s="105">
        <f ca="1" t="shared" si="21"/>
        <v>61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/>
      <c r="AM141" s="105"/>
      <c r="AN141" s="122"/>
      <c r="AO141" s="70"/>
      <c r="AP141" s="163"/>
      <c r="AQ141" s="153"/>
      <c r="AR141" s="105"/>
      <c r="AS141" s="105"/>
      <c r="AT141" s="105"/>
      <c r="AU141" s="179"/>
      <c r="AV141" s="180"/>
      <c r="AW141" s="91"/>
      <c r="AX141" s="91"/>
      <c r="AY141" s="104"/>
      <c r="AZ141" s="105"/>
    </row>
    <row r="142" customHeight="1" spans="1:52">
      <c r="A142" s="70">
        <v>140</v>
      </c>
      <c r="B142" s="70" t="s">
        <v>424</v>
      </c>
      <c r="C142" s="163" t="s">
        <v>287</v>
      </c>
      <c r="D142" s="71" t="s">
        <v>509</v>
      </c>
      <c r="E142" s="143" t="s">
        <v>510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511</v>
      </c>
      <c r="L142" s="104">
        <f t="shared" si="18"/>
        <v>46120</v>
      </c>
      <c r="M142" s="105">
        <f ca="1" t="shared" si="19"/>
        <v>-47</v>
      </c>
      <c r="N142" s="70"/>
      <c r="O142" s="70" t="s">
        <v>424</v>
      </c>
      <c r="P142" s="163" t="s">
        <v>287</v>
      </c>
      <c r="Q142" s="71" t="s">
        <v>509</v>
      </c>
      <c r="R142" s="143" t="s">
        <v>510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512</v>
      </c>
      <c r="Y142" s="104">
        <f t="shared" si="20"/>
        <v>46226</v>
      </c>
      <c r="Z142" s="105">
        <f ca="1" t="shared" si="21"/>
        <v>59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/>
      <c r="AM142" s="105"/>
      <c r="AN142" s="122"/>
      <c r="AO142" s="70"/>
      <c r="AP142" s="163"/>
      <c r="AQ142" s="71"/>
      <c r="AR142" s="143"/>
      <c r="AS142" s="117"/>
      <c r="AT142" s="123"/>
      <c r="AU142" s="164"/>
      <c r="AV142" s="180"/>
      <c r="AW142" s="122"/>
      <c r="AX142" s="91"/>
      <c r="AY142" s="104"/>
      <c r="AZ142" s="105"/>
    </row>
    <row r="143" customHeight="1" spans="1:52">
      <c r="A143" s="70">
        <v>141</v>
      </c>
      <c r="B143" s="70" t="s">
        <v>424</v>
      </c>
      <c r="C143" s="163" t="s">
        <v>287</v>
      </c>
      <c r="D143" s="71" t="s">
        <v>513</v>
      </c>
      <c r="E143" s="140" t="s">
        <v>514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515</v>
      </c>
      <c r="L143" s="104">
        <f t="shared" si="18"/>
        <v>46120</v>
      </c>
      <c r="M143" s="105">
        <f ca="1" t="shared" si="19"/>
        <v>-47</v>
      </c>
      <c r="N143" s="70"/>
      <c r="O143" s="70" t="s">
        <v>424</v>
      </c>
      <c r="P143" s="163" t="s">
        <v>287</v>
      </c>
      <c r="Q143" s="71" t="s">
        <v>513</v>
      </c>
      <c r="R143" s="140" t="s">
        <v>514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516</v>
      </c>
      <c r="Y143" s="104">
        <f t="shared" si="20"/>
        <v>46229</v>
      </c>
      <c r="Z143" s="105">
        <f ca="1" t="shared" si="21"/>
        <v>62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/>
      <c r="AM143" s="105"/>
      <c r="AN143" s="122"/>
      <c r="AO143" s="122"/>
      <c r="AP143" s="122"/>
      <c r="AQ143" s="93"/>
      <c r="AR143" s="137"/>
      <c r="AS143" s="138"/>
      <c r="AT143" s="139"/>
      <c r="AU143" s="86"/>
      <c r="AV143" s="180"/>
      <c r="AW143" s="122"/>
      <c r="AX143" s="84"/>
      <c r="AY143" s="104"/>
      <c r="AZ143" s="105"/>
    </row>
    <row r="144" customHeight="1" spans="1:52">
      <c r="A144" s="70">
        <v>142</v>
      </c>
      <c r="B144" s="70" t="s">
        <v>424</v>
      </c>
      <c r="C144" s="163" t="s">
        <v>287</v>
      </c>
      <c r="D144" s="71" t="s">
        <v>517</v>
      </c>
      <c r="E144" s="143" t="s">
        <v>510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518</v>
      </c>
      <c r="L144" s="104">
        <f t="shared" si="18"/>
        <v>46120</v>
      </c>
      <c r="M144" s="105">
        <f ca="1" t="shared" si="19"/>
        <v>-47</v>
      </c>
      <c r="N144" s="70"/>
      <c r="O144" s="70" t="s">
        <v>424</v>
      </c>
      <c r="P144" s="163" t="s">
        <v>287</v>
      </c>
      <c r="Q144" s="71" t="s">
        <v>517</v>
      </c>
      <c r="R144" s="143" t="s">
        <v>510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519</v>
      </c>
      <c r="Y144" s="104">
        <f t="shared" si="20"/>
        <v>46252</v>
      </c>
      <c r="Z144" s="105">
        <f ca="1" t="shared" si="21"/>
        <v>85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/>
      <c r="AM144" s="105"/>
      <c r="AN144" s="122"/>
      <c r="AO144" s="122"/>
      <c r="AP144" s="181"/>
      <c r="AQ144" s="93"/>
      <c r="AR144" s="137"/>
      <c r="AS144" s="138"/>
      <c r="AT144" s="139"/>
      <c r="AU144" s="86"/>
      <c r="AV144" s="180"/>
      <c r="AW144" s="122"/>
      <c r="AX144" s="84"/>
      <c r="AY144" s="104"/>
      <c r="AZ144" s="105"/>
    </row>
    <row r="145" customHeight="1" spans="1:52">
      <c r="A145" s="70">
        <v>143</v>
      </c>
      <c r="B145" s="70" t="s">
        <v>520</v>
      </c>
      <c r="C145" s="163" t="s">
        <v>287</v>
      </c>
      <c r="D145" s="71" t="s">
        <v>521</v>
      </c>
      <c r="E145" s="140" t="s">
        <v>522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523</v>
      </c>
      <c r="L145" s="104">
        <f t="shared" si="18"/>
        <v>46120</v>
      </c>
      <c r="M145" s="105">
        <f ca="1" t="shared" si="19"/>
        <v>-47</v>
      </c>
      <c r="N145" s="70"/>
      <c r="O145" s="70" t="s">
        <v>520</v>
      </c>
      <c r="P145" s="163" t="s">
        <v>287</v>
      </c>
      <c r="Q145" s="71" t="s">
        <v>521</v>
      </c>
      <c r="R145" s="140" t="s">
        <v>522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524</v>
      </c>
      <c r="Y145" s="104">
        <f t="shared" si="20"/>
        <v>46214</v>
      </c>
      <c r="Z145" s="105">
        <f ca="1" t="shared" si="21"/>
        <v>47</v>
      </c>
      <c r="AA145" s="70"/>
      <c r="AB145" s="70"/>
      <c r="AC145" s="70"/>
      <c r="AD145" s="71"/>
      <c r="AE145" s="140"/>
      <c r="AF145" s="141"/>
      <c r="AG145" s="142"/>
      <c r="AH145" s="177"/>
      <c r="AI145" s="173"/>
      <c r="AJ145" s="70"/>
      <c r="AK145" s="119"/>
      <c r="AL145" s="104"/>
      <c r="AM145" s="105"/>
      <c r="AN145" s="122"/>
      <c r="AO145" s="122"/>
      <c r="AP145" s="181"/>
      <c r="AQ145" s="93"/>
      <c r="AR145" s="137"/>
      <c r="AS145" s="138"/>
      <c r="AT145" s="139"/>
      <c r="AU145" s="86"/>
      <c r="AV145" s="180"/>
      <c r="AW145" s="122"/>
      <c r="AX145" s="84"/>
      <c r="AY145" s="104"/>
      <c r="AZ145" s="105"/>
    </row>
    <row r="146" customHeight="1" spans="1:52">
      <c r="A146" s="70">
        <v>144</v>
      </c>
      <c r="B146" s="70" t="s">
        <v>525</v>
      </c>
      <c r="C146" s="163" t="s">
        <v>287</v>
      </c>
      <c r="D146" s="71" t="s">
        <v>526</v>
      </c>
      <c r="E146" s="166" t="s">
        <v>527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528</v>
      </c>
      <c r="L146" s="104">
        <f t="shared" si="18"/>
        <v>46120</v>
      </c>
      <c r="M146" s="105">
        <f ca="1" t="shared" si="19"/>
        <v>-47</v>
      </c>
      <c r="N146" s="70"/>
      <c r="O146" s="70" t="s">
        <v>525</v>
      </c>
      <c r="P146" s="163" t="s">
        <v>287</v>
      </c>
      <c r="Q146" s="71" t="s">
        <v>526</v>
      </c>
      <c r="R146" s="166" t="s">
        <v>527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529</v>
      </c>
      <c r="Y146" s="104">
        <f t="shared" si="20"/>
        <v>46204</v>
      </c>
      <c r="Z146" s="105">
        <f ca="1" t="shared" si="21"/>
        <v>37</v>
      </c>
      <c r="AA146" s="70"/>
      <c r="AB146" s="70"/>
      <c r="AC146" s="70"/>
      <c r="AD146" s="71"/>
      <c r="AE146" s="140"/>
      <c r="AF146" s="141"/>
      <c r="AG146" s="142"/>
      <c r="AH146" s="172"/>
      <c r="AI146" s="110"/>
      <c r="AJ146" s="70"/>
      <c r="AK146" s="97"/>
      <c r="AL146" s="104"/>
      <c r="AM146" s="105"/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530</v>
      </c>
      <c r="C147" s="70" t="s">
        <v>13</v>
      </c>
      <c r="D147" s="71" t="s">
        <v>531</v>
      </c>
      <c r="E147" s="105" t="s">
        <v>532</v>
      </c>
      <c r="F147" s="105"/>
      <c r="G147" s="105"/>
      <c r="H147" s="92"/>
      <c r="I147" s="102">
        <v>46031</v>
      </c>
      <c r="J147" s="70">
        <v>3</v>
      </c>
      <c r="K147" s="84" t="s">
        <v>533</v>
      </c>
      <c r="L147" s="104">
        <f t="shared" si="18"/>
        <v>46121</v>
      </c>
      <c r="M147" s="105">
        <f ca="1" t="shared" si="19"/>
        <v>-46</v>
      </c>
      <c r="N147" s="70"/>
      <c r="O147" s="70" t="s">
        <v>530</v>
      </c>
      <c r="P147" s="70" t="s">
        <v>13</v>
      </c>
      <c r="Q147" s="71" t="s">
        <v>531</v>
      </c>
      <c r="R147" s="105" t="s">
        <v>532</v>
      </c>
      <c r="S147" s="105"/>
      <c r="T147" s="105"/>
      <c r="U147" s="92"/>
      <c r="V147" s="110">
        <v>46135</v>
      </c>
      <c r="W147" s="70">
        <v>3</v>
      </c>
      <c r="X147" s="97" t="s">
        <v>534</v>
      </c>
      <c r="Y147" s="104">
        <f t="shared" si="20"/>
        <v>46226</v>
      </c>
      <c r="Z147" s="105">
        <f ca="1" t="shared" si="21"/>
        <v>59</v>
      </c>
      <c r="AA147" s="70"/>
      <c r="AB147" s="70"/>
      <c r="AC147" s="70"/>
      <c r="AD147" s="71"/>
      <c r="AE147" s="71"/>
      <c r="AF147" s="72"/>
      <c r="AG147" s="73"/>
      <c r="AH147" s="79"/>
      <c r="AI147" s="110"/>
      <c r="AJ147" s="70"/>
      <c r="AK147" s="97"/>
      <c r="AL147" s="104"/>
      <c r="AM147" s="105"/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31</v>
      </c>
      <c r="D148" s="71" t="s">
        <v>535</v>
      </c>
      <c r="E148" s="145" t="s">
        <v>24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536</v>
      </c>
      <c r="L148" s="104">
        <f t="shared" si="18"/>
        <v>46121</v>
      </c>
      <c r="M148" s="105">
        <f ca="1" t="shared" si="19"/>
        <v>-46</v>
      </c>
      <c r="N148" s="70"/>
      <c r="O148" s="70" t="s">
        <v>12</v>
      </c>
      <c r="P148" s="70" t="s">
        <v>31</v>
      </c>
      <c r="Q148" s="71" t="s">
        <v>535</v>
      </c>
      <c r="R148" s="145" t="s">
        <v>24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537</v>
      </c>
      <c r="Y148" s="104">
        <f t="shared" si="20"/>
        <v>46205</v>
      </c>
      <c r="Z148" s="105">
        <f ca="1" t="shared" si="21"/>
        <v>38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/>
      <c r="AM148" s="105"/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538</v>
      </c>
      <c r="E149" s="71" t="s">
        <v>95</v>
      </c>
      <c r="F149" s="72"/>
      <c r="G149" s="73"/>
      <c r="H149" s="172"/>
      <c r="I149" s="102">
        <v>46031</v>
      </c>
      <c r="J149" s="70">
        <v>3</v>
      </c>
      <c r="K149" s="84" t="s">
        <v>539</v>
      </c>
      <c r="L149" s="104">
        <f t="shared" si="18"/>
        <v>46121</v>
      </c>
      <c r="M149" s="105">
        <f ca="1" t="shared" si="19"/>
        <v>-46</v>
      </c>
      <c r="N149" s="70"/>
      <c r="O149" s="70" t="s">
        <v>12</v>
      </c>
      <c r="P149" s="70" t="s">
        <v>13</v>
      </c>
      <c r="Q149" s="71" t="s">
        <v>538</v>
      </c>
      <c r="R149" s="71" t="s">
        <v>95</v>
      </c>
      <c r="S149" s="72"/>
      <c r="T149" s="73"/>
      <c r="U149" s="75"/>
      <c r="V149" s="110">
        <v>46113</v>
      </c>
      <c r="W149" s="70">
        <v>3</v>
      </c>
      <c r="X149" s="97" t="s">
        <v>540</v>
      </c>
      <c r="Y149" s="104">
        <f t="shared" si="20"/>
        <v>46204</v>
      </c>
      <c r="Z149" s="105">
        <f ca="1" t="shared" si="21"/>
        <v>37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/>
      <c r="AM149" s="105"/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31</v>
      </c>
      <c r="D150" s="71" t="s">
        <v>541</v>
      </c>
      <c r="E150" s="71" t="s">
        <v>148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542</v>
      </c>
      <c r="L150" s="104">
        <f t="shared" si="18"/>
        <v>46121</v>
      </c>
      <c r="M150" s="105">
        <f ca="1" t="shared" si="19"/>
        <v>-46</v>
      </c>
      <c r="N150" s="70"/>
      <c r="O150" s="70" t="s">
        <v>12</v>
      </c>
      <c r="P150" s="70" t="s">
        <v>31</v>
      </c>
      <c r="Q150" s="71" t="s">
        <v>541</v>
      </c>
      <c r="R150" s="71" t="s">
        <v>148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543</v>
      </c>
      <c r="Y150" s="104">
        <f t="shared" si="20"/>
        <v>46210</v>
      </c>
      <c r="Z150" s="105">
        <f ca="1" t="shared" si="21"/>
        <v>43</v>
      </c>
      <c r="AA150" s="70"/>
      <c r="AB150" s="70"/>
      <c r="AC150" s="70"/>
      <c r="AD150" s="71"/>
      <c r="AE150" s="71"/>
      <c r="AF150" s="72"/>
      <c r="AG150" s="73"/>
      <c r="AH150" s="74"/>
      <c r="AI150" s="110"/>
      <c r="AJ150" s="70"/>
      <c r="AK150" s="97"/>
      <c r="AL150" s="104"/>
      <c r="AM150" s="105"/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55</v>
      </c>
      <c r="C151" s="70" t="s">
        <v>31</v>
      </c>
      <c r="D151" s="71" t="s">
        <v>544</v>
      </c>
      <c r="E151" s="71" t="s">
        <v>33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545</v>
      </c>
      <c r="L151" s="104">
        <f t="shared" si="18"/>
        <v>46121</v>
      </c>
      <c r="M151" s="105">
        <f ca="1" t="shared" si="19"/>
        <v>-46</v>
      </c>
      <c r="N151" s="70"/>
      <c r="O151" s="70" t="s">
        <v>55</v>
      </c>
      <c r="P151" s="70" t="s">
        <v>31</v>
      </c>
      <c r="Q151" s="71" t="s">
        <v>544</v>
      </c>
      <c r="R151" s="71" t="s">
        <v>33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546</v>
      </c>
      <c r="Y151" s="104">
        <f t="shared" si="20"/>
        <v>46247</v>
      </c>
      <c r="Z151" s="105">
        <f ca="1" t="shared" si="21"/>
        <v>80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/>
      <c r="AM151" s="105"/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178</v>
      </c>
      <c r="C152" s="70" t="s">
        <v>13</v>
      </c>
      <c r="D152" s="71" t="s">
        <v>547</v>
      </c>
      <c r="E152" s="71" t="s">
        <v>548</v>
      </c>
      <c r="F152" s="72"/>
      <c r="G152" s="73"/>
      <c r="H152" s="75"/>
      <c r="I152" s="102">
        <v>46031</v>
      </c>
      <c r="J152" s="70">
        <v>3</v>
      </c>
      <c r="K152" s="84" t="s">
        <v>549</v>
      </c>
      <c r="L152" s="104">
        <f t="shared" si="18"/>
        <v>46121</v>
      </c>
      <c r="M152" s="105">
        <f ca="1" t="shared" si="19"/>
        <v>-46</v>
      </c>
      <c r="N152" s="70"/>
      <c r="O152" s="70"/>
      <c r="P152" s="70"/>
      <c r="Q152" s="71"/>
      <c r="R152" s="71"/>
      <c r="S152" s="72"/>
      <c r="T152" s="73"/>
      <c r="U152" s="74"/>
      <c r="V152" s="110"/>
      <c r="W152" s="70"/>
      <c r="X152" s="97"/>
      <c r="Y152" s="104">
        <f t="shared" ref="Y152:Y163" si="22">EDATE(V152,W152)</f>
        <v>0</v>
      </c>
      <c r="Z152" s="105">
        <f ca="1" t="shared" ref="Z152:Z163" si="23">Y152-TODAY()</f>
        <v>-46167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/>
      <c r="AM152" s="105"/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178</v>
      </c>
      <c r="C153" s="70" t="s">
        <v>13</v>
      </c>
      <c r="D153" s="71" t="s">
        <v>550</v>
      </c>
      <c r="E153" s="143" t="s">
        <v>95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551</v>
      </c>
      <c r="L153" s="104">
        <f t="shared" si="18"/>
        <v>46121</v>
      </c>
      <c r="M153" s="105">
        <f ca="1" t="shared" si="19"/>
        <v>-46</v>
      </c>
      <c r="N153" s="70"/>
      <c r="O153" s="70" t="s">
        <v>178</v>
      </c>
      <c r="P153" s="70" t="s">
        <v>13</v>
      </c>
      <c r="Q153" s="71" t="s">
        <v>550</v>
      </c>
      <c r="R153" s="143" t="s">
        <v>95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552</v>
      </c>
      <c r="Y153" s="104">
        <f t="shared" si="22"/>
        <v>46213</v>
      </c>
      <c r="Z153" s="105">
        <f ca="1" t="shared" si="23"/>
        <v>46</v>
      </c>
      <c r="AA153" s="70"/>
      <c r="AB153" s="70"/>
      <c r="AC153" s="70"/>
      <c r="AD153" s="71"/>
      <c r="AE153" s="143"/>
      <c r="AF153" s="117"/>
      <c r="AG153" s="123"/>
      <c r="AH153" s="74"/>
      <c r="AI153" s="110"/>
      <c r="AJ153" s="70"/>
      <c r="AK153" s="97"/>
      <c r="AL153" s="104"/>
      <c r="AM153" s="105"/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178</v>
      </c>
      <c r="C154" s="70" t="s">
        <v>31</v>
      </c>
      <c r="D154" s="71" t="s">
        <v>553</v>
      </c>
      <c r="E154" s="105" t="s">
        <v>148</v>
      </c>
      <c r="F154" s="105"/>
      <c r="G154" s="105"/>
      <c r="H154" s="75"/>
      <c r="I154" s="102">
        <v>46031</v>
      </c>
      <c r="J154" s="70">
        <v>3</v>
      </c>
      <c r="K154" s="84" t="s">
        <v>554</v>
      </c>
      <c r="L154" s="104">
        <f t="shared" si="18"/>
        <v>46121</v>
      </c>
      <c r="M154" s="105">
        <f ca="1" t="shared" si="19"/>
        <v>-46</v>
      </c>
      <c r="N154" s="70"/>
      <c r="O154" s="70" t="s">
        <v>178</v>
      </c>
      <c r="P154" s="70" t="s">
        <v>31</v>
      </c>
      <c r="Q154" s="71" t="s">
        <v>553</v>
      </c>
      <c r="R154" s="105" t="s">
        <v>148</v>
      </c>
      <c r="S154" s="105"/>
      <c r="T154" s="105"/>
      <c r="U154" s="75"/>
      <c r="V154" s="110">
        <v>46157</v>
      </c>
      <c r="W154" s="70">
        <v>3</v>
      </c>
      <c r="X154" s="97" t="s">
        <v>555</v>
      </c>
      <c r="Y154" s="104">
        <f t="shared" si="22"/>
        <v>46249</v>
      </c>
      <c r="Z154" s="105">
        <f ca="1" t="shared" si="23"/>
        <v>82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/>
      <c r="AM154" s="105"/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556</v>
      </c>
      <c r="C155" s="70" t="s">
        <v>13</v>
      </c>
      <c r="D155" s="71" t="s">
        <v>557</v>
      </c>
      <c r="E155" s="105" t="s">
        <v>57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558</v>
      </c>
      <c r="L155" s="104">
        <f t="shared" si="18"/>
        <v>46121</v>
      </c>
      <c r="M155" s="105">
        <f ca="1" t="shared" si="19"/>
        <v>-46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22"/>
        <v>0</v>
      </c>
      <c r="Z155" s="105">
        <f ca="1" t="shared" si="23"/>
        <v>-46167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/>
      <c r="AM155" s="105"/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559</v>
      </c>
      <c r="C156" s="70" t="s">
        <v>31</v>
      </c>
      <c r="D156" s="71" t="s">
        <v>560</v>
      </c>
      <c r="E156" s="105" t="s">
        <v>41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561</v>
      </c>
      <c r="L156" s="104">
        <f t="shared" si="18"/>
        <v>46121</v>
      </c>
      <c r="M156" s="105">
        <f ca="1" t="shared" si="19"/>
        <v>-46</v>
      </c>
      <c r="N156" s="70"/>
      <c r="O156" s="70" t="s">
        <v>559</v>
      </c>
      <c r="P156" s="70" t="s">
        <v>31</v>
      </c>
      <c r="Q156" s="71" t="s">
        <v>560</v>
      </c>
      <c r="R156" s="105" t="s">
        <v>41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562</v>
      </c>
      <c r="Y156" s="104">
        <f t="shared" si="22"/>
        <v>46210</v>
      </c>
      <c r="Z156" s="105">
        <f ca="1" t="shared" si="23"/>
        <v>43</v>
      </c>
      <c r="AA156" s="70"/>
      <c r="AB156" s="70"/>
      <c r="AC156" s="70"/>
      <c r="AD156" s="71"/>
      <c r="AE156" s="105"/>
      <c r="AF156" s="105"/>
      <c r="AG156" s="105"/>
      <c r="AH156" s="75"/>
      <c r="AI156" s="110"/>
      <c r="AJ156" s="70"/>
      <c r="AK156" s="97"/>
      <c r="AL156" s="104"/>
      <c r="AM156" s="105"/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395</v>
      </c>
      <c r="C157" s="70" t="s">
        <v>31</v>
      </c>
      <c r="D157" s="71" t="s">
        <v>563</v>
      </c>
      <c r="E157" s="105" t="s">
        <v>33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564</v>
      </c>
      <c r="L157" s="104">
        <f t="shared" si="18"/>
        <v>46121</v>
      </c>
      <c r="M157" s="105">
        <f ca="1" t="shared" si="19"/>
        <v>-46</v>
      </c>
      <c r="N157" s="70"/>
      <c r="O157" s="70" t="s">
        <v>395</v>
      </c>
      <c r="P157" s="70" t="s">
        <v>31</v>
      </c>
      <c r="Q157" s="71" t="s">
        <v>563</v>
      </c>
      <c r="R157" s="105" t="s">
        <v>33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565</v>
      </c>
      <c r="Y157" s="104">
        <f t="shared" si="22"/>
        <v>46206</v>
      </c>
      <c r="Z157" s="105">
        <f ca="1" t="shared" si="23"/>
        <v>39</v>
      </c>
      <c r="AA157" s="70"/>
      <c r="AB157" s="70"/>
      <c r="AC157" s="70"/>
      <c r="AD157" s="71"/>
      <c r="AE157" s="105"/>
      <c r="AF157" s="105"/>
      <c r="AG157" s="105"/>
      <c r="AH157" s="79"/>
      <c r="AI157" s="110"/>
      <c r="AJ157" s="70"/>
      <c r="AK157" s="97"/>
      <c r="AL157" s="104"/>
      <c r="AM157" s="105"/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566</v>
      </c>
      <c r="C158" s="70" t="s">
        <v>13</v>
      </c>
      <c r="D158" s="71" t="s">
        <v>567</v>
      </c>
      <c r="E158" s="105" t="s">
        <v>24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568</v>
      </c>
      <c r="L158" s="104">
        <f t="shared" si="18"/>
        <v>46121</v>
      </c>
      <c r="M158" s="105">
        <f ca="1" t="shared" si="19"/>
        <v>-46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22"/>
        <v>0</v>
      </c>
      <c r="Z158" s="105">
        <f ca="1" t="shared" si="23"/>
        <v>-46167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/>
      <c r="AM158" s="105"/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566</v>
      </c>
      <c r="C159" s="70" t="s">
        <v>31</v>
      </c>
      <c r="D159" s="71" t="s">
        <v>569</v>
      </c>
      <c r="E159" s="145" t="s">
        <v>570</v>
      </c>
      <c r="F159" s="169"/>
      <c r="G159" s="170"/>
      <c r="H159" s="75"/>
      <c r="I159" s="102">
        <v>46031</v>
      </c>
      <c r="J159" s="70">
        <v>3</v>
      </c>
      <c r="K159" s="84" t="s">
        <v>571</v>
      </c>
      <c r="L159" s="104">
        <f t="shared" si="18"/>
        <v>46121</v>
      </c>
      <c r="M159" s="105">
        <f ca="1" t="shared" si="19"/>
        <v>-46</v>
      </c>
      <c r="N159" s="70"/>
      <c r="O159" s="70" t="s">
        <v>566</v>
      </c>
      <c r="P159" s="70" t="s">
        <v>31</v>
      </c>
      <c r="Q159" s="71" t="s">
        <v>569</v>
      </c>
      <c r="R159" s="145" t="s">
        <v>570</v>
      </c>
      <c r="S159" s="169"/>
      <c r="T159" s="170"/>
      <c r="U159" s="75"/>
      <c r="V159" s="110">
        <v>46138</v>
      </c>
      <c r="W159" s="70">
        <v>3</v>
      </c>
      <c r="X159" s="97" t="s">
        <v>572</v>
      </c>
      <c r="Y159" s="104">
        <f t="shared" si="22"/>
        <v>46229</v>
      </c>
      <c r="Z159" s="105">
        <f ca="1" t="shared" si="23"/>
        <v>62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/>
      <c r="AM159" s="105"/>
      <c r="AN159" s="122"/>
      <c r="AO159" s="122"/>
      <c r="AP159" s="122"/>
      <c r="AQ159" s="93"/>
      <c r="AR159" s="182"/>
      <c r="AS159" s="183"/>
      <c r="AT159" s="184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566</v>
      </c>
      <c r="C160" s="70" t="s">
        <v>31</v>
      </c>
      <c r="D160" s="71" t="s">
        <v>573</v>
      </c>
      <c r="E160" s="145" t="s">
        <v>570</v>
      </c>
      <c r="F160" s="169"/>
      <c r="G160" s="170"/>
      <c r="H160" s="75"/>
      <c r="I160" s="102">
        <v>46031</v>
      </c>
      <c r="J160" s="70">
        <v>3</v>
      </c>
      <c r="K160" s="84" t="s">
        <v>574</v>
      </c>
      <c r="L160" s="104">
        <f t="shared" si="18"/>
        <v>46121</v>
      </c>
      <c r="M160" s="105">
        <f ca="1" t="shared" si="19"/>
        <v>-46</v>
      </c>
      <c r="N160" s="70"/>
      <c r="O160" s="70" t="s">
        <v>566</v>
      </c>
      <c r="P160" s="70" t="s">
        <v>31</v>
      </c>
      <c r="Q160" s="71" t="s">
        <v>573</v>
      </c>
      <c r="R160" s="145" t="s">
        <v>570</v>
      </c>
      <c r="S160" s="169"/>
      <c r="T160" s="170"/>
      <c r="U160" s="75"/>
      <c r="V160" s="110">
        <v>46138</v>
      </c>
      <c r="W160" s="70">
        <v>3</v>
      </c>
      <c r="X160" s="97" t="s">
        <v>575</v>
      </c>
      <c r="Y160" s="104">
        <f t="shared" si="22"/>
        <v>46229</v>
      </c>
      <c r="Z160" s="105">
        <f ca="1" t="shared" si="23"/>
        <v>62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/>
      <c r="AM160" s="105"/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576</v>
      </c>
      <c r="C161" s="70" t="s">
        <v>31</v>
      </c>
      <c r="D161" s="71" t="s">
        <v>577</v>
      </c>
      <c r="E161" s="71" t="s">
        <v>111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578</v>
      </c>
      <c r="L161" s="104">
        <f t="shared" si="18"/>
        <v>46121</v>
      </c>
      <c r="M161" s="105">
        <f ca="1" t="shared" si="19"/>
        <v>-46</v>
      </c>
      <c r="N161" s="70"/>
      <c r="O161" s="70" t="s">
        <v>576</v>
      </c>
      <c r="P161" s="70" t="s">
        <v>31</v>
      </c>
      <c r="Q161" s="71" t="s">
        <v>577</v>
      </c>
      <c r="R161" s="71" t="s">
        <v>111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579</v>
      </c>
      <c r="Y161" s="104">
        <f t="shared" si="22"/>
        <v>46210</v>
      </c>
      <c r="Z161" s="105">
        <f ca="1" t="shared" si="23"/>
        <v>43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/>
      <c r="AM161" s="105"/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497</v>
      </c>
      <c r="C162" s="70" t="s">
        <v>203</v>
      </c>
      <c r="D162" s="71" t="s">
        <v>580</v>
      </c>
      <c r="E162" s="71" t="s">
        <v>581</v>
      </c>
      <c r="F162" s="72"/>
      <c r="G162" s="73"/>
      <c r="H162" s="75"/>
      <c r="I162" s="102">
        <v>46031</v>
      </c>
      <c r="J162" s="70">
        <v>3</v>
      </c>
      <c r="K162" s="84" t="s">
        <v>582</v>
      </c>
      <c r="L162" s="104">
        <f t="shared" si="18"/>
        <v>46121</v>
      </c>
      <c r="M162" s="105">
        <f ca="1" t="shared" si="19"/>
        <v>-46</v>
      </c>
      <c r="N162" s="70"/>
      <c r="O162" s="70"/>
      <c r="P162" s="70"/>
      <c r="Q162" s="71"/>
      <c r="R162" s="140"/>
      <c r="S162" s="141"/>
      <c r="T162" s="142"/>
      <c r="U162" s="79"/>
      <c r="V162" s="110"/>
      <c r="W162" s="70"/>
      <c r="X162" s="97"/>
      <c r="Y162" s="104">
        <f t="shared" si="22"/>
        <v>0</v>
      </c>
      <c r="Z162" s="105">
        <f ca="1" t="shared" si="23"/>
        <v>-46167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/>
      <c r="AM162" s="105"/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583</v>
      </c>
      <c r="C163" s="70" t="s">
        <v>203</v>
      </c>
      <c r="D163" s="71" t="s">
        <v>584</v>
      </c>
      <c r="E163" s="140" t="s">
        <v>585</v>
      </c>
      <c r="F163" s="141"/>
      <c r="G163" s="142"/>
      <c r="H163" s="75"/>
      <c r="I163" s="102">
        <v>46031</v>
      </c>
      <c r="J163" s="70">
        <v>3</v>
      </c>
      <c r="K163" s="84" t="s">
        <v>586</v>
      </c>
      <c r="L163" s="104">
        <f t="shared" si="18"/>
        <v>46121</v>
      </c>
      <c r="M163" s="105">
        <f ca="1" t="shared" si="19"/>
        <v>-46</v>
      </c>
      <c r="N163" s="70"/>
      <c r="O163" s="70" t="s">
        <v>583</v>
      </c>
      <c r="P163" s="70" t="s">
        <v>203</v>
      </c>
      <c r="Q163" s="71" t="s">
        <v>584</v>
      </c>
      <c r="R163" s="140" t="s">
        <v>585</v>
      </c>
      <c r="S163" s="141"/>
      <c r="T163" s="142"/>
      <c r="U163" s="75"/>
      <c r="V163" s="110">
        <v>46139</v>
      </c>
      <c r="W163" s="70">
        <v>3</v>
      </c>
      <c r="X163" s="97" t="s">
        <v>587</v>
      </c>
      <c r="Y163" s="104">
        <f t="shared" si="22"/>
        <v>46230</v>
      </c>
      <c r="Z163" s="105">
        <f ca="1" t="shared" si="23"/>
        <v>63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/>
      <c r="AM163" s="105"/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588</v>
      </c>
      <c r="C164" s="70" t="s">
        <v>203</v>
      </c>
      <c r="D164" s="71" t="s">
        <v>589</v>
      </c>
      <c r="E164" s="140" t="s">
        <v>590</v>
      </c>
      <c r="F164" s="141"/>
      <c r="G164" s="142"/>
      <c r="H164" s="75"/>
      <c r="I164" s="102">
        <v>46031</v>
      </c>
      <c r="J164" s="70">
        <v>3</v>
      </c>
      <c r="K164" s="84" t="s">
        <v>591</v>
      </c>
      <c r="L164" s="104">
        <f t="shared" si="18"/>
        <v>46121</v>
      </c>
      <c r="M164" s="105">
        <f ca="1" t="shared" si="19"/>
        <v>-46</v>
      </c>
      <c r="N164" s="70"/>
      <c r="O164" s="70" t="s">
        <v>588</v>
      </c>
      <c r="P164" s="70" t="s">
        <v>203</v>
      </c>
      <c r="Q164" s="71" t="s">
        <v>589</v>
      </c>
      <c r="R164" s="140" t="s">
        <v>590</v>
      </c>
      <c r="S164" s="141"/>
      <c r="T164" s="142"/>
      <c r="U164" s="75"/>
      <c r="V164" s="110">
        <v>46120</v>
      </c>
      <c r="W164" s="70">
        <v>3</v>
      </c>
      <c r="X164" s="97" t="s">
        <v>592</v>
      </c>
      <c r="Y164" s="104">
        <f t="shared" ref="Y158:Y184" si="24">EDATE(V164,W164)</f>
        <v>46211</v>
      </c>
      <c r="Z164" s="105">
        <f ca="1" t="shared" ref="Z158:Z184" si="25">Y164-TODAY()</f>
        <v>44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/>
      <c r="AM164" s="105"/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202</v>
      </c>
      <c r="C165" s="70" t="s">
        <v>203</v>
      </c>
      <c r="D165" s="93" t="s">
        <v>593</v>
      </c>
      <c r="E165" s="140" t="s">
        <v>594</v>
      </c>
      <c r="F165" s="141"/>
      <c r="G165" s="142"/>
      <c r="H165" s="75"/>
      <c r="I165" s="102">
        <v>46031</v>
      </c>
      <c r="J165" s="70">
        <v>3</v>
      </c>
      <c r="K165" s="84" t="s">
        <v>595</v>
      </c>
      <c r="L165" s="104">
        <f t="shared" si="18"/>
        <v>46121</v>
      </c>
      <c r="M165" s="105">
        <f ca="1" t="shared" si="19"/>
        <v>-46</v>
      </c>
      <c r="N165" s="70"/>
      <c r="O165" s="70" t="s">
        <v>202</v>
      </c>
      <c r="P165" s="70" t="s">
        <v>203</v>
      </c>
      <c r="Q165" s="93" t="s">
        <v>593</v>
      </c>
      <c r="R165" s="140" t="s">
        <v>594</v>
      </c>
      <c r="S165" s="141"/>
      <c r="T165" s="142"/>
      <c r="U165" s="75"/>
      <c r="V165" s="110">
        <v>46161</v>
      </c>
      <c r="W165" s="122">
        <v>3</v>
      </c>
      <c r="X165" s="97"/>
      <c r="Y165" s="104">
        <f t="shared" si="24"/>
        <v>46253</v>
      </c>
      <c r="Z165" s="105">
        <f ca="1" t="shared" si="25"/>
        <v>86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/>
      <c r="AM165" s="105"/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202</v>
      </c>
      <c r="C166" s="70" t="s">
        <v>203</v>
      </c>
      <c r="D166" s="93" t="s">
        <v>204</v>
      </c>
      <c r="E166" s="137" t="s">
        <v>205</v>
      </c>
      <c r="F166" s="138"/>
      <c r="G166" s="139"/>
      <c r="H166" s="75"/>
      <c r="I166" s="102">
        <v>46031</v>
      </c>
      <c r="J166" s="173" t="s">
        <v>596</v>
      </c>
      <c r="K166" s="107" t="s">
        <v>334</v>
      </c>
      <c r="L166" s="104" t="e">
        <f t="shared" si="18"/>
        <v>#VALUE!</v>
      </c>
      <c r="M166" s="105" t="e">
        <f ca="1" t="shared" si="19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24"/>
        <v>0</v>
      </c>
      <c r="Z166" s="105">
        <f ca="1" t="shared" si="25"/>
        <v>-46167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/>
      <c r="AM166" s="105"/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597</v>
      </c>
      <c r="C167" s="70" t="s">
        <v>287</v>
      </c>
      <c r="D167" s="93" t="s">
        <v>598</v>
      </c>
      <c r="E167" s="137" t="s">
        <v>599</v>
      </c>
      <c r="F167" s="138"/>
      <c r="G167" s="139"/>
      <c r="H167" s="75"/>
      <c r="I167" s="102">
        <v>46031</v>
      </c>
      <c r="J167" s="70">
        <v>3</v>
      </c>
      <c r="K167" s="107" t="s">
        <v>600</v>
      </c>
      <c r="L167" s="104">
        <f t="shared" si="18"/>
        <v>46121</v>
      </c>
      <c r="M167" s="105">
        <f ca="1" t="shared" si="19"/>
        <v>-46</v>
      </c>
      <c r="N167" s="70"/>
      <c r="O167" s="122"/>
      <c r="P167" s="70"/>
      <c r="Q167" s="93"/>
      <c r="R167" s="137"/>
      <c r="S167" s="138"/>
      <c r="T167" s="139"/>
      <c r="U167" s="114"/>
      <c r="V167" s="110"/>
      <c r="W167" s="122"/>
      <c r="X167" s="97"/>
      <c r="Y167" s="104">
        <f t="shared" si="24"/>
        <v>0</v>
      </c>
      <c r="Z167" s="105">
        <f ca="1" t="shared" si="25"/>
        <v>-46167</v>
      </c>
      <c r="AA167" s="70"/>
      <c r="AB167" s="122"/>
      <c r="AC167" s="70"/>
      <c r="AD167" s="93"/>
      <c r="AE167" s="137"/>
      <c r="AF167" s="138"/>
      <c r="AG167" s="139"/>
      <c r="AH167" s="114"/>
      <c r="AI167" s="110"/>
      <c r="AJ167" s="122"/>
      <c r="AK167" s="97"/>
      <c r="AL167" s="104"/>
      <c r="AM167" s="105"/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597</v>
      </c>
      <c r="C168" s="70" t="s">
        <v>287</v>
      </c>
      <c r="D168" s="93" t="s">
        <v>601</v>
      </c>
      <c r="E168" s="137" t="s">
        <v>599</v>
      </c>
      <c r="F168" s="138"/>
      <c r="G168" s="139"/>
      <c r="H168" s="75"/>
      <c r="I168" s="102">
        <v>46031</v>
      </c>
      <c r="J168" s="70">
        <v>3</v>
      </c>
      <c r="K168" s="107" t="s">
        <v>602</v>
      </c>
      <c r="L168" s="104">
        <f t="shared" si="18"/>
        <v>46121</v>
      </c>
      <c r="M168" s="105">
        <f ca="1" t="shared" si="19"/>
        <v>-46</v>
      </c>
      <c r="N168" s="70"/>
      <c r="O168" s="122"/>
      <c r="P168" s="70"/>
      <c r="Q168" s="93"/>
      <c r="R168" s="137"/>
      <c r="S168" s="138"/>
      <c r="T168" s="139"/>
      <c r="U168" s="79"/>
      <c r="V168" s="132"/>
      <c r="W168" s="122"/>
      <c r="X168" s="107"/>
      <c r="Y168" s="104">
        <f t="shared" si="24"/>
        <v>0</v>
      </c>
      <c r="Z168" s="105">
        <f ca="1" t="shared" si="25"/>
        <v>-46167</v>
      </c>
      <c r="AA168" s="70"/>
      <c r="AB168" s="122"/>
      <c r="AC168" s="122"/>
      <c r="AD168" s="93"/>
      <c r="AE168" s="137"/>
      <c r="AF168" s="138"/>
      <c r="AG168" s="139"/>
      <c r="AH168" s="79"/>
      <c r="AI168" s="132"/>
      <c r="AJ168" s="122"/>
      <c r="AK168" s="107"/>
      <c r="AL168" s="104"/>
      <c r="AM168" s="105"/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603</v>
      </c>
      <c r="C169" s="70" t="s">
        <v>287</v>
      </c>
      <c r="D169" s="93" t="s">
        <v>604</v>
      </c>
      <c r="E169" s="137" t="s">
        <v>605</v>
      </c>
      <c r="F169" s="138"/>
      <c r="G169" s="139"/>
      <c r="H169" s="75"/>
      <c r="I169" s="102">
        <v>46031</v>
      </c>
      <c r="J169" s="70">
        <v>3</v>
      </c>
      <c r="K169" s="107" t="s">
        <v>606</v>
      </c>
      <c r="L169" s="104">
        <f t="shared" si="18"/>
        <v>46121</v>
      </c>
      <c r="M169" s="105">
        <f ca="1" t="shared" si="19"/>
        <v>-46</v>
      </c>
      <c r="N169" s="70"/>
      <c r="O169" s="122"/>
      <c r="P169" s="70"/>
      <c r="Q169" s="93"/>
      <c r="R169" s="137"/>
      <c r="S169" s="138"/>
      <c r="T169" s="139"/>
      <c r="U169" s="79"/>
      <c r="V169" s="132"/>
      <c r="W169" s="122"/>
      <c r="X169" s="107"/>
      <c r="Y169" s="104">
        <f t="shared" si="24"/>
        <v>0</v>
      </c>
      <c r="Z169" s="105">
        <f ca="1" t="shared" si="25"/>
        <v>-46167</v>
      </c>
      <c r="AA169" s="70"/>
      <c r="AB169" s="122"/>
      <c r="AC169" s="70"/>
      <c r="AD169" s="93"/>
      <c r="AE169" s="137"/>
      <c r="AF169" s="138"/>
      <c r="AG169" s="139"/>
      <c r="AH169" s="75"/>
      <c r="AI169" s="132"/>
      <c r="AJ169" s="122"/>
      <c r="AK169" s="107"/>
      <c r="AL169" s="104"/>
      <c r="AM169" s="105"/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607</v>
      </c>
      <c r="C170" s="70" t="s">
        <v>287</v>
      </c>
      <c r="D170" s="93" t="s">
        <v>608</v>
      </c>
      <c r="E170" s="137" t="s">
        <v>418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609</v>
      </c>
      <c r="L170" s="104">
        <f t="shared" si="18"/>
        <v>46121</v>
      </c>
      <c r="M170" s="105">
        <f ca="1" t="shared" si="19"/>
        <v>-46</v>
      </c>
      <c r="N170" s="70"/>
      <c r="O170" s="122" t="s">
        <v>607</v>
      </c>
      <c r="P170" s="70" t="s">
        <v>287</v>
      </c>
      <c r="Q170" s="93" t="s">
        <v>608</v>
      </c>
      <c r="R170" s="137" t="s">
        <v>418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610</v>
      </c>
      <c r="Y170" s="104">
        <f t="shared" si="24"/>
        <v>46226</v>
      </c>
      <c r="Z170" s="105">
        <f ca="1" t="shared" si="25"/>
        <v>59</v>
      </c>
      <c r="AA170" s="70"/>
      <c r="AB170" s="122"/>
      <c r="AC170" s="70"/>
      <c r="AD170" s="93"/>
      <c r="AE170" s="137"/>
      <c r="AF170" s="138"/>
      <c r="AG170" s="139"/>
      <c r="AH170" s="114"/>
      <c r="AI170" s="132"/>
      <c r="AJ170" s="122"/>
      <c r="AK170" s="107"/>
      <c r="AL170" s="104"/>
      <c r="AM170" s="105"/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607</v>
      </c>
      <c r="C171" s="70" t="s">
        <v>287</v>
      </c>
      <c r="D171" s="93" t="s">
        <v>611</v>
      </c>
      <c r="E171" s="137" t="s">
        <v>418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612</v>
      </c>
      <c r="L171" s="104">
        <f t="shared" si="18"/>
        <v>46121</v>
      </c>
      <c r="M171" s="105">
        <f ca="1" t="shared" si="19"/>
        <v>-46</v>
      </c>
      <c r="N171" s="70"/>
      <c r="O171" s="122"/>
      <c r="P171" s="122"/>
      <c r="Q171" s="93"/>
      <c r="R171" s="137"/>
      <c r="S171" s="138"/>
      <c r="T171" s="139"/>
      <c r="U171" s="79"/>
      <c r="V171" s="132"/>
      <c r="W171" s="122"/>
      <c r="X171" s="107"/>
      <c r="Y171" s="104">
        <f t="shared" si="24"/>
        <v>0</v>
      </c>
      <c r="Z171" s="105">
        <f ca="1" t="shared" si="25"/>
        <v>-46167</v>
      </c>
      <c r="AA171" s="70"/>
      <c r="AB171" s="122"/>
      <c r="AC171" s="122"/>
      <c r="AD171" s="93"/>
      <c r="AE171" s="137"/>
      <c r="AF171" s="138"/>
      <c r="AG171" s="139"/>
      <c r="AH171" s="79"/>
      <c r="AI171" s="132"/>
      <c r="AJ171" s="122"/>
      <c r="AK171" s="107"/>
      <c r="AL171" s="104"/>
      <c r="AM171" s="105"/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613</v>
      </c>
      <c r="C172" s="70" t="s">
        <v>287</v>
      </c>
      <c r="D172" s="93" t="s">
        <v>614</v>
      </c>
      <c r="E172" s="137" t="s">
        <v>615</v>
      </c>
      <c r="F172" s="138"/>
      <c r="G172" s="139"/>
      <c r="H172" s="75"/>
      <c r="I172" s="102">
        <v>46031</v>
      </c>
      <c r="J172" s="70">
        <v>3</v>
      </c>
      <c r="K172" s="107" t="s">
        <v>616</v>
      </c>
      <c r="L172" s="104">
        <f t="shared" si="18"/>
        <v>46121</v>
      </c>
      <c r="M172" s="105">
        <f ca="1" t="shared" si="19"/>
        <v>-46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24"/>
        <v>0</v>
      </c>
      <c r="Z172" s="105">
        <f ca="1" t="shared" si="25"/>
        <v>-46167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/>
      <c r="AM172" s="105"/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613</v>
      </c>
      <c r="C173" s="70" t="s">
        <v>287</v>
      </c>
      <c r="D173" s="93" t="s">
        <v>617</v>
      </c>
      <c r="E173" s="137" t="s">
        <v>615</v>
      </c>
      <c r="F173" s="138"/>
      <c r="G173" s="139"/>
      <c r="H173" s="75"/>
      <c r="I173" s="102">
        <v>46031</v>
      </c>
      <c r="J173" s="70">
        <v>3</v>
      </c>
      <c r="K173" s="107" t="s">
        <v>618</v>
      </c>
      <c r="L173" s="104">
        <f t="shared" si="18"/>
        <v>46121</v>
      </c>
      <c r="M173" s="105">
        <f ca="1" t="shared" si="19"/>
        <v>-46</v>
      </c>
      <c r="N173" s="70"/>
      <c r="O173" s="122"/>
      <c r="P173" s="122"/>
      <c r="Q173" s="93"/>
      <c r="R173" s="137"/>
      <c r="S173" s="138"/>
      <c r="T173" s="139"/>
      <c r="U173" s="79"/>
      <c r="V173" s="132"/>
      <c r="W173" s="122"/>
      <c r="X173" s="107"/>
      <c r="Y173" s="104">
        <f t="shared" si="24"/>
        <v>0</v>
      </c>
      <c r="Z173" s="105">
        <f ca="1" t="shared" si="25"/>
        <v>-46167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/>
      <c r="AM173" s="105"/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619</v>
      </c>
      <c r="C174" s="70" t="s">
        <v>287</v>
      </c>
      <c r="D174" s="93" t="s">
        <v>620</v>
      </c>
      <c r="E174" s="137" t="s">
        <v>621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622</v>
      </c>
      <c r="L174" s="104">
        <f t="shared" si="18"/>
        <v>46121</v>
      </c>
      <c r="M174" s="105">
        <f ca="1" t="shared" si="19"/>
        <v>-46</v>
      </c>
      <c r="N174" s="70"/>
      <c r="O174" s="122" t="s">
        <v>619</v>
      </c>
      <c r="P174" s="70" t="s">
        <v>287</v>
      </c>
      <c r="Q174" s="93" t="s">
        <v>620</v>
      </c>
      <c r="R174" s="137" t="s">
        <v>621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623</v>
      </c>
      <c r="Y174" s="104">
        <f t="shared" si="24"/>
        <v>46214</v>
      </c>
      <c r="Z174" s="105">
        <f ca="1" t="shared" si="25"/>
        <v>47</v>
      </c>
      <c r="AA174" s="70"/>
      <c r="AB174" s="122"/>
      <c r="AC174" s="122"/>
      <c r="AD174" s="93"/>
      <c r="AE174" s="137"/>
      <c r="AF174" s="138"/>
      <c r="AG174" s="139"/>
      <c r="AH174" s="79"/>
      <c r="AI174" s="132"/>
      <c r="AJ174" s="122"/>
      <c r="AK174" s="107"/>
      <c r="AL174" s="104"/>
      <c r="AM174" s="105"/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31</v>
      </c>
      <c r="D175" s="93" t="s">
        <v>624</v>
      </c>
      <c r="E175" s="137" t="s">
        <v>52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625</v>
      </c>
      <c r="L175" s="104">
        <f t="shared" si="18"/>
        <v>46122</v>
      </c>
      <c r="M175" s="105">
        <f ca="1" t="shared" si="19"/>
        <v>-45</v>
      </c>
      <c r="N175" s="70"/>
      <c r="O175" s="122" t="s">
        <v>12</v>
      </c>
      <c r="P175" s="122" t="s">
        <v>31</v>
      </c>
      <c r="Q175" s="93" t="s">
        <v>624</v>
      </c>
      <c r="R175" s="137" t="s">
        <v>52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626</v>
      </c>
      <c r="Y175" s="104">
        <f t="shared" si="24"/>
        <v>46213</v>
      </c>
      <c r="Z175" s="105">
        <f ca="1" t="shared" si="25"/>
        <v>46</v>
      </c>
      <c r="AA175" s="70"/>
      <c r="AB175" s="122"/>
      <c r="AC175" s="122"/>
      <c r="AD175" s="93"/>
      <c r="AE175" s="137"/>
      <c r="AF175" s="138"/>
      <c r="AG175" s="139"/>
      <c r="AH175" s="79"/>
      <c r="AI175" s="132"/>
      <c r="AJ175" s="122"/>
      <c r="AK175" s="107"/>
      <c r="AL175" s="104"/>
      <c r="AM175" s="105"/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627</v>
      </c>
      <c r="E176" s="137" t="s">
        <v>95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628</v>
      </c>
      <c r="L176" s="104">
        <f t="shared" si="18"/>
        <v>46122</v>
      </c>
      <c r="M176" s="105">
        <f ca="1" t="shared" si="19"/>
        <v>-45</v>
      </c>
      <c r="N176" s="70"/>
      <c r="O176" s="122" t="s">
        <v>12</v>
      </c>
      <c r="P176" s="122" t="s">
        <v>13</v>
      </c>
      <c r="Q176" s="93" t="s">
        <v>627</v>
      </c>
      <c r="R176" s="137" t="s">
        <v>95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629</v>
      </c>
      <c r="Y176" s="104">
        <f t="shared" si="24"/>
        <v>46213</v>
      </c>
      <c r="Z176" s="105">
        <f ca="1" t="shared" si="25"/>
        <v>46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/>
      <c r="AM176" s="105"/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178</v>
      </c>
      <c r="C177" s="122" t="s">
        <v>31</v>
      </c>
      <c r="D177" s="93" t="s">
        <v>170</v>
      </c>
      <c r="E177" s="137" t="s">
        <v>171</v>
      </c>
      <c r="F177" s="138"/>
      <c r="G177" s="139"/>
      <c r="H177" s="75"/>
      <c r="I177" s="102">
        <v>46032</v>
      </c>
      <c r="J177" s="70">
        <v>3</v>
      </c>
      <c r="K177" s="107" t="s">
        <v>630</v>
      </c>
      <c r="L177" s="104">
        <f t="shared" si="18"/>
        <v>46122</v>
      </c>
      <c r="M177" s="105">
        <f ca="1" t="shared" si="19"/>
        <v>-45</v>
      </c>
      <c r="N177" s="70"/>
      <c r="O177" s="122" t="s">
        <v>178</v>
      </c>
      <c r="P177" s="122" t="s">
        <v>31</v>
      </c>
      <c r="Q177" s="93" t="s">
        <v>170</v>
      </c>
      <c r="R177" s="137" t="s">
        <v>171</v>
      </c>
      <c r="S177" s="138"/>
      <c r="T177" s="139"/>
      <c r="U177" s="75"/>
      <c r="V177" s="132">
        <v>46122</v>
      </c>
      <c r="W177" s="122">
        <v>3</v>
      </c>
      <c r="X177" s="107" t="s">
        <v>631</v>
      </c>
      <c r="Y177" s="104">
        <f t="shared" si="24"/>
        <v>46213</v>
      </c>
      <c r="Z177" s="105">
        <f ca="1" t="shared" si="25"/>
        <v>46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/>
      <c r="AM177" s="105"/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178</v>
      </c>
      <c r="C178" s="122" t="s">
        <v>13</v>
      </c>
      <c r="D178" s="93" t="s">
        <v>632</v>
      </c>
      <c r="E178" s="137" t="s">
        <v>95</v>
      </c>
      <c r="F178" s="138"/>
      <c r="G178" s="139"/>
      <c r="H178" s="75"/>
      <c r="I178" s="102">
        <v>46032</v>
      </c>
      <c r="J178" s="70">
        <v>3</v>
      </c>
      <c r="K178" s="107" t="s">
        <v>633</v>
      </c>
      <c r="L178" s="104">
        <f t="shared" si="18"/>
        <v>46122</v>
      </c>
      <c r="M178" s="105">
        <f ca="1" t="shared" si="19"/>
        <v>-45</v>
      </c>
      <c r="N178" s="70"/>
      <c r="O178" s="122" t="s">
        <v>178</v>
      </c>
      <c r="P178" s="122" t="s">
        <v>13</v>
      </c>
      <c r="Q178" s="93" t="s">
        <v>632</v>
      </c>
      <c r="R178" s="137" t="s">
        <v>95</v>
      </c>
      <c r="S178" s="138"/>
      <c r="T178" s="139"/>
      <c r="U178" s="75"/>
      <c r="V178" s="132">
        <v>46120</v>
      </c>
      <c r="W178" s="122">
        <v>3</v>
      </c>
      <c r="X178" s="107" t="s">
        <v>634</v>
      </c>
      <c r="Y178" s="104">
        <f t="shared" si="24"/>
        <v>46211</v>
      </c>
      <c r="Z178" s="105">
        <f ca="1" t="shared" si="25"/>
        <v>44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/>
      <c r="AM178" s="105"/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178</v>
      </c>
      <c r="C179" s="122" t="s">
        <v>13</v>
      </c>
      <c r="D179" s="93" t="s">
        <v>635</v>
      </c>
      <c r="E179" s="137" t="s">
        <v>636</v>
      </c>
      <c r="F179" s="138"/>
      <c r="G179" s="139"/>
      <c r="H179" s="75"/>
      <c r="I179" s="102">
        <v>46032</v>
      </c>
      <c r="J179" s="70">
        <v>3</v>
      </c>
      <c r="K179" s="107" t="s">
        <v>637</v>
      </c>
      <c r="L179" s="104">
        <f t="shared" si="18"/>
        <v>46122</v>
      </c>
      <c r="M179" s="105">
        <f ca="1" t="shared" si="19"/>
        <v>-45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24"/>
        <v>0</v>
      </c>
      <c r="Z179" s="105">
        <f ca="1" t="shared" si="25"/>
        <v>-46167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/>
      <c r="AM179" s="105"/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178</v>
      </c>
      <c r="C180" s="122" t="s">
        <v>31</v>
      </c>
      <c r="D180" s="71" t="s">
        <v>63</v>
      </c>
      <c r="E180" s="140" t="s">
        <v>64</v>
      </c>
      <c r="F180" s="141"/>
      <c r="G180" s="142"/>
      <c r="H180" s="75"/>
      <c r="I180" s="102">
        <v>46032</v>
      </c>
      <c r="J180" s="70">
        <v>3</v>
      </c>
      <c r="K180" s="107" t="s">
        <v>638</v>
      </c>
      <c r="L180" s="104">
        <f t="shared" si="18"/>
        <v>46122</v>
      </c>
      <c r="M180" s="105">
        <f ca="1" t="shared" si="19"/>
        <v>-45</v>
      </c>
      <c r="N180" s="70"/>
      <c r="O180" s="122" t="s">
        <v>178</v>
      </c>
      <c r="P180" s="122" t="s">
        <v>31</v>
      </c>
      <c r="Q180" s="71" t="s">
        <v>63</v>
      </c>
      <c r="R180" s="140" t="s">
        <v>64</v>
      </c>
      <c r="S180" s="141"/>
      <c r="T180" s="142"/>
      <c r="U180" s="75"/>
      <c r="V180" s="132">
        <v>46132</v>
      </c>
      <c r="W180" s="122">
        <v>3</v>
      </c>
      <c r="X180" s="107" t="s">
        <v>639</v>
      </c>
      <c r="Y180" s="104">
        <f t="shared" si="24"/>
        <v>46223</v>
      </c>
      <c r="Z180" s="105">
        <f ca="1" t="shared" si="25"/>
        <v>56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/>
      <c r="AM180" s="105"/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178</v>
      </c>
      <c r="C181" s="70" t="s">
        <v>13</v>
      </c>
      <c r="D181" s="71" t="s">
        <v>67</v>
      </c>
      <c r="E181" s="137" t="s">
        <v>68</v>
      </c>
      <c r="F181" s="138"/>
      <c r="G181" s="139"/>
      <c r="H181" s="75"/>
      <c r="I181" s="102">
        <v>46032</v>
      </c>
      <c r="J181" s="70">
        <v>3</v>
      </c>
      <c r="K181" s="107" t="s">
        <v>640</v>
      </c>
      <c r="L181" s="104">
        <f t="shared" si="18"/>
        <v>46122</v>
      </c>
      <c r="M181" s="105">
        <f ca="1" t="shared" si="19"/>
        <v>-45</v>
      </c>
      <c r="N181" s="70"/>
      <c r="O181" s="122" t="s">
        <v>178</v>
      </c>
      <c r="P181" s="70" t="s">
        <v>13</v>
      </c>
      <c r="Q181" s="71" t="s">
        <v>67</v>
      </c>
      <c r="R181" s="137" t="s">
        <v>68</v>
      </c>
      <c r="S181" s="138"/>
      <c r="T181" s="139"/>
      <c r="U181" s="75"/>
      <c r="V181" s="132">
        <v>46133</v>
      </c>
      <c r="W181" s="70">
        <v>3</v>
      </c>
      <c r="X181" s="97" t="s">
        <v>641</v>
      </c>
      <c r="Y181" s="104">
        <f t="shared" si="24"/>
        <v>46224</v>
      </c>
      <c r="Z181" s="105">
        <f ca="1" t="shared" si="25"/>
        <v>57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/>
      <c r="AM181" s="105"/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178</v>
      </c>
      <c r="C182" s="70" t="s">
        <v>31</v>
      </c>
      <c r="D182" s="71" t="s">
        <v>642</v>
      </c>
      <c r="E182" s="140" t="s">
        <v>456</v>
      </c>
      <c r="F182" s="141"/>
      <c r="G182" s="142"/>
      <c r="H182" s="75"/>
      <c r="I182" s="102">
        <v>46032</v>
      </c>
      <c r="J182" s="70">
        <v>3</v>
      </c>
      <c r="K182" s="107" t="s">
        <v>643</v>
      </c>
      <c r="L182" s="104">
        <f t="shared" si="18"/>
        <v>46122</v>
      </c>
      <c r="M182" s="105">
        <f ca="1" t="shared" si="19"/>
        <v>-45</v>
      </c>
      <c r="N182" s="70"/>
      <c r="O182" s="122" t="s">
        <v>178</v>
      </c>
      <c r="P182" s="70" t="s">
        <v>31</v>
      </c>
      <c r="Q182" s="71" t="s">
        <v>642</v>
      </c>
      <c r="R182" s="140" t="s">
        <v>456</v>
      </c>
      <c r="S182" s="141"/>
      <c r="T182" s="142"/>
      <c r="U182" s="75"/>
      <c r="V182" s="132">
        <v>46133</v>
      </c>
      <c r="W182" s="70">
        <v>3</v>
      </c>
      <c r="X182" s="97" t="s">
        <v>644</v>
      </c>
      <c r="Y182" s="104">
        <f t="shared" si="24"/>
        <v>46224</v>
      </c>
      <c r="Z182" s="105">
        <f ca="1" t="shared" si="25"/>
        <v>57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/>
      <c r="AM182" s="105"/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178</v>
      </c>
      <c r="C183" s="70" t="s">
        <v>31</v>
      </c>
      <c r="D183" s="71" t="s">
        <v>645</v>
      </c>
      <c r="E183" s="140" t="s">
        <v>453</v>
      </c>
      <c r="F183" s="141"/>
      <c r="G183" s="142"/>
      <c r="H183" s="75"/>
      <c r="I183" s="102">
        <v>46032</v>
      </c>
      <c r="J183" s="70">
        <v>3</v>
      </c>
      <c r="K183" s="107" t="s">
        <v>646</v>
      </c>
      <c r="L183" s="104">
        <f t="shared" si="18"/>
        <v>46122</v>
      </c>
      <c r="M183" s="105">
        <f ca="1" t="shared" si="19"/>
        <v>-45</v>
      </c>
      <c r="N183" s="70"/>
      <c r="O183" s="122" t="s">
        <v>178</v>
      </c>
      <c r="P183" s="70" t="s">
        <v>31</v>
      </c>
      <c r="Q183" s="71" t="s">
        <v>645</v>
      </c>
      <c r="R183" s="140" t="s">
        <v>453</v>
      </c>
      <c r="S183" s="141"/>
      <c r="T183" s="142"/>
      <c r="U183" s="75"/>
      <c r="V183" s="132">
        <v>46133</v>
      </c>
      <c r="W183" s="70">
        <v>3</v>
      </c>
      <c r="X183" s="97" t="s">
        <v>647</v>
      </c>
      <c r="Y183" s="104">
        <f t="shared" ref="Y183:Y213" si="26">EDATE(V183,W183)</f>
        <v>46224</v>
      </c>
      <c r="Z183" s="105">
        <f ca="1" t="shared" ref="Z183:Z213" si="27">Y183-TODAY()</f>
        <v>57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/>
      <c r="AM183" s="105"/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178</v>
      </c>
      <c r="C184" s="70" t="s">
        <v>13</v>
      </c>
      <c r="D184" s="71" t="s">
        <v>60</v>
      </c>
      <c r="E184" s="140" t="s">
        <v>61</v>
      </c>
      <c r="F184" s="141"/>
      <c r="G184" s="142"/>
      <c r="H184" s="75"/>
      <c r="I184" s="102">
        <v>46032</v>
      </c>
      <c r="J184" s="70">
        <v>3</v>
      </c>
      <c r="K184" s="107" t="s">
        <v>648</v>
      </c>
      <c r="L184" s="104">
        <f t="shared" si="18"/>
        <v>46122</v>
      </c>
      <c r="M184" s="105">
        <f ca="1" t="shared" si="19"/>
        <v>-45</v>
      </c>
      <c r="N184" s="70"/>
      <c r="O184" s="122" t="s">
        <v>178</v>
      </c>
      <c r="P184" s="70" t="s">
        <v>13</v>
      </c>
      <c r="Q184" s="71" t="s">
        <v>60</v>
      </c>
      <c r="R184" s="140" t="s">
        <v>61</v>
      </c>
      <c r="S184" s="141"/>
      <c r="T184" s="142"/>
      <c r="U184" s="75"/>
      <c r="V184" s="132">
        <v>46119</v>
      </c>
      <c r="W184" s="70">
        <v>3</v>
      </c>
      <c r="X184" s="97" t="s">
        <v>649</v>
      </c>
      <c r="Y184" s="104">
        <f t="shared" si="26"/>
        <v>46210</v>
      </c>
      <c r="Z184" s="105">
        <f ca="1" t="shared" si="27"/>
        <v>43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/>
      <c r="AM184" s="105"/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178</v>
      </c>
      <c r="C185" s="70" t="s">
        <v>13</v>
      </c>
      <c r="D185" s="71" t="s">
        <v>650</v>
      </c>
      <c r="E185" s="140" t="s">
        <v>651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652</v>
      </c>
      <c r="L185" s="104">
        <f t="shared" si="18"/>
        <v>46122</v>
      </c>
      <c r="M185" s="105">
        <f ca="1" t="shared" si="19"/>
        <v>-45</v>
      </c>
      <c r="N185" s="70"/>
      <c r="O185" s="122" t="s">
        <v>178</v>
      </c>
      <c r="P185" s="70" t="s">
        <v>13</v>
      </c>
      <c r="Q185" s="71" t="s">
        <v>650</v>
      </c>
      <c r="R185" s="140" t="s">
        <v>651</v>
      </c>
      <c r="S185" s="141"/>
      <c r="T185" s="142"/>
      <c r="U185" s="75"/>
      <c r="V185" s="132">
        <v>46133</v>
      </c>
      <c r="W185" s="70">
        <v>3</v>
      </c>
      <c r="X185" s="97" t="s">
        <v>653</v>
      </c>
      <c r="Y185" s="104">
        <f t="shared" si="26"/>
        <v>46224</v>
      </c>
      <c r="Z185" s="105">
        <f ca="1" t="shared" si="27"/>
        <v>57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359</v>
      </c>
      <c r="C186" s="70" t="s">
        <v>13</v>
      </c>
      <c r="D186" s="71" t="s">
        <v>654</v>
      </c>
      <c r="E186" s="140" t="s">
        <v>148</v>
      </c>
      <c r="F186" s="141"/>
      <c r="G186" s="142"/>
      <c r="H186" s="75"/>
      <c r="I186" s="102">
        <v>46032</v>
      </c>
      <c r="J186" s="70">
        <v>3</v>
      </c>
      <c r="K186" s="107" t="s">
        <v>655</v>
      </c>
      <c r="L186" s="104">
        <f t="shared" si="18"/>
        <v>46122</v>
      </c>
      <c r="M186" s="105">
        <f ca="1" t="shared" si="19"/>
        <v>-45</v>
      </c>
      <c r="N186" s="70"/>
      <c r="O186" s="122" t="s">
        <v>359</v>
      </c>
      <c r="P186" s="70" t="s">
        <v>13</v>
      </c>
      <c r="Q186" s="71" t="s">
        <v>654</v>
      </c>
      <c r="R186" s="140" t="s">
        <v>148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656</v>
      </c>
      <c r="Y186" s="104">
        <f t="shared" si="26"/>
        <v>46220</v>
      </c>
      <c r="Z186" s="105">
        <f ca="1" t="shared" si="27"/>
        <v>53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559</v>
      </c>
      <c r="C187" s="70" t="s">
        <v>13</v>
      </c>
      <c r="D187" s="71" t="s">
        <v>657</v>
      </c>
      <c r="E187" s="140" t="s">
        <v>95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658</v>
      </c>
      <c r="L187" s="104">
        <f t="shared" si="18"/>
        <v>46122</v>
      </c>
      <c r="M187" s="105">
        <f ca="1" t="shared" si="19"/>
        <v>-45</v>
      </c>
      <c r="N187" s="70"/>
      <c r="O187" s="70" t="s">
        <v>559</v>
      </c>
      <c r="P187" s="70" t="s">
        <v>13</v>
      </c>
      <c r="Q187" s="71" t="s">
        <v>657</v>
      </c>
      <c r="R187" s="140" t="s">
        <v>95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659</v>
      </c>
      <c r="Y187" s="104">
        <f t="shared" si="26"/>
        <v>46233</v>
      </c>
      <c r="Z187" s="105">
        <f ca="1" t="shared" si="27"/>
        <v>66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559</v>
      </c>
      <c r="C188" s="70" t="s">
        <v>13</v>
      </c>
      <c r="D188" s="71" t="s">
        <v>660</v>
      </c>
      <c r="E188" s="140" t="s">
        <v>661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662</v>
      </c>
      <c r="L188" s="104">
        <f t="shared" si="18"/>
        <v>46122</v>
      </c>
      <c r="M188" s="105">
        <f ca="1" t="shared" si="19"/>
        <v>-45</v>
      </c>
      <c r="N188" s="70"/>
      <c r="O188" s="70" t="s">
        <v>559</v>
      </c>
      <c r="P188" s="70" t="s">
        <v>13</v>
      </c>
      <c r="Q188" s="71" t="s">
        <v>660</v>
      </c>
      <c r="R188" s="140" t="s">
        <v>661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663</v>
      </c>
      <c r="Y188" s="104">
        <f t="shared" si="26"/>
        <v>46206</v>
      </c>
      <c r="Z188" s="105">
        <f ca="1" t="shared" si="27"/>
        <v>39</v>
      </c>
      <c r="AA188" s="70"/>
      <c r="AB188" s="70"/>
      <c r="AC188" s="70"/>
      <c r="AD188" s="71"/>
      <c r="AE188" s="140"/>
      <c r="AF188" s="141"/>
      <c r="AG188" s="142"/>
      <c r="AH188" s="114"/>
      <c r="AI188" s="132"/>
      <c r="AJ188" s="70"/>
      <c r="AK188" s="97"/>
      <c r="AL188" s="104"/>
      <c r="AM188" s="105"/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664</v>
      </c>
      <c r="C189" s="70" t="s">
        <v>31</v>
      </c>
      <c r="D189" s="71" t="s">
        <v>665</v>
      </c>
      <c r="E189" s="140" t="s">
        <v>666</v>
      </c>
      <c r="F189" s="141"/>
      <c r="G189" s="142"/>
      <c r="H189" s="75"/>
      <c r="I189" s="102">
        <v>46032</v>
      </c>
      <c r="J189" s="70">
        <v>3</v>
      </c>
      <c r="K189" s="107" t="s">
        <v>667</v>
      </c>
      <c r="L189" s="104">
        <f t="shared" si="18"/>
        <v>46122</v>
      </c>
      <c r="M189" s="105">
        <f ca="1" t="shared" si="19"/>
        <v>-45</v>
      </c>
      <c r="N189" s="70"/>
      <c r="O189" s="70" t="s">
        <v>664</v>
      </c>
      <c r="P189" s="70" t="s">
        <v>31</v>
      </c>
      <c r="Q189" s="71" t="s">
        <v>665</v>
      </c>
      <c r="R189" s="140" t="s">
        <v>666</v>
      </c>
      <c r="S189" s="141"/>
      <c r="T189" s="142"/>
      <c r="U189" s="75"/>
      <c r="V189" s="132">
        <v>46130</v>
      </c>
      <c r="W189" s="70">
        <v>3</v>
      </c>
      <c r="X189" s="97" t="s">
        <v>668</v>
      </c>
      <c r="Y189" s="104">
        <f t="shared" si="26"/>
        <v>46221</v>
      </c>
      <c r="Z189" s="105">
        <f ca="1" t="shared" si="27"/>
        <v>54</v>
      </c>
      <c r="AA189" s="70"/>
      <c r="AB189" s="70"/>
      <c r="AC189" s="70"/>
      <c r="AD189" s="71"/>
      <c r="AE189" s="140"/>
      <c r="AF189" s="141"/>
      <c r="AG189" s="142"/>
      <c r="AH189" s="114"/>
      <c r="AI189" s="132"/>
      <c r="AJ189" s="70"/>
      <c r="AK189" s="97"/>
      <c r="AL189" s="104"/>
      <c r="AM189" s="105"/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359</v>
      </c>
      <c r="C190" s="70" t="s">
        <v>31</v>
      </c>
      <c r="D190" s="71" t="s">
        <v>669</v>
      </c>
      <c r="E190" s="140" t="s">
        <v>361</v>
      </c>
      <c r="F190" s="141"/>
      <c r="G190" s="142"/>
      <c r="H190" s="75"/>
      <c r="I190" s="102">
        <v>46032</v>
      </c>
      <c r="J190" s="70">
        <v>3</v>
      </c>
      <c r="K190" s="107" t="s">
        <v>670</v>
      </c>
      <c r="L190" s="104">
        <f t="shared" si="18"/>
        <v>46122</v>
      </c>
      <c r="M190" s="105">
        <f ca="1" t="shared" si="19"/>
        <v>-45</v>
      </c>
      <c r="N190" s="70"/>
      <c r="O190" s="122" t="s">
        <v>359</v>
      </c>
      <c r="P190" s="70" t="s">
        <v>31</v>
      </c>
      <c r="Q190" s="71" t="s">
        <v>669</v>
      </c>
      <c r="R190" s="140" t="s">
        <v>361</v>
      </c>
      <c r="S190" s="141"/>
      <c r="T190" s="142"/>
      <c r="U190" s="75"/>
      <c r="V190" s="132">
        <v>46134</v>
      </c>
      <c r="W190" s="122">
        <v>3</v>
      </c>
      <c r="X190" s="97" t="s">
        <v>671</v>
      </c>
      <c r="Y190" s="104">
        <f t="shared" si="26"/>
        <v>46225</v>
      </c>
      <c r="Z190" s="105">
        <f ca="1" t="shared" si="27"/>
        <v>58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/>
      <c r="AM190" s="105"/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497</v>
      </c>
      <c r="C191" s="70" t="s">
        <v>203</v>
      </c>
      <c r="D191" s="71" t="s">
        <v>204</v>
      </c>
      <c r="E191" s="140" t="s">
        <v>205</v>
      </c>
      <c r="F191" s="141"/>
      <c r="G191" s="142"/>
      <c r="H191" s="75"/>
      <c r="I191" s="102">
        <v>46032</v>
      </c>
      <c r="J191" s="173" t="s">
        <v>596</v>
      </c>
      <c r="K191" s="107"/>
      <c r="L191" s="104" t="e">
        <f t="shared" si="18"/>
        <v>#VALUE!</v>
      </c>
      <c r="M191" s="105" t="e">
        <f ca="1" t="shared" si="19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26"/>
        <v>0</v>
      </c>
      <c r="Z191" s="105">
        <f ca="1" t="shared" si="27"/>
        <v>-46167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/>
      <c r="AM191" s="105"/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217</v>
      </c>
      <c r="C192" s="70" t="s">
        <v>203</v>
      </c>
      <c r="D192" s="71" t="s">
        <v>223</v>
      </c>
      <c r="E192" s="140" t="s">
        <v>672</v>
      </c>
      <c r="F192" s="141"/>
      <c r="G192" s="142"/>
      <c r="H192" s="75"/>
      <c r="I192" s="102">
        <v>46032</v>
      </c>
      <c r="J192" s="173" t="s">
        <v>596</v>
      </c>
      <c r="K192" s="107"/>
      <c r="L192" s="104" t="e">
        <f t="shared" si="18"/>
        <v>#VALUE!</v>
      </c>
      <c r="M192" s="105" t="e">
        <f ca="1" t="shared" si="19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26"/>
        <v>0</v>
      </c>
      <c r="Z192" s="105">
        <f ca="1" t="shared" si="27"/>
        <v>-46167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/>
      <c r="AM192" s="105"/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673</v>
      </c>
      <c r="C193" s="70" t="s">
        <v>203</v>
      </c>
      <c r="D193" s="71" t="s">
        <v>674</v>
      </c>
      <c r="E193" s="140" t="s">
        <v>675</v>
      </c>
      <c r="F193" s="141"/>
      <c r="G193" s="142"/>
      <c r="H193" s="75"/>
      <c r="I193" s="173">
        <v>46032</v>
      </c>
      <c r="J193" s="70">
        <v>3</v>
      </c>
      <c r="K193" s="107" t="s">
        <v>676</v>
      </c>
      <c r="L193" s="104">
        <f t="shared" si="18"/>
        <v>46122</v>
      </c>
      <c r="M193" s="105">
        <f ca="1" t="shared" si="19"/>
        <v>-45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26"/>
        <v>0</v>
      </c>
      <c r="Z193" s="105">
        <f ca="1" t="shared" si="27"/>
        <v>-46167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/>
      <c r="AM193" s="105"/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677</v>
      </c>
      <c r="C194" s="70" t="s">
        <v>287</v>
      </c>
      <c r="D194" s="71" t="s">
        <v>678</v>
      </c>
      <c r="E194" s="140" t="s">
        <v>679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680</v>
      </c>
      <c r="L194" s="104">
        <f t="shared" si="18"/>
        <v>46122</v>
      </c>
      <c r="M194" s="105">
        <f ca="1" t="shared" si="19"/>
        <v>-45</v>
      </c>
      <c r="N194" s="70"/>
      <c r="O194" s="70"/>
      <c r="P194" s="70"/>
      <c r="Q194" s="71"/>
      <c r="R194" s="140"/>
      <c r="S194" s="141"/>
      <c r="T194" s="142"/>
      <c r="U194" s="79"/>
      <c r="V194" s="132"/>
      <c r="W194" s="122"/>
      <c r="X194" s="97"/>
      <c r="Y194" s="104">
        <f t="shared" si="26"/>
        <v>0</v>
      </c>
      <c r="Z194" s="105">
        <f ca="1" t="shared" si="27"/>
        <v>-46167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/>
      <c r="AM194" s="105"/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677</v>
      </c>
      <c r="C195" s="70" t="s">
        <v>287</v>
      </c>
      <c r="D195" s="71" t="s">
        <v>681</v>
      </c>
      <c r="E195" s="140" t="s">
        <v>682</v>
      </c>
      <c r="F195" s="141"/>
      <c r="G195" s="142"/>
      <c r="H195" s="75"/>
      <c r="I195" s="173">
        <v>46032</v>
      </c>
      <c r="J195" s="70">
        <v>3</v>
      </c>
      <c r="K195" s="107" t="s">
        <v>683</v>
      </c>
      <c r="L195" s="104">
        <f t="shared" ref="L195:L258" si="28">EDATE(I195,J195)</f>
        <v>46122</v>
      </c>
      <c r="M195" s="105">
        <f ca="1" t="shared" ref="M195:M258" si="29">L195-TODAY()</f>
        <v>-45</v>
      </c>
      <c r="N195" s="70"/>
      <c r="O195" s="70" t="s">
        <v>677</v>
      </c>
      <c r="P195" s="70" t="s">
        <v>287</v>
      </c>
      <c r="Q195" s="71" t="s">
        <v>681</v>
      </c>
      <c r="R195" s="140" t="s">
        <v>682</v>
      </c>
      <c r="S195" s="141"/>
      <c r="T195" s="142"/>
      <c r="U195" s="75"/>
      <c r="V195" s="132">
        <v>46126</v>
      </c>
      <c r="W195" s="122">
        <v>3</v>
      </c>
      <c r="X195" s="97" t="s">
        <v>684</v>
      </c>
      <c r="Y195" s="104">
        <f t="shared" si="26"/>
        <v>46217</v>
      </c>
      <c r="Z195" s="105">
        <f ca="1" t="shared" si="27"/>
        <v>50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/>
      <c r="AM195" s="105"/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685</v>
      </c>
      <c r="C196" s="70" t="s">
        <v>287</v>
      </c>
      <c r="D196" s="71" t="s">
        <v>686</v>
      </c>
      <c r="E196" s="140" t="s">
        <v>687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688</v>
      </c>
      <c r="L196" s="104">
        <f t="shared" si="28"/>
        <v>46122</v>
      </c>
      <c r="M196" s="105">
        <f ca="1" t="shared" si="29"/>
        <v>-45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26"/>
        <v>0</v>
      </c>
      <c r="Z196" s="105">
        <f ca="1" t="shared" si="27"/>
        <v>-46167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/>
      <c r="AM196" s="105"/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689</v>
      </c>
      <c r="C197" s="70" t="s">
        <v>287</v>
      </c>
      <c r="D197" s="71" t="s">
        <v>690</v>
      </c>
      <c r="E197" s="140" t="s">
        <v>691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692</v>
      </c>
      <c r="L197" s="104">
        <f t="shared" si="28"/>
        <v>46122</v>
      </c>
      <c r="M197" s="105">
        <f ca="1" t="shared" si="29"/>
        <v>-45</v>
      </c>
      <c r="N197" s="70"/>
      <c r="O197" s="70" t="s">
        <v>689</v>
      </c>
      <c r="P197" s="70" t="s">
        <v>287</v>
      </c>
      <c r="Q197" s="71" t="s">
        <v>690</v>
      </c>
      <c r="R197" s="140" t="s">
        <v>691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693</v>
      </c>
      <c r="Y197" s="104">
        <f t="shared" si="26"/>
        <v>46218</v>
      </c>
      <c r="Z197" s="105">
        <f ca="1" t="shared" si="27"/>
        <v>51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/>
      <c r="AM197" s="105"/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689</v>
      </c>
      <c r="C198" s="70" t="s">
        <v>287</v>
      </c>
      <c r="D198" s="71" t="s">
        <v>694</v>
      </c>
      <c r="E198" s="140" t="s">
        <v>435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695</v>
      </c>
      <c r="L198" s="104">
        <f t="shared" si="28"/>
        <v>46122</v>
      </c>
      <c r="M198" s="105">
        <f ca="1" t="shared" si="29"/>
        <v>-45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26"/>
        <v>0</v>
      </c>
      <c r="Z198" s="105">
        <f ca="1" t="shared" si="27"/>
        <v>-46167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/>
      <c r="AM198" s="105"/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607</v>
      </c>
      <c r="C199" s="70" t="s">
        <v>287</v>
      </c>
      <c r="D199" s="71" t="s">
        <v>696</v>
      </c>
      <c r="E199" s="140" t="s">
        <v>418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697</v>
      </c>
      <c r="L199" s="104">
        <f t="shared" si="28"/>
        <v>46122</v>
      </c>
      <c r="M199" s="105">
        <f ca="1" t="shared" si="29"/>
        <v>-45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26"/>
        <v>0</v>
      </c>
      <c r="Z199" s="105">
        <f ca="1" t="shared" si="27"/>
        <v>-46167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/>
      <c r="AM199" s="105"/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698</v>
      </c>
      <c r="E200" s="140" t="s">
        <v>57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699</v>
      </c>
      <c r="L200" s="104">
        <f t="shared" si="28"/>
        <v>46123</v>
      </c>
      <c r="M200" s="105">
        <f ca="1" t="shared" si="29"/>
        <v>-44</v>
      </c>
      <c r="N200" s="70"/>
      <c r="O200" s="70" t="s">
        <v>12</v>
      </c>
      <c r="P200" s="70" t="s">
        <v>13</v>
      </c>
      <c r="Q200" s="71" t="s">
        <v>698</v>
      </c>
      <c r="R200" s="140" t="s">
        <v>57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700</v>
      </c>
      <c r="Y200" s="104">
        <f t="shared" si="26"/>
        <v>46213</v>
      </c>
      <c r="Z200" s="105">
        <f ca="1" t="shared" si="27"/>
        <v>46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/>
      <c r="AM200" s="105"/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31</v>
      </c>
      <c r="D201" s="71" t="s">
        <v>701</v>
      </c>
      <c r="E201" s="140" t="s">
        <v>702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703</v>
      </c>
      <c r="L201" s="104">
        <f t="shared" si="28"/>
        <v>46123</v>
      </c>
      <c r="M201" s="105">
        <f ca="1" t="shared" si="29"/>
        <v>-44</v>
      </c>
      <c r="N201" s="70"/>
      <c r="O201" s="70" t="s">
        <v>704</v>
      </c>
      <c r="P201" s="70" t="s">
        <v>31</v>
      </c>
      <c r="Q201" s="71" t="s">
        <v>701</v>
      </c>
      <c r="R201" s="140" t="s">
        <v>702</v>
      </c>
      <c r="S201" s="141"/>
      <c r="T201" s="142"/>
      <c r="U201" s="79" t="s">
        <v>16</v>
      </c>
      <c r="V201" s="132">
        <v>46163</v>
      </c>
      <c r="W201" s="70">
        <v>3</v>
      </c>
      <c r="X201" s="107"/>
      <c r="Y201" s="104">
        <f t="shared" si="26"/>
        <v>46255</v>
      </c>
      <c r="Z201" s="105">
        <f ca="1" t="shared" si="27"/>
        <v>88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/>
      <c r="AM201" s="105"/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31</v>
      </c>
      <c r="D202" s="71" t="s">
        <v>705</v>
      </c>
      <c r="E202" s="140" t="s">
        <v>148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706</v>
      </c>
      <c r="L202" s="104">
        <f t="shared" si="28"/>
        <v>46123</v>
      </c>
      <c r="M202" s="105">
        <f ca="1" t="shared" si="29"/>
        <v>-44</v>
      </c>
      <c r="N202" s="70"/>
      <c r="O202" s="70" t="s">
        <v>12</v>
      </c>
      <c r="P202" s="70" t="s">
        <v>31</v>
      </c>
      <c r="Q202" s="71" t="s">
        <v>705</v>
      </c>
      <c r="R202" s="140" t="s">
        <v>148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707</v>
      </c>
      <c r="Y202" s="104">
        <f t="shared" si="26"/>
        <v>46219</v>
      </c>
      <c r="Z202" s="105">
        <f ca="1" t="shared" si="27"/>
        <v>52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/>
      <c r="AM202" s="105"/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31</v>
      </c>
      <c r="D203" s="71" t="s">
        <v>708</v>
      </c>
      <c r="E203" s="140" t="s">
        <v>709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710</v>
      </c>
      <c r="L203" s="104">
        <f t="shared" si="28"/>
        <v>46123</v>
      </c>
      <c r="M203" s="105">
        <f ca="1" t="shared" si="29"/>
        <v>-44</v>
      </c>
      <c r="N203" s="70"/>
      <c r="O203" s="70" t="s">
        <v>12</v>
      </c>
      <c r="P203" s="70" t="s">
        <v>31</v>
      </c>
      <c r="Q203" s="71" t="s">
        <v>708</v>
      </c>
      <c r="R203" s="140" t="s">
        <v>709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711</v>
      </c>
      <c r="Y203" s="104">
        <f t="shared" si="26"/>
        <v>46213</v>
      </c>
      <c r="Z203" s="105">
        <f ca="1" t="shared" si="27"/>
        <v>46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/>
      <c r="AM203" s="105"/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359</v>
      </c>
      <c r="C204" s="70" t="s">
        <v>13</v>
      </c>
      <c r="D204" s="71" t="s">
        <v>712</v>
      </c>
      <c r="E204" s="140" t="s">
        <v>37</v>
      </c>
      <c r="F204" s="141"/>
      <c r="G204" s="142"/>
      <c r="H204" s="75"/>
      <c r="I204" s="173">
        <v>46033</v>
      </c>
      <c r="J204" s="70">
        <v>3</v>
      </c>
      <c r="K204" s="107" t="s">
        <v>713</v>
      </c>
      <c r="L204" s="104">
        <f t="shared" si="28"/>
        <v>46123</v>
      </c>
      <c r="M204" s="105">
        <f ca="1" t="shared" si="29"/>
        <v>-44</v>
      </c>
      <c r="N204" s="70"/>
      <c r="O204" s="70" t="s">
        <v>359</v>
      </c>
      <c r="P204" s="70" t="s">
        <v>13</v>
      </c>
      <c r="Q204" s="71" t="s">
        <v>712</v>
      </c>
      <c r="R204" s="140" t="s">
        <v>37</v>
      </c>
      <c r="S204" s="141"/>
      <c r="T204" s="142"/>
      <c r="U204" s="75"/>
      <c r="V204" s="132">
        <v>46129</v>
      </c>
      <c r="W204" s="70">
        <v>3</v>
      </c>
      <c r="X204" s="107" t="s">
        <v>714</v>
      </c>
      <c r="Y204" s="104">
        <f t="shared" si="26"/>
        <v>46220</v>
      </c>
      <c r="Z204" s="105">
        <f ca="1" t="shared" si="27"/>
        <v>53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/>
      <c r="AM204" s="105"/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359</v>
      </c>
      <c r="C205" s="70" t="s">
        <v>13</v>
      </c>
      <c r="D205" s="71" t="s">
        <v>715</v>
      </c>
      <c r="E205" s="140" t="s">
        <v>37</v>
      </c>
      <c r="F205" s="141"/>
      <c r="G205" s="142"/>
      <c r="H205" s="75"/>
      <c r="I205" s="173">
        <v>46033</v>
      </c>
      <c r="J205" s="70">
        <v>3</v>
      </c>
      <c r="K205" s="107" t="s">
        <v>716</v>
      </c>
      <c r="L205" s="104">
        <f t="shared" si="28"/>
        <v>46123</v>
      </c>
      <c r="M205" s="105">
        <f ca="1" t="shared" si="29"/>
        <v>-44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26"/>
        <v>0</v>
      </c>
      <c r="Z205" s="105">
        <f ca="1" t="shared" si="27"/>
        <v>-46167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/>
      <c r="AM205" s="105"/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559</v>
      </c>
      <c r="C206" s="70" t="s">
        <v>31</v>
      </c>
      <c r="D206" s="71" t="s">
        <v>717</v>
      </c>
      <c r="E206" s="140" t="s">
        <v>400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718</v>
      </c>
      <c r="L206" s="104">
        <f t="shared" si="28"/>
        <v>46123</v>
      </c>
      <c r="M206" s="105">
        <f ca="1" t="shared" si="29"/>
        <v>-44</v>
      </c>
      <c r="N206" s="70"/>
      <c r="O206" s="70"/>
      <c r="P206" s="70"/>
      <c r="Q206" s="71"/>
      <c r="R206" s="140"/>
      <c r="S206" s="141"/>
      <c r="T206" s="142"/>
      <c r="U206" s="76"/>
      <c r="V206" s="132"/>
      <c r="W206" s="70"/>
      <c r="X206" s="97"/>
      <c r="Y206" s="104">
        <f t="shared" si="26"/>
        <v>0</v>
      </c>
      <c r="Z206" s="105">
        <f ca="1" t="shared" si="27"/>
        <v>-46167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/>
      <c r="AM206" s="105"/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559</v>
      </c>
      <c r="C207" s="70" t="s">
        <v>31</v>
      </c>
      <c r="D207" s="71" t="s">
        <v>719</v>
      </c>
      <c r="E207" s="140" t="s">
        <v>52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720</v>
      </c>
      <c r="L207" s="104">
        <f t="shared" si="28"/>
        <v>46123</v>
      </c>
      <c r="M207" s="105">
        <f ca="1" t="shared" si="29"/>
        <v>-44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26"/>
        <v>0</v>
      </c>
      <c r="Z207" s="105">
        <f ca="1" t="shared" si="27"/>
        <v>-46167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/>
      <c r="AM207" s="105"/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721</v>
      </c>
      <c r="E208" s="140" t="s">
        <v>20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722</v>
      </c>
      <c r="L208" s="104">
        <f t="shared" si="28"/>
        <v>46124</v>
      </c>
      <c r="M208" s="105">
        <f ca="1" t="shared" si="29"/>
        <v>-43</v>
      </c>
      <c r="N208" s="70"/>
      <c r="O208" s="70" t="s">
        <v>12</v>
      </c>
      <c r="P208" s="70" t="s">
        <v>13</v>
      </c>
      <c r="Q208" s="71" t="s">
        <v>721</v>
      </c>
      <c r="R208" s="140" t="s">
        <v>20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723</v>
      </c>
      <c r="Y208" s="104">
        <f t="shared" si="26"/>
        <v>46213</v>
      </c>
      <c r="Z208" s="105">
        <f ca="1" t="shared" si="27"/>
        <v>46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/>
      <c r="AM208" s="105"/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724</v>
      </c>
      <c r="E209" s="140" t="s">
        <v>725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726</v>
      </c>
      <c r="L209" s="104">
        <f t="shared" si="28"/>
        <v>46124</v>
      </c>
      <c r="M209" s="105">
        <f ca="1" t="shared" si="29"/>
        <v>-43</v>
      </c>
      <c r="N209" s="70"/>
      <c r="O209" s="70" t="s">
        <v>12</v>
      </c>
      <c r="P209" s="70" t="s">
        <v>13</v>
      </c>
      <c r="Q209" s="71" t="s">
        <v>724</v>
      </c>
      <c r="R209" s="140" t="s">
        <v>725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727</v>
      </c>
      <c r="Y209" s="104">
        <f t="shared" si="26"/>
        <v>46249</v>
      </c>
      <c r="Z209" s="105">
        <f ca="1" t="shared" si="27"/>
        <v>82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/>
      <c r="AM209" s="105"/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31</v>
      </c>
      <c r="D210" s="71" t="s">
        <v>728</v>
      </c>
      <c r="E210" s="140" t="s">
        <v>148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729</v>
      </c>
      <c r="L210" s="104">
        <f t="shared" si="28"/>
        <v>46124</v>
      </c>
      <c r="M210" s="105">
        <f ca="1" t="shared" si="29"/>
        <v>-43</v>
      </c>
      <c r="N210" s="70"/>
      <c r="O210" s="70"/>
      <c r="P210" s="70"/>
      <c r="Q210" s="71"/>
      <c r="R210" s="140"/>
      <c r="S210" s="141"/>
      <c r="T210" s="142"/>
      <c r="U210" s="114"/>
      <c r="V210" s="132"/>
      <c r="W210" s="70"/>
      <c r="X210" s="103"/>
      <c r="Y210" s="104">
        <f t="shared" si="26"/>
        <v>0</v>
      </c>
      <c r="Z210" s="105">
        <f ca="1" t="shared" si="27"/>
        <v>-46167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/>
      <c r="AM210" s="105"/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730</v>
      </c>
      <c r="E211" s="140" t="s">
        <v>661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731</v>
      </c>
      <c r="L211" s="104">
        <f t="shared" si="28"/>
        <v>46124</v>
      </c>
      <c r="M211" s="105">
        <f ca="1" t="shared" si="29"/>
        <v>-43</v>
      </c>
      <c r="N211" s="70"/>
      <c r="O211" s="70" t="s">
        <v>12</v>
      </c>
      <c r="P211" s="70" t="s">
        <v>13</v>
      </c>
      <c r="Q211" s="71" t="s">
        <v>730</v>
      </c>
      <c r="R211" s="140" t="s">
        <v>661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732</v>
      </c>
      <c r="Y211" s="104">
        <f t="shared" si="26"/>
        <v>46239</v>
      </c>
      <c r="Z211" s="105">
        <f ca="1" t="shared" si="27"/>
        <v>72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/>
      <c r="AM211" s="105"/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178</v>
      </c>
      <c r="C212" s="70" t="s">
        <v>31</v>
      </c>
      <c r="D212" s="71" t="s">
        <v>733</v>
      </c>
      <c r="E212" s="140" t="s">
        <v>148</v>
      </c>
      <c r="F212" s="141"/>
      <c r="G212" s="142"/>
      <c r="H212" s="157"/>
      <c r="I212" s="173">
        <v>46034</v>
      </c>
      <c r="J212" s="70">
        <v>3</v>
      </c>
      <c r="K212" s="107" t="s">
        <v>734</v>
      </c>
      <c r="L212" s="104">
        <f t="shared" si="28"/>
        <v>46124</v>
      </c>
      <c r="M212" s="105">
        <f ca="1" t="shared" si="29"/>
        <v>-43</v>
      </c>
      <c r="N212" s="70"/>
      <c r="O212" s="70" t="s">
        <v>178</v>
      </c>
      <c r="P212" s="70" t="s">
        <v>31</v>
      </c>
      <c r="Q212" s="71" t="s">
        <v>733</v>
      </c>
      <c r="R212" s="140" t="s">
        <v>148</v>
      </c>
      <c r="S212" s="141"/>
      <c r="T212" s="142"/>
      <c r="U212" s="157"/>
      <c r="V212" s="132">
        <v>46121</v>
      </c>
      <c r="W212" s="70">
        <v>3</v>
      </c>
      <c r="X212" s="103" t="s">
        <v>735</v>
      </c>
      <c r="Y212" s="104">
        <f t="shared" si="26"/>
        <v>46212</v>
      </c>
      <c r="Z212" s="105">
        <f ca="1" t="shared" si="27"/>
        <v>45</v>
      </c>
      <c r="AA212" s="70"/>
      <c r="AB212" s="70"/>
      <c r="AC212" s="70"/>
      <c r="AD212" s="71"/>
      <c r="AE212" s="140"/>
      <c r="AF212" s="141"/>
      <c r="AG212" s="142"/>
      <c r="AH212" s="114"/>
      <c r="AI212" s="132"/>
      <c r="AJ212" s="70"/>
      <c r="AK212" s="103"/>
      <c r="AL212" s="104"/>
      <c r="AM212" s="105"/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208</v>
      </c>
      <c r="C213" s="70" t="s">
        <v>203</v>
      </c>
      <c r="D213" s="71" t="s">
        <v>736</v>
      </c>
      <c r="E213" s="140" t="s">
        <v>737</v>
      </c>
      <c r="F213" s="141"/>
      <c r="G213" s="142"/>
      <c r="H213" s="157"/>
      <c r="I213" s="173">
        <v>46034</v>
      </c>
      <c r="J213" s="70">
        <v>3</v>
      </c>
      <c r="K213" s="107" t="s">
        <v>738</v>
      </c>
      <c r="L213" s="104">
        <f t="shared" si="28"/>
        <v>46124</v>
      </c>
      <c r="M213" s="105">
        <f ca="1" t="shared" si="29"/>
        <v>-43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30">EDATE(V213,W213)</f>
        <v>0</v>
      </c>
      <c r="Z213" s="105">
        <f ca="1" t="shared" ref="Z213:Z236" si="31">Y213-TODAY()</f>
        <v>-46167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/>
      <c r="AM213" s="105"/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208</v>
      </c>
      <c r="C214" s="70" t="s">
        <v>203</v>
      </c>
      <c r="D214" s="71" t="s">
        <v>282</v>
      </c>
      <c r="E214" s="140" t="s">
        <v>283</v>
      </c>
      <c r="F214" s="141"/>
      <c r="G214" s="142"/>
      <c r="H214" s="157"/>
      <c r="I214" s="173">
        <v>46034</v>
      </c>
      <c r="J214" s="70">
        <v>3</v>
      </c>
      <c r="K214" s="107" t="s">
        <v>739</v>
      </c>
      <c r="L214" s="104">
        <f t="shared" si="28"/>
        <v>46124</v>
      </c>
      <c r="M214" s="105">
        <f ca="1" t="shared" si="29"/>
        <v>-43</v>
      </c>
      <c r="N214" s="70"/>
      <c r="O214" s="70" t="s">
        <v>208</v>
      </c>
      <c r="P214" s="70" t="s">
        <v>203</v>
      </c>
      <c r="Q214" s="71" t="s">
        <v>282</v>
      </c>
      <c r="R214" s="140" t="s">
        <v>283</v>
      </c>
      <c r="S214" s="141"/>
      <c r="T214" s="142"/>
      <c r="U214" s="157"/>
      <c r="V214" s="132">
        <v>46129</v>
      </c>
      <c r="W214" s="70">
        <v>3</v>
      </c>
      <c r="X214" s="103" t="s">
        <v>740</v>
      </c>
      <c r="Y214" s="104">
        <f t="shared" si="30"/>
        <v>46220</v>
      </c>
      <c r="Z214" s="105">
        <f ca="1" t="shared" si="31"/>
        <v>53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/>
      <c r="AM214" s="105"/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202</v>
      </c>
      <c r="C215" s="70" t="s">
        <v>203</v>
      </c>
      <c r="D215" s="70" t="s">
        <v>741</v>
      </c>
      <c r="E215" s="140" t="s">
        <v>594</v>
      </c>
      <c r="F215" s="141"/>
      <c r="G215" s="142"/>
      <c r="H215" s="157"/>
      <c r="I215" s="173">
        <v>46034</v>
      </c>
      <c r="J215" s="70">
        <v>3</v>
      </c>
      <c r="K215" s="107" t="s">
        <v>742</v>
      </c>
      <c r="L215" s="104">
        <f t="shared" si="28"/>
        <v>46124</v>
      </c>
      <c r="M215" s="105">
        <f ca="1" t="shared" si="29"/>
        <v>-43</v>
      </c>
      <c r="N215" s="70"/>
      <c r="O215" s="70"/>
      <c r="P215" s="70"/>
      <c r="Q215" s="70"/>
      <c r="R215" s="140"/>
      <c r="S215" s="141"/>
      <c r="T215" s="142"/>
      <c r="U215" s="74"/>
      <c r="V215" s="102"/>
      <c r="W215" s="70"/>
      <c r="X215" s="103"/>
      <c r="Y215" s="104">
        <f t="shared" si="30"/>
        <v>0</v>
      </c>
      <c r="Z215" s="105">
        <f ca="1" t="shared" si="31"/>
        <v>-46167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/>
      <c r="AM215" s="105"/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202</v>
      </c>
      <c r="C216" s="70" t="s">
        <v>203</v>
      </c>
      <c r="D216" s="71" t="s">
        <v>204</v>
      </c>
      <c r="E216" s="140" t="s">
        <v>205</v>
      </c>
      <c r="F216" s="141"/>
      <c r="G216" s="142"/>
      <c r="H216" s="157"/>
      <c r="I216" s="173">
        <v>46034</v>
      </c>
      <c r="J216" s="173" t="s">
        <v>596</v>
      </c>
      <c r="K216" s="107"/>
      <c r="L216" s="104" t="e">
        <f t="shared" si="28"/>
        <v>#VALUE!</v>
      </c>
      <c r="M216" s="105" t="e">
        <f ca="1" t="shared" si="2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30"/>
        <v>0</v>
      </c>
      <c r="Z216" s="105">
        <f ca="1" t="shared" si="31"/>
        <v>-46167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/>
      <c r="AM216" s="105"/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208</v>
      </c>
      <c r="C217" s="70" t="s">
        <v>203</v>
      </c>
      <c r="D217" s="71" t="s">
        <v>743</v>
      </c>
      <c r="E217" s="71" t="s">
        <v>590</v>
      </c>
      <c r="F217" s="72"/>
      <c r="G217" s="73"/>
      <c r="H217" s="157"/>
      <c r="I217" s="173">
        <v>46034</v>
      </c>
      <c r="J217" s="70">
        <v>3</v>
      </c>
      <c r="K217" s="107" t="s">
        <v>744</v>
      </c>
      <c r="L217" s="104">
        <f t="shared" si="28"/>
        <v>46124</v>
      </c>
      <c r="M217" s="105">
        <f ca="1" t="shared" si="29"/>
        <v>-43</v>
      </c>
      <c r="N217" s="70"/>
      <c r="O217" s="70" t="s">
        <v>208</v>
      </c>
      <c r="P217" s="70" t="s">
        <v>203</v>
      </c>
      <c r="Q217" s="71" t="s">
        <v>743</v>
      </c>
      <c r="R217" s="71" t="s">
        <v>590</v>
      </c>
      <c r="S217" s="72"/>
      <c r="T217" s="73"/>
      <c r="U217" s="157"/>
      <c r="V217" s="102">
        <v>46122</v>
      </c>
      <c r="W217" s="70">
        <v>3</v>
      </c>
      <c r="X217" s="103" t="s">
        <v>745</v>
      </c>
      <c r="Y217" s="104">
        <f t="shared" si="30"/>
        <v>46213</v>
      </c>
      <c r="Z217" s="105">
        <f ca="1" t="shared" si="31"/>
        <v>46</v>
      </c>
      <c r="AA217" s="70"/>
      <c r="AB217" s="70"/>
      <c r="AC217" s="70"/>
      <c r="AD217" s="71"/>
      <c r="AE217" s="71"/>
      <c r="AF217" s="72"/>
      <c r="AG217" s="73"/>
      <c r="AH217" s="74"/>
      <c r="AI217" s="102"/>
      <c r="AJ217" s="70"/>
      <c r="AK217" s="103"/>
      <c r="AL217" s="104"/>
      <c r="AM217" s="105"/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746</v>
      </c>
      <c r="C218" s="70" t="s">
        <v>13</v>
      </c>
      <c r="D218" s="71" t="s">
        <v>747</v>
      </c>
      <c r="E218" s="71" t="s">
        <v>15</v>
      </c>
      <c r="F218" s="72"/>
      <c r="G218" s="73"/>
      <c r="H218" s="75" t="s">
        <v>334</v>
      </c>
      <c r="I218" s="173">
        <v>46034</v>
      </c>
      <c r="J218" s="70">
        <v>3</v>
      </c>
      <c r="K218" s="107" t="s">
        <v>748</v>
      </c>
      <c r="L218" s="104">
        <f t="shared" si="28"/>
        <v>46124</v>
      </c>
      <c r="M218" s="105">
        <f ca="1" t="shared" si="29"/>
        <v>-43</v>
      </c>
      <c r="N218" s="70"/>
      <c r="O218" s="70" t="s">
        <v>746</v>
      </c>
      <c r="P218" s="70" t="s">
        <v>13</v>
      </c>
      <c r="Q218" s="71" t="s">
        <v>747</v>
      </c>
      <c r="R218" s="71" t="s">
        <v>15</v>
      </c>
      <c r="S218" s="72"/>
      <c r="T218" s="73"/>
      <c r="U218" s="75" t="s">
        <v>334</v>
      </c>
      <c r="V218" s="102">
        <v>46123</v>
      </c>
      <c r="W218" s="70">
        <v>3</v>
      </c>
      <c r="X218" s="103" t="s">
        <v>749</v>
      </c>
      <c r="Y218" s="104">
        <f t="shared" si="30"/>
        <v>46214</v>
      </c>
      <c r="Z218" s="105">
        <f ca="1" t="shared" si="31"/>
        <v>47</v>
      </c>
      <c r="AA218" s="70"/>
      <c r="AB218" s="70"/>
      <c r="AC218" s="70"/>
      <c r="AD218" s="71"/>
      <c r="AE218" s="71"/>
      <c r="AF218" s="72"/>
      <c r="AG218" s="73"/>
      <c r="AH218" s="74"/>
      <c r="AI218" s="102"/>
      <c r="AJ218" s="70"/>
      <c r="AK218" s="103"/>
      <c r="AL218" s="104"/>
      <c r="AM218" s="105"/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746</v>
      </c>
      <c r="C219" s="70" t="s">
        <v>13</v>
      </c>
      <c r="D219" s="71" t="s">
        <v>750</v>
      </c>
      <c r="E219" s="71" t="s">
        <v>751</v>
      </c>
      <c r="F219" s="72"/>
      <c r="G219" s="73"/>
      <c r="H219" s="75" t="s">
        <v>334</v>
      </c>
      <c r="I219" s="173">
        <v>46034</v>
      </c>
      <c r="J219" s="70">
        <v>3</v>
      </c>
      <c r="K219" s="107" t="s">
        <v>752</v>
      </c>
      <c r="L219" s="104">
        <f t="shared" si="28"/>
        <v>46124</v>
      </c>
      <c r="M219" s="105">
        <f ca="1" t="shared" si="29"/>
        <v>-43</v>
      </c>
      <c r="N219" s="70"/>
      <c r="O219" s="70" t="s">
        <v>746</v>
      </c>
      <c r="P219" s="70" t="s">
        <v>13</v>
      </c>
      <c r="Q219" s="71" t="s">
        <v>750</v>
      </c>
      <c r="R219" s="71" t="s">
        <v>751</v>
      </c>
      <c r="S219" s="72"/>
      <c r="T219" s="73"/>
      <c r="U219" s="75" t="s">
        <v>334</v>
      </c>
      <c r="V219" s="102">
        <v>46131</v>
      </c>
      <c r="W219" s="70">
        <v>3</v>
      </c>
      <c r="X219" s="103" t="s">
        <v>753</v>
      </c>
      <c r="Y219" s="104">
        <f t="shared" si="30"/>
        <v>46222</v>
      </c>
      <c r="Z219" s="105">
        <f ca="1" t="shared" si="31"/>
        <v>55</v>
      </c>
      <c r="AA219" s="70"/>
      <c r="AB219" s="70"/>
      <c r="AC219" s="70"/>
      <c r="AD219" s="71"/>
      <c r="AE219" s="71"/>
      <c r="AF219" s="72"/>
      <c r="AG219" s="73"/>
      <c r="AH219" s="74"/>
      <c r="AI219" s="102"/>
      <c r="AJ219" s="70"/>
      <c r="AK219" s="103"/>
      <c r="AL219" s="104"/>
      <c r="AM219" s="105"/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607</v>
      </c>
      <c r="C220" s="70" t="s">
        <v>287</v>
      </c>
      <c r="D220" s="71" t="s">
        <v>754</v>
      </c>
      <c r="E220" s="71" t="s">
        <v>418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755</v>
      </c>
      <c r="L220" s="104">
        <f t="shared" si="28"/>
        <v>46124</v>
      </c>
      <c r="M220" s="105">
        <f ca="1" t="shared" si="29"/>
        <v>-43</v>
      </c>
      <c r="N220" s="70"/>
      <c r="O220" s="70" t="s">
        <v>607</v>
      </c>
      <c r="P220" s="70" t="s">
        <v>287</v>
      </c>
      <c r="Q220" s="71" t="s">
        <v>754</v>
      </c>
      <c r="R220" s="71" t="s">
        <v>418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756</v>
      </c>
      <c r="Y220" s="104">
        <f t="shared" si="30"/>
        <v>46210</v>
      </c>
      <c r="Z220" s="105">
        <f ca="1" t="shared" si="31"/>
        <v>43</v>
      </c>
      <c r="AA220" s="70"/>
      <c r="AB220" s="70"/>
      <c r="AC220" s="70"/>
      <c r="AD220" s="71"/>
      <c r="AE220" s="71"/>
      <c r="AF220" s="72"/>
      <c r="AG220" s="73"/>
      <c r="AH220" s="79"/>
      <c r="AI220" s="102"/>
      <c r="AJ220" s="70"/>
      <c r="AK220" s="103"/>
      <c r="AL220" s="104"/>
      <c r="AM220" s="105"/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607</v>
      </c>
      <c r="C221" s="70" t="s">
        <v>287</v>
      </c>
      <c r="D221" s="71" t="s">
        <v>757</v>
      </c>
      <c r="E221" s="71" t="s">
        <v>418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758</v>
      </c>
      <c r="L221" s="104">
        <f t="shared" si="28"/>
        <v>46124</v>
      </c>
      <c r="M221" s="105">
        <f ca="1" t="shared" si="29"/>
        <v>-43</v>
      </c>
      <c r="N221" s="70"/>
      <c r="O221" s="70" t="s">
        <v>607</v>
      </c>
      <c r="P221" s="70" t="s">
        <v>287</v>
      </c>
      <c r="Q221" s="71" t="s">
        <v>757</v>
      </c>
      <c r="R221" s="71" t="s">
        <v>418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759</v>
      </c>
      <c r="Y221" s="104">
        <f t="shared" si="30"/>
        <v>46210</v>
      </c>
      <c r="Z221" s="105">
        <f ca="1" t="shared" si="31"/>
        <v>43</v>
      </c>
      <c r="AA221" s="70"/>
      <c r="AB221" s="70"/>
      <c r="AC221" s="70"/>
      <c r="AD221" s="71"/>
      <c r="AE221" s="71"/>
      <c r="AF221" s="72"/>
      <c r="AG221" s="73"/>
      <c r="AH221" s="74"/>
      <c r="AI221" s="102"/>
      <c r="AJ221" s="70"/>
      <c r="AK221" s="103"/>
      <c r="AL221" s="104"/>
      <c r="AM221" s="105"/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286</v>
      </c>
      <c r="C222" s="70" t="s">
        <v>287</v>
      </c>
      <c r="D222" s="71" t="s">
        <v>760</v>
      </c>
      <c r="E222" s="71" t="s">
        <v>289</v>
      </c>
      <c r="F222" s="72"/>
      <c r="G222" s="73"/>
      <c r="H222" s="75"/>
      <c r="I222" s="173">
        <v>46034</v>
      </c>
      <c r="J222" s="70">
        <v>3</v>
      </c>
      <c r="K222" s="107" t="s">
        <v>761</v>
      </c>
      <c r="L222" s="104">
        <f t="shared" si="28"/>
        <v>46124</v>
      </c>
      <c r="M222" s="105">
        <f ca="1" t="shared" si="29"/>
        <v>-43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30"/>
        <v>0</v>
      </c>
      <c r="Z222" s="105">
        <f ca="1" t="shared" si="31"/>
        <v>-46167</v>
      </c>
      <c r="AA222" s="70"/>
      <c r="AB222" s="70"/>
      <c r="AC222" s="70"/>
      <c r="AD222" s="71"/>
      <c r="AE222" s="71"/>
      <c r="AF222" s="72"/>
      <c r="AG222" s="73"/>
      <c r="AH222" s="74"/>
      <c r="AI222" s="102"/>
      <c r="AJ222" s="70"/>
      <c r="AK222" s="103"/>
      <c r="AL222" s="104"/>
      <c r="AM222" s="105"/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286</v>
      </c>
      <c r="C223" s="70" t="s">
        <v>287</v>
      </c>
      <c r="D223" s="71" t="s">
        <v>762</v>
      </c>
      <c r="E223" s="71" t="s">
        <v>435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763</v>
      </c>
      <c r="L223" s="104">
        <f t="shared" si="28"/>
        <v>46124</v>
      </c>
      <c r="M223" s="105">
        <f ca="1" t="shared" si="29"/>
        <v>-43</v>
      </c>
      <c r="N223" s="70"/>
      <c r="O223" s="70" t="s">
        <v>286</v>
      </c>
      <c r="P223" s="70" t="s">
        <v>287</v>
      </c>
      <c r="Q223" s="71" t="s">
        <v>762</v>
      </c>
      <c r="R223" s="71" t="s">
        <v>435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764</v>
      </c>
      <c r="Y223" s="104">
        <f t="shared" si="30"/>
        <v>46218</v>
      </c>
      <c r="Z223" s="105">
        <f ca="1" t="shared" si="31"/>
        <v>51</v>
      </c>
      <c r="AA223" s="70"/>
      <c r="AB223" s="70"/>
      <c r="AC223" s="70"/>
      <c r="AD223" s="71"/>
      <c r="AE223" s="71"/>
      <c r="AF223" s="72"/>
      <c r="AG223" s="73"/>
      <c r="AH223" s="74"/>
      <c r="AI223" s="102"/>
      <c r="AJ223" s="70"/>
      <c r="AK223" s="103"/>
      <c r="AL223" s="104"/>
      <c r="AM223" s="105"/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178</v>
      </c>
      <c r="C224" s="70" t="s">
        <v>13</v>
      </c>
      <c r="D224" s="71" t="s">
        <v>765</v>
      </c>
      <c r="E224" s="71" t="s">
        <v>766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767</v>
      </c>
      <c r="L224" s="104">
        <f t="shared" si="28"/>
        <v>46125</v>
      </c>
      <c r="M224" s="105">
        <f ca="1" t="shared" si="29"/>
        <v>-42</v>
      </c>
      <c r="N224" s="70"/>
      <c r="O224" s="70" t="s">
        <v>178</v>
      </c>
      <c r="P224" s="70" t="s">
        <v>13</v>
      </c>
      <c r="Q224" s="71" t="s">
        <v>765</v>
      </c>
      <c r="R224" s="71" t="s">
        <v>766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30"/>
        <v>46217</v>
      </c>
      <c r="Z224" s="105">
        <f ca="1" t="shared" si="31"/>
        <v>50</v>
      </c>
      <c r="AA224" s="70"/>
      <c r="AB224" s="70"/>
      <c r="AC224" s="70"/>
      <c r="AD224" s="71"/>
      <c r="AE224" s="71"/>
      <c r="AF224" s="72"/>
      <c r="AG224" s="73"/>
      <c r="AH224" s="79"/>
      <c r="AI224" s="102"/>
      <c r="AJ224" s="70"/>
      <c r="AK224" s="103"/>
      <c r="AL224" s="104"/>
      <c r="AM224" s="105"/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178</v>
      </c>
      <c r="C225" s="70" t="s">
        <v>13</v>
      </c>
      <c r="D225" s="71" t="s">
        <v>768</v>
      </c>
      <c r="E225" s="71" t="s">
        <v>766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769</v>
      </c>
      <c r="L225" s="104">
        <f t="shared" si="28"/>
        <v>46125</v>
      </c>
      <c r="M225" s="105">
        <f ca="1" t="shared" si="29"/>
        <v>-42</v>
      </c>
      <c r="N225" s="70"/>
      <c r="O225" s="70" t="s">
        <v>178</v>
      </c>
      <c r="P225" s="70" t="s">
        <v>13</v>
      </c>
      <c r="Q225" s="71" t="s">
        <v>768</v>
      </c>
      <c r="R225" s="71" t="s">
        <v>766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770</v>
      </c>
      <c r="Y225" s="104">
        <f t="shared" si="30"/>
        <v>46226</v>
      </c>
      <c r="Z225" s="105">
        <f ca="1" t="shared" si="31"/>
        <v>59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/>
      <c r="AM225" s="105"/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178</v>
      </c>
      <c r="C226" s="70" t="s">
        <v>13</v>
      </c>
      <c r="D226" s="71" t="s">
        <v>771</v>
      </c>
      <c r="E226" s="71" t="s">
        <v>766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772</v>
      </c>
      <c r="L226" s="104">
        <f t="shared" si="28"/>
        <v>46125</v>
      </c>
      <c r="M226" s="105">
        <f ca="1" t="shared" si="29"/>
        <v>-42</v>
      </c>
      <c r="N226" s="70"/>
      <c r="O226" s="70" t="s">
        <v>178</v>
      </c>
      <c r="P226" s="70" t="s">
        <v>13</v>
      </c>
      <c r="Q226" s="71" t="s">
        <v>771</v>
      </c>
      <c r="R226" s="71" t="s">
        <v>766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773</v>
      </c>
      <c r="Y226" s="104">
        <f t="shared" si="30"/>
        <v>46212</v>
      </c>
      <c r="Z226" s="105">
        <f ca="1" t="shared" si="31"/>
        <v>45</v>
      </c>
      <c r="AA226" s="70"/>
      <c r="AB226" s="70"/>
      <c r="AC226" s="70"/>
      <c r="AD226" s="71"/>
      <c r="AE226" s="71"/>
      <c r="AF226" s="72"/>
      <c r="AG226" s="73"/>
      <c r="AH226" s="79"/>
      <c r="AI226" s="102"/>
      <c r="AJ226" s="70"/>
      <c r="AK226" s="103"/>
      <c r="AL226" s="104"/>
      <c r="AM226" s="105"/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71</v>
      </c>
      <c r="C227" s="70" t="s">
        <v>13</v>
      </c>
      <c r="D227" s="71" t="s">
        <v>774</v>
      </c>
      <c r="E227" s="71" t="s">
        <v>775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776</v>
      </c>
      <c r="L227" s="104">
        <f t="shared" si="28"/>
        <v>46125</v>
      </c>
      <c r="M227" s="105">
        <f ca="1" t="shared" si="29"/>
        <v>-42</v>
      </c>
      <c r="N227" s="70"/>
      <c r="O227" s="70" t="s">
        <v>71</v>
      </c>
      <c r="P227" s="70" t="s">
        <v>13</v>
      </c>
      <c r="Q227" s="71" t="s">
        <v>774</v>
      </c>
      <c r="R227" s="71" t="s">
        <v>775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777</v>
      </c>
      <c r="Y227" s="104">
        <f t="shared" si="30"/>
        <v>46240</v>
      </c>
      <c r="Z227" s="105">
        <f ca="1" t="shared" si="31"/>
        <v>73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/>
      <c r="AM227" s="105"/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559</v>
      </c>
      <c r="C228" s="70" t="s">
        <v>31</v>
      </c>
      <c r="D228" s="71" t="s">
        <v>778</v>
      </c>
      <c r="E228" s="71" t="s">
        <v>33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779</v>
      </c>
      <c r="L228" s="104">
        <f t="shared" si="28"/>
        <v>46125</v>
      </c>
      <c r="M228" s="105">
        <f ca="1" t="shared" si="29"/>
        <v>-42</v>
      </c>
      <c r="N228" s="70"/>
      <c r="O228" s="70" t="s">
        <v>559</v>
      </c>
      <c r="P228" s="70" t="s">
        <v>31</v>
      </c>
      <c r="Q228" s="71" t="s">
        <v>778</v>
      </c>
      <c r="R228" s="71" t="s">
        <v>33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780</v>
      </c>
      <c r="Y228" s="104">
        <f t="shared" si="30"/>
        <v>46228</v>
      </c>
      <c r="Z228" s="105">
        <f ca="1" t="shared" si="31"/>
        <v>61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/>
      <c r="AM228" s="105"/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559</v>
      </c>
      <c r="C229" s="70" t="s">
        <v>287</v>
      </c>
      <c r="D229" s="71" t="s">
        <v>781</v>
      </c>
      <c r="E229" s="71" t="s">
        <v>418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782</v>
      </c>
      <c r="L229" s="104">
        <f t="shared" si="28"/>
        <v>46125</v>
      </c>
      <c r="M229" s="105">
        <f ca="1" t="shared" si="29"/>
        <v>-42</v>
      </c>
      <c r="N229" s="70"/>
      <c r="O229" s="70" t="s">
        <v>559</v>
      </c>
      <c r="P229" s="70" t="s">
        <v>287</v>
      </c>
      <c r="Q229" s="71" t="s">
        <v>781</v>
      </c>
      <c r="R229" s="71" t="s">
        <v>418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783</v>
      </c>
      <c r="Y229" s="104">
        <f t="shared" si="30"/>
        <v>46226</v>
      </c>
      <c r="Z229" s="105">
        <f ca="1" t="shared" si="31"/>
        <v>59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/>
      <c r="AM229" s="105"/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559</v>
      </c>
      <c r="C230" s="70" t="s">
        <v>31</v>
      </c>
      <c r="D230" s="71" t="s">
        <v>784</v>
      </c>
      <c r="E230" s="71" t="s">
        <v>111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785</v>
      </c>
      <c r="L230" s="104">
        <f t="shared" si="28"/>
        <v>46125</v>
      </c>
      <c r="M230" s="105">
        <f ca="1" t="shared" si="29"/>
        <v>-42</v>
      </c>
      <c r="N230" s="70"/>
      <c r="O230" s="70" t="s">
        <v>559</v>
      </c>
      <c r="P230" s="70" t="s">
        <v>31</v>
      </c>
      <c r="Q230" s="71" t="s">
        <v>784</v>
      </c>
      <c r="R230" s="71" t="s">
        <v>111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786</v>
      </c>
      <c r="Y230" s="104">
        <f t="shared" si="30"/>
        <v>46226</v>
      </c>
      <c r="Z230" s="105">
        <f ca="1" t="shared" si="31"/>
        <v>59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/>
      <c r="AM230" s="105"/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559</v>
      </c>
      <c r="C231" s="70" t="s">
        <v>13</v>
      </c>
      <c r="D231" s="71" t="s">
        <v>787</v>
      </c>
      <c r="E231" s="71" t="s">
        <v>95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788</v>
      </c>
      <c r="L231" s="104">
        <f t="shared" si="28"/>
        <v>46125</v>
      </c>
      <c r="M231" s="105">
        <f ca="1" t="shared" si="29"/>
        <v>-42</v>
      </c>
      <c r="N231" s="70"/>
      <c r="O231" s="70" t="s">
        <v>559</v>
      </c>
      <c r="P231" s="70" t="s">
        <v>13</v>
      </c>
      <c r="Q231" s="71" t="s">
        <v>787</v>
      </c>
      <c r="R231" s="71" t="s">
        <v>95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789</v>
      </c>
      <c r="Y231" s="104">
        <f t="shared" si="30"/>
        <v>46228</v>
      </c>
      <c r="Z231" s="105">
        <f ca="1" t="shared" si="31"/>
        <v>61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/>
      <c r="AM231" s="105"/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559</v>
      </c>
      <c r="C232" s="70" t="s">
        <v>31</v>
      </c>
      <c r="D232" s="71" t="s">
        <v>790</v>
      </c>
      <c r="E232" s="71" t="s">
        <v>791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792</v>
      </c>
      <c r="L232" s="104">
        <f t="shared" si="28"/>
        <v>46125</v>
      </c>
      <c r="M232" s="105">
        <f ca="1" t="shared" si="29"/>
        <v>-42</v>
      </c>
      <c r="N232" s="70"/>
      <c r="O232" s="70" t="s">
        <v>559</v>
      </c>
      <c r="P232" s="70" t="s">
        <v>31</v>
      </c>
      <c r="Q232" s="71" t="s">
        <v>790</v>
      </c>
      <c r="R232" s="71" t="s">
        <v>791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793</v>
      </c>
      <c r="Y232" s="104">
        <f t="shared" si="30"/>
        <v>46226</v>
      </c>
      <c r="Z232" s="105">
        <f ca="1" t="shared" si="31"/>
        <v>59</v>
      </c>
      <c r="AA232" s="70"/>
      <c r="AB232" s="70"/>
      <c r="AC232" s="70"/>
      <c r="AD232" s="71"/>
      <c r="AE232" s="186"/>
      <c r="AF232" s="72"/>
      <c r="AG232" s="187"/>
      <c r="AH232" s="79"/>
      <c r="AI232" s="102"/>
      <c r="AJ232" s="70"/>
      <c r="AK232" s="103"/>
      <c r="AL232" s="104"/>
      <c r="AM232" s="105"/>
      <c r="AN232" s="122"/>
      <c r="AO232" s="122"/>
      <c r="AP232" s="122"/>
      <c r="AQ232" s="93"/>
      <c r="AR232" s="188"/>
      <c r="AS232" s="94"/>
      <c r="AT232" s="189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559</v>
      </c>
      <c r="C233" s="70" t="s">
        <v>13</v>
      </c>
      <c r="D233" s="71" t="s">
        <v>794</v>
      </c>
      <c r="E233" s="71" t="s">
        <v>392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795</v>
      </c>
      <c r="L233" s="104">
        <f t="shared" si="28"/>
        <v>46125</v>
      </c>
      <c r="M233" s="105">
        <f ca="1" t="shared" si="29"/>
        <v>-42</v>
      </c>
      <c r="N233" s="70"/>
      <c r="O233" s="70" t="s">
        <v>559</v>
      </c>
      <c r="P233" s="70" t="s">
        <v>13</v>
      </c>
      <c r="Q233" s="71" t="s">
        <v>794</v>
      </c>
      <c r="R233" s="71" t="s">
        <v>392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796</v>
      </c>
      <c r="Y233" s="104">
        <f t="shared" si="30"/>
        <v>46226</v>
      </c>
      <c r="Z233" s="105">
        <f ca="1" t="shared" si="31"/>
        <v>59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/>
      <c r="AM233" s="105"/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497</v>
      </c>
      <c r="C234" s="70" t="s">
        <v>203</v>
      </c>
      <c r="D234" s="71" t="s">
        <v>204</v>
      </c>
      <c r="E234" s="71" t="s">
        <v>205</v>
      </c>
      <c r="F234" s="72"/>
      <c r="G234" s="73"/>
      <c r="H234" s="157"/>
      <c r="I234" s="173">
        <v>46035</v>
      </c>
      <c r="J234" s="173" t="s">
        <v>596</v>
      </c>
      <c r="K234" s="106"/>
      <c r="L234" s="104" t="e">
        <f t="shared" si="28"/>
        <v>#VALUE!</v>
      </c>
      <c r="M234" s="105" t="e">
        <f ca="1" t="shared" si="2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30"/>
        <v>0</v>
      </c>
      <c r="Z234" s="105">
        <f ca="1" t="shared" si="31"/>
        <v>-46167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/>
      <c r="AM234" s="105"/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797</v>
      </c>
      <c r="C235" s="70" t="s">
        <v>287</v>
      </c>
      <c r="D235" s="71" t="s">
        <v>798</v>
      </c>
      <c r="E235" s="71" t="s">
        <v>799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800</v>
      </c>
      <c r="L235" s="104">
        <f t="shared" si="28"/>
        <v>46125</v>
      </c>
      <c r="M235" s="105">
        <f ca="1" t="shared" si="29"/>
        <v>-42</v>
      </c>
      <c r="N235" s="70"/>
      <c r="O235" s="70" t="s">
        <v>797</v>
      </c>
      <c r="P235" s="70" t="s">
        <v>287</v>
      </c>
      <c r="Q235" s="71" t="s">
        <v>798</v>
      </c>
      <c r="R235" s="71" t="s">
        <v>799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801</v>
      </c>
      <c r="Y235" s="104">
        <f t="shared" si="30"/>
        <v>46207</v>
      </c>
      <c r="Z235" s="105">
        <f ca="1" t="shared" si="31"/>
        <v>40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/>
      <c r="AM235" s="105"/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797</v>
      </c>
      <c r="C236" s="70" t="s">
        <v>287</v>
      </c>
      <c r="D236" s="71" t="s">
        <v>802</v>
      </c>
      <c r="E236" s="71" t="s">
        <v>799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803</v>
      </c>
      <c r="L236" s="104">
        <f t="shared" si="28"/>
        <v>46125</v>
      </c>
      <c r="M236" s="105">
        <f ca="1" t="shared" si="29"/>
        <v>-42</v>
      </c>
      <c r="N236" s="70"/>
      <c r="O236" s="70" t="s">
        <v>797</v>
      </c>
      <c r="P236" s="70" t="s">
        <v>287</v>
      </c>
      <c r="Q236" s="71" t="s">
        <v>802</v>
      </c>
      <c r="R236" s="71" t="s">
        <v>799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804</v>
      </c>
      <c r="Y236" s="104">
        <f t="shared" si="30"/>
        <v>46207</v>
      </c>
      <c r="Z236" s="105">
        <f ca="1" t="shared" si="31"/>
        <v>40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805</v>
      </c>
      <c r="C237" s="70" t="s">
        <v>287</v>
      </c>
      <c r="D237" s="71" t="s">
        <v>806</v>
      </c>
      <c r="E237" s="71" t="s">
        <v>807</v>
      </c>
      <c r="F237" s="72"/>
      <c r="G237" s="73"/>
      <c r="H237" s="157"/>
      <c r="I237" s="173">
        <v>46035</v>
      </c>
      <c r="J237" s="70">
        <v>3</v>
      </c>
      <c r="K237" s="106" t="s">
        <v>808</v>
      </c>
      <c r="L237" s="104">
        <f t="shared" si="28"/>
        <v>46125</v>
      </c>
      <c r="M237" s="105">
        <f ca="1" t="shared" si="29"/>
        <v>-42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32">EDATE(V237,W237)</f>
        <v>0</v>
      </c>
      <c r="Z237" s="105">
        <f ca="1" t="shared" ref="Z237:Z260" si="33">Y237-TODAY()</f>
        <v>-46167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530</v>
      </c>
      <c r="C238" s="70" t="s">
        <v>13</v>
      </c>
      <c r="D238" s="71" t="s">
        <v>809</v>
      </c>
      <c r="E238" s="71" t="s">
        <v>95</v>
      </c>
      <c r="F238" s="72"/>
      <c r="G238" s="73"/>
      <c r="H238" s="157"/>
      <c r="I238" s="173">
        <v>46036</v>
      </c>
      <c r="J238" s="70">
        <v>3</v>
      </c>
      <c r="K238" s="106" t="s">
        <v>810</v>
      </c>
      <c r="L238" s="104">
        <f t="shared" si="28"/>
        <v>46126</v>
      </c>
      <c r="M238" s="105">
        <f ca="1" t="shared" si="29"/>
        <v>-41</v>
      </c>
      <c r="N238" s="70"/>
      <c r="O238" s="70" t="s">
        <v>530</v>
      </c>
      <c r="P238" s="70" t="s">
        <v>13</v>
      </c>
      <c r="Q238" s="71" t="s">
        <v>809</v>
      </c>
      <c r="R238" s="71" t="s">
        <v>95</v>
      </c>
      <c r="S238" s="72"/>
      <c r="T238" s="73"/>
      <c r="U238" s="157"/>
      <c r="V238" s="102">
        <v>46135</v>
      </c>
      <c r="W238" s="70">
        <v>3</v>
      </c>
      <c r="X238" s="103" t="s">
        <v>811</v>
      </c>
      <c r="Y238" s="104">
        <f t="shared" si="32"/>
        <v>46226</v>
      </c>
      <c r="Z238" s="105">
        <f ca="1" t="shared" si="33"/>
        <v>59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530</v>
      </c>
      <c r="C239" s="70" t="s">
        <v>31</v>
      </c>
      <c r="D239" s="71" t="s">
        <v>812</v>
      </c>
      <c r="E239" s="71" t="s">
        <v>148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813</v>
      </c>
      <c r="L239" s="104">
        <f t="shared" si="28"/>
        <v>46126</v>
      </c>
      <c r="M239" s="105">
        <f ca="1" t="shared" si="29"/>
        <v>-41</v>
      </c>
      <c r="N239" s="70"/>
      <c r="O239" s="70" t="s">
        <v>530</v>
      </c>
      <c r="P239" s="70" t="s">
        <v>31</v>
      </c>
      <c r="Q239" s="71" t="s">
        <v>812</v>
      </c>
      <c r="R239" s="71" t="s">
        <v>148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814</v>
      </c>
      <c r="Y239" s="104">
        <f t="shared" si="32"/>
        <v>46214</v>
      </c>
      <c r="Z239" s="105">
        <f ca="1" t="shared" si="33"/>
        <v>47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530</v>
      </c>
      <c r="C240" s="70" t="s">
        <v>31</v>
      </c>
      <c r="D240" s="71" t="s">
        <v>815</v>
      </c>
      <c r="E240" s="71" t="s">
        <v>111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816</v>
      </c>
      <c r="L240" s="104">
        <f t="shared" si="28"/>
        <v>46126</v>
      </c>
      <c r="M240" s="105">
        <f ca="1" t="shared" si="29"/>
        <v>-41</v>
      </c>
      <c r="N240" s="70"/>
      <c r="O240" s="70" t="s">
        <v>530</v>
      </c>
      <c r="P240" s="70" t="s">
        <v>31</v>
      </c>
      <c r="Q240" s="71" t="s">
        <v>815</v>
      </c>
      <c r="R240" s="71" t="s">
        <v>111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817</v>
      </c>
      <c r="Y240" s="104">
        <f t="shared" si="32"/>
        <v>46214</v>
      </c>
      <c r="Z240" s="105">
        <f ca="1" t="shared" si="33"/>
        <v>47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530</v>
      </c>
      <c r="C241" s="70" t="s">
        <v>13</v>
      </c>
      <c r="D241" s="71" t="s">
        <v>818</v>
      </c>
      <c r="E241" s="71" t="s">
        <v>819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820</v>
      </c>
      <c r="L241" s="104">
        <f t="shared" si="28"/>
        <v>46126</v>
      </c>
      <c r="M241" s="105">
        <f ca="1" t="shared" si="29"/>
        <v>-41</v>
      </c>
      <c r="N241" s="70"/>
      <c r="O241" s="70"/>
      <c r="P241" s="70"/>
      <c r="Q241" s="71"/>
      <c r="R241" s="71"/>
      <c r="S241" s="72"/>
      <c r="T241" s="73"/>
      <c r="U241" s="76"/>
      <c r="V241" s="102"/>
      <c r="W241" s="70"/>
      <c r="X241" s="103"/>
      <c r="Y241" s="104">
        <f t="shared" si="32"/>
        <v>0</v>
      </c>
      <c r="Z241" s="105">
        <f ca="1" t="shared" si="33"/>
        <v>-46167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530</v>
      </c>
      <c r="C242" s="70" t="s">
        <v>13</v>
      </c>
      <c r="D242" s="71" t="s">
        <v>821</v>
      </c>
      <c r="E242" s="71" t="s">
        <v>822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823</v>
      </c>
      <c r="L242" s="104">
        <f t="shared" si="28"/>
        <v>46126</v>
      </c>
      <c r="M242" s="105">
        <f ca="1" t="shared" si="29"/>
        <v>-41</v>
      </c>
      <c r="N242" s="70"/>
      <c r="O242" s="70"/>
      <c r="P242" s="70"/>
      <c r="Q242" s="71"/>
      <c r="R242" s="71"/>
      <c r="S242" s="72"/>
      <c r="T242" s="73"/>
      <c r="U242" s="114"/>
      <c r="V242" s="102"/>
      <c r="W242" s="70"/>
      <c r="X242" s="103"/>
      <c r="Y242" s="104">
        <f t="shared" si="32"/>
        <v>0</v>
      </c>
      <c r="Z242" s="105">
        <f ca="1" t="shared" si="33"/>
        <v>-46167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530</v>
      </c>
      <c r="C243" s="70" t="s">
        <v>13</v>
      </c>
      <c r="D243" s="70" t="s">
        <v>824</v>
      </c>
      <c r="E243" s="71" t="s">
        <v>464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825</v>
      </c>
      <c r="L243" s="104">
        <f t="shared" si="28"/>
        <v>46126</v>
      </c>
      <c r="M243" s="105">
        <f ca="1" t="shared" si="29"/>
        <v>-41</v>
      </c>
      <c r="N243" s="70"/>
      <c r="O243" s="70"/>
      <c r="P243" s="70"/>
      <c r="Q243" s="70"/>
      <c r="R243" s="71"/>
      <c r="S243" s="72"/>
      <c r="T243" s="73"/>
      <c r="U243" s="114"/>
      <c r="V243" s="102"/>
      <c r="W243" s="70"/>
      <c r="X243" s="103"/>
      <c r="Y243" s="104">
        <f t="shared" si="32"/>
        <v>0</v>
      </c>
      <c r="Z243" s="105">
        <f ca="1" t="shared" si="33"/>
        <v>-46167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530</v>
      </c>
      <c r="C244" s="70" t="s">
        <v>31</v>
      </c>
      <c r="D244" s="71" t="s">
        <v>826</v>
      </c>
      <c r="E244" s="71" t="s">
        <v>33</v>
      </c>
      <c r="F244" s="72"/>
      <c r="G244" s="73"/>
      <c r="H244" s="157"/>
      <c r="I244" s="173">
        <v>46036</v>
      </c>
      <c r="J244" s="70">
        <v>3</v>
      </c>
      <c r="K244" s="106" t="s">
        <v>827</v>
      </c>
      <c r="L244" s="104">
        <f t="shared" si="28"/>
        <v>46126</v>
      </c>
      <c r="M244" s="105">
        <f ca="1" t="shared" si="29"/>
        <v>-41</v>
      </c>
      <c r="N244" s="70"/>
      <c r="O244" s="70" t="s">
        <v>530</v>
      </c>
      <c r="P244" s="70" t="s">
        <v>31</v>
      </c>
      <c r="Q244" s="71" t="s">
        <v>826</v>
      </c>
      <c r="R244" s="71" t="s">
        <v>33</v>
      </c>
      <c r="S244" s="72"/>
      <c r="T244" s="73"/>
      <c r="U244" s="157"/>
      <c r="V244" s="102">
        <v>46135</v>
      </c>
      <c r="W244" s="70">
        <v>3</v>
      </c>
      <c r="X244" s="103" t="s">
        <v>828</v>
      </c>
      <c r="Y244" s="104">
        <f t="shared" si="32"/>
        <v>46226</v>
      </c>
      <c r="Z244" s="105">
        <f ca="1" t="shared" si="33"/>
        <v>59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530</v>
      </c>
      <c r="C245" s="70" t="s">
        <v>31</v>
      </c>
      <c r="D245" s="71" t="s">
        <v>829</v>
      </c>
      <c r="E245" s="71" t="s">
        <v>456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830</v>
      </c>
      <c r="L245" s="104">
        <f t="shared" si="28"/>
        <v>46126</v>
      </c>
      <c r="M245" s="105">
        <f ca="1" t="shared" si="29"/>
        <v>-41</v>
      </c>
      <c r="N245" s="70"/>
      <c r="O245" s="70" t="s">
        <v>530</v>
      </c>
      <c r="P245" s="70" t="s">
        <v>31</v>
      </c>
      <c r="Q245" s="71" t="s">
        <v>829</v>
      </c>
      <c r="R245" s="71" t="s">
        <v>456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831</v>
      </c>
      <c r="Y245" s="104">
        <f t="shared" si="32"/>
        <v>46249</v>
      </c>
      <c r="Z245" s="105">
        <f ca="1" t="shared" si="33"/>
        <v>82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530</v>
      </c>
      <c r="C246" s="70" t="s">
        <v>31</v>
      </c>
      <c r="D246" s="71" t="s">
        <v>832</v>
      </c>
      <c r="E246" s="71" t="s">
        <v>833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834</v>
      </c>
      <c r="L246" s="104">
        <f t="shared" si="28"/>
        <v>46126</v>
      </c>
      <c r="M246" s="105">
        <f ca="1" t="shared" si="29"/>
        <v>-41</v>
      </c>
      <c r="N246" s="70"/>
      <c r="O246" s="70" t="s">
        <v>530</v>
      </c>
      <c r="P246" s="70" t="s">
        <v>31</v>
      </c>
      <c r="Q246" s="71" t="s">
        <v>832</v>
      </c>
      <c r="R246" s="71" t="s">
        <v>833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835</v>
      </c>
      <c r="Y246" s="104">
        <f t="shared" si="32"/>
        <v>46252</v>
      </c>
      <c r="Z246" s="105">
        <f ca="1" t="shared" si="33"/>
        <v>85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530</v>
      </c>
      <c r="C247" s="70" t="s">
        <v>13</v>
      </c>
      <c r="D247" s="71" t="s">
        <v>836</v>
      </c>
      <c r="E247" s="71" t="s">
        <v>837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838</v>
      </c>
      <c r="L247" s="104">
        <f t="shared" si="28"/>
        <v>46126</v>
      </c>
      <c r="M247" s="105">
        <f ca="1" t="shared" si="29"/>
        <v>-41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32"/>
        <v>0</v>
      </c>
      <c r="Z247" s="105">
        <f ca="1" t="shared" si="33"/>
        <v>-46167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530</v>
      </c>
      <c r="C248" s="70" t="s">
        <v>13</v>
      </c>
      <c r="D248" s="71" t="s">
        <v>839</v>
      </c>
      <c r="E248" s="71" t="s">
        <v>61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840</v>
      </c>
      <c r="L248" s="104">
        <f t="shared" si="28"/>
        <v>46126</v>
      </c>
      <c r="M248" s="105">
        <f ca="1" t="shared" si="29"/>
        <v>-41</v>
      </c>
      <c r="N248" s="70"/>
      <c r="O248" s="70"/>
      <c r="P248" s="70"/>
      <c r="Q248" s="71"/>
      <c r="R248" s="71"/>
      <c r="S248" s="72"/>
      <c r="T248" s="73"/>
      <c r="U248" s="114"/>
      <c r="V248" s="102"/>
      <c r="W248" s="70"/>
      <c r="X248" s="103"/>
      <c r="Y248" s="104">
        <f t="shared" si="32"/>
        <v>0</v>
      </c>
      <c r="Z248" s="105">
        <f ca="1" t="shared" si="33"/>
        <v>-46167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530</v>
      </c>
      <c r="C249" s="70" t="s">
        <v>31</v>
      </c>
      <c r="D249" s="71" t="s">
        <v>841</v>
      </c>
      <c r="E249" s="71" t="s">
        <v>453</v>
      </c>
      <c r="F249" s="72"/>
      <c r="G249" s="73"/>
      <c r="H249" s="157"/>
      <c r="I249" s="173">
        <v>46036</v>
      </c>
      <c r="J249" s="70">
        <v>3</v>
      </c>
      <c r="K249" s="106" t="s">
        <v>842</v>
      </c>
      <c r="L249" s="104">
        <f t="shared" si="28"/>
        <v>46126</v>
      </c>
      <c r="M249" s="105">
        <f ca="1" t="shared" si="29"/>
        <v>-41</v>
      </c>
      <c r="N249" s="70"/>
      <c r="O249" s="70" t="s">
        <v>530</v>
      </c>
      <c r="P249" s="70" t="s">
        <v>31</v>
      </c>
      <c r="Q249" s="71" t="s">
        <v>841</v>
      </c>
      <c r="R249" s="71" t="s">
        <v>453</v>
      </c>
      <c r="S249" s="72"/>
      <c r="T249" s="73"/>
      <c r="U249" s="114" t="s">
        <v>16</v>
      </c>
      <c r="V249" s="102">
        <v>46160</v>
      </c>
      <c r="W249" s="70">
        <v>3</v>
      </c>
      <c r="X249" s="103" t="s">
        <v>843</v>
      </c>
      <c r="Y249" s="104">
        <f t="shared" si="32"/>
        <v>46252</v>
      </c>
      <c r="Z249" s="105">
        <f ca="1" t="shared" si="33"/>
        <v>85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530</v>
      </c>
      <c r="C250" s="70" t="s">
        <v>31</v>
      </c>
      <c r="D250" s="71" t="s">
        <v>844</v>
      </c>
      <c r="E250" s="71" t="s">
        <v>111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845</v>
      </c>
      <c r="L250" s="104">
        <f t="shared" si="28"/>
        <v>46126</v>
      </c>
      <c r="M250" s="105">
        <f ca="1" t="shared" si="29"/>
        <v>-41</v>
      </c>
      <c r="N250" s="70"/>
      <c r="O250" s="70" t="s">
        <v>530</v>
      </c>
      <c r="P250" s="70" t="s">
        <v>31</v>
      </c>
      <c r="Q250" s="71" t="s">
        <v>844</v>
      </c>
      <c r="R250" s="71" t="s">
        <v>111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846</v>
      </c>
      <c r="Y250" s="104">
        <f t="shared" si="32"/>
        <v>46252</v>
      </c>
      <c r="Z250" s="105">
        <f ca="1" t="shared" si="33"/>
        <v>85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178</v>
      </c>
      <c r="C251" s="70" t="s">
        <v>31</v>
      </c>
      <c r="D251" s="71" t="s">
        <v>847</v>
      </c>
      <c r="E251" s="71" t="s">
        <v>848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849</v>
      </c>
      <c r="L251" s="104">
        <f t="shared" si="28"/>
        <v>46126</v>
      </c>
      <c r="M251" s="105">
        <f ca="1" t="shared" si="29"/>
        <v>-41</v>
      </c>
      <c r="N251" s="70"/>
      <c r="O251" s="70" t="s">
        <v>178</v>
      </c>
      <c r="P251" s="70" t="s">
        <v>31</v>
      </c>
      <c r="Q251" s="71" t="s">
        <v>847</v>
      </c>
      <c r="R251" s="71" t="s">
        <v>848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850</v>
      </c>
      <c r="Y251" s="104">
        <f t="shared" si="32"/>
        <v>46219</v>
      </c>
      <c r="Z251" s="105">
        <f ca="1" t="shared" si="33"/>
        <v>52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178</v>
      </c>
      <c r="C252" s="70" t="s">
        <v>31</v>
      </c>
      <c r="D252" s="71" t="s">
        <v>851</v>
      </c>
      <c r="E252" s="71" t="s">
        <v>852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853</v>
      </c>
      <c r="L252" s="104">
        <f t="shared" si="28"/>
        <v>46126</v>
      </c>
      <c r="M252" s="105">
        <f ca="1" t="shared" si="29"/>
        <v>-41</v>
      </c>
      <c r="N252" s="70"/>
      <c r="O252" s="70" t="s">
        <v>178</v>
      </c>
      <c r="P252" s="70" t="s">
        <v>31</v>
      </c>
      <c r="Q252" s="71" t="s">
        <v>851</v>
      </c>
      <c r="R252" s="71" t="s">
        <v>852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854</v>
      </c>
      <c r="Y252" s="104">
        <f t="shared" si="32"/>
        <v>46219</v>
      </c>
      <c r="Z252" s="105">
        <f ca="1" t="shared" si="33"/>
        <v>52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0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178</v>
      </c>
      <c r="C253" s="70" t="s">
        <v>13</v>
      </c>
      <c r="D253" s="71" t="s">
        <v>855</v>
      </c>
      <c r="E253" s="71" t="s">
        <v>725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856</v>
      </c>
      <c r="L253" s="104">
        <f t="shared" si="28"/>
        <v>46126</v>
      </c>
      <c r="M253" s="105">
        <f ca="1" t="shared" si="29"/>
        <v>-41</v>
      </c>
      <c r="N253" s="70"/>
      <c r="O253" s="70" t="s">
        <v>178</v>
      </c>
      <c r="P253" s="70" t="s">
        <v>13</v>
      </c>
      <c r="Q253" s="71" t="s">
        <v>855</v>
      </c>
      <c r="R253" s="71" t="s">
        <v>725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857</v>
      </c>
      <c r="Y253" s="104">
        <f t="shared" si="32"/>
        <v>46219</v>
      </c>
      <c r="Z253" s="105">
        <f ca="1" t="shared" si="33"/>
        <v>52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178</v>
      </c>
      <c r="C254" s="70" t="s">
        <v>13</v>
      </c>
      <c r="D254" s="71" t="s">
        <v>858</v>
      </c>
      <c r="E254" s="71" t="s">
        <v>28</v>
      </c>
      <c r="F254" s="72"/>
      <c r="G254" s="73"/>
      <c r="H254" s="75"/>
      <c r="I254" s="173">
        <v>46036</v>
      </c>
      <c r="J254" s="70">
        <v>3</v>
      </c>
      <c r="K254" s="106" t="s">
        <v>859</v>
      </c>
      <c r="L254" s="104">
        <f t="shared" si="28"/>
        <v>46126</v>
      </c>
      <c r="M254" s="105">
        <f ca="1" t="shared" si="29"/>
        <v>-41</v>
      </c>
      <c r="N254" s="70"/>
      <c r="O254" s="70" t="s">
        <v>178</v>
      </c>
      <c r="P254" s="70" t="s">
        <v>13</v>
      </c>
      <c r="Q254" s="71" t="s">
        <v>858</v>
      </c>
      <c r="R254" s="71" t="s">
        <v>28</v>
      </c>
      <c r="S254" s="72"/>
      <c r="T254" s="73"/>
      <c r="U254" s="75"/>
      <c r="V254" s="102">
        <v>46128</v>
      </c>
      <c r="W254" s="70">
        <v>3</v>
      </c>
      <c r="X254" s="103" t="s">
        <v>860</v>
      </c>
      <c r="Y254" s="104">
        <f t="shared" si="32"/>
        <v>46219</v>
      </c>
      <c r="Z254" s="105">
        <f ca="1" t="shared" si="33"/>
        <v>52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/>
      <c r="AM254" s="105"/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178</v>
      </c>
      <c r="C255" s="70" t="s">
        <v>13</v>
      </c>
      <c r="D255" s="71" t="s">
        <v>861</v>
      </c>
      <c r="E255" s="71" t="s">
        <v>95</v>
      </c>
      <c r="F255" s="72"/>
      <c r="G255" s="73"/>
      <c r="H255" s="75"/>
      <c r="I255" s="173">
        <v>46036</v>
      </c>
      <c r="J255" s="70">
        <v>3</v>
      </c>
      <c r="K255" s="106" t="s">
        <v>862</v>
      </c>
      <c r="L255" s="104">
        <f t="shared" si="28"/>
        <v>46126</v>
      </c>
      <c r="M255" s="105">
        <f ca="1" t="shared" si="29"/>
        <v>-41</v>
      </c>
      <c r="N255" s="70"/>
      <c r="O255" s="70" t="s">
        <v>178</v>
      </c>
      <c r="P255" s="70" t="s">
        <v>13</v>
      </c>
      <c r="Q255" s="71" t="s">
        <v>861</v>
      </c>
      <c r="R255" s="71" t="s">
        <v>95</v>
      </c>
      <c r="S255" s="72"/>
      <c r="T255" s="73"/>
      <c r="U255" s="75"/>
      <c r="V255" s="102">
        <v>46152</v>
      </c>
      <c r="W255" s="70">
        <v>3</v>
      </c>
      <c r="X255" s="103" t="s">
        <v>863</v>
      </c>
      <c r="Y255" s="104">
        <f t="shared" si="32"/>
        <v>46244</v>
      </c>
      <c r="Z255" s="105">
        <f ca="1" t="shared" si="33"/>
        <v>77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/>
      <c r="AM255" s="105"/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178</v>
      </c>
      <c r="C256" s="70" t="s">
        <v>13</v>
      </c>
      <c r="D256" s="71" t="s">
        <v>864</v>
      </c>
      <c r="E256" s="71" t="s">
        <v>636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865</v>
      </c>
      <c r="L256" s="104">
        <f t="shared" si="28"/>
        <v>46126</v>
      </c>
      <c r="M256" s="105">
        <f ca="1" t="shared" si="29"/>
        <v>-41</v>
      </c>
      <c r="N256" s="70"/>
      <c r="O256" s="70" t="s">
        <v>178</v>
      </c>
      <c r="P256" s="70" t="s">
        <v>13</v>
      </c>
      <c r="Q256" s="71" t="s">
        <v>864</v>
      </c>
      <c r="R256" s="71" t="s">
        <v>636</v>
      </c>
      <c r="S256" s="72"/>
      <c r="T256" s="73"/>
      <c r="U256" s="157"/>
      <c r="V256" s="173">
        <v>46122</v>
      </c>
      <c r="W256" s="70">
        <v>3</v>
      </c>
      <c r="X256" s="103" t="s">
        <v>866</v>
      </c>
      <c r="Y256" s="104">
        <f t="shared" si="32"/>
        <v>46213</v>
      </c>
      <c r="Z256" s="105">
        <f ca="1" t="shared" si="33"/>
        <v>46</v>
      </c>
      <c r="AA256" s="70"/>
      <c r="AB256" s="70"/>
      <c r="AC256" s="70"/>
      <c r="AD256" s="71"/>
      <c r="AE256" s="71"/>
      <c r="AF256" s="72"/>
      <c r="AG256" s="73"/>
      <c r="AH256" s="114"/>
      <c r="AI256" s="102"/>
      <c r="AJ256" s="70"/>
      <c r="AK256" s="103"/>
      <c r="AL256" s="104"/>
      <c r="AM256" s="105"/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178</v>
      </c>
      <c r="C257" s="70" t="s">
        <v>13</v>
      </c>
      <c r="D257" s="71" t="s">
        <v>867</v>
      </c>
      <c r="E257" s="71" t="s">
        <v>28</v>
      </c>
      <c r="F257" s="72"/>
      <c r="G257" s="73"/>
      <c r="H257" s="157"/>
      <c r="I257" s="173">
        <v>46036</v>
      </c>
      <c r="J257" s="70">
        <v>3</v>
      </c>
      <c r="K257" s="106" t="s">
        <v>868</v>
      </c>
      <c r="L257" s="104">
        <f t="shared" si="28"/>
        <v>46126</v>
      </c>
      <c r="M257" s="105">
        <f ca="1" t="shared" si="29"/>
        <v>-41</v>
      </c>
      <c r="N257" s="70"/>
      <c r="O257" s="70"/>
      <c r="P257" s="70"/>
      <c r="Q257" s="71"/>
      <c r="R257" s="71"/>
      <c r="S257" s="72"/>
      <c r="T257" s="73"/>
      <c r="U257" s="114"/>
      <c r="V257" s="173"/>
      <c r="W257" s="70"/>
      <c r="X257" s="103"/>
      <c r="Y257" s="104">
        <f t="shared" si="32"/>
        <v>0</v>
      </c>
      <c r="Z257" s="105">
        <f ca="1" t="shared" si="33"/>
        <v>-46167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/>
      <c r="AM257" s="105"/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102</v>
      </c>
      <c r="C258" s="70" t="s">
        <v>31</v>
      </c>
      <c r="D258" s="71" t="s">
        <v>869</v>
      </c>
      <c r="E258" s="71" t="s">
        <v>24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870</v>
      </c>
      <c r="L258" s="104">
        <f t="shared" si="28"/>
        <v>46126</v>
      </c>
      <c r="M258" s="105">
        <f ca="1" t="shared" si="29"/>
        <v>-41</v>
      </c>
      <c r="N258" s="70"/>
      <c r="O258" s="70" t="s">
        <v>102</v>
      </c>
      <c r="P258" s="70" t="s">
        <v>31</v>
      </c>
      <c r="Q258" s="71" t="s">
        <v>869</v>
      </c>
      <c r="R258" s="71" t="s">
        <v>24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871</v>
      </c>
      <c r="Y258" s="104">
        <f t="shared" ref="Y258:Y291" si="34">EDATE(V258,W258)</f>
        <v>46221</v>
      </c>
      <c r="Z258" s="105">
        <f ca="1" t="shared" ref="Z258:Z291" si="35">Y258-TODAY()</f>
        <v>54</v>
      </c>
      <c r="AA258" s="70"/>
      <c r="AB258" s="70"/>
      <c r="AC258" s="70"/>
      <c r="AD258" s="71"/>
      <c r="AE258" s="71"/>
      <c r="AF258" s="72"/>
      <c r="AG258" s="73"/>
      <c r="AH258" s="114"/>
      <c r="AI258" s="102"/>
      <c r="AJ258" s="70"/>
      <c r="AK258" s="103"/>
      <c r="AL258" s="104"/>
      <c r="AM258" s="105"/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102</v>
      </c>
      <c r="C259" s="70" t="s">
        <v>13</v>
      </c>
      <c r="D259" s="71" t="s">
        <v>872</v>
      </c>
      <c r="E259" s="71" t="s">
        <v>28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873</v>
      </c>
      <c r="L259" s="104">
        <f t="shared" ref="L259:L322" si="36">EDATE(I259,J259)</f>
        <v>46126</v>
      </c>
      <c r="M259" s="105">
        <f ca="1" t="shared" ref="M259:M322" si="37">L259-TODAY()</f>
        <v>-41</v>
      </c>
      <c r="N259" s="70"/>
      <c r="O259" s="70" t="s">
        <v>102</v>
      </c>
      <c r="P259" s="70" t="s">
        <v>13</v>
      </c>
      <c r="Q259" s="71" t="s">
        <v>872</v>
      </c>
      <c r="R259" s="71" t="s">
        <v>28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874</v>
      </c>
      <c r="Y259" s="104">
        <f t="shared" si="34"/>
        <v>46222</v>
      </c>
      <c r="Z259" s="105">
        <f ca="1" t="shared" si="35"/>
        <v>55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/>
      <c r="AM259" s="105"/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102</v>
      </c>
      <c r="C260" s="70" t="s">
        <v>13</v>
      </c>
      <c r="D260" s="71" t="s">
        <v>875</v>
      </c>
      <c r="E260" s="71" t="s">
        <v>876</v>
      </c>
      <c r="F260" s="72"/>
      <c r="G260" s="73"/>
      <c r="H260" s="75" t="s">
        <v>334</v>
      </c>
      <c r="I260" s="173">
        <v>46036</v>
      </c>
      <c r="J260" s="70">
        <v>3</v>
      </c>
      <c r="K260" s="106" t="s">
        <v>877</v>
      </c>
      <c r="L260" s="104">
        <f t="shared" si="36"/>
        <v>46126</v>
      </c>
      <c r="M260" s="105">
        <f ca="1" t="shared" si="37"/>
        <v>-41</v>
      </c>
      <c r="N260" s="70"/>
      <c r="O260" s="70" t="s">
        <v>102</v>
      </c>
      <c r="P260" s="70" t="s">
        <v>13</v>
      </c>
      <c r="Q260" s="71" t="s">
        <v>875</v>
      </c>
      <c r="R260" s="71" t="s">
        <v>876</v>
      </c>
      <c r="S260" s="72"/>
      <c r="T260" s="73"/>
      <c r="U260" s="75" t="s">
        <v>334</v>
      </c>
      <c r="V260" s="102">
        <v>46130</v>
      </c>
      <c r="W260" s="70">
        <v>3</v>
      </c>
      <c r="X260" s="103" t="s">
        <v>878</v>
      </c>
      <c r="Y260" s="104">
        <f t="shared" si="34"/>
        <v>46221</v>
      </c>
      <c r="Z260" s="105">
        <f ca="1" t="shared" si="35"/>
        <v>54</v>
      </c>
      <c r="AA260" s="70"/>
      <c r="AB260" s="70"/>
      <c r="AC260" s="70"/>
      <c r="AD260" s="71"/>
      <c r="AE260" s="71"/>
      <c r="AF260" s="72"/>
      <c r="AG260" s="73"/>
      <c r="AH260" s="79"/>
      <c r="AI260" s="102"/>
      <c r="AJ260" s="70"/>
      <c r="AK260" s="103"/>
      <c r="AL260" s="104"/>
      <c r="AM260" s="105"/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102</v>
      </c>
      <c r="C261" s="70" t="s">
        <v>13</v>
      </c>
      <c r="D261" s="71" t="s">
        <v>879</v>
      </c>
      <c r="E261" s="71" t="s">
        <v>880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881</v>
      </c>
      <c r="L261" s="104">
        <f t="shared" si="36"/>
        <v>46126</v>
      </c>
      <c r="M261" s="105">
        <f ca="1" t="shared" si="37"/>
        <v>-41</v>
      </c>
      <c r="N261" s="70"/>
      <c r="O261" s="70" t="s">
        <v>102</v>
      </c>
      <c r="P261" s="70" t="s">
        <v>13</v>
      </c>
      <c r="Q261" s="71" t="s">
        <v>879</v>
      </c>
      <c r="R261" s="71" t="s">
        <v>880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882</v>
      </c>
      <c r="Y261" s="104">
        <f t="shared" si="34"/>
        <v>46216</v>
      </c>
      <c r="Z261" s="105">
        <f ca="1" t="shared" si="35"/>
        <v>49</v>
      </c>
      <c r="AA261" s="70"/>
      <c r="AB261" s="70"/>
      <c r="AC261" s="70"/>
      <c r="AD261" s="71"/>
      <c r="AE261" s="71"/>
      <c r="AF261" s="72"/>
      <c r="AG261" s="73"/>
      <c r="AH261" s="79"/>
      <c r="AI261" s="102"/>
      <c r="AJ261" s="70"/>
      <c r="AK261" s="103"/>
      <c r="AL261" s="104"/>
      <c r="AM261" s="105"/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102</v>
      </c>
      <c r="C262" s="70" t="s">
        <v>31</v>
      </c>
      <c r="D262" s="71" t="s">
        <v>883</v>
      </c>
      <c r="E262" s="71" t="s">
        <v>636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884</v>
      </c>
      <c r="L262" s="104">
        <f t="shared" si="36"/>
        <v>46126</v>
      </c>
      <c r="M262" s="105">
        <f ca="1" t="shared" si="37"/>
        <v>-41</v>
      </c>
      <c r="N262" s="70"/>
      <c r="O262" s="70" t="s">
        <v>102</v>
      </c>
      <c r="P262" s="70" t="s">
        <v>31</v>
      </c>
      <c r="Q262" s="71" t="s">
        <v>883</v>
      </c>
      <c r="R262" s="71" t="s">
        <v>636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885</v>
      </c>
      <c r="Y262" s="104">
        <f t="shared" si="34"/>
        <v>46215</v>
      </c>
      <c r="Z262" s="105">
        <f ca="1" t="shared" si="35"/>
        <v>48</v>
      </c>
      <c r="AA262" s="70"/>
      <c r="AB262" s="70"/>
      <c r="AC262" s="70"/>
      <c r="AD262" s="71"/>
      <c r="AE262" s="71"/>
      <c r="AF262" s="72"/>
      <c r="AG262" s="73"/>
      <c r="AH262" s="79"/>
      <c r="AI262" s="102"/>
      <c r="AJ262" s="70"/>
      <c r="AK262" s="103"/>
      <c r="AL262" s="104"/>
      <c r="AM262" s="105"/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102</v>
      </c>
      <c r="C263" s="70" t="s">
        <v>13</v>
      </c>
      <c r="D263" s="71" t="s">
        <v>886</v>
      </c>
      <c r="E263" s="71" t="s">
        <v>464</v>
      </c>
      <c r="F263" s="72"/>
      <c r="G263" s="73"/>
      <c r="H263" s="75"/>
      <c r="I263" s="173">
        <v>46036</v>
      </c>
      <c r="J263" s="70">
        <v>3</v>
      </c>
      <c r="K263" s="106" t="s">
        <v>887</v>
      </c>
      <c r="L263" s="104">
        <f t="shared" si="36"/>
        <v>46126</v>
      </c>
      <c r="M263" s="105">
        <f ca="1" t="shared" si="37"/>
        <v>-41</v>
      </c>
      <c r="N263" s="70"/>
      <c r="O263" s="70" t="s">
        <v>102</v>
      </c>
      <c r="P263" s="70" t="s">
        <v>13</v>
      </c>
      <c r="Q263" s="71" t="s">
        <v>886</v>
      </c>
      <c r="R263" s="71" t="s">
        <v>464</v>
      </c>
      <c r="S263" s="72"/>
      <c r="T263" s="73"/>
      <c r="U263" s="75"/>
      <c r="V263" s="102">
        <v>46124</v>
      </c>
      <c r="W263" s="70">
        <v>3</v>
      </c>
      <c r="X263" s="103" t="s">
        <v>888</v>
      </c>
      <c r="Y263" s="104">
        <f t="shared" si="34"/>
        <v>46215</v>
      </c>
      <c r="Z263" s="105">
        <f ca="1" t="shared" si="35"/>
        <v>48</v>
      </c>
      <c r="AA263" s="70"/>
      <c r="AB263" s="70"/>
      <c r="AC263" s="70"/>
      <c r="AD263" s="71"/>
      <c r="AE263" s="71"/>
      <c r="AF263" s="72"/>
      <c r="AG263" s="73"/>
      <c r="AH263" s="79"/>
      <c r="AI263" s="102"/>
      <c r="AJ263" s="70"/>
      <c r="AK263" s="103"/>
      <c r="AL263" s="104"/>
      <c r="AM263" s="105"/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889</v>
      </c>
      <c r="C264" s="70" t="s">
        <v>13</v>
      </c>
      <c r="D264" s="71" t="s">
        <v>890</v>
      </c>
      <c r="E264" s="71" t="s">
        <v>891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892</v>
      </c>
      <c r="L264" s="104">
        <f t="shared" si="36"/>
        <v>46126</v>
      </c>
      <c r="M264" s="105">
        <f ca="1" t="shared" si="37"/>
        <v>-41</v>
      </c>
      <c r="N264" s="70"/>
      <c r="O264" s="70" t="s">
        <v>889</v>
      </c>
      <c r="P264" s="70" t="s">
        <v>13</v>
      </c>
      <c r="Q264" s="71" t="s">
        <v>890</v>
      </c>
      <c r="R264" s="71" t="s">
        <v>891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893</v>
      </c>
      <c r="Y264" s="104">
        <f t="shared" si="34"/>
        <v>46225</v>
      </c>
      <c r="Z264" s="105">
        <f ca="1" t="shared" si="35"/>
        <v>58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/>
      <c r="AM264" s="105"/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889</v>
      </c>
      <c r="C265" s="70" t="s">
        <v>13</v>
      </c>
      <c r="D265" s="71" t="s">
        <v>894</v>
      </c>
      <c r="E265" s="71" t="s">
        <v>895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896</v>
      </c>
      <c r="L265" s="104">
        <f t="shared" si="36"/>
        <v>46126</v>
      </c>
      <c r="M265" s="105">
        <f ca="1" t="shared" si="37"/>
        <v>-41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34"/>
        <v>0</v>
      </c>
      <c r="Z265" s="105">
        <f ca="1" t="shared" si="35"/>
        <v>-46167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/>
      <c r="AM265" s="105"/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897</v>
      </c>
      <c r="C266" s="70" t="s">
        <v>287</v>
      </c>
      <c r="D266" s="71" t="s">
        <v>898</v>
      </c>
      <c r="E266" s="71" t="s">
        <v>899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900</v>
      </c>
      <c r="L266" s="104">
        <f t="shared" si="36"/>
        <v>46126</v>
      </c>
      <c r="M266" s="105">
        <f ca="1" t="shared" si="37"/>
        <v>-41</v>
      </c>
      <c r="N266" s="70"/>
      <c r="O266" s="70" t="s">
        <v>897</v>
      </c>
      <c r="P266" s="70" t="s">
        <v>287</v>
      </c>
      <c r="Q266" s="71" t="s">
        <v>898</v>
      </c>
      <c r="R266" s="71" t="s">
        <v>899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901</v>
      </c>
      <c r="Y266" s="104">
        <f t="shared" si="34"/>
        <v>46225</v>
      </c>
      <c r="Z266" s="105">
        <f ca="1" t="shared" si="35"/>
        <v>58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/>
      <c r="AM266" s="105"/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178</v>
      </c>
      <c r="C267" s="70" t="s">
        <v>13</v>
      </c>
      <c r="D267" s="71" t="s">
        <v>902</v>
      </c>
      <c r="E267" s="71" t="s">
        <v>57</v>
      </c>
      <c r="F267" s="72"/>
      <c r="G267" s="73"/>
      <c r="H267" s="75"/>
      <c r="I267" s="173">
        <v>46036</v>
      </c>
      <c r="J267" s="70">
        <v>3</v>
      </c>
      <c r="K267" s="106" t="s">
        <v>903</v>
      </c>
      <c r="L267" s="104">
        <f t="shared" si="36"/>
        <v>46126</v>
      </c>
      <c r="M267" s="105">
        <f ca="1" t="shared" si="37"/>
        <v>-41</v>
      </c>
      <c r="N267" s="70"/>
      <c r="O267" s="70" t="s">
        <v>178</v>
      </c>
      <c r="P267" s="70" t="s">
        <v>13</v>
      </c>
      <c r="Q267" s="71" t="s">
        <v>902</v>
      </c>
      <c r="R267" s="71" t="s">
        <v>57</v>
      </c>
      <c r="S267" s="72"/>
      <c r="T267" s="73"/>
      <c r="U267" s="75"/>
      <c r="V267" s="102">
        <v>46122</v>
      </c>
      <c r="W267" s="70">
        <v>3</v>
      </c>
      <c r="X267" s="103" t="s">
        <v>904</v>
      </c>
      <c r="Y267" s="104">
        <f t="shared" si="34"/>
        <v>46213</v>
      </c>
      <c r="Z267" s="105">
        <f ca="1" t="shared" si="35"/>
        <v>46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/>
      <c r="AM267" s="105"/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178</v>
      </c>
      <c r="C268" s="70" t="s">
        <v>13</v>
      </c>
      <c r="D268" s="71" t="s">
        <v>905</v>
      </c>
      <c r="E268" s="71" t="s">
        <v>37</v>
      </c>
      <c r="F268" s="72"/>
      <c r="G268" s="73"/>
      <c r="H268" s="75"/>
      <c r="I268" s="173">
        <v>46037</v>
      </c>
      <c r="J268" s="70">
        <v>3</v>
      </c>
      <c r="K268" s="106" t="s">
        <v>906</v>
      </c>
      <c r="L268" s="104">
        <f t="shared" si="36"/>
        <v>46127</v>
      </c>
      <c r="M268" s="105">
        <f ca="1" t="shared" si="37"/>
        <v>-40</v>
      </c>
      <c r="N268" s="70"/>
      <c r="O268" s="70" t="s">
        <v>178</v>
      </c>
      <c r="P268" s="70" t="s">
        <v>13</v>
      </c>
      <c r="Q268" s="71" t="s">
        <v>905</v>
      </c>
      <c r="R268" s="71" t="s">
        <v>37</v>
      </c>
      <c r="S268" s="72"/>
      <c r="T268" s="73"/>
      <c r="U268" s="75"/>
      <c r="V268" s="102">
        <v>46122</v>
      </c>
      <c r="W268" s="70">
        <v>3</v>
      </c>
      <c r="X268" s="103" t="s">
        <v>907</v>
      </c>
      <c r="Y268" s="104">
        <f t="shared" si="34"/>
        <v>46213</v>
      </c>
      <c r="Z268" s="105">
        <f ca="1" t="shared" si="35"/>
        <v>46</v>
      </c>
      <c r="AA268" s="70"/>
      <c r="AB268" s="70"/>
      <c r="AC268" s="70"/>
      <c r="AD268" s="71"/>
      <c r="AE268" s="71"/>
      <c r="AF268" s="72"/>
      <c r="AG268" s="73"/>
      <c r="AH268" s="79"/>
      <c r="AI268" s="102"/>
      <c r="AJ268" s="70"/>
      <c r="AK268" s="103"/>
      <c r="AL268" s="104"/>
      <c r="AM268" s="105"/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178</v>
      </c>
      <c r="C269" s="70" t="s">
        <v>13</v>
      </c>
      <c r="D269" s="71" t="s">
        <v>908</v>
      </c>
      <c r="E269" s="71" t="s">
        <v>104</v>
      </c>
      <c r="F269" s="72"/>
      <c r="G269" s="73"/>
      <c r="H269" s="75"/>
      <c r="I269" s="173">
        <v>46037</v>
      </c>
      <c r="J269" s="70">
        <v>3</v>
      </c>
      <c r="K269" s="106" t="s">
        <v>909</v>
      </c>
      <c r="L269" s="104">
        <f t="shared" si="36"/>
        <v>46127</v>
      </c>
      <c r="M269" s="105">
        <f ca="1" t="shared" si="37"/>
        <v>-40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34"/>
        <v>0</v>
      </c>
      <c r="Z269" s="105">
        <f ca="1" t="shared" si="35"/>
        <v>-46167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/>
      <c r="AM269" s="105"/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178</v>
      </c>
      <c r="C270" s="70" t="s">
        <v>13</v>
      </c>
      <c r="D270" s="71" t="s">
        <v>910</v>
      </c>
      <c r="E270" s="71" t="s">
        <v>28</v>
      </c>
      <c r="F270" s="72"/>
      <c r="G270" s="73"/>
      <c r="H270" s="75"/>
      <c r="I270" s="173">
        <v>46037</v>
      </c>
      <c r="J270" s="70">
        <v>3</v>
      </c>
      <c r="K270" s="106" t="s">
        <v>911</v>
      </c>
      <c r="L270" s="104">
        <f t="shared" si="36"/>
        <v>46127</v>
      </c>
      <c r="M270" s="105">
        <f ca="1" t="shared" si="37"/>
        <v>-40</v>
      </c>
      <c r="N270" s="70"/>
      <c r="O270" s="70"/>
      <c r="P270" s="70"/>
      <c r="Q270" s="71"/>
      <c r="R270" s="71"/>
      <c r="S270" s="72"/>
      <c r="T270" s="73"/>
      <c r="U270" s="79"/>
      <c r="V270" s="102"/>
      <c r="W270" s="70"/>
      <c r="X270" s="103"/>
      <c r="Y270" s="104">
        <f t="shared" si="34"/>
        <v>0</v>
      </c>
      <c r="Z270" s="105">
        <f ca="1" t="shared" si="35"/>
        <v>-46167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/>
      <c r="AM270" s="105"/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178</v>
      </c>
      <c r="C271" s="70" t="s">
        <v>13</v>
      </c>
      <c r="D271" s="71" t="s">
        <v>912</v>
      </c>
      <c r="E271" s="71" t="s">
        <v>57</v>
      </c>
      <c r="F271" s="72"/>
      <c r="G271" s="73"/>
      <c r="H271" s="75"/>
      <c r="I271" s="173">
        <v>46037</v>
      </c>
      <c r="J271" s="70">
        <v>3</v>
      </c>
      <c r="K271" s="106" t="s">
        <v>913</v>
      </c>
      <c r="L271" s="104">
        <f t="shared" si="36"/>
        <v>46127</v>
      </c>
      <c r="M271" s="105">
        <f ca="1" t="shared" si="37"/>
        <v>-40</v>
      </c>
      <c r="N271" s="70"/>
      <c r="O271" s="70" t="s">
        <v>178</v>
      </c>
      <c r="P271" s="70" t="s">
        <v>13</v>
      </c>
      <c r="Q271" s="71" t="s">
        <v>912</v>
      </c>
      <c r="R271" s="71" t="s">
        <v>57</v>
      </c>
      <c r="S271" s="72"/>
      <c r="T271" s="73"/>
      <c r="U271" s="75"/>
      <c r="V271" s="102">
        <v>46121</v>
      </c>
      <c r="W271" s="70">
        <v>3</v>
      </c>
      <c r="X271" s="103" t="s">
        <v>914</v>
      </c>
      <c r="Y271" s="104">
        <f t="shared" si="34"/>
        <v>46212</v>
      </c>
      <c r="Z271" s="105">
        <f ca="1" t="shared" si="35"/>
        <v>45</v>
      </c>
      <c r="AA271" s="70"/>
      <c r="AB271" s="70"/>
      <c r="AC271" s="70"/>
      <c r="AD271" s="71"/>
      <c r="AE271" s="71"/>
      <c r="AF271" s="72"/>
      <c r="AG271" s="73"/>
      <c r="AH271" s="79"/>
      <c r="AI271" s="102"/>
      <c r="AJ271" s="70"/>
      <c r="AK271" s="103"/>
      <c r="AL271" s="104"/>
      <c r="AM271" s="105"/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178</v>
      </c>
      <c r="C272" s="70" t="s">
        <v>13</v>
      </c>
      <c r="D272" s="71" t="s">
        <v>915</v>
      </c>
      <c r="E272" s="71" t="s">
        <v>95</v>
      </c>
      <c r="F272" s="72"/>
      <c r="G272" s="73"/>
      <c r="H272" s="75"/>
      <c r="I272" s="173">
        <v>46037</v>
      </c>
      <c r="J272" s="70">
        <v>3</v>
      </c>
      <c r="K272" s="106" t="s">
        <v>916</v>
      </c>
      <c r="L272" s="104">
        <f t="shared" si="36"/>
        <v>46127</v>
      </c>
      <c r="M272" s="105">
        <f ca="1" t="shared" si="37"/>
        <v>-40</v>
      </c>
      <c r="N272" s="70"/>
      <c r="O272" s="70" t="s">
        <v>178</v>
      </c>
      <c r="P272" s="70" t="s">
        <v>13</v>
      </c>
      <c r="Q272" s="71" t="s">
        <v>915</v>
      </c>
      <c r="R272" s="71" t="s">
        <v>95</v>
      </c>
      <c r="S272" s="72"/>
      <c r="T272" s="73"/>
      <c r="U272" s="75"/>
      <c r="V272" s="102">
        <v>46121</v>
      </c>
      <c r="W272" s="70">
        <v>3</v>
      </c>
      <c r="X272" s="103" t="s">
        <v>917</v>
      </c>
      <c r="Y272" s="104">
        <f t="shared" si="34"/>
        <v>46212</v>
      </c>
      <c r="Z272" s="105">
        <f ca="1" t="shared" si="35"/>
        <v>45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/>
      <c r="AM272" s="105"/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178</v>
      </c>
      <c r="C273" s="70" t="s">
        <v>13</v>
      </c>
      <c r="D273" s="71" t="s">
        <v>918</v>
      </c>
      <c r="E273" s="71" t="s">
        <v>57</v>
      </c>
      <c r="F273" s="72"/>
      <c r="G273" s="73"/>
      <c r="H273" s="75"/>
      <c r="I273" s="173">
        <v>46037</v>
      </c>
      <c r="J273" s="70">
        <v>3</v>
      </c>
      <c r="K273" s="106" t="s">
        <v>919</v>
      </c>
      <c r="L273" s="104">
        <f t="shared" si="36"/>
        <v>46127</v>
      </c>
      <c r="M273" s="105">
        <f ca="1" t="shared" si="37"/>
        <v>-40</v>
      </c>
      <c r="N273" s="70"/>
      <c r="O273" s="70" t="s">
        <v>178</v>
      </c>
      <c r="P273" s="70" t="s">
        <v>13</v>
      </c>
      <c r="Q273" s="71" t="s">
        <v>918</v>
      </c>
      <c r="R273" s="71" t="s">
        <v>57</v>
      </c>
      <c r="S273" s="72"/>
      <c r="T273" s="73"/>
      <c r="U273" s="75"/>
      <c r="V273" s="102">
        <v>46154</v>
      </c>
      <c r="W273" s="70">
        <v>3</v>
      </c>
      <c r="X273" s="103" t="s">
        <v>920</v>
      </c>
      <c r="Y273" s="104">
        <f t="shared" si="34"/>
        <v>46246</v>
      </c>
      <c r="Z273" s="105">
        <f ca="1" t="shared" si="35"/>
        <v>79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/>
      <c r="AM273" s="105"/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178</v>
      </c>
      <c r="C274" s="70" t="s">
        <v>13</v>
      </c>
      <c r="D274" s="71" t="s">
        <v>921</v>
      </c>
      <c r="E274" s="71" t="s">
        <v>636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922</v>
      </c>
      <c r="L274" s="104">
        <f t="shared" si="36"/>
        <v>46127</v>
      </c>
      <c r="M274" s="105">
        <f ca="1" t="shared" si="37"/>
        <v>-40</v>
      </c>
      <c r="N274" s="70"/>
      <c r="O274" s="70" t="s">
        <v>178</v>
      </c>
      <c r="P274" s="70" t="s">
        <v>13</v>
      </c>
      <c r="Q274" s="71" t="s">
        <v>921</v>
      </c>
      <c r="R274" s="71" t="s">
        <v>636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923</v>
      </c>
      <c r="Y274" s="104">
        <f t="shared" si="34"/>
        <v>46211</v>
      </c>
      <c r="Z274" s="105">
        <f ca="1" t="shared" si="35"/>
        <v>44</v>
      </c>
      <c r="AA274" s="70"/>
      <c r="AB274" s="70"/>
      <c r="AC274" s="70"/>
      <c r="AD274" s="71"/>
      <c r="AE274" s="71"/>
      <c r="AF274" s="72"/>
      <c r="AG274" s="73"/>
      <c r="AH274" s="79"/>
      <c r="AI274" s="102"/>
      <c r="AJ274" s="70"/>
      <c r="AK274" s="103"/>
      <c r="AL274" s="104"/>
      <c r="AM274" s="105"/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102</v>
      </c>
      <c r="C275" s="70" t="s">
        <v>31</v>
      </c>
      <c r="D275" s="71" t="s">
        <v>924</v>
      </c>
      <c r="E275" s="71" t="s">
        <v>33</v>
      </c>
      <c r="F275" s="72"/>
      <c r="G275" s="73"/>
      <c r="H275" s="75"/>
      <c r="I275" s="173">
        <v>46037</v>
      </c>
      <c r="J275" s="70">
        <v>3</v>
      </c>
      <c r="K275" s="106" t="s">
        <v>925</v>
      </c>
      <c r="L275" s="104">
        <f t="shared" si="36"/>
        <v>46127</v>
      </c>
      <c r="M275" s="105">
        <f ca="1" t="shared" si="37"/>
        <v>-40</v>
      </c>
      <c r="N275" s="70"/>
      <c r="O275" s="70" t="s">
        <v>102</v>
      </c>
      <c r="P275" s="70" t="s">
        <v>31</v>
      </c>
      <c r="Q275" s="71" t="s">
        <v>924</v>
      </c>
      <c r="R275" s="71" t="s">
        <v>33</v>
      </c>
      <c r="S275" s="72"/>
      <c r="T275" s="73"/>
      <c r="U275" s="75"/>
      <c r="V275" s="102">
        <v>46124</v>
      </c>
      <c r="W275" s="70">
        <v>3</v>
      </c>
      <c r="X275" s="103" t="s">
        <v>926</v>
      </c>
      <c r="Y275" s="104">
        <f t="shared" si="34"/>
        <v>46215</v>
      </c>
      <c r="Z275" s="105">
        <f ca="1" t="shared" si="35"/>
        <v>48</v>
      </c>
      <c r="AA275" s="70"/>
      <c r="AB275" s="70"/>
      <c r="AC275" s="70"/>
      <c r="AD275" s="71"/>
      <c r="AE275" s="71"/>
      <c r="AF275" s="72"/>
      <c r="AG275" s="73"/>
      <c r="AH275" s="74"/>
      <c r="AI275" s="102"/>
      <c r="AJ275" s="70"/>
      <c r="AK275" s="103"/>
      <c r="AL275" s="104"/>
      <c r="AM275" s="105"/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102</v>
      </c>
      <c r="C276" s="70" t="s">
        <v>13</v>
      </c>
      <c r="D276" s="71" t="s">
        <v>927</v>
      </c>
      <c r="E276" s="71" t="s">
        <v>95</v>
      </c>
      <c r="F276" s="72"/>
      <c r="G276" s="73"/>
      <c r="H276" s="75"/>
      <c r="I276" s="173">
        <v>46037</v>
      </c>
      <c r="J276" s="70">
        <v>3</v>
      </c>
      <c r="K276" s="106" t="s">
        <v>928</v>
      </c>
      <c r="L276" s="104">
        <f t="shared" si="36"/>
        <v>46127</v>
      </c>
      <c r="M276" s="105">
        <f ca="1" t="shared" si="37"/>
        <v>-40</v>
      </c>
      <c r="N276" s="70"/>
      <c r="O276" s="70" t="s">
        <v>102</v>
      </c>
      <c r="P276" s="70" t="s">
        <v>13</v>
      </c>
      <c r="Q276" s="71" t="s">
        <v>927</v>
      </c>
      <c r="R276" s="71" t="s">
        <v>95</v>
      </c>
      <c r="S276" s="72"/>
      <c r="T276" s="73"/>
      <c r="U276" s="75"/>
      <c r="V276" s="102">
        <v>46129</v>
      </c>
      <c r="W276" s="70">
        <v>3</v>
      </c>
      <c r="X276" s="103" t="s">
        <v>929</v>
      </c>
      <c r="Y276" s="104">
        <f t="shared" si="34"/>
        <v>46220</v>
      </c>
      <c r="Z276" s="105">
        <f ca="1" t="shared" si="35"/>
        <v>53</v>
      </c>
      <c r="AA276" s="70"/>
      <c r="AB276" s="70"/>
      <c r="AC276" s="70"/>
      <c r="AD276" s="71"/>
      <c r="AE276" s="71"/>
      <c r="AF276" s="72"/>
      <c r="AG276" s="73"/>
      <c r="AH276" s="74"/>
      <c r="AI276" s="102"/>
      <c r="AJ276" s="70"/>
      <c r="AK276" s="103"/>
      <c r="AL276" s="104"/>
      <c r="AM276" s="105"/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930</v>
      </c>
      <c r="C277" s="70" t="s">
        <v>13</v>
      </c>
      <c r="D277" s="71" t="s">
        <v>931</v>
      </c>
      <c r="E277" s="71" t="s">
        <v>57</v>
      </c>
      <c r="F277" s="72"/>
      <c r="G277" s="73"/>
      <c r="H277" s="75"/>
      <c r="I277" s="173">
        <v>46037</v>
      </c>
      <c r="J277" s="70">
        <v>3</v>
      </c>
      <c r="K277" s="106" t="s">
        <v>932</v>
      </c>
      <c r="L277" s="104">
        <f t="shared" si="36"/>
        <v>46127</v>
      </c>
      <c r="M277" s="105">
        <f ca="1" t="shared" si="37"/>
        <v>-40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34"/>
        <v>0</v>
      </c>
      <c r="Z277" s="105">
        <f ca="1" t="shared" si="35"/>
        <v>-46167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/>
      <c r="AM277" s="105"/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930</v>
      </c>
      <c r="C278" s="70" t="s">
        <v>13</v>
      </c>
      <c r="D278" s="71" t="s">
        <v>933</v>
      </c>
      <c r="E278" s="71" t="s">
        <v>57</v>
      </c>
      <c r="F278" s="72"/>
      <c r="G278" s="73"/>
      <c r="H278" s="75"/>
      <c r="I278" s="173">
        <v>46037</v>
      </c>
      <c r="J278" s="70">
        <v>3</v>
      </c>
      <c r="K278" s="106" t="s">
        <v>934</v>
      </c>
      <c r="L278" s="104">
        <f t="shared" si="36"/>
        <v>46127</v>
      </c>
      <c r="M278" s="105">
        <f ca="1" t="shared" si="37"/>
        <v>-40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34"/>
        <v>0</v>
      </c>
      <c r="Z278" s="105">
        <f ca="1" t="shared" si="35"/>
        <v>-46167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/>
      <c r="AM278" s="105"/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930</v>
      </c>
      <c r="C279" s="70" t="s">
        <v>13</v>
      </c>
      <c r="D279" s="71" t="s">
        <v>935</v>
      </c>
      <c r="E279" s="71" t="s">
        <v>57</v>
      </c>
      <c r="F279" s="72"/>
      <c r="G279" s="73"/>
      <c r="H279" s="75"/>
      <c r="I279" s="173">
        <v>46037</v>
      </c>
      <c r="J279" s="70">
        <v>3</v>
      </c>
      <c r="K279" s="106" t="s">
        <v>936</v>
      </c>
      <c r="L279" s="104">
        <f t="shared" si="36"/>
        <v>46127</v>
      </c>
      <c r="M279" s="105">
        <f ca="1" t="shared" si="37"/>
        <v>-40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34"/>
        <v>0</v>
      </c>
      <c r="Z279" s="105">
        <f ca="1" t="shared" si="35"/>
        <v>-46167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/>
      <c r="AM279" s="105"/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937</v>
      </c>
      <c r="C280" s="70" t="s">
        <v>31</v>
      </c>
      <c r="D280" s="71" t="s">
        <v>938</v>
      </c>
      <c r="E280" s="71" t="s">
        <v>939</v>
      </c>
      <c r="F280" s="72"/>
      <c r="G280" s="73"/>
      <c r="H280" s="75"/>
      <c r="I280" s="173">
        <v>46037</v>
      </c>
      <c r="J280" s="70">
        <v>3</v>
      </c>
      <c r="K280" s="106" t="s">
        <v>940</v>
      </c>
      <c r="L280" s="104">
        <f t="shared" si="36"/>
        <v>46127</v>
      </c>
      <c r="M280" s="105">
        <f ca="1" t="shared" si="37"/>
        <v>-40</v>
      </c>
      <c r="N280" s="70"/>
      <c r="O280" s="70" t="s">
        <v>937</v>
      </c>
      <c r="P280" s="70" t="s">
        <v>31</v>
      </c>
      <c r="Q280" s="71" t="s">
        <v>938</v>
      </c>
      <c r="R280" s="71" t="s">
        <v>939</v>
      </c>
      <c r="S280" s="72"/>
      <c r="T280" s="73"/>
      <c r="U280" s="75"/>
      <c r="V280" s="102">
        <v>46120</v>
      </c>
      <c r="W280" s="70">
        <v>3</v>
      </c>
      <c r="X280" s="103" t="s">
        <v>941</v>
      </c>
      <c r="Y280" s="104">
        <f t="shared" si="34"/>
        <v>46211</v>
      </c>
      <c r="Z280" s="105">
        <f ca="1" t="shared" si="35"/>
        <v>44</v>
      </c>
      <c r="AA280" s="70"/>
      <c r="AB280" s="70"/>
      <c r="AC280" s="70"/>
      <c r="AD280" s="71"/>
      <c r="AE280" s="193"/>
      <c r="AF280" s="72"/>
      <c r="AG280" s="73"/>
      <c r="AH280" s="79"/>
      <c r="AI280" s="102"/>
      <c r="AJ280" s="70"/>
      <c r="AK280" s="103"/>
      <c r="AL280" s="104"/>
      <c r="AM280" s="105"/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942</v>
      </c>
      <c r="C281" s="70" t="s">
        <v>31</v>
      </c>
      <c r="D281" s="71" t="s">
        <v>943</v>
      </c>
      <c r="E281" s="71" t="s">
        <v>944</v>
      </c>
      <c r="F281" s="72"/>
      <c r="G281" s="73"/>
      <c r="H281" s="75"/>
      <c r="I281" s="173">
        <v>46037</v>
      </c>
      <c r="J281" s="70">
        <v>3</v>
      </c>
      <c r="K281" s="106" t="s">
        <v>945</v>
      </c>
      <c r="L281" s="104">
        <f t="shared" si="36"/>
        <v>46127</v>
      </c>
      <c r="M281" s="105">
        <f ca="1" t="shared" si="37"/>
        <v>-40</v>
      </c>
      <c r="N281" s="70"/>
      <c r="O281" s="70" t="s">
        <v>942</v>
      </c>
      <c r="P281" s="70" t="s">
        <v>31</v>
      </c>
      <c r="Q281" s="71" t="s">
        <v>943</v>
      </c>
      <c r="R281" s="71" t="s">
        <v>944</v>
      </c>
      <c r="S281" s="72"/>
      <c r="T281" s="73"/>
      <c r="U281" s="75"/>
      <c r="V281" s="102">
        <v>46120</v>
      </c>
      <c r="W281" s="70">
        <v>3</v>
      </c>
      <c r="X281" s="103" t="s">
        <v>946</v>
      </c>
      <c r="Y281" s="104">
        <f t="shared" si="34"/>
        <v>46211</v>
      </c>
      <c r="Z281" s="105">
        <f ca="1" t="shared" si="35"/>
        <v>44</v>
      </c>
      <c r="AA281" s="70"/>
      <c r="AB281" s="70"/>
      <c r="AC281" s="70"/>
      <c r="AD281" s="71"/>
      <c r="AE281" s="71"/>
      <c r="AF281" s="72"/>
      <c r="AG281" s="73"/>
      <c r="AH281" s="74"/>
      <c r="AI281" s="102"/>
      <c r="AJ281" s="70"/>
      <c r="AK281" s="103"/>
      <c r="AL281" s="104"/>
      <c r="AM281" s="105"/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217</v>
      </c>
      <c r="C282" s="70" t="s">
        <v>203</v>
      </c>
      <c r="D282" s="71" t="s">
        <v>947</v>
      </c>
      <c r="E282" s="71" t="s">
        <v>948</v>
      </c>
      <c r="F282" s="72"/>
      <c r="G282" s="73"/>
      <c r="H282" s="75"/>
      <c r="I282" s="173">
        <v>46037</v>
      </c>
      <c r="J282" s="70">
        <v>3</v>
      </c>
      <c r="K282" s="106" t="s">
        <v>949</v>
      </c>
      <c r="L282" s="104">
        <f t="shared" si="36"/>
        <v>46127</v>
      </c>
      <c r="M282" s="105">
        <f ca="1" t="shared" si="37"/>
        <v>-40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34"/>
        <v>0</v>
      </c>
      <c r="Z282" s="105">
        <f ca="1" t="shared" si="35"/>
        <v>-46167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/>
      <c r="AM282" s="105"/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217</v>
      </c>
      <c r="C283" s="70" t="s">
        <v>203</v>
      </c>
      <c r="D283" s="71" t="s">
        <v>950</v>
      </c>
      <c r="E283" s="71" t="s">
        <v>279</v>
      </c>
      <c r="F283" s="72"/>
      <c r="G283" s="73"/>
      <c r="H283" s="75"/>
      <c r="I283" s="173">
        <v>46037</v>
      </c>
      <c r="J283" s="70">
        <v>3</v>
      </c>
      <c r="K283" s="106" t="s">
        <v>951</v>
      </c>
      <c r="L283" s="104">
        <f t="shared" si="36"/>
        <v>46127</v>
      </c>
      <c r="M283" s="105">
        <f ca="1" t="shared" si="37"/>
        <v>-40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34"/>
        <v>0</v>
      </c>
      <c r="Z283" s="105">
        <f ca="1" t="shared" si="35"/>
        <v>-46167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/>
      <c r="AM283" s="105"/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217</v>
      </c>
      <c r="C284" s="70" t="s">
        <v>203</v>
      </c>
      <c r="D284" s="71" t="s">
        <v>952</v>
      </c>
      <c r="E284" s="71" t="s">
        <v>283</v>
      </c>
      <c r="F284" s="72"/>
      <c r="G284" s="73"/>
      <c r="H284" s="75"/>
      <c r="I284" s="173">
        <v>46037</v>
      </c>
      <c r="J284" s="70">
        <v>3</v>
      </c>
      <c r="K284" s="106" t="s">
        <v>953</v>
      </c>
      <c r="L284" s="104">
        <f t="shared" si="36"/>
        <v>46127</v>
      </c>
      <c r="M284" s="105">
        <f ca="1" t="shared" si="37"/>
        <v>-40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34"/>
        <v>0</v>
      </c>
      <c r="Z284" s="105">
        <f ca="1" t="shared" si="35"/>
        <v>-46167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/>
      <c r="AM284" s="105"/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954</v>
      </c>
      <c r="C285" s="70" t="s">
        <v>203</v>
      </c>
      <c r="D285" s="71" t="s">
        <v>955</v>
      </c>
      <c r="E285" s="71" t="s">
        <v>203</v>
      </c>
      <c r="F285" s="72"/>
      <c r="G285" s="73"/>
      <c r="H285" s="75"/>
      <c r="I285" s="173">
        <v>46037</v>
      </c>
      <c r="J285" s="70">
        <v>3</v>
      </c>
      <c r="K285" s="106" t="s">
        <v>956</v>
      </c>
      <c r="L285" s="104">
        <f t="shared" si="36"/>
        <v>46127</v>
      </c>
      <c r="M285" s="105">
        <f ca="1" t="shared" si="37"/>
        <v>-40</v>
      </c>
      <c r="N285" s="70"/>
      <c r="O285" s="70" t="s">
        <v>954</v>
      </c>
      <c r="P285" s="70" t="s">
        <v>203</v>
      </c>
      <c r="Q285" s="71" t="s">
        <v>955</v>
      </c>
      <c r="R285" s="71" t="s">
        <v>203</v>
      </c>
      <c r="S285" s="72"/>
      <c r="T285" s="73"/>
      <c r="U285" s="75"/>
      <c r="V285" s="102">
        <v>46128</v>
      </c>
      <c r="W285" s="70">
        <v>3</v>
      </c>
      <c r="X285" s="103" t="s">
        <v>957</v>
      </c>
      <c r="Y285" s="104">
        <f t="shared" si="34"/>
        <v>46219</v>
      </c>
      <c r="Z285" s="105">
        <f ca="1" t="shared" si="35"/>
        <v>52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/>
      <c r="AM285" s="105"/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958</v>
      </c>
      <c r="C286" s="70" t="s">
        <v>203</v>
      </c>
      <c r="D286" s="71" t="s">
        <v>959</v>
      </c>
      <c r="E286" s="71" t="s">
        <v>279</v>
      </c>
      <c r="F286" s="72"/>
      <c r="G286" s="73"/>
      <c r="H286" s="75"/>
      <c r="I286" s="173">
        <v>46037</v>
      </c>
      <c r="J286" s="70">
        <v>3</v>
      </c>
      <c r="K286" s="106" t="s">
        <v>960</v>
      </c>
      <c r="L286" s="104">
        <f t="shared" si="36"/>
        <v>46127</v>
      </c>
      <c r="M286" s="105">
        <f ca="1" t="shared" si="37"/>
        <v>-40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34"/>
        <v>0</v>
      </c>
      <c r="Z286" s="105">
        <f ca="1" t="shared" si="35"/>
        <v>-46167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/>
      <c r="AM286" s="105"/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208</v>
      </c>
      <c r="C287" s="70" t="s">
        <v>203</v>
      </c>
      <c r="D287" s="71" t="s">
        <v>213</v>
      </c>
      <c r="E287" s="71" t="s">
        <v>214</v>
      </c>
      <c r="F287" s="72"/>
      <c r="G287" s="73"/>
      <c r="H287" s="75"/>
      <c r="I287" s="173">
        <v>46037</v>
      </c>
      <c r="J287" s="173" t="s">
        <v>596</v>
      </c>
      <c r="K287" s="106"/>
      <c r="L287" s="104" t="e">
        <f t="shared" si="36"/>
        <v>#VALUE!</v>
      </c>
      <c r="M287" s="105" t="e">
        <f ca="1" t="shared" si="37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34"/>
        <v>0</v>
      </c>
      <c r="Z287" s="105">
        <f ca="1" t="shared" si="35"/>
        <v>-46167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/>
      <c r="AM287" s="105"/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407</v>
      </c>
      <c r="C288" s="70" t="s">
        <v>13</v>
      </c>
      <c r="D288" s="71" t="s">
        <v>961</v>
      </c>
      <c r="E288" s="71" t="s">
        <v>962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963</v>
      </c>
      <c r="L288" s="104">
        <f t="shared" si="36"/>
        <v>46127</v>
      </c>
      <c r="M288" s="105">
        <f ca="1" t="shared" si="37"/>
        <v>-40</v>
      </c>
      <c r="N288" s="70"/>
      <c r="O288" s="70" t="s">
        <v>407</v>
      </c>
      <c r="P288" s="70" t="s">
        <v>13</v>
      </c>
      <c r="Q288" s="71" t="s">
        <v>961</v>
      </c>
      <c r="R288" s="71" t="s">
        <v>962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964</v>
      </c>
      <c r="Y288" s="104">
        <f t="shared" si="34"/>
        <v>46227</v>
      </c>
      <c r="Z288" s="105">
        <f ca="1" t="shared" si="35"/>
        <v>60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/>
      <c r="AM288" s="105"/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797</v>
      </c>
      <c r="C289" s="70" t="s">
        <v>287</v>
      </c>
      <c r="D289" s="71" t="s">
        <v>965</v>
      </c>
      <c r="E289" s="71" t="s">
        <v>510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966</v>
      </c>
      <c r="L289" s="104">
        <f t="shared" si="36"/>
        <v>46127</v>
      </c>
      <c r="M289" s="105">
        <f ca="1" t="shared" si="37"/>
        <v>-40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34"/>
        <v>0</v>
      </c>
      <c r="Z289" s="105">
        <f ca="1" t="shared" si="35"/>
        <v>-46167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/>
      <c r="AM289" s="105"/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607</v>
      </c>
      <c r="C290" s="70" t="s">
        <v>287</v>
      </c>
      <c r="D290" s="71" t="s">
        <v>967</v>
      </c>
      <c r="E290" s="71" t="s">
        <v>968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969</v>
      </c>
      <c r="L290" s="104">
        <f t="shared" si="36"/>
        <v>46127</v>
      </c>
      <c r="M290" s="105">
        <f ca="1" t="shared" si="37"/>
        <v>-40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34"/>
        <v>0</v>
      </c>
      <c r="Z290" s="105">
        <f ca="1" t="shared" si="35"/>
        <v>-46167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/>
      <c r="AM290" s="105"/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607</v>
      </c>
      <c r="C291" s="70" t="s">
        <v>287</v>
      </c>
      <c r="D291" s="71" t="s">
        <v>970</v>
      </c>
      <c r="E291" s="71" t="s">
        <v>418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971</v>
      </c>
      <c r="L291" s="104">
        <f t="shared" si="36"/>
        <v>46127</v>
      </c>
      <c r="M291" s="105">
        <f ca="1" t="shared" si="37"/>
        <v>-40</v>
      </c>
      <c r="N291" s="70"/>
      <c r="O291" s="70" t="s">
        <v>607</v>
      </c>
      <c r="P291" s="70" t="s">
        <v>287</v>
      </c>
      <c r="Q291" s="71" t="s">
        <v>970</v>
      </c>
      <c r="R291" s="71" t="s">
        <v>418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972</v>
      </c>
      <c r="Y291" s="104">
        <f t="shared" si="34"/>
        <v>46214</v>
      </c>
      <c r="Z291" s="105">
        <f ca="1" t="shared" si="35"/>
        <v>47</v>
      </c>
      <c r="AA291" s="70"/>
      <c r="AB291" s="70"/>
      <c r="AC291" s="70"/>
      <c r="AD291" s="71"/>
      <c r="AE291" s="71"/>
      <c r="AF291" s="72"/>
      <c r="AG291" s="73"/>
      <c r="AH291" s="79"/>
      <c r="AI291" s="102"/>
      <c r="AJ291" s="70"/>
      <c r="AK291" s="103"/>
      <c r="AL291" s="104"/>
      <c r="AM291" s="105"/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973</v>
      </c>
      <c r="E292" s="71" t="s">
        <v>28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974</v>
      </c>
      <c r="L292" s="104">
        <f t="shared" si="36"/>
        <v>46128</v>
      </c>
      <c r="M292" s="105">
        <f ca="1" t="shared" si="37"/>
        <v>-39</v>
      </c>
      <c r="N292" s="70"/>
      <c r="O292" s="70"/>
      <c r="P292" s="70"/>
      <c r="Q292" s="71"/>
      <c r="R292" s="71"/>
      <c r="S292" s="72"/>
      <c r="T292" s="73"/>
      <c r="U292" s="191"/>
      <c r="V292" s="102"/>
      <c r="W292" s="70"/>
      <c r="X292" s="103"/>
      <c r="Y292" s="104">
        <f t="shared" ref="Y292:Y301" si="38">EDATE(V292,W292)</f>
        <v>0</v>
      </c>
      <c r="Z292" s="105">
        <f ca="1" t="shared" ref="Z292:Z301" si="39">Y292-TODAY()</f>
        <v>-46167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/>
      <c r="AM292" s="105"/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975</v>
      </c>
      <c r="C293" s="70" t="s">
        <v>31</v>
      </c>
      <c r="D293" s="71" t="s">
        <v>976</v>
      </c>
      <c r="E293" s="71" t="s">
        <v>41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977</v>
      </c>
      <c r="L293" s="104">
        <f t="shared" si="36"/>
        <v>46128</v>
      </c>
      <c r="M293" s="105">
        <f ca="1" t="shared" si="37"/>
        <v>-39</v>
      </c>
      <c r="N293" s="70"/>
      <c r="O293" s="70"/>
      <c r="P293" s="70"/>
      <c r="Q293" s="71"/>
      <c r="R293" s="71"/>
      <c r="S293" s="72"/>
      <c r="T293" s="73"/>
      <c r="U293" s="114"/>
      <c r="V293" s="102"/>
      <c r="W293" s="70"/>
      <c r="X293" s="103"/>
      <c r="Y293" s="104">
        <f t="shared" si="38"/>
        <v>0</v>
      </c>
      <c r="Z293" s="105">
        <f ca="1" t="shared" si="39"/>
        <v>-46167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/>
      <c r="AM293" s="105"/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241</v>
      </c>
      <c r="C294" s="70" t="s">
        <v>13</v>
      </c>
      <c r="D294" s="71" t="s">
        <v>978</v>
      </c>
      <c r="E294" s="71" t="s">
        <v>979</v>
      </c>
      <c r="F294" s="72"/>
      <c r="G294" s="73"/>
      <c r="H294" s="157"/>
      <c r="I294" s="173">
        <v>46038</v>
      </c>
      <c r="J294" s="70">
        <v>3</v>
      </c>
      <c r="K294" s="106" t="s">
        <v>980</v>
      </c>
      <c r="L294" s="104">
        <f t="shared" si="36"/>
        <v>46128</v>
      </c>
      <c r="M294" s="105">
        <f ca="1" t="shared" si="37"/>
        <v>-39</v>
      </c>
      <c r="N294" s="70"/>
      <c r="O294" s="70"/>
      <c r="P294" s="70"/>
      <c r="Q294" s="71"/>
      <c r="R294" s="71"/>
      <c r="S294" s="72"/>
      <c r="T294" s="73"/>
      <c r="U294" s="79"/>
      <c r="V294" s="102"/>
      <c r="W294" s="70"/>
      <c r="X294" s="103"/>
      <c r="Y294" s="104">
        <f t="shared" si="38"/>
        <v>0</v>
      </c>
      <c r="Z294" s="105">
        <f ca="1" t="shared" si="39"/>
        <v>-46167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/>
      <c r="AM294" s="105"/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930</v>
      </c>
      <c r="C295" s="70" t="s">
        <v>31</v>
      </c>
      <c r="D295" s="71" t="s">
        <v>981</v>
      </c>
      <c r="E295" s="71" t="s">
        <v>148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982</v>
      </c>
      <c r="L295" s="104">
        <f t="shared" si="36"/>
        <v>46128</v>
      </c>
      <c r="M295" s="105">
        <f ca="1" t="shared" si="37"/>
        <v>-39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38"/>
        <v>0</v>
      </c>
      <c r="Z295" s="105">
        <f ca="1" t="shared" si="39"/>
        <v>-46167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930</v>
      </c>
      <c r="C296" s="70" t="s">
        <v>31</v>
      </c>
      <c r="D296" s="71" t="s">
        <v>983</v>
      </c>
      <c r="E296" s="71" t="s">
        <v>148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984</v>
      </c>
      <c r="L296" s="104">
        <f t="shared" si="36"/>
        <v>46128</v>
      </c>
      <c r="M296" s="105">
        <f ca="1" t="shared" si="37"/>
        <v>-39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38"/>
        <v>0</v>
      </c>
      <c r="Z296" s="105">
        <f ca="1" t="shared" si="39"/>
        <v>-46167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985</v>
      </c>
      <c r="C297" s="70" t="s">
        <v>13</v>
      </c>
      <c r="D297" s="71" t="s">
        <v>986</v>
      </c>
      <c r="E297" s="71" t="s">
        <v>61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987</v>
      </c>
      <c r="L297" s="104">
        <f t="shared" si="36"/>
        <v>46128</v>
      </c>
      <c r="M297" s="105">
        <f ca="1" t="shared" si="37"/>
        <v>-39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38"/>
        <v>0</v>
      </c>
      <c r="Z297" s="105">
        <f ca="1" t="shared" si="39"/>
        <v>-46167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/>
      <c r="AM297" s="105"/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985</v>
      </c>
      <c r="C298" s="70" t="s">
        <v>13</v>
      </c>
      <c r="D298" s="71" t="s">
        <v>988</v>
      </c>
      <c r="E298" s="71" t="s">
        <v>989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990</v>
      </c>
      <c r="L298" s="104">
        <f t="shared" si="36"/>
        <v>46128</v>
      </c>
      <c r="M298" s="105">
        <f ca="1" t="shared" si="37"/>
        <v>-39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38"/>
        <v>0</v>
      </c>
      <c r="Z298" s="105">
        <f ca="1" t="shared" si="39"/>
        <v>-46167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/>
      <c r="AM298" s="105"/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44</v>
      </c>
      <c r="C299" s="70" t="s">
        <v>13</v>
      </c>
      <c r="D299" s="71" t="s">
        <v>991</v>
      </c>
      <c r="E299" s="71" t="s">
        <v>37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992</v>
      </c>
      <c r="L299" s="104">
        <f t="shared" si="36"/>
        <v>46128</v>
      </c>
      <c r="M299" s="105">
        <f ca="1" t="shared" si="37"/>
        <v>-39</v>
      </c>
      <c r="N299" s="70"/>
      <c r="O299" s="70" t="s">
        <v>44</v>
      </c>
      <c r="P299" s="70" t="s">
        <v>13</v>
      </c>
      <c r="Q299" s="71" t="s">
        <v>991</v>
      </c>
      <c r="R299" s="71" t="s">
        <v>37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993</v>
      </c>
      <c r="Y299" s="104">
        <f t="shared" si="38"/>
        <v>46251</v>
      </c>
      <c r="Z299" s="105">
        <f ca="1" t="shared" si="39"/>
        <v>84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/>
      <c r="AM299" s="105"/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44</v>
      </c>
      <c r="C300" s="70" t="s">
        <v>13</v>
      </c>
      <c r="D300" s="71" t="s">
        <v>994</v>
      </c>
      <c r="E300" s="71" t="s">
        <v>37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995</v>
      </c>
      <c r="L300" s="104">
        <f t="shared" si="36"/>
        <v>46128</v>
      </c>
      <c r="M300" s="105">
        <f ca="1" t="shared" si="37"/>
        <v>-39</v>
      </c>
      <c r="N300" s="70"/>
      <c r="O300" s="70" t="s">
        <v>44</v>
      </c>
      <c r="P300" s="70" t="s">
        <v>13</v>
      </c>
      <c r="Q300" s="71" t="s">
        <v>994</v>
      </c>
      <c r="R300" s="71" t="s">
        <v>37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996</v>
      </c>
      <c r="Y300" s="104">
        <f t="shared" si="38"/>
        <v>46212</v>
      </c>
      <c r="Z300" s="105">
        <f ca="1" t="shared" si="39"/>
        <v>45</v>
      </c>
      <c r="AA300" s="70"/>
      <c r="AB300" s="70"/>
      <c r="AC300" s="70"/>
      <c r="AD300" s="71"/>
      <c r="AE300" s="71"/>
      <c r="AF300" s="72"/>
      <c r="AG300" s="73"/>
      <c r="AH300" s="79"/>
      <c r="AI300" s="102"/>
      <c r="AJ300" s="70"/>
      <c r="AK300" s="103"/>
      <c r="AL300" s="104"/>
      <c r="AM300" s="105"/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44</v>
      </c>
      <c r="C301" s="70" t="s">
        <v>13</v>
      </c>
      <c r="D301" s="71" t="s">
        <v>997</v>
      </c>
      <c r="E301" s="71" t="s">
        <v>998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999</v>
      </c>
      <c r="L301" s="104">
        <f t="shared" si="36"/>
        <v>46128</v>
      </c>
      <c r="M301" s="105">
        <f ca="1" t="shared" si="37"/>
        <v>-39</v>
      </c>
      <c r="N301" s="70"/>
      <c r="O301" s="70"/>
      <c r="P301" s="70"/>
      <c r="Q301" s="71"/>
      <c r="R301" s="71"/>
      <c r="S301" s="72"/>
      <c r="T301" s="73"/>
      <c r="U301" s="74"/>
      <c r="V301" s="102"/>
      <c r="W301" s="70"/>
      <c r="X301" s="103"/>
      <c r="Y301" s="104">
        <f t="shared" si="38"/>
        <v>0</v>
      </c>
      <c r="Z301" s="105">
        <f ca="1" t="shared" si="39"/>
        <v>-46167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/>
      <c r="AM301" s="105"/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44</v>
      </c>
      <c r="C302" s="70" t="s">
        <v>13</v>
      </c>
      <c r="D302" s="71" t="s">
        <v>1000</v>
      </c>
      <c r="E302" s="71" t="s">
        <v>37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1001</v>
      </c>
      <c r="L302" s="104">
        <f t="shared" si="36"/>
        <v>46128</v>
      </c>
      <c r="M302" s="105">
        <f ca="1" t="shared" si="37"/>
        <v>-39</v>
      </c>
      <c r="N302" s="70"/>
      <c r="O302" s="70" t="s">
        <v>44</v>
      </c>
      <c r="P302" s="70" t="s">
        <v>13</v>
      </c>
      <c r="Q302" s="71" t="s">
        <v>1000</v>
      </c>
      <c r="R302" s="71" t="s">
        <v>37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1002</v>
      </c>
      <c r="Y302" s="104">
        <f t="shared" ref="Y302:Y324" si="40">EDATE(V302,W302)</f>
        <v>46252</v>
      </c>
      <c r="Z302" s="105">
        <f ca="1" t="shared" ref="Z302:Z324" si="41">Y302-TODAY()</f>
        <v>85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/>
      <c r="AM302" s="105"/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607</v>
      </c>
      <c r="C303" s="70" t="s">
        <v>287</v>
      </c>
      <c r="D303" s="71" t="s">
        <v>1003</v>
      </c>
      <c r="E303" s="71" t="s">
        <v>418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1004</v>
      </c>
      <c r="L303" s="104">
        <f t="shared" si="36"/>
        <v>46128</v>
      </c>
      <c r="M303" s="105">
        <f ca="1" t="shared" si="37"/>
        <v>-39</v>
      </c>
      <c r="N303" s="70"/>
      <c r="O303" s="70" t="s">
        <v>607</v>
      </c>
      <c r="P303" s="70" t="s">
        <v>287</v>
      </c>
      <c r="Q303" s="71" t="s">
        <v>1003</v>
      </c>
      <c r="R303" s="71" t="s">
        <v>418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1005</v>
      </c>
      <c r="Y303" s="104">
        <f t="shared" si="40"/>
        <v>46214</v>
      </c>
      <c r="Z303" s="105">
        <f ca="1" t="shared" si="41"/>
        <v>47</v>
      </c>
      <c r="AA303" s="70"/>
      <c r="AB303" s="70"/>
      <c r="AC303" s="70"/>
      <c r="AD303" s="71"/>
      <c r="AE303" s="71"/>
      <c r="AF303" s="72"/>
      <c r="AG303" s="73"/>
      <c r="AH303" s="194"/>
      <c r="AI303" s="102"/>
      <c r="AJ303" s="70"/>
      <c r="AK303" s="103"/>
      <c r="AL303" s="104"/>
      <c r="AM303" s="105"/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607</v>
      </c>
      <c r="C304" s="70" t="s">
        <v>287</v>
      </c>
      <c r="D304" s="71" t="s">
        <v>1006</v>
      </c>
      <c r="E304" s="71" t="s">
        <v>418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1007</v>
      </c>
      <c r="L304" s="104">
        <f t="shared" si="36"/>
        <v>46128</v>
      </c>
      <c r="M304" s="105">
        <f ca="1" t="shared" si="37"/>
        <v>-39</v>
      </c>
      <c r="N304" s="70"/>
      <c r="O304" s="70" t="s">
        <v>607</v>
      </c>
      <c r="P304" s="70" t="s">
        <v>287</v>
      </c>
      <c r="Q304" s="71" t="s">
        <v>1006</v>
      </c>
      <c r="R304" s="71" t="s">
        <v>418</v>
      </c>
      <c r="S304" s="72"/>
      <c r="T304" s="73"/>
      <c r="U304" s="114" t="s">
        <v>16</v>
      </c>
      <c r="V304" s="192">
        <v>46124</v>
      </c>
      <c r="W304" s="70">
        <v>3</v>
      </c>
      <c r="X304" s="103" t="s">
        <v>1008</v>
      </c>
      <c r="Y304" s="104">
        <f t="shared" si="40"/>
        <v>46215</v>
      </c>
      <c r="Z304" s="105">
        <f ca="1" t="shared" si="41"/>
        <v>48</v>
      </c>
      <c r="AA304" s="70"/>
      <c r="AB304" s="70"/>
      <c r="AC304" s="70"/>
      <c r="AD304" s="71"/>
      <c r="AE304" s="71"/>
      <c r="AF304" s="72"/>
      <c r="AG304" s="73"/>
      <c r="AH304" s="114"/>
      <c r="AI304" s="102"/>
      <c r="AJ304" s="70"/>
      <c r="AK304" s="103"/>
      <c r="AL304" s="104"/>
      <c r="AM304" s="105"/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607</v>
      </c>
      <c r="C305" s="70" t="s">
        <v>287</v>
      </c>
      <c r="D305" s="71" t="s">
        <v>1009</v>
      </c>
      <c r="E305" s="71" t="s">
        <v>418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1010</v>
      </c>
      <c r="L305" s="104">
        <f t="shared" si="36"/>
        <v>46128</v>
      </c>
      <c r="M305" s="105">
        <f ca="1" t="shared" si="37"/>
        <v>-39</v>
      </c>
      <c r="N305" s="70"/>
      <c r="O305" s="70" t="s">
        <v>607</v>
      </c>
      <c r="P305" s="70" t="s">
        <v>287</v>
      </c>
      <c r="Q305" s="71" t="s">
        <v>1009</v>
      </c>
      <c r="R305" s="71" t="s">
        <v>418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1011</v>
      </c>
      <c r="Y305" s="104">
        <f t="shared" si="40"/>
        <v>46222</v>
      </c>
      <c r="Z305" s="105">
        <f ca="1" t="shared" si="41"/>
        <v>55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/>
      <c r="AM305" s="105"/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805</v>
      </c>
      <c r="C306" s="70" t="s">
        <v>287</v>
      </c>
      <c r="D306" s="71" t="s">
        <v>1012</v>
      </c>
      <c r="E306" s="71" t="s">
        <v>1013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1014</v>
      </c>
      <c r="L306" s="104">
        <f t="shared" si="36"/>
        <v>46128</v>
      </c>
      <c r="M306" s="105">
        <f ca="1" t="shared" si="37"/>
        <v>-39</v>
      </c>
      <c r="N306" s="70"/>
      <c r="O306" s="70" t="s">
        <v>805</v>
      </c>
      <c r="P306" s="70" t="s">
        <v>287</v>
      </c>
      <c r="Q306" s="71" t="s">
        <v>1012</v>
      </c>
      <c r="R306" s="71" t="s">
        <v>1013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1015</v>
      </c>
      <c r="Y306" s="104">
        <f t="shared" si="40"/>
        <v>46214</v>
      </c>
      <c r="Z306" s="105">
        <f ca="1" t="shared" si="41"/>
        <v>47</v>
      </c>
      <c r="AA306" s="70"/>
      <c r="AB306" s="70"/>
      <c r="AC306" s="70"/>
      <c r="AD306" s="71"/>
      <c r="AE306" s="71"/>
      <c r="AF306" s="72"/>
      <c r="AG306" s="73"/>
      <c r="AH306" s="79"/>
      <c r="AI306" s="102"/>
      <c r="AJ306" s="70"/>
      <c r="AK306" s="103"/>
      <c r="AL306" s="104"/>
      <c r="AM306" s="105"/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31</v>
      </c>
      <c r="D307" s="71" t="s">
        <v>1016</v>
      </c>
      <c r="E307" s="71" t="s">
        <v>24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1017</v>
      </c>
      <c r="L307" s="104">
        <f t="shared" si="36"/>
        <v>46129</v>
      </c>
      <c r="M307" s="105">
        <f ca="1" t="shared" si="37"/>
        <v>-38</v>
      </c>
      <c r="N307" s="70"/>
      <c r="O307" s="70" t="s">
        <v>12</v>
      </c>
      <c r="P307" s="70" t="s">
        <v>31</v>
      </c>
      <c r="Q307" s="71" t="s">
        <v>1016</v>
      </c>
      <c r="R307" s="71" t="s">
        <v>24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1018</v>
      </c>
      <c r="Y307" s="104">
        <f t="shared" si="40"/>
        <v>46224</v>
      </c>
      <c r="Z307" s="105">
        <f ca="1" t="shared" si="41"/>
        <v>57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/>
      <c r="AM307" s="105"/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31</v>
      </c>
      <c r="D308" s="71" t="s">
        <v>1019</v>
      </c>
      <c r="E308" s="71" t="s">
        <v>148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1020</v>
      </c>
      <c r="L308" s="104">
        <f t="shared" si="36"/>
        <v>46129</v>
      </c>
      <c r="M308" s="105">
        <f ca="1" t="shared" si="37"/>
        <v>-38</v>
      </c>
      <c r="N308" s="70"/>
      <c r="O308" s="70" t="s">
        <v>12</v>
      </c>
      <c r="P308" s="70" t="s">
        <v>31</v>
      </c>
      <c r="Q308" s="71" t="s">
        <v>1019</v>
      </c>
      <c r="R308" s="71" t="s">
        <v>148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1021</v>
      </c>
      <c r="Y308" s="104">
        <f t="shared" si="40"/>
        <v>46212</v>
      </c>
      <c r="Z308" s="105">
        <f ca="1" t="shared" si="41"/>
        <v>45</v>
      </c>
      <c r="AA308" s="70"/>
      <c r="AB308" s="70"/>
      <c r="AC308" s="70"/>
      <c r="AD308" s="71"/>
      <c r="AE308" s="71"/>
      <c r="AF308" s="72"/>
      <c r="AG308" s="73"/>
      <c r="AH308" s="79"/>
      <c r="AI308" s="102"/>
      <c r="AJ308" s="70"/>
      <c r="AK308" s="103"/>
      <c r="AL308" s="104"/>
      <c r="AM308" s="105"/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530</v>
      </c>
      <c r="C309" s="70" t="s">
        <v>13</v>
      </c>
      <c r="D309" s="71" t="s">
        <v>1022</v>
      </c>
      <c r="E309" s="71" t="s">
        <v>1023</v>
      </c>
      <c r="F309" s="72"/>
      <c r="G309" s="73"/>
      <c r="H309" s="157"/>
      <c r="I309" s="173">
        <v>46039</v>
      </c>
      <c r="J309" s="70">
        <v>3</v>
      </c>
      <c r="K309" s="106" t="s">
        <v>1024</v>
      </c>
      <c r="L309" s="104">
        <f t="shared" si="36"/>
        <v>46129</v>
      </c>
      <c r="M309" s="105">
        <f ca="1" t="shared" si="37"/>
        <v>-38</v>
      </c>
      <c r="N309" s="70"/>
      <c r="O309" s="70" t="s">
        <v>530</v>
      </c>
      <c r="P309" s="70" t="s">
        <v>13</v>
      </c>
      <c r="Q309" s="71" t="s">
        <v>1022</v>
      </c>
      <c r="R309" s="71" t="s">
        <v>1023</v>
      </c>
      <c r="S309" s="72"/>
      <c r="T309" s="73"/>
      <c r="U309" s="157"/>
      <c r="V309" s="102">
        <v>46145</v>
      </c>
      <c r="W309" s="70">
        <v>3</v>
      </c>
      <c r="X309" s="103" t="s">
        <v>1025</v>
      </c>
      <c r="Y309" s="104">
        <f t="shared" si="40"/>
        <v>46237</v>
      </c>
      <c r="Z309" s="105">
        <f ca="1" t="shared" si="41"/>
        <v>70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/>
      <c r="AM309" s="105"/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530</v>
      </c>
      <c r="C310" s="70" t="s">
        <v>31</v>
      </c>
      <c r="D310" s="71" t="s">
        <v>1026</v>
      </c>
      <c r="E310" s="71" t="s">
        <v>1027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1028</v>
      </c>
      <c r="L310" s="104">
        <f t="shared" si="36"/>
        <v>46129</v>
      </c>
      <c r="M310" s="105">
        <f ca="1" t="shared" si="37"/>
        <v>-38</v>
      </c>
      <c r="N310" s="70"/>
      <c r="O310" s="70" t="s">
        <v>530</v>
      </c>
      <c r="P310" s="70" t="s">
        <v>31</v>
      </c>
      <c r="Q310" s="71" t="s">
        <v>1026</v>
      </c>
      <c r="R310" s="71" t="s">
        <v>1027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1029</v>
      </c>
      <c r="Y310" s="104">
        <f t="shared" si="40"/>
        <v>46226</v>
      </c>
      <c r="Z310" s="105">
        <f ca="1" t="shared" si="41"/>
        <v>59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/>
      <c r="AM310" s="105"/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530</v>
      </c>
      <c r="C311" s="70" t="s">
        <v>13</v>
      </c>
      <c r="D311" s="71" t="s">
        <v>1030</v>
      </c>
      <c r="E311" s="71" t="s">
        <v>1031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1032</v>
      </c>
      <c r="L311" s="104">
        <f t="shared" si="36"/>
        <v>46129</v>
      </c>
      <c r="M311" s="105">
        <f ca="1" t="shared" si="37"/>
        <v>-38</v>
      </c>
      <c r="N311" s="70"/>
      <c r="O311" s="70" t="s">
        <v>530</v>
      </c>
      <c r="P311" s="70" t="s">
        <v>13</v>
      </c>
      <c r="Q311" s="71" t="s">
        <v>1030</v>
      </c>
      <c r="R311" s="71" t="s">
        <v>1031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1033</v>
      </c>
      <c r="Y311" s="104">
        <f t="shared" si="40"/>
        <v>46237</v>
      </c>
      <c r="Z311" s="105">
        <f ca="1" t="shared" si="41"/>
        <v>70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/>
      <c r="AM311" s="105"/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530</v>
      </c>
      <c r="C312" s="70" t="s">
        <v>31</v>
      </c>
      <c r="D312" s="71" t="s">
        <v>1034</v>
      </c>
      <c r="E312" s="71" t="s">
        <v>1035</v>
      </c>
      <c r="F312" s="72"/>
      <c r="G312" s="73"/>
      <c r="H312" s="157"/>
      <c r="I312" s="173">
        <v>46039</v>
      </c>
      <c r="J312" s="70">
        <v>3</v>
      </c>
      <c r="K312" s="106" t="s">
        <v>1036</v>
      </c>
      <c r="L312" s="104">
        <f t="shared" si="36"/>
        <v>46129</v>
      </c>
      <c r="M312" s="105">
        <f ca="1" t="shared" si="37"/>
        <v>-38</v>
      </c>
      <c r="N312" s="70"/>
      <c r="O312" s="70" t="s">
        <v>530</v>
      </c>
      <c r="P312" s="70" t="s">
        <v>31</v>
      </c>
      <c r="Q312" s="71" t="s">
        <v>1034</v>
      </c>
      <c r="R312" s="71" t="s">
        <v>1035</v>
      </c>
      <c r="S312" s="72"/>
      <c r="T312" s="73"/>
      <c r="U312" s="157"/>
      <c r="V312" s="102">
        <v>46135</v>
      </c>
      <c r="W312" s="70">
        <v>3</v>
      </c>
      <c r="X312" s="103" t="s">
        <v>1037</v>
      </c>
      <c r="Y312" s="104">
        <f t="shared" si="40"/>
        <v>46226</v>
      </c>
      <c r="Z312" s="105">
        <f ca="1" t="shared" si="41"/>
        <v>59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/>
      <c r="AM312" s="105"/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178</v>
      </c>
      <c r="C313" s="70" t="s">
        <v>31</v>
      </c>
      <c r="D313" s="71" t="s">
        <v>166</v>
      </c>
      <c r="E313" s="71" t="s">
        <v>167</v>
      </c>
      <c r="F313" s="72"/>
      <c r="G313" s="73"/>
      <c r="H313" s="157"/>
      <c r="I313" s="173">
        <v>46039</v>
      </c>
      <c r="J313" s="70">
        <v>3</v>
      </c>
      <c r="K313" s="106" t="s">
        <v>1038</v>
      </c>
      <c r="L313" s="104">
        <f t="shared" si="36"/>
        <v>46129</v>
      </c>
      <c r="M313" s="105">
        <f ca="1" t="shared" si="37"/>
        <v>-38</v>
      </c>
      <c r="N313" s="70"/>
      <c r="O313" s="70" t="s">
        <v>178</v>
      </c>
      <c r="P313" s="70" t="s">
        <v>31</v>
      </c>
      <c r="Q313" s="71" t="s">
        <v>166</v>
      </c>
      <c r="R313" s="71" t="s">
        <v>167</v>
      </c>
      <c r="S313" s="72"/>
      <c r="T313" s="73"/>
      <c r="U313" s="157"/>
      <c r="V313" s="102">
        <v>46122</v>
      </c>
      <c r="W313" s="70">
        <v>3</v>
      </c>
      <c r="X313" s="103" t="s">
        <v>1039</v>
      </c>
      <c r="Y313" s="104">
        <f t="shared" si="40"/>
        <v>46213</v>
      </c>
      <c r="Z313" s="105">
        <f ca="1" t="shared" si="41"/>
        <v>46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/>
      <c r="AM313" s="105"/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178</v>
      </c>
      <c r="C314" s="70" t="s">
        <v>31</v>
      </c>
      <c r="D314" s="71" t="s">
        <v>1040</v>
      </c>
      <c r="E314" s="71" t="s">
        <v>1041</v>
      </c>
      <c r="F314" s="72"/>
      <c r="G314" s="73"/>
      <c r="H314" s="157"/>
      <c r="I314" s="173">
        <v>46039</v>
      </c>
      <c r="J314" s="70">
        <v>3</v>
      </c>
      <c r="K314" s="106" t="s">
        <v>1042</v>
      </c>
      <c r="L314" s="104">
        <f t="shared" si="36"/>
        <v>46129</v>
      </c>
      <c r="M314" s="105">
        <f ca="1" t="shared" si="37"/>
        <v>-38</v>
      </c>
      <c r="N314" s="70"/>
      <c r="O314" s="70" t="s">
        <v>178</v>
      </c>
      <c r="P314" s="70" t="s">
        <v>31</v>
      </c>
      <c r="Q314" s="71" t="s">
        <v>1040</v>
      </c>
      <c r="R314" s="71" t="s">
        <v>1041</v>
      </c>
      <c r="S314" s="72"/>
      <c r="T314" s="73"/>
      <c r="U314" s="157"/>
      <c r="V314" s="102">
        <v>46122</v>
      </c>
      <c r="W314" s="70">
        <v>3</v>
      </c>
      <c r="X314" s="103" t="s">
        <v>1043</v>
      </c>
      <c r="Y314" s="104">
        <f t="shared" si="40"/>
        <v>46213</v>
      </c>
      <c r="Z314" s="105">
        <f ca="1" t="shared" si="41"/>
        <v>46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/>
      <c r="AM314" s="105"/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59</v>
      </c>
      <c r="C315" s="70" t="s">
        <v>31</v>
      </c>
      <c r="D315" s="71" t="s">
        <v>645</v>
      </c>
      <c r="E315" s="71" t="s">
        <v>453</v>
      </c>
      <c r="F315" s="72"/>
      <c r="G315" s="73"/>
      <c r="H315" s="157"/>
      <c r="I315" s="173">
        <v>46039</v>
      </c>
      <c r="J315" s="70">
        <v>3</v>
      </c>
      <c r="K315" s="106" t="s">
        <v>1044</v>
      </c>
      <c r="L315" s="104">
        <f t="shared" si="36"/>
        <v>46129</v>
      </c>
      <c r="M315" s="105">
        <f ca="1" t="shared" si="37"/>
        <v>-38</v>
      </c>
      <c r="N315" s="70"/>
      <c r="O315" s="70" t="s">
        <v>59</v>
      </c>
      <c r="P315" s="70" t="s">
        <v>31</v>
      </c>
      <c r="Q315" s="71" t="s">
        <v>645</v>
      </c>
      <c r="R315" s="71" t="s">
        <v>453</v>
      </c>
      <c r="S315" s="72"/>
      <c r="T315" s="73"/>
      <c r="U315" s="157"/>
      <c r="V315" s="102">
        <v>46127</v>
      </c>
      <c r="W315" s="70">
        <v>3</v>
      </c>
      <c r="X315" s="103" t="s">
        <v>1045</v>
      </c>
      <c r="Y315" s="104">
        <f t="shared" si="40"/>
        <v>46218</v>
      </c>
      <c r="Z315" s="105">
        <f ca="1" t="shared" si="41"/>
        <v>51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/>
      <c r="AM315" s="105"/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59</v>
      </c>
      <c r="C316" s="70" t="s">
        <v>31</v>
      </c>
      <c r="D316" s="71" t="s">
        <v>642</v>
      </c>
      <c r="E316" s="71" t="s">
        <v>456</v>
      </c>
      <c r="F316" s="72"/>
      <c r="G316" s="73"/>
      <c r="H316" s="157"/>
      <c r="I316" s="173">
        <v>46039</v>
      </c>
      <c r="J316" s="70">
        <v>3</v>
      </c>
      <c r="K316" s="106" t="s">
        <v>1046</v>
      </c>
      <c r="L316" s="104">
        <f t="shared" si="36"/>
        <v>46129</v>
      </c>
      <c r="M316" s="105">
        <f ca="1" t="shared" si="37"/>
        <v>-38</v>
      </c>
      <c r="N316" s="70"/>
      <c r="O316" s="70" t="s">
        <v>59</v>
      </c>
      <c r="P316" s="70" t="s">
        <v>31</v>
      </c>
      <c r="Q316" s="71" t="s">
        <v>642</v>
      </c>
      <c r="R316" s="71" t="s">
        <v>456</v>
      </c>
      <c r="S316" s="72"/>
      <c r="T316" s="73"/>
      <c r="U316" s="157"/>
      <c r="V316" s="102">
        <v>46127</v>
      </c>
      <c r="W316" s="70">
        <v>3</v>
      </c>
      <c r="X316" s="103" t="s">
        <v>1047</v>
      </c>
      <c r="Y316" s="104">
        <f t="shared" si="40"/>
        <v>46218</v>
      </c>
      <c r="Z316" s="105">
        <f ca="1" t="shared" si="41"/>
        <v>51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/>
      <c r="AM316" s="105"/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1048</v>
      </c>
      <c r="C317" s="70" t="s">
        <v>13</v>
      </c>
      <c r="D317" s="71" t="s">
        <v>1049</v>
      </c>
      <c r="E317" s="71" t="s">
        <v>1050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1051</v>
      </c>
      <c r="L317" s="104">
        <f t="shared" si="36"/>
        <v>46129</v>
      </c>
      <c r="M317" s="105">
        <f ca="1" t="shared" si="37"/>
        <v>-38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40"/>
        <v>0</v>
      </c>
      <c r="Z317" s="105">
        <f ca="1" t="shared" si="41"/>
        <v>-46167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/>
      <c r="AM317" s="105"/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1048</v>
      </c>
      <c r="C318" s="70" t="s">
        <v>13</v>
      </c>
      <c r="D318" s="71" t="s">
        <v>1052</v>
      </c>
      <c r="E318" s="71" t="s">
        <v>1053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1054</v>
      </c>
      <c r="L318" s="104">
        <f t="shared" si="36"/>
        <v>46129</v>
      </c>
      <c r="M318" s="105">
        <f ca="1" t="shared" si="37"/>
        <v>-38</v>
      </c>
      <c r="N318" s="70"/>
      <c r="O318" s="70" t="s">
        <v>1048</v>
      </c>
      <c r="P318" s="70" t="s">
        <v>13</v>
      </c>
      <c r="Q318" s="71" t="s">
        <v>1052</v>
      </c>
      <c r="R318" s="71" t="s">
        <v>1053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1055</v>
      </c>
      <c r="Y318" s="104">
        <f t="shared" si="40"/>
        <v>46215</v>
      </c>
      <c r="Z318" s="105">
        <f ca="1" t="shared" si="41"/>
        <v>48</v>
      </c>
      <c r="AA318" s="70"/>
      <c r="AB318" s="70"/>
      <c r="AC318" s="70"/>
      <c r="AD318" s="71"/>
      <c r="AE318" s="71"/>
      <c r="AF318" s="72"/>
      <c r="AG318" s="73"/>
      <c r="AH318" s="79"/>
      <c r="AI318" s="102"/>
      <c r="AJ318" s="70"/>
      <c r="AK318" s="103"/>
      <c r="AL318" s="104"/>
      <c r="AM318" s="105"/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44</v>
      </c>
      <c r="C319" s="70" t="s">
        <v>31</v>
      </c>
      <c r="D319" s="71" t="s">
        <v>1056</v>
      </c>
      <c r="E319" s="71" t="s">
        <v>148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1057</v>
      </c>
      <c r="L319" s="104">
        <f t="shared" si="36"/>
        <v>46129</v>
      </c>
      <c r="M319" s="105">
        <f ca="1" t="shared" si="37"/>
        <v>-38</v>
      </c>
      <c r="N319" s="70"/>
      <c r="O319" s="70"/>
      <c r="P319" s="70"/>
      <c r="Q319" s="71"/>
      <c r="R319" s="71"/>
      <c r="S319" s="72"/>
      <c r="T319" s="73"/>
      <c r="U319" s="114"/>
      <c r="V319" s="102"/>
      <c r="W319" s="70"/>
      <c r="X319" s="103"/>
      <c r="Y319" s="104">
        <f t="shared" si="40"/>
        <v>0</v>
      </c>
      <c r="Z319" s="105">
        <f ca="1" t="shared" si="41"/>
        <v>-46167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/>
      <c r="AM319" s="105"/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44</v>
      </c>
      <c r="C320" s="70" t="s">
        <v>31</v>
      </c>
      <c r="D320" s="71" t="s">
        <v>1058</v>
      </c>
      <c r="E320" s="71" t="s">
        <v>148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1059</v>
      </c>
      <c r="L320" s="104">
        <f t="shared" si="36"/>
        <v>46129</v>
      </c>
      <c r="M320" s="105">
        <f ca="1" t="shared" si="37"/>
        <v>-38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40"/>
        <v>0</v>
      </c>
      <c r="Z320" s="105">
        <f ca="1" t="shared" si="41"/>
        <v>-46167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/>
      <c r="AM320" s="105"/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985</v>
      </c>
      <c r="C321" s="70" t="s">
        <v>31</v>
      </c>
      <c r="D321" s="71" t="s">
        <v>1060</v>
      </c>
      <c r="E321" s="71" t="s">
        <v>148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1061</v>
      </c>
      <c r="L321" s="104">
        <f t="shared" si="36"/>
        <v>46129</v>
      </c>
      <c r="M321" s="105">
        <f ca="1" t="shared" si="37"/>
        <v>-38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40"/>
        <v>0</v>
      </c>
      <c r="Z321" s="105">
        <f ca="1" t="shared" si="41"/>
        <v>-46167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/>
      <c r="AM321" s="105"/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985</v>
      </c>
      <c r="C322" s="70" t="s">
        <v>31</v>
      </c>
      <c r="D322" s="71" t="s">
        <v>1062</v>
      </c>
      <c r="E322" s="71" t="s">
        <v>148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1063</v>
      </c>
      <c r="L322" s="104">
        <f t="shared" ref="L322:L385" si="42">EDATE(I322,J322)</f>
        <v>46129</v>
      </c>
      <c r="M322" s="105">
        <f ca="1" t="shared" ref="M322:M385" si="43">L322-TODAY()</f>
        <v>-38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40"/>
        <v>0</v>
      </c>
      <c r="Z322" s="105">
        <f ca="1" t="shared" si="41"/>
        <v>-46167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/>
      <c r="AM322" s="105"/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985</v>
      </c>
      <c r="C323" s="70" t="s">
        <v>31</v>
      </c>
      <c r="D323" s="71" t="s">
        <v>1064</v>
      </c>
      <c r="E323" s="71" t="s">
        <v>148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1065</v>
      </c>
      <c r="L323" s="104">
        <f t="shared" si="42"/>
        <v>46129</v>
      </c>
      <c r="M323" s="105">
        <f ca="1" t="shared" si="43"/>
        <v>-38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40"/>
        <v>0</v>
      </c>
      <c r="Z323" s="105">
        <f ca="1" t="shared" si="41"/>
        <v>-46167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/>
      <c r="AM323" s="105"/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985</v>
      </c>
      <c r="C324" s="70" t="s">
        <v>31</v>
      </c>
      <c r="D324" s="71" t="s">
        <v>1066</v>
      </c>
      <c r="E324" s="71" t="s">
        <v>148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1067</v>
      </c>
      <c r="L324" s="104">
        <f t="shared" si="42"/>
        <v>46129</v>
      </c>
      <c r="M324" s="105">
        <f ca="1" t="shared" si="43"/>
        <v>-38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44">EDATE(V324,W324)</f>
        <v>0</v>
      </c>
      <c r="Z324" s="105">
        <f ca="1" t="shared" ref="Z324:Z352" si="45">Y324-TODAY()</f>
        <v>-46167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/>
      <c r="AM324" s="105"/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985</v>
      </c>
      <c r="C325" s="70" t="s">
        <v>31</v>
      </c>
      <c r="D325" s="71" t="s">
        <v>1068</v>
      </c>
      <c r="E325" s="71" t="s">
        <v>148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1069</v>
      </c>
      <c r="L325" s="104">
        <f t="shared" si="42"/>
        <v>46129</v>
      </c>
      <c r="M325" s="105">
        <f ca="1" t="shared" si="43"/>
        <v>-38</v>
      </c>
      <c r="N325" s="70"/>
      <c r="O325" s="70" t="s">
        <v>985</v>
      </c>
      <c r="P325" s="70" t="s">
        <v>31</v>
      </c>
      <c r="Q325" s="71" t="s">
        <v>1068</v>
      </c>
      <c r="R325" s="71" t="s">
        <v>148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1070</v>
      </c>
      <c r="Y325" s="104">
        <f t="shared" si="44"/>
        <v>46249</v>
      </c>
      <c r="Z325" s="105">
        <f ca="1" t="shared" si="45"/>
        <v>82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/>
      <c r="AM325" s="105"/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985</v>
      </c>
      <c r="C326" s="70" t="s">
        <v>13</v>
      </c>
      <c r="D326" s="71" t="s">
        <v>1071</v>
      </c>
      <c r="E326" s="71" t="s">
        <v>989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1072</v>
      </c>
      <c r="L326" s="104">
        <f t="shared" si="42"/>
        <v>46129</v>
      </c>
      <c r="M326" s="105">
        <f ca="1" t="shared" si="43"/>
        <v>-38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44"/>
        <v>0</v>
      </c>
      <c r="Z326" s="105">
        <f ca="1" t="shared" si="45"/>
        <v>-46167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/>
      <c r="AM326" s="105"/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985</v>
      </c>
      <c r="C327" s="70" t="s">
        <v>13</v>
      </c>
      <c r="D327" s="71" t="s">
        <v>1073</v>
      </c>
      <c r="E327" s="71" t="s">
        <v>61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1074</v>
      </c>
      <c r="L327" s="104">
        <f t="shared" si="42"/>
        <v>46129</v>
      </c>
      <c r="M327" s="105">
        <f ca="1" t="shared" si="43"/>
        <v>-38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44"/>
        <v>0</v>
      </c>
      <c r="Z327" s="105">
        <f ca="1" t="shared" si="45"/>
        <v>-46167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/>
      <c r="AM327" s="105"/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1075</v>
      </c>
      <c r="C328" s="70" t="s">
        <v>31</v>
      </c>
      <c r="D328" s="71" t="s">
        <v>1076</v>
      </c>
      <c r="E328" s="71" t="s">
        <v>1077</v>
      </c>
      <c r="F328" s="72"/>
      <c r="G328" s="73"/>
      <c r="H328" s="157"/>
      <c r="I328" s="173">
        <v>46039</v>
      </c>
      <c r="J328" s="70">
        <v>3</v>
      </c>
      <c r="K328" s="106" t="s">
        <v>1078</v>
      </c>
      <c r="L328" s="104">
        <f t="shared" si="42"/>
        <v>46129</v>
      </c>
      <c r="M328" s="105">
        <f ca="1" t="shared" si="43"/>
        <v>-38</v>
      </c>
      <c r="N328" s="70"/>
      <c r="O328" s="70"/>
      <c r="P328" s="70"/>
      <c r="Q328" s="71"/>
      <c r="R328" s="71"/>
      <c r="S328" s="72"/>
      <c r="T328" s="73"/>
      <c r="U328" s="114"/>
      <c r="V328" s="102"/>
      <c r="W328" s="70"/>
      <c r="X328" s="103"/>
      <c r="Y328" s="104">
        <f t="shared" si="44"/>
        <v>0</v>
      </c>
      <c r="Z328" s="105">
        <f ca="1" t="shared" si="45"/>
        <v>-46167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/>
      <c r="AM328" s="105"/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497</v>
      </c>
      <c r="C329" s="70" t="s">
        <v>203</v>
      </c>
      <c r="D329" s="71" t="s">
        <v>204</v>
      </c>
      <c r="E329" s="71" t="s">
        <v>205</v>
      </c>
      <c r="F329" s="72"/>
      <c r="G329" s="73"/>
      <c r="H329" s="157"/>
      <c r="I329" s="173">
        <v>46039</v>
      </c>
      <c r="J329" s="173" t="s">
        <v>596</v>
      </c>
      <c r="K329" s="106"/>
      <c r="L329" s="104" t="e">
        <f t="shared" si="42"/>
        <v>#VALUE!</v>
      </c>
      <c r="M329" s="105" t="e">
        <f ca="1" t="shared" si="43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44"/>
        <v>0</v>
      </c>
      <c r="Z329" s="105">
        <f ca="1" t="shared" si="45"/>
        <v>-46167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/>
      <c r="AM329" s="105"/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1079</v>
      </c>
      <c r="C330" s="70" t="s">
        <v>287</v>
      </c>
      <c r="D330" s="71" t="s">
        <v>1080</v>
      </c>
      <c r="E330" s="71" t="s">
        <v>1081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1082</v>
      </c>
      <c r="L330" s="104">
        <f t="shared" si="42"/>
        <v>46129</v>
      </c>
      <c r="M330" s="105">
        <f ca="1" t="shared" si="43"/>
        <v>-38</v>
      </c>
      <c r="N330" s="70"/>
      <c r="O330" s="70" t="s">
        <v>1079</v>
      </c>
      <c r="P330" s="70" t="s">
        <v>287</v>
      </c>
      <c r="Q330" s="71" t="s">
        <v>1080</v>
      </c>
      <c r="R330" s="71" t="s">
        <v>1081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1083</v>
      </c>
      <c r="Y330" s="104">
        <f t="shared" si="44"/>
        <v>46220</v>
      </c>
      <c r="Z330" s="105">
        <f ca="1" t="shared" si="45"/>
        <v>53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/>
      <c r="AM330" s="105"/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1084</v>
      </c>
      <c r="C331" s="70" t="s">
        <v>287</v>
      </c>
      <c r="D331" s="71" t="s">
        <v>1085</v>
      </c>
      <c r="E331" s="71" t="s">
        <v>1086</v>
      </c>
      <c r="F331" s="72"/>
      <c r="G331" s="73"/>
      <c r="H331" s="75"/>
      <c r="I331" s="173">
        <v>46039</v>
      </c>
      <c r="J331" s="70">
        <v>3</v>
      </c>
      <c r="K331" s="106" t="s">
        <v>1087</v>
      </c>
      <c r="L331" s="104">
        <f t="shared" si="42"/>
        <v>46129</v>
      </c>
      <c r="M331" s="105">
        <f ca="1" t="shared" si="43"/>
        <v>-38</v>
      </c>
      <c r="N331" s="70"/>
      <c r="O331" s="70"/>
      <c r="P331" s="70"/>
      <c r="Q331" s="71"/>
      <c r="R331" s="71"/>
      <c r="S331" s="72"/>
      <c r="T331" s="73"/>
      <c r="U331" s="196"/>
      <c r="V331" s="102"/>
      <c r="W331" s="70"/>
      <c r="X331" s="103"/>
      <c r="Y331" s="104">
        <f t="shared" si="44"/>
        <v>0</v>
      </c>
      <c r="Z331" s="105">
        <f ca="1" t="shared" si="45"/>
        <v>-46167</v>
      </c>
      <c r="AA331" s="70"/>
      <c r="AB331" s="70"/>
      <c r="AC331" s="70"/>
      <c r="AD331" s="71"/>
      <c r="AE331" s="71"/>
      <c r="AF331" s="72"/>
      <c r="AG331" s="73"/>
      <c r="AH331" s="196"/>
      <c r="AI331" s="102"/>
      <c r="AJ331" s="70"/>
      <c r="AK331" s="103"/>
      <c r="AL331" s="104"/>
      <c r="AM331" s="105"/>
      <c r="AN331" s="122"/>
      <c r="AO331" s="70"/>
      <c r="AP331" s="70"/>
      <c r="AQ331" s="71"/>
      <c r="AR331" s="71"/>
      <c r="AS331" s="72"/>
      <c r="AT331" s="73"/>
      <c r="AU331" s="197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1088</v>
      </c>
      <c r="C332" s="70" t="s">
        <v>287</v>
      </c>
      <c r="D332" s="71" t="s">
        <v>1089</v>
      </c>
      <c r="E332" s="71" t="s">
        <v>418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1090</v>
      </c>
      <c r="L332" s="104">
        <f t="shared" si="42"/>
        <v>46129</v>
      </c>
      <c r="M332" s="105">
        <f ca="1" t="shared" si="43"/>
        <v>-38</v>
      </c>
      <c r="N332" s="70"/>
      <c r="O332" s="70" t="s">
        <v>1088</v>
      </c>
      <c r="P332" s="70" t="s">
        <v>287</v>
      </c>
      <c r="Q332" s="71" t="s">
        <v>1089</v>
      </c>
      <c r="R332" s="71" t="s">
        <v>418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1091</v>
      </c>
      <c r="Y332" s="104">
        <f t="shared" si="44"/>
        <v>46224</v>
      </c>
      <c r="Z332" s="105">
        <f ca="1" t="shared" si="45"/>
        <v>57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/>
      <c r="AM332" s="105"/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1088</v>
      </c>
      <c r="C333" s="70" t="s">
        <v>287</v>
      </c>
      <c r="D333" s="71" t="s">
        <v>1092</v>
      </c>
      <c r="E333" s="71" t="s">
        <v>418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1093</v>
      </c>
      <c r="L333" s="104">
        <f t="shared" si="42"/>
        <v>46129</v>
      </c>
      <c r="M333" s="105">
        <f ca="1" t="shared" si="43"/>
        <v>-38</v>
      </c>
      <c r="N333" s="70"/>
      <c r="O333" s="70" t="s">
        <v>1088</v>
      </c>
      <c r="P333" s="70" t="s">
        <v>287</v>
      </c>
      <c r="Q333" s="71" t="s">
        <v>1092</v>
      </c>
      <c r="R333" s="71" t="s">
        <v>418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1094</v>
      </c>
      <c r="Y333" s="104">
        <f t="shared" si="44"/>
        <v>46224</v>
      </c>
      <c r="Z333" s="105">
        <f ca="1" t="shared" si="45"/>
        <v>57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/>
      <c r="AM333" s="105"/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429</v>
      </c>
      <c r="C334" s="70" t="s">
        <v>287</v>
      </c>
      <c r="D334" s="71" t="s">
        <v>1095</v>
      </c>
      <c r="E334" s="71" t="s">
        <v>1096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1097</v>
      </c>
      <c r="L334" s="104">
        <f t="shared" si="42"/>
        <v>46129</v>
      </c>
      <c r="M334" s="105">
        <f ca="1" t="shared" si="43"/>
        <v>-38</v>
      </c>
      <c r="N334" s="70"/>
      <c r="O334" s="70" t="s">
        <v>429</v>
      </c>
      <c r="P334" s="70" t="s">
        <v>287</v>
      </c>
      <c r="Q334" s="71" t="s">
        <v>1095</v>
      </c>
      <c r="R334" s="71" t="s">
        <v>1096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1098</v>
      </c>
      <c r="Y334" s="104">
        <f t="shared" si="44"/>
        <v>46228</v>
      </c>
      <c r="Z334" s="105">
        <f ca="1" t="shared" si="45"/>
        <v>61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/>
      <c r="AM334" s="105"/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429</v>
      </c>
      <c r="C335" s="70" t="s">
        <v>287</v>
      </c>
      <c r="D335" s="71" t="s">
        <v>1099</v>
      </c>
      <c r="E335" s="71" t="s">
        <v>435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1100</v>
      </c>
      <c r="L335" s="104">
        <f t="shared" si="42"/>
        <v>46129</v>
      </c>
      <c r="M335" s="105">
        <f ca="1" t="shared" si="43"/>
        <v>-38</v>
      </c>
      <c r="N335" s="70"/>
      <c r="O335" s="70"/>
      <c r="P335" s="70"/>
      <c r="Q335" s="71"/>
      <c r="R335" s="71"/>
      <c r="S335" s="72"/>
      <c r="T335" s="73"/>
      <c r="U335" s="74"/>
      <c r="V335" s="102"/>
      <c r="W335" s="70"/>
      <c r="X335" s="103"/>
      <c r="Y335" s="104">
        <f t="shared" si="44"/>
        <v>0</v>
      </c>
      <c r="Z335" s="105">
        <f ca="1" t="shared" si="45"/>
        <v>-46167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/>
      <c r="AM335" s="105"/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429</v>
      </c>
      <c r="C336" s="70" t="s">
        <v>287</v>
      </c>
      <c r="D336" s="71" t="s">
        <v>1101</v>
      </c>
      <c r="E336" s="71" t="s">
        <v>1096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1102</v>
      </c>
      <c r="L336" s="104">
        <f t="shared" si="42"/>
        <v>46129</v>
      </c>
      <c r="M336" s="105">
        <f ca="1" t="shared" si="43"/>
        <v>-38</v>
      </c>
      <c r="N336" s="70"/>
      <c r="O336" s="70"/>
      <c r="P336" s="70"/>
      <c r="Q336" s="71"/>
      <c r="R336" s="71"/>
      <c r="S336" s="72"/>
      <c r="T336" s="73"/>
      <c r="U336" s="74"/>
      <c r="V336" s="102"/>
      <c r="W336" s="70"/>
      <c r="X336" s="103"/>
      <c r="Y336" s="104">
        <f t="shared" si="44"/>
        <v>0</v>
      </c>
      <c r="Z336" s="105">
        <f ca="1" t="shared" si="45"/>
        <v>-46167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/>
      <c r="AM336" s="105"/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31</v>
      </c>
      <c r="D337" s="71" t="s">
        <v>1103</v>
      </c>
      <c r="E337" s="71" t="s">
        <v>148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1104</v>
      </c>
      <c r="L337" s="104">
        <f t="shared" si="42"/>
        <v>46130</v>
      </c>
      <c r="M337" s="105">
        <f ca="1" t="shared" si="43"/>
        <v>-37</v>
      </c>
      <c r="N337" s="70"/>
      <c r="O337" s="70" t="s">
        <v>470</v>
      </c>
      <c r="P337" s="70" t="s">
        <v>31</v>
      </c>
      <c r="Q337" s="71" t="s">
        <v>1103</v>
      </c>
      <c r="R337" s="71" t="s">
        <v>148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1105</v>
      </c>
      <c r="Y337" s="104">
        <f t="shared" si="44"/>
        <v>46219</v>
      </c>
      <c r="Z337" s="105">
        <f ca="1" t="shared" si="45"/>
        <v>52</v>
      </c>
      <c r="AA337" s="70"/>
      <c r="AB337" s="70"/>
      <c r="AC337" s="70"/>
      <c r="AD337" s="71"/>
      <c r="AE337" s="71"/>
      <c r="AF337" s="72"/>
      <c r="AG337" s="73"/>
      <c r="AH337" s="74"/>
      <c r="AI337" s="102"/>
      <c r="AJ337" s="70"/>
      <c r="AK337" s="103"/>
      <c r="AL337" s="104"/>
      <c r="AM337" s="105"/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71</v>
      </c>
      <c r="C338" s="70" t="s">
        <v>13</v>
      </c>
      <c r="D338" s="71" t="s">
        <v>1106</v>
      </c>
      <c r="E338" s="71" t="s">
        <v>775</v>
      </c>
      <c r="F338" s="72"/>
      <c r="G338" s="73"/>
      <c r="H338" s="75"/>
      <c r="I338" s="173">
        <v>46040</v>
      </c>
      <c r="J338" s="70">
        <v>3</v>
      </c>
      <c r="K338" s="106" t="s">
        <v>1107</v>
      </c>
      <c r="L338" s="104">
        <f t="shared" si="42"/>
        <v>46130</v>
      </c>
      <c r="M338" s="105">
        <f ca="1" t="shared" si="43"/>
        <v>-37</v>
      </c>
      <c r="N338" s="70"/>
      <c r="O338" s="70" t="s">
        <v>71</v>
      </c>
      <c r="P338" s="70" t="s">
        <v>13</v>
      </c>
      <c r="Q338" s="71" t="s">
        <v>1106</v>
      </c>
      <c r="R338" s="71" t="s">
        <v>775</v>
      </c>
      <c r="S338" s="72"/>
      <c r="T338" s="73"/>
      <c r="U338" s="75"/>
      <c r="V338" s="102">
        <v>46125</v>
      </c>
      <c r="W338" s="70">
        <v>3</v>
      </c>
      <c r="X338" s="103" t="s">
        <v>1108</v>
      </c>
      <c r="Y338" s="104">
        <f t="shared" si="44"/>
        <v>46216</v>
      </c>
      <c r="Z338" s="105">
        <f ca="1" t="shared" si="45"/>
        <v>49</v>
      </c>
      <c r="AA338" s="70"/>
      <c r="AB338" s="70"/>
      <c r="AC338" s="70"/>
      <c r="AD338" s="71"/>
      <c r="AE338" s="71"/>
      <c r="AF338" s="72"/>
      <c r="AG338" s="73"/>
      <c r="AH338" s="74"/>
      <c r="AI338" s="102"/>
      <c r="AJ338" s="70"/>
      <c r="AK338" s="103"/>
      <c r="AL338" s="104"/>
      <c r="AM338" s="105"/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102</v>
      </c>
      <c r="C339" s="70" t="s">
        <v>13</v>
      </c>
      <c r="D339" s="71" t="s">
        <v>1109</v>
      </c>
      <c r="E339" s="71" t="s">
        <v>37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1110</v>
      </c>
      <c r="L339" s="104">
        <f t="shared" si="42"/>
        <v>46130</v>
      </c>
      <c r="M339" s="105">
        <f ca="1" t="shared" si="43"/>
        <v>-37</v>
      </c>
      <c r="N339" s="70"/>
      <c r="O339" s="70" t="s">
        <v>102</v>
      </c>
      <c r="P339" s="70" t="s">
        <v>13</v>
      </c>
      <c r="Q339" s="71" t="s">
        <v>1109</v>
      </c>
      <c r="R339" s="71" t="s">
        <v>37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1111</v>
      </c>
      <c r="Y339" s="104">
        <f t="shared" si="44"/>
        <v>46213</v>
      </c>
      <c r="Z339" s="105">
        <f ca="1" t="shared" si="45"/>
        <v>46</v>
      </c>
      <c r="AA339" s="70"/>
      <c r="AB339" s="70"/>
      <c r="AC339" s="70"/>
      <c r="AD339" s="71"/>
      <c r="AE339" s="71"/>
      <c r="AF339" s="72"/>
      <c r="AG339" s="73"/>
      <c r="AH339" s="74"/>
      <c r="AI339" s="102"/>
      <c r="AJ339" s="70"/>
      <c r="AK339" s="103"/>
      <c r="AL339" s="104"/>
      <c r="AM339" s="105"/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102</v>
      </c>
      <c r="C340" s="70" t="s">
        <v>13</v>
      </c>
      <c r="D340" s="71" t="s">
        <v>1112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1113</v>
      </c>
      <c r="L340" s="104">
        <f t="shared" si="42"/>
        <v>46130</v>
      </c>
      <c r="M340" s="105">
        <f ca="1" t="shared" si="43"/>
        <v>-37</v>
      </c>
      <c r="N340" s="70"/>
      <c r="O340" s="70" t="s">
        <v>102</v>
      </c>
      <c r="P340" s="70" t="s">
        <v>13</v>
      </c>
      <c r="Q340" s="71" t="s">
        <v>1112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1114</v>
      </c>
      <c r="Y340" s="104">
        <f t="shared" si="44"/>
        <v>46221</v>
      </c>
      <c r="Z340" s="105">
        <f ca="1" t="shared" si="45"/>
        <v>54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/>
      <c r="AM340" s="105"/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178</v>
      </c>
      <c r="C341" s="70" t="s">
        <v>13</v>
      </c>
      <c r="D341" s="70" t="s">
        <v>1115</v>
      </c>
      <c r="E341" s="71" t="s">
        <v>95</v>
      </c>
      <c r="F341" s="72"/>
      <c r="G341" s="73"/>
      <c r="H341" s="157"/>
      <c r="I341" s="173">
        <v>46040</v>
      </c>
      <c r="J341" s="70">
        <v>3</v>
      </c>
      <c r="K341" s="106" t="s">
        <v>1116</v>
      </c>
      <c r="L341" s="104">
        <f t="shared" si="42"/>
        <v>46130</v>
      </c>
      <c r="M341" s="105">
        <f ca="1" t="shared" si="43"/>
        <v>-37</v>
      </c>
      <c r="N341" s="70"/>
      <c r="O341" s="70" t="s">
        <v>178</v>
      </c>
      <c r="P341" s="70" t="s">
        <v>13</v>
      </c>
      <c r="Q341" s="70" t="s">
        <v>1115</v>
      </c>
      <c r="R341" s="71" t="s">
        <v>95</v>
      </c>
      <c r="S341" s="72"/>
      <c r="T341" s="73"/>
      <c r="U341" s="157"/>
      <c r="V341" s="102">
        <v>46133</v>
      </c>
      <c r="W341" s="70">
        <v>3</v>
      </c>
      <c r="X341" s="103" t="s">
        <v>1117</v>
      </c>
      <c r="Y341" s="104">
        <f t="shared" si="44"/>
        <v>46224</v>
      </c>
      <c r="Z341" s="105">
        <f ca="1" t="shared" si="45"/>
        <v>57</v>
      </c>
      <c r="AA341" s="70"/>
      <c r="AB341" s="70"/>
      <c r="AC341" s="70"/>
      <c r="AD341" s="70"/>
      <c r="AE341" s="71"/>
      <c r="AF341" s="72"/>
      <c r="AG341" s="73"/>
      <c r="AH341" s="114"/>
      <c r="AI341" s="102"/>
      <c r="AJ341" s="70"/>
      <c r="AK341" s="103"/>
      <c r="AL341" s="104"/>
      <c r="AM341" s="105"/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208</v>
      </c>
      <c r="C342" s="70" t="s">
        <v>203</v>
      </c>
      <c r="D342" s="71" t="s">
        <v>1118</v>
      </c>
      <c r="E342" s="71" t="s">
        <v>283</v>
      </c>
      <c r="F342" s="72"/>
      <c r="G342" s="73"/>
      <c r="H342" s="157"/>
      <c r="I342" s="173">
        <v>46040</v>
      </c>
      <c r="J342" s="70">
        <v>3</v>
      </c>
      <c r="K342" s="106" t="s">
        <v>1119</v>
      </c>
      <c r="L342" s="104">
        <f t="shared" si="42"/>
        <v>46130</v>
      </c>
      <c r="M342" s="105">
        <f ca="1" t="shared" si="43"/>
        <v>-37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44"/>
        <v>0</v>
      </c>
      <c r="Z342" s="105">
        <f ca="1" t="shared" si="45"/>
        <v>-46167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/>
      <c r="AM342" s="105"/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132</v>
      </c>
      <c r="C343" s="70" t="s">
        <v>31</v>
      </c>
      <c r="D343" s="71" t="s">
        <v>133</v>
      </c>
      <c r="E343" s="71" t="s">
        <v>134</v>
      </c>
      <c r="F343" s="72"/>
      <c r="G343" s="73"/>
      <c r="H343" s="157"/>
      <c r="I343" s="173">
        <v>46040</v>
      </c>
      <c r="J343" s="173" t="s">
        <v>596</v>
      </c>
      <c r="K343" s="106"/>
      <c r="L343" s="104" t="e">
        <f t="shared" si="42"/>
        <v>#VALUE!</v>
      </c>
      <c r="M343" s="105" t="e">
        <f ca="1" t="shared" si="43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44"/>
        <v>0</v>
      </c>
      <c r="Z343" s="105">
        <f ca="1" t="shared" si="45"/>
        <v>-46167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/>
      <c r="AM343" s="105"/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217</v>
      </c>
      <c r="C344" s="70" t="s">
        <v>203</v>
      </c>
      <c r="D344" s="71" t="s">
        <v>1120</v>
      </c>
      <c r="E344" s="71" t="s">
        <v>1121</v>
      </c>
      <c r="F344" s="72"/>
      <c r="G344" s="73"/>
      <c r="H344" s="157"/>
      <c r="I344" s="173">
        <v>46040</v>
      </c>
      <c r="J344" s="70">
        <v>3</v>
      </c>
      <c r="K344" s="106" t="s">
        <v>1122</v>
      </c>
      <c r="L344" s="104">
        <f t="shared" si="42"/>
        <v>46130</v>
      </c>
      <c r="M344" s="105">
        <f ca="1" t="shared" si="43"/>
        <v>-37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44"/>
        <v>0</v>
      </c>
      <c r="Z344" s="105">
        <f ca="1" t="shared" si="45"/>
        <v>-46167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/>
      <c r="AM344" s="105"/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685</v>
      </c>
      <c r="C345" s="70" t="s">
        <v>287</v>
      </c>
      <c r="D345" s="71" t="s">
        <v>1080</v>
      </c>
      <c r="E345" s="71" t="s">
        <v>1081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1123</v>
      </c>
      <c r="L345" s="104">
        <f t="shared" si="42"/>
        <v>46130</v>
      </c>
      <c r="M345" s="105">
        <f ca="1" t="shared" si="43"/>
        <v>-37</v>
      </c>
      <c r="N345" s="70"/>
      <c r="O345" s="70" t="s">
        <v>685</v>
      </c>
      <c r="P345" s="70" t="s">
        <v>287</v>
      </c>
      <c r="Q345" s="71" t="s">
        <v>1080</v>
      </c>
      <c r="R345" s="71" t="s">
        <v>1081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1124</v>
      </c>
      <c r="Y345" s="104">
        <f t="shared" si="44"/>
        <v>46214</v>
      </c>
      <c r="Z345" s="105">
        <f ca="1" t="shared" si="45"/>
        <v>47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/>
      <c r="AM345" s="105"/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31</v>
      </c>
      <c r="D346" s="71" t="s">
        <v>1125</v>
      </c>
      <c r="E346" s="71" t="s">
        <v>702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1126</v>
      </c>
      <c r="L346" s="104">
        <f t="shared" si="42"/>
        <v>46131</v>
      </c>
      <c r="M346" s="105">
        <f ca="1" t="shared" si="43"/>
        <v>-36</v>
      </c>
      <c r="N346" s="70"/>
      <c r="O346" s="70" t="s">
        <v>12</v>
      </c>
      <c r="P346" s="70" t="s">
        <v>31</v>
      </c>
      <c r="Q346" s="71" t="s">
        <v>1125</v>
      </c>
      <c r="R346" s="71" t="s">
        <v>702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1127</v>
      </c>
      <c r="Y346" s="104">
        <f t="shared" si="44"/>
        <v>46211</v>
      </c>
      <c r="Z346" s="105">
        <f ca="1" t="shared" si="45"/>
        <v>44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/>
      <c r="AM346" s="105"/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178</v>
      </c>
      <c r="C347" s="70" t="s">
        <v>13</v>
      </c>
      <c r="D347" s="71" t="s">
        <v>1128</v>
      </c>
      <c r="E347" s="71" t="s">
        <v>95</v>
      </c>
      <c r="F347" s="72"/>
      <c r="G347" s="73"/>
      <c r="H347" s="75"/>
      <c r="I347" s="173">
        <v>46041</v>
      </c>
      <c r="J347" s="70">
        <v>3</v>
      </c>
      <c r="K347" s="106" t="s">
        <v>1129</v>
      </c>
      <c r="L347" s="104">
        <f t="shared" si="42"/>
        <v>46131</v>
      </c>
      <c r="M347" s="105">
        <f ca="1" t="shared" si="43"/>
        <v>-36</v>
      </c>
      <c r="N347" s="70"/>
      <c r="O347" s="70" t="s">
        <v>178</v>
      </c>
      <c r="P347" s="70" t="s">
        <v>13</v>
      </c>
      <c r="Q347" s="71" t="s">
        <v>1128</v>
      </c>
      <c r="R347" s="71" t="s">
        <v>95</v>
      </c>
      <c r="S347" s="72"/>
      <c r="T347" s="73"/>
      <c r="U347" s="75"/>
      <c r="V347" s="102">
        <v>46166</v>
      </c>
      <c r="W347" s="70">
        <v>3</v>
      </c>
      <c r="X347" s="103"/>
      <c r="Y347" s="104">
        <f t="shared" si="44"/>
        <v>46258</v>
      </c>
      <c r="Z347" s="105">
        <f ca="1" t="shared" si="45"/>
        <v>91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/>
      <c r="AM347" s="105"/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178</v>
      </c>
      <c r="C348" s="70" t="s">
        <v>13</v>
      </c>
      <c r="D348" s="71" t="s">
        <v>1130</v>
      </c>
      <c r="E348" s="71" t="s">
        <v>41</v>
      </c>
      <c r="F348" s="72"/>
      <c r="G348" s="73"/>
      <c r="H348" s="75"/>
      <c r="I348" s="173">
        <v>46041</v>
      </c>
      <c r="J348" s="70">
        <v>3</v>
      </c>
      <c r="K348" s="106" t="s">
        <v>1131</v>
      </c>
      <c r="L348" s="104">
        <f t="shared" si="42"/>
        <v>46131</v>
      </c>
      <c r="M348" s="105">
        <f ca="1" t="shared" si="43"/>
        <v>-36</v>
      </c>
      <c r="N348" s="70"/>
      <c r="O348" s="70" t="s">
        <v>178</v>
      </c>
      <c r="P348" s="70" t="s">
        <v>13</v>
      </c>
      <c r="Q348" s="71" t="s">
        <v>1130</v>
      </c>
      <c r="R348" s="71" t="s">
        <v>41</v>
      </c>
      <c r="S348" s="72"/>
      <c r="T348" s="73"/>
      <c r="U348" s="75"/>
      <c r="V348" s="102">
        <v>46122</v>
      </c>
      <c r="W348" s="70">
        <v>3</v>
      </c>
      <c r="X348" s="103" t="s">
        <v>1132</v>
      </c>
      <c r="Y348" s="104">
        <f t="shared" si="44"/>
        <v>46213</v>
      </c>
      <c r="Z348" s="105">
        <f ca="1" t="shared" si="45"/>
        <v>46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/>
      <c r="AM348" s="105"/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178</v>
      </c>
      <c r="C349" s="70" t="s">
        <v>13</v>
      </c>
      <c r="D349" s="71" t="s">
        <v>1133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1134</v>
      </c>
      <c r="L349" s="104">
        <f t="shared" si="42"/>
        <v>46131</v>
      </c>
      <c r="M349" s="105">
        <f ca="1" t="shared" si="43"/>
        <v>-36</v>
      </c>
      <c r="N349" s="70"/>
      <c r="O349" s="70" t="s">
        <v>178</v>
      </c>
      <c r="P349" s="70" t="s">
        <v>13</v>
      </c>
      <c r="Q349" s="71" t="s">
        <v>1133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1135</v>
      </c>
      <c r="Y349" s="104">
        <f t="shared" si="44"/>
        <v>46218</v>
      </c>
      <c r="Z349" s="105">
        <f ca="1" t="shared" si="45"/>
        <v>51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/>
      <c r="AM349" s="105"/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178</v>
      </c>
      <c r="C350" s="70" t="s">
        <v>31</v>
      </c>
      <c r="D350" s="71" t="s">
        <v>1136</v>
      </c>
      <c r="E350" s="71" t="s">
        <v>33</v>
      </c>
      <c r="F350" s="72"/>
      <c r="G350" s="73"/>
      <c r="H350" s="75"/>
      <c r="I350" s="173">
        <v>46041</v>
      </c>
      <c r="J350" s="70">
        <v>3</v>
      </c>
      <c r="K350" s="106" t="s">
        <v>1137</v>
      </c>
      <c r="L350" s="104">
        <f t="shared" si="42"/>
        <v>46131</v>
      </c>
      <c r="M350" s="105">
        <f ca="1" t="shared" si="43"/>
        <v>-36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44"/>
        <v>0</v>
      </c>
      <c r="Z350" s="105">
        <f ca="1" t="shared" si="45"/>
        <v>-46167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/>
      <c r="AM350" s="105"/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178</v>
      </c>
      <c r="C351" s="70" t="s">
        <v>13</v>
      </c>
      <c r="D351" s="71" t="s">
        <v>1138</v>
      </c>
      <c r="E351" s="71" t="s">
        <v>28</v>
      </c>
      <c r="F351" s="72"/>
      <c r="G351" s="73"/>
      <c r="H351" s="75"/>
      <c r="I351" s="173">
        <v>46041</v>
      </c>
      <c r="J351" s="70">
        <v>3</v>
      </c>
      <c r="K351" s="106" t="s">
        <v>1139</v>
      </c>
      <c r="L351" s="104">
        <f t="shared" si="42"/>
        <v>46131</v>
      </c>
      <c r="M351" s="105">
        <f ca="1" t="shared" si="43"/>
        <v>-36</v>
      </c>
      <c r="N351" s="70"/>
      <c r="O351" s="70" t="s">
        <v>178</v>
      </c>
      <c r="P351" s="70" t="s">
        <v>13</v>
      </c>
      <c r="Q351" s="71" t="s">
        <v>1138</v>
      </c>
      <c r="R351" s="71" t="s">
        <v>28</v>
      </c>
      <c r="S351" s="72"/>
      <c r="T351" s="73"/>
      <c r="U351" s="75"/>
      <c r="V351" s="102">
        <v>46161</v>
      </c>
      <c r="W351" s="70">
        <v>3</v>
      </c>
      <c r="X351" s="103"/>
      <c r="Y351" s="104">
        <f t="shared" si="44"/>
        <v>46253</v>
      </c>
      <c r="Z351" s="105">
        <f ca="1" t="shared" si="45"/>
        <v>86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/>
      <c r="AM351" s="105"/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559</v>
      </c>
      <c r="C352" s="70" t="s">
        <v>31</v>
      </c>
      <c r="D352" s="71" t="s">
        <v>1140</v>
      </c>
      <c r="E352" s="71" t="s">
        <v>375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1141</v>
      </c>
      <c r="L352" s="104">
        <f t="shared" si="42"/>
        <v>46131</v>
      </c>
      <c r="M352" s="105">
        <f ca="1" t="shared" si="43"/>
        <v>-36</v>
      </c>
      <c r="N352" s="70"/>
      <c r="O352" s="70" t="s">
        <v>559</v>
      </c>
      <c r="P352" s="70" t="s">
        <v>31</v>
      </c>
      <c r="Q352" s="71" t="s">
        <v>1140</v>
      </c>
      <c r="R352" s="71" t="s">
        <v>375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1142</v>
      </c>
      <c r="Y352" s="104">
        <f t="shared" si="44"/>
        <v>46219</v>
      </c>
      <c r="Z352" s="105">
        <f ca="1" t="shared" si="45"/>
        <v>52</v>
      </c>
      <c r="AA352" s="70"/>
      <c r="AB352" s="70"/>
      <c r="AC352" s="70"/>
      <c r="AD352" s="71"/>
      <c r="AE352" s="71"/>
      <c r="AF352" s="72"/>
      <c r="AG352" s="73"/>
      <c r="AH352" s="114"/>
      <c r="AI352" s="102"/>
      <c r="AJ352" s="70"/>
      <c r="AK352" s="103"/>
      <c r="AL352" s="104"/>
      <c r="AM352" s="105"/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559</v>
      </c>
      <c r="C353" s="70" t="s">
        <v>13</v>
      </c>
      <c r="D353" s="71" t="s">
        <v>1143</v>
      </c>
      <c r="E353" s="71" t="s">
        <v>28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1144</v>
      </c>
      <c r="L353" s="104">
        <f t="shared" si="42"/>
        <v>46131</v>
      </c>
      <c r="M353" s="105">
        <f ca="1" t="shared" si="43"/>
        <v>-36</v>
      </c>
      <c r="N353" s="70"/>
      <c r="O353" s="70" t="s">
        <v>559</v>
      </c>
      <c r="P353" s="70" t="s">
        <v>13</v>
      </c>
      <c r="Q353" s="71" t="s">
        <v>1143</v>
      </c>
      <c r="R353" s="71" t="s">
        <v>28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1145</v>
      </c>
      <c r="Y353" s="104">
        <f t="shared" ref="Y353:Y397" si="46">EDATE(V353,W353)</f>
        <v>46240</v>
      </c>
      <c r="Z353" s="105">
        <f ca="1" t="shared" ref="Z353:Z404" si="47">Y353-TODAY()</f>
        <v>73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/>
      <c r="AM353" s="105"/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559</v>
      </c>
      <c r="C354" s="70" t="s">
        <v>33</v>
      </c>
      <c r="D354" s="71" t="s">
        <v>1146</v>
      </c>
      <c r="E354" s="71" t="s">
        <v>33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1147</v>
      </c>
      <c r="L354" s="104">
        <f t="shared" si="42"/>
        <v>46131</v>
      </c>
      <c r="M354" s="105">
        <f ca="1" t="shared" si="43"/>
        <v>-36</v>
      </c>
      <c r="N354" s="70"/>
      <c r="O354" s="70" t="s">
        <v>559</v>
      </c>
      <c r="P354" s="70" t="s">
        <v>33</v>
      </c>
      <c r="Q354" s="71" t="s">
        <v>1146</v>
      </c>
      <c r="R354" s="71" t="s">
        <v>33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1148</v>
      </c>
      <c r="Y354" s="104">
        <f t="shared" si="46"/>
        <v>46219</v>
      </c>
      <c r="Z354" s="105">
        <f ca="1" t="shared" si="47"/>
        <v>52</v>
      </c>
      <c r="AA354" s="70"/>
      <c r="AB354" s="70"/>
      <c r="AC354" s="70"/>
      <c r="AD354" s="71"/>
      <c r="AE354" s="71"/>
      <c r="AF354" s="72"/>
      <c r="AG354" s="73"/>
      <c r="AH354" s="114"/>
      <c r="AI354" s="102"/>
      <c r="AJ354" s="70"/>
      <c r="AK354" s="103"/>
      <c r="AL354" s="104"/>
      <c r="AM354" s="105"/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1075</v>
      </c>
      <c r="C355" s="70" t="s">
        <v>31</v>
      </c>
      <c r="D355" s="71" t="s">
        <v>1149</v>
      </c>
      <c r="E355" s="71" t="s">
        <v>1077</v>
      </c>
      <c r="F355" s="72"/>
      <c r="G355" s="73"/>
      <c r="H355" s="75"/>
      <c r="I355" s="173">
        <v>46041</v>
      </c>
      <c r="J355" s="70">
        <v>3</v>
      </c>
      <c r="K355" s="106" t="s">
        <v>1150</v>
      </c>
      <c r="L355" s="104">
        <f t="shared" si="42"/>
        <v>46131</v>
      </c>
      <c r="M355" s="105">
        <f ca="1" t="shared" si="43"/>
        <v>-36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46"/>
        <v>0</v>
      </c>
      <c r="Z355" s="105">
        <f ca="1" t="shared" si="47"/>
        <v>-46167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1151</v>
      </c>
      <c r="C356" s="70" t="s">
        <v>31</v>
      </c>
      <c r="D356" s="71" t="s">
        <v>1152</v>
      </c>
      <c r="E356" s="71" t="s">
        <v>1153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1154</v>
      </c>
      <c r="L356" s="104">
        <f t="shared" si="42"/>
        <v>46131</v>
      </c>
      <c r="M356" s="105">
        <f ca="1" t="shared" si="43"/>
        <v>-36</v>
      </c>
      <c r="N356" s="70"/>
      <c r="O356" s="70"/>
      <c r="P356" s="70"/>
      <c r="Q356" s="71"/>
      <c r="R356" s="71"/>
      <c r="S356" s="72"/>
      <c r="T356" s="73"/>
      <c r="U356" s="114"/>
      <c r="V356" s="102"/>
      <c r="W356" s="70"/>
      <c r="X356" s="103"/>
      <c r="Y356" s="104">
        <f t="shared" si="46"/>
        <v>0</v>
      </c>
      <c r="Z356" s="105">
        <f ca="1" t="shared" si="47"/>
        <v>-46167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576</v>
      </c>
      <c r="C357" s="70" t="s">
        <v>31</v>
      </c>
      <c r="D357" s="71" t="s">
        <v>1155</v>
      </c>
      <c r="E357" s="71" t="s">
        <v>570</v>
      </c>
      <c r="F357" s="72"/>
      <c r="G357" s="73"/>
      <c r="H357" s="75"/>
      <c r="I357" s="173">
        <v>46041</v>
      </c>
      <c r="J357" s="70">
        <v>3</v>
      </c>
      <c r="K357" s="106" t="s">
        <v>1156</v>
      </c>
      <c r="L357" s="104">
        <f t="shared" si="42"/>
        <v>46131</v>
      </c>
      <c r="M357" s="105">
        <f ca="1" t="shared" si="43"/>
        <v>-36</v>
      </c>
      <c r="N357" s="70"/>
      <c r="O357" s="70" t="s">
        <v>576</v>
      </c>
      <c r="P357" s="70" t="s">
        <v>31</v>
      </c>
      <c r="Q357" s="71" t="s">
        <v>1155</v>
      </c>
      <c r="R357" s="71" t="s">
        <v>570</v>
      </c>
      <c r="S357" s="72"/>
      <c r="T357" s="73"/>
      <c r="U357" s="75"/>
      <c r="V357" s="102">
        <v>46133</v>
      </c>
      <c r="W357" s="70">
        <v>3</v>
      </c>
      <c r="X357" s="103" t="s">
        <v>1157</v>
      </c>
      <c r="Y357" s="104">
        <f t="shared" si="46"/>
        <v>46224</v>
      </c>
      <c r="Z357" s="105">
        <f ca="1" t="shared" si="47"/>
        <v>57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217</v>
      </c>
      <c r="C358" s="70" t="s">
        <v>203</v>
      </c>
      <c r="D358" s="71" t="s">
        <v>1158</v>
      </c>
      <c r="E358" s="71" t="s">
        <v>214</v>
      </c>
      <c r="F358" s="72"/>
      <c r="G358" s="73"/>
      <c r="H358" s="75"/>
      <c r="I358" s="173">
        <v>46041</v>
      </c>
      <c r="J358" s="70">
        <v>3</v>
      </c>
      <c r="K358" s="106" t="s">
        <v>1159</v>
      </c>
      <c r="L358" s="104">
        <f t="shared" si="42"/>
        <v>46131</v>
      </c>
      <c r="M358" s="105">
        <f ca="1" t="shared" si="43"/>
        <v>-36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46"/>
        <v>0</v>
      </c>
      <c r="Z358" s="105">
        <f ca="1" t="shared" si="47"/>
        <v>-46167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1160</v>
      </c>
      <c r="C359" s="70" t="s">
        <v>287</v>
      </c>
      <c r="D359" s="71" t="s">
        <v>1161</v>
      </c>
      <c r="E359" s="71" t="s">
        <v>1162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1163</v>
      </c>
      <c r="L359" s="104">
        <f t="shared" si="42"/>
        <v>46131</v>
      </c>
      <c r="M359" s="105">
        <f ca="1" t="shared" si="43"/>
        <v>-36</v>
      </c>
      <c r="N359" s="70"/>
      <c r="O359" s="70" t="s">
        <v>1160</v>
      </c>
      <c r="P359" s="70" t="s">
        <v>287</v>
      </c>
      <c r="Q359" s="71" t="s">
        <v>1161</v>
      </c>
      <c r="R359" s="71" t="s">
        <v>1162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1164</v>
      </c>
      <c r="Y359" s="104">
        <f t="shared" si="46"/>
        <v>46221</v>
      </c>
      <c r="Z359" s="105">
        <f ca="1" t="shared" si="47"/>
        <v>54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1165</v>
      </c>
      <c r="E360" s="71" t="s">
        <v>1166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1167</v>
      </c>
      <c r="L360" s="104">
        <f t="shared" si="42"/>
        <v>46132</v>
      </c>
      <c r="M360" s="105">
        <f ca="1" t="shared" si="43"/>
        <v>-35</v>
      </c>
      <c r="N360" s="70"/>
      <c r="O360" s="70"/>
      <c r="P360" s="70"/>
      <c r="Q360" s="71"/>
      <c r="R360" s="71"/>
      <c r="S360" s="72"/>
      <c r="T360" s="73"/>
      <c r="U360" s="74"/>
      <c r="V360" s="102"/>
      <c r="W360" s="70"/>
      <c r="X360" s="103"/>
      <c r="Y360" s="104">
        <f t="shared" si="46"/>
        <v>0</v>
      </c>
      <c r="Z360" s="105">
        <f ca="1" t="shared" si="47"/>
        <v>-46167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178</v>
      </c>
      <c r="C361" s="70" t="s">
        <v>13</v>
      </c>
      <c r="D361" s="71" t="s">
        <v>1168</v>
      </c>
      <c r="E361" s="71" t="s">
        <v>243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1169</v>
      </c>
      <c r="L361" s="104">
        <f t="shared" si="42"/>
        <v>46132</v>
      </c>
      <c r="M361" s="105">
        <f ca="1" t="shared" si="43"/>
        <v>-35</v>
      </c>
      <c r="N361" s="70"/>
      <c r="O361" s="70"/>
      <c r="P361" s="70"/>
      <c r="Q361" s="71"/>
      <c r="R361" s="71"/>
      <c r="S361" s="72"/>
      <c r="T361" s="73"/>
      <c r="U361" s="114"/>
      <c r="V361" s="102"/>
      <c r="W361" s="70"/>
      <c r="X361" s="103"/>
      <c r="Y361" s="104">
        <f t="shared" si="46"/>
        <v>0</v>
      </c>
      <c r="Z361" s="105">
        <f ca="1" t="shared" si="47"/>
        <v>-46167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178</v>
      </c>
      <c r="C362" s="70" t="s">
        <v>13</v>
      </c>
      <c r="D362" s="71" t="s">
        <v>1170</v>
      </c>
      <c r="E362" s="71" t="s">
        <v>979</v>
      </c>
      <c r="F362" s="72"/>
      <c r="G362" s="73"/>
      <c r="H362" s="74"/>
      <c r="I362" s="173">
        <v>46042</v>
      </c>
      <c r="J362" s="70">
        <v>3</v>
      </c>
      <c r="K362" s="106" t="s">
        <v>1171</v>
      </c>
      <c r="L362" s="104">
        <f t="shared" si="42"/>
        <v>46132</v>
      </c>
      <c r="M362" s="105">
        <f ca="1" t="shared" si="43"/>
        <v>-35</v>
      </c>
      <c r="N362" s="70"/>
      <c r="O362" s="70"/>
      <c r="P362" s="70"/>
      <c r="Q362" s="71"/>
      <c r="R362" s="71"/>
      <c r="S362" s="72"/>
      <c r="T362" s="73"/>
      <c r="U362" s="114"/>
      <c r="V362" s="102"/>
      <c r="W362" s="70"/>
      <c r="X362" s="103"/>
      <c r="Y362" s="104">
        <f t="shared" si="46"/>
        <v>0</v>
      </c>
      <c r="Z362" s="105">
        <f ca="1" t="shared" si="47"/>
        <v>-46167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178</v>
      </c>
      <c r="C363" s="70" t="s">
        <v>31</v>
      </c>
      <c r="D363" s="71" t="s">
        <v>1172</v>
      </c>
      <c r="E363" s="71" t="s">
        <v>1173</v>
      </c>
      <c r="F363" s="72"/>
      <c r="G363" s="73"/>
      <c r="H363" s="75"/>
      <c r="I363" s="173">
        <v>46042</v>
      </c>
      <c r="J363" s="70">
        <v>3</v>
      </c>
      <c r="K363" s="106" t="s">
        <v>1174</v>
      </c>
      <c r="L363" s="104">
        <f t="shared" si="42"/>
        <v>46132</v>
      </c>
      <c r="M363" s="105">
        <f ca="1" t="shared" si="43"/>
        <v>-35</v>
      </c>
      <c r="N363" s="70"/>
      <c r="O363" s="70"/>
      <c r="P363" s="70"/>
      <c r="Q363" s="71"/>
      <c r="R363" s="71"/>
      <c r="S363" s="72"/>
      <c r="T363" s="73"/>
      <c r="U363" s="79"/>
      <c r="V363" s="102"/>
      <c r="W363" s="70"/>
      <c r="X363" s="103"/>
      <c r="Y363" s="104">
        <f t="shared" si="46"/>
        <v>0</v>
      </c>
      <c r="Z363" s="105">
        <f ca="1" t="shared" si="47"/>
        <v>-46167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178</v>
      </c>
      <c r="C364" s="70" t="s">
        <v>31</v>
      </c>
      <c r="D364" s="71" t="s">
        <v>1175</v>
      </c>
      <c r="E364" s="71" t="s">
        <v>1176</v>
      </c>
      <c r="F364" s="72"/>
      <c r="G364" s="73"/>
      <c r="H364" s="75"/>
      <c r="I364" s="173">
        <v>46042</v>
      </c>
      <c r="J364" s="70">
        <v>3</v>
      </c>
      <c r="K364" s="106" t="s">
        <v>1177</v>
      </c>
      <c r="L364" s="104">
        <f t="shared" si="42"/>
        <v>46132</v>
      </c>
      <c r="M364" s="105">
        <f ca="1" t="shared" si="43"/>
        <v>-35</v>
      </c>
      <c r="N364" s="70"/>
      <c r="O364" s="70"/>
      <c r="P364" s="70"/>
      <c r="Q364" s="71"/>
      <c r="R364" s="71"/>
      <c r="S364" s="72"/>
      <c r="T364" s="73"/>
      <c r="U364" s="79"/>
      <c r="V364" s="102"/>
      <c r="W364" s="70"/>
      <c r="X364" s="103"/>
      <c r="Y364" s="104">
        <f t="shared" si="46"/>
        <v>0</v>
      </c>
      <c r="Z364" s="105">
        <f ca="1" t="shared" si="47"/>
        <v>-46167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178</v>
      </c>
      <c r="C365" s="70" t="s">
        <v>13</v>
      </c>
      <c r="D365" s="71" t="s">
        <v>1178</v>
      </c>
      <c r="E365" s="71" t="s">
        <v>1179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1180</v>
      </c>
      <c r="L365" s="104">
        <f t="shared" si="42"/>
        <v>46132</v>
      </c>
      <c r="M365" s="105">
        <f ca="1" t="shared" si="43"/>
        <v>-35</v>
      </c>
      <c r="N365" s="70"/>
      <c r="O365" s="70" t="s">
        <v>178</v>
      </c>
      <c r="P365" s="70" t="s">
        <v>13</v>
      </c>
      <c r="Q365" s="71" t="s">
        <v>1178</v>
      </c>
      <c r="R365" s="71" t="s">
        <v>1179</v>
      </c>
      <c r="S365" s="72"/>
      <c r="T365" s="73"/>
      <c r="U365" s="74" t="s">
        <v>16</v>
      </c>
      <c r="V365" s="102">
        <v>46163</v>
      </c>
      <c r="W365" s="70">
        <v>3</v>
      </c>
      <c r="X365" s="103"/>
      <c r="Y365" s="104">
        <f t="shared" si="46"/>
        <v>46255</v>
      </c>
      <c r="Z365" s="105">
        <f ca="1" t="shared" si="47"/>
        <v>88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178</v>
      </c>
      <c r="C366" s="70" t="s">
        <v>13</v>
      </c>
      <c r="D366" s="71" t="s">
        <v>1181</v>
      </c>
      <c r="E366" s="71" t="s">
        <v>1182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1183</v>
      </c>
      <c r="L366" s="104">
        <f t="shared" si="42"/>
        <v>46132</v>
      </c>
      <c r="M366" s="105">
        <f ca="1" t="shared" si="43"/>
        <v>-35</v>
      </c>
      <c r="N366" s="70"/>
      <c r="O366" s="70" t="s">
        <v>178</v>
      </c>
      <c r="P366" s="70" t="s">
        <v>13</v>
      </c>
      <c r="Q366" s="71" t="s">
        <v>1181</v>
      </c>
      <c r="R366" s="71" t="s">
        <v>1182</v>
      </c>
      <c r="S366" s="72"/>
      <c r="T366" s="73"/>
      <c r="U366" s="74" t="s">
        <v>16</v>
      </c>
      <c r="V366" s="102">
        <v>46163</v>
      </c>
      <c r="W366" s="70">
        <v>3</v>
      </c>
      <c r="X366" s="103"/>
      <c r="Y366" s="104">
        <f t="shared" si="46"/>
        <v>46255</v>
      </c>
      <c r="Z366" s="105">
        <f ca="1" t="shared" si="47"/>
        <v>88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178</v>
      </c>
      <c r="C367" s="70" t="s">
        <v>31</v>
      </c>
      <c r="D367" s="71" t="s">
        <v>1184</v>
      </c>
      <c r="E367" s="71" t="s">
        <v>24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1185</v>
      </c>
      <c r="L367" s="104">
        <f t="shared" si="42"/>
        <v>46132</v>
      </c>
      <c r="M367" s="105">
        <f ca="1" t="shared" si="43"/>
        <v>-35</v>
      </c>
      <c r="N367" s="70"/>
      <c r="O367" s="70"/>
      <c r="P367" s="70"/>
      <c r="Q367" s="71"/>
      <c r="R367" s="71"/>
      <c r="S367" s="72"/>
      <c r="T367" s="73"/>
      <c r="U367" s="74"/>
      <c r="V367" s="102"/>
      <c r="W367" s="70"/>
      <c r="X367" s="103"/>
      <c r="Y367" s="104">
        <f t="shared" si="46"/>
        <v>0</v>
      </c>
      <c r="Z367" s="105">
        <f ca="1" t="shared" si="47"/>
        <v>-46167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559</v>
      </c>
      <c r="C368" s="70" t="s">
        <v>31</v>
      </c>
      <c r="D368" s="71" t="s">
        <v>1186</v>
      </c>
      <c r="E368" s="71" t="s">
        <v>148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1187</v>
      </c>
      <c r="L368" s="104">
        <f t="shared" si="42"/>
        <v>46132</v>
      </c>
      <c r="M368" s="105">
        <f ca="1" t="shared" si="43"/>
        <v>-35</v>
      </c>
      <c r="N368" s="70"/>
      <c r="O368" s="70" t="s">
        <v>559</v>
      </c>
      <c r="P368" s="70" t="s">
        <v>31</v>
      </c>
      <c r="Q368" s="71" t="s">
        <v>1186</v>
      </c>
      <c r="R368" s="71" t="s">
        <v>148</v>
      </c>
      <c r="S368" s="72"/>
      <c r="T368" s="73"/>
      <c r="U368" s="74" t="s">
        <v>16</v>
      </c>
      <c r="V368" s="102">
        <v>46163</v>
      </c>
      <c r="W368" s="70">
        <v>3</v>
      </c>
      <c r="X368" s="103"/>
      <c r="Y368" s="104">
        <f t="shared" si="46"/>
        <v>46255</v>
      </c>
      <c r="Z368" s="105">
        <f ca="1" t="shared" si="47"/>
        <v>88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985</v>
      </c>
      <c r="C369" s="70" t="s">
        <v>31</v>
      </c>
      <c r="D369" s="71" t="s">
        <v>1188</v>
      </c>
      <c r="E369" s="71" t="s">
        <v>148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1189</v>
      </c>
      <c r="L369" s="104">
        <f t="shared" si="42"/>
        <v>46132</v>
      </c>
      <c r="M369" s="105">
        <f ca="1" t="shared" si="43"/>
        <v>-35</v>
      </c>
      <c r="N369" s="70"/>
      <c r="O369" s="70" t="s">
        <v>985</v>
      </c>
      <c r="P369" s="70" t="s">
        <v>31</v>
      </c>
      <c r="Q369" s="71" t="s">
        <v>1188</v>
      </c>
      <c r="R369" s="71" t="s">
        <v>148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1190</v>
      </c>
      <c r="Y369" s="104">
        <f t="shared" si="46"/>
        <v>46239</v>
      </c>
      <c r="Z369" s="105">
        <f ca="1" t="shared" si="47"/>
        <v>72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556</v>
      </c>
      <c r="C370" s="70" t="s">
        <v>31</v>
      </c>
      <c r="D370" s="71" t="s">
        <v>1191</v>
      </c>
      <c r="E370" s="71" t="s">
        <v>148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1192</v>
      </c>
      <c r="L370" s="104">
        <f t="shared" si="42"/>
        <v>46132</v>
      </c>
      <c r="M370" s="105">
        <f ca="1" t="shared" si="43"/>
        <v>-35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46"/>
        <v>0</v>
      </c>
      <c r="Z370" s="105">
        <f ca="1" t="shared" si="47"/>
        <v>-46167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556</v>
      </c>
      <c r="C371" s="70" t="s">
        <v>13</v>
      </c>
      <c r="D371" s="71" t="s">
        <v>1193</v>
      </c>
      <c r="E371" s="71" t="s">
        <v>57</v>
      </c>
      <c r="F371" s="72"/>
      <c r="G371" s="73"/>
      <c r="H371" s="75"/>
      <c r="I371" s="173">
        <v>46042</v>
      </c>
      <c r="J371" s="70">
        <v>3</v>
      </c>
      <c r="K371" s="106" t="s">
        <v>1194</v>
      </c>
      <c r="L371" s="104">
        <f t="shared" si="42"/>
        <v>46132</v>
      </c>
      <c r="M371" s="105">
        <f ca="1" t="shared" si="43"/>
        <v>-35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46"/>
        <v>0</v>
      </c>
      <c r="Z371" s="105">
        <f ca="1" t="shared" si="47"/>
        <v>-46167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930</v>
      </c>
      <c r="C372" s="70" t="s">
        <v>31</v>
      </c>
      <c r="D372" s="71" t="s">
        <v>1195</v>
      </c>
      <c r="E372" s="71" t="s">
        <v>148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1196</v>
      </c>
      <c r="L372" s="104">
        <f t="shared" si="42"/>
        <v>46132</v>
      </c>
      <c r="M372" s="105">
        <f ca="1" t="shared" si="43"/>
        <v>-35</v>
      </c>
      <c r="N372" s="70"/>
      <c r="O372" s="70" t="s">
        <v>930</v>
      </c>
      <c r="P372" s="70" t="s">
        <v>31</v>
      </c>
      <c r="Q372" s="71" t="s">
        <v>1195</v>
      </c>
      <c r="R372" s="71" t="s">
        <v>148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1197</v>
      </c>
      <c r="Y372" s="104">
        <f t="shared" si="46"/>
        <v>46231</v>
      </c>
      <c r="Z372" s="105">
        <f ca="1" t="shared" si="47"/>
        <v>64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930</v>
      </c>
      <c r="C373" s="70" t="s">
        <v>13</v>
      </c>
      <c r="D373" s="71" t="s">
        <v>1198</v>
      </c>
      <c r="E373" s="71" t="s">
        <v>57</v>
      </c>
      <c r="F373" s="72"/>
      <c r="G373" s="73"/>
      <c r="H373" s="195"/>
      <c r="I373" s="173">
        <v>46042</v>
      </c>
      <c r="J373" s="70">
        <v>3</v>
      </c>
      <c r="K373" s="106" t="s">
        <v>1199</v>
      </c>
      <c r="L373" s="104">
        <f t="shared" si="42"/>
        <v>46132</v>
      </c>
      <c r="M373" s="105">
        <f ca="1" t="shared" si="43"/>
        <v>-35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46"/>
        <v>0</v>
      </c>
      <c r="Z373" s="105">
        <f ca="1" t="shared" si="47"/>
        <v>-46167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930</v>
      </c>
      <c r="C374" s="70" t="s">
        <v>13</v>
      </c>
      <c r="D374" s="71" t="s">
        <v>1200</v>
      </c>
      <c r="E374" s="71" t="s">
        <v>57</v>
      </c>
      <c r="F374" s="72"/>
      <c r="G374" s="73"/>
      <c r="H374" s="195"/>
      <c r="I374" s="173">
        <v>46042</v>
      </c>
      <c r="J374" s="70">
        <v>3</v>
      </c>
      <c r="K374" s="106" t="s">
        <v>1201</v>
      </c>
      <c r="L374" s="104">
        <f t="shared" si="42"/>
        <v>46132</v>
      </c>
      <c r="M374" s="105">
        <f ca="1" t="shared" si="43"/>
        <v>-35</v>
      </c>
      <c r="N374" s="70"/>
      <c r="O374" s="70" t="s">
        <v>930</v>
      </c>
      <c r="P374" s="70" t="s">
        <v>13</v>
      </c>
      <c r="Q374" s="71" t="s">
        <v>1200</v>
      </c>
      <c r="R374" s="71" t="s">
        <v>57</v>
      </c>
      <c r="S374" s="72"/>
      <c r="T374" s="73"/>
      <c r="U374" s="195"/>
      <c r="V374" s="102">
        <v>46140</v>
      </c>
      <c r="W374" s="70">
        <v>3</v>
      </c>
      <c r="X374" s="103" t="s">
        <v>1202</v>
      </c>
      <c r="Y374" s="104">
        <f t="shared" si="46"/>
        <v>46231</v>
      </c>
      <c r="Z374" s="105">
        <f ca="1" t="shared" si="47"/>
        <v>64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930</v>
      </c>
      <c r="C375" s="70" t="s">
        <v>13</v>
      </c>
      <c r="D375" s="71" t="s">
        <v>1203</v>
      </c>
      <c r="E375" s="71" t="s">
        <v>57</v>
      </c>
      <c r="F375" s="72"/>
      <c r="G375" s="73"/>
      <c r="H375" s="195"/>
      <c r="I375" s="173">
        <v>46042</v>
      </c>
      <c r="J375" s="70">
        <v>3</v>
      </c>
      <c r="K375" s="106" t="s">
        <v>1204</v>
      </c>
      <c r="L375" s="104">
        <f t="shared" si="42"/>
        <v>46132</v>
      </c>
      <c r="M375" s="105">
        <f ca="1" t="shared" si="43"/>
        <v>-35</v>
      </c>
      <c r="N375" s="70"/>
      <c r="O375" s="70" t="s">
        <v>930</v>
      </c>
      <c r="P375" s="70" t="s">
        <v>13</v>
      </c>
      <c r="Q375" s="71" t="s">
        <v>1203</v>
      </c>
      <c r="R375" s="71" t="s">
        <v>57</v>
      </c>
      <c r="S375" s="72"/>
      <c r="T375" s="73"/>
      <c r="U375" s="195"/>
      <c r="V375" s="102">
        <v>46140</v>
      </c>
      <c r="W375" s="70">
        <v>3</v>
      </c>
      <c r="X375" s="103" t="s">
        <v>1205</v>
      </c>
      <c r="Y375" s="104">
        <f t="shared" si="46"/>
        <v>46231</v>
      </c>
      <c r="Z375" s="105">
        <f ca="1" t="shared" si="47"/>
        <v>64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1206</v>
      </c>
      <c r="C376" s="70" t="s">
        <v>31</v>
      </c>
      <c r="D376" s="71" t="s">
        <v>1207</v>
      </c>
      <c r="E376" s="71" t="s">
        <v>1208</v>
      </c>
      <c r="F376" s="72"/>
      <c r="G376" s="73"/>
      <c r="H376" s="195"/>
      <c r="I376" s="173">
        <v>46042</v>
      </c>
      <c r="J376" s="70">
        <v>3</v>
      </c>
      <c r="K376" s="106" t="s">
        <v>1209</v>
      </c>
      <c r="L376" s="104">
        <f t="shared" si="42"/>
        <v>46132</v>
      </c>
      <c r="M376" s="105">
        <f ca="1" t="shared" si="43"/>
        <v>-35</v>
      </c>
      <c r="N376" s="70"/>
      <c r="O376" s="70" t="s">
        <v>1206</v>
      </c>
      <c r="P376" s="70" t="s">
        <v>31</v>
      </c>
      <c r="Q376" s="71" t="s">
        <v>1207</v>
      </c>
      <c r="R376" s="71" t="s">
        <v>1208</v>
      </c>
      <c r="S376" s="72"/>
      <c r="T376" s="73"/>
      <c r="U376" s="195"/>
      <c r="V376" s="102">
        <v>46125</v>
      </c>
      <c r="W376" s="70">
        <v>3</v>
      </c>
      <c r="X376" s="103" t="s">
        <v>1210</v>
      </c>
      <c r="Y376" s="104">
        <f t="shared" si="46"/>
        <v>46216</v>
      </c>
      <c r="Z376" s="105">
        <f ca="1" t="shared" si="47"/>
        <v>49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208</v>
      </c>
      <c r="C377" s="70" t="s">
        <v>203</v>
      </c>
      <c r="D377" s="71" t="s">
        <v>1211</v>
      </c>
      <c r="E377" s="71" t="s">
        <v>203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1212</v>
      </c>
      <c r="L377" s="104">
        <f t="shared" si="42"/>
        <v>46132</v>
      </c>
      <c r="M377" s="105">
        <f ca="1" t="shared" si="43"/>
        <v>-35</v>
      </c>
      <c r="N377" s="70"/>
      <c r="O377" s="70" t="s">
        <v>208</v>
      </c>
      <c r="P377" s="70" t="s">
        <v>203</v>
      </c>
      <c r="Q377" s="71" t="s">
        <v>1211</v>
      </c>
      <c r="R377" s="71" t="s">
        <v>203</v>
      </c>
      <c r="S377" s="72"/>
      <c r="T377" s="73"/>
      <c r="U377" s="195"/>
      <c r="V377" s="102">
        <v>46154</v>
      </c>
      <c r="W377" s="70">
        <v>3</v>
      </c>
      <c r="X377" s="103" t="s">
        <v>1213</v>
      </c>
      <c r="Y377" s="104">
        <f t="shared" si="46"/>
        <v>46246</v>
      </c>
      <c r="Z377" s="105">
        <f ca="1" t="shared" si="47"/>
        <v>79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208</v>
      </c>
      <c r="C378" s="70" t="s">
        <v>203</v>
      </c>
      <c r="D378" s="71" t="s">
        <v>1214</v>
      </c>
      <c r="E378" s="71" t="s">
        <v>214</v>
      </c>
      <c r="F378" s="72"/>
      <c r="G378" s="73"/>
      <c r="H378" s="75"/>
      <c r="I378" s="173">
        <v>46042</v>
      </c>
      <c r="J378" s="70">
        <v>3</v>
      </c>
      <c r="K378" s="106" t="s">
        <v>1215</v>
      </c>
      <c r="L378" s="104">
        <f t="shared" si="42"/>
        <v>46132</v>
      </c>
      <c r="M378" s="105">
        <f ca="1" t="shared" si="43"/>
        <v>-35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46"/>
        <v>0</v>
      </c>
      <c r="Z378" s="105">
        <f ca="1" t="shared" si="47"/>
        <v>-46167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208</v>
      </c>
      <c r="C379" s="70" t="s">
        <v>203</v>
      </c>
      <c r="D379" s="71" t="s">
        <v>743</v>
      </c>
      <c r="E379" s="71" t="s">
        <v>283</v>
      </c>
      <c r="F379" s="72"/>
      <c r="G379" s="73"/>
      <c r="H379" s="75"/>
      <c r="I379" s="173">
        <v>46042</v>
      </c>
      <c r="J379" s="173" t="s">
        <v>596</v>
      </c>
      <c r="K379" s="106"/>
      <c r="L379" s="104" t="e">
        <f t="shared" si="42"/>
        <v>#VALUE!</v>
      </c>
      <c r="M379" s="105" t="e">
        <f ca="1" t="shared" si="43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46"/>
        <v>0</v>
      </c>
      <c r="Z379" s="105">
        <f ca="1" t="shared" si="47"/>
        <v>-46167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208</v>
      </c>
      <c r="C380" s="70" t="s">
        <v>203</v>
      </c>
      <c r="D380" s="71" t="s">
        <v>282</v>
      </c>
      <c r="E380" s="71" t="s">
        <v>283</v>
      </c>
      <c r="F380" s="72"/>
      <c r="G380" s="73"/>
      <c r="H380" s="75"/>
      <c r="I380" s="173">
        <v>46042</v>
      </c>
      <c r="J380" s="173" t="s">
        <v>596</v>
      </c>
      <c r="K380" s="106"/>
      <c r="L380" s="104" t="e">
        <f t="shared" si="42"/>
        <v>#VALUE!</v>
      </c>
      <c r="M380" s="105" t="e">
        <f ca="1" t="shared" si="43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46"/>
        <v>0</v>
      </c>
      <c r="Z380" s="105">
        <f ca="1" t="shared" si="47"/>
        <v>-46167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202</v>
      </c>
      <c r="C381" s="70" t="s">
        <v>203</v>
      </c>
      <c r="D381" s="71" t="s">
        <v>204</v>
      </c>
      <c r="E381" s="71" t="s">
        <v>205</v>
      </c>
      <c r="F381" s="72"/>
      <c r="G381" s="73"/>
      <c r="H381" s="75"/>
      <c r="I381" s="173">
        <v>46042</v>
      </c>
      <c r="J381" s="173" t="s">
        <v>596</v>
      </c>
      <c r="K381" s="106"/>
      <c r="L381" s="104" t="e">
        <f t="shared" si="42"/>
        <v>#VALUE!</v>
      </c>
      <c r="M381" s="105" t="e">
        <f ca="1" t="shared" si="43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46"/>
        <v>0</v>
      </c>
      <c r="Z381" s="105">
        <f ca="1" t="shared" si="47"/>
        <v>-46167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607</v>
      </c>
      <c r="C382" s="70" t="s">
        <v>287</v>
      </c>
      <c r="D382" s="71" t="s">
        <v>1216</v>
      </c>
      <c r="E382" s="71" t="s">
        <v>418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1217</v>
      </c>
      <c r="L382" s="104">
        <f t="shared" si="42"/>
        <v>46132</v>
      </c>
      <c r="M382" s="105">
        <f ca="1" t="shared" si="43"/>
        <v>-35</v>
      </c>
      <c r="N382" s="70"/>
      <c r="O382" s="70" t="s">
        <v>607</v>
      </c>
      <c r="P382" s="70" t="s">
        <v>287</v>
      </c>
      <c r="Q382" s="71" t="s">
        <v>1216</v>
      </c>
      <c r="R382" s="71" t="s">
        <v>418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1218</v>
      </c>
      <c r="Y382" s="104">
        <f t="shared" si="46"/>
        <v>46244</v>
      </c>
      <c r="Z382" s="105">
        <f ca="1" t="shared" si="47"/>
        <v>77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689</v>
      </c>
      <c r="C383" s="70" t="s">
        <v>287</v>
      </c>
      <c r="D383" s="71" t="s">
        <v>1219</v>
      </c>
      <c r="E383" s="71" t="s">
        <v>1220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1221</v>
      </c>
      <c r="L383" s="104">
        <f t="shared" si="42"/>
        <v>46132</v>
      </c>
      <c r="M383" s="105">
        <f ca="1" t="shared" si="43"/>
        <v>-35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46"/>
        <v>0</v>
      </c>
      <c r="Z383" s="105">
        <f ca="1" t="shared" si="47"/>
        <v>-46167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689</v>
      </c>
      <c r="C384" s="70" t="s">
        <v>287</v>
      </c>
      <c r="D384" s="71" t="s">
        <v>1222</v>
      </c>
      <c r="E384" s="71" t="s">
        <v>435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1223</v>
      </c>
      <c r="L384" s="104">
        <f t="shared" si="42"/>
        <v>46132</v>
      </c>
      <c r="M384" s="105">
        <f ca="1" t="shared" si="43"/>
        <v>-35</v>
      </c>
      <c r="N384" s="70"/>
      <c r="O384" s="70" t="s">
        <v>689</v>
      </c>
      <c r="P384" s="70" t="s">
        <v>287</v>
      </c>
      <c r="Q384" s="71" t="s">
        <v>1222</v>
      </c>
      <c r="R384" s="71" t="s">
        <v>435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1224</v>
      </c>
      <c r="Y384" s="104">
        <f t="shared" si="46"/>
        <v>46218</v>
      </c>
      <c r="Z384" s="105">
        <f ca="1" t="shared" si="47"/>
        <v>51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689</v>
      </c>
      <c r="C385" s="70" t="s">
        <v>287</v>
      </c>
      <c r="D385" s="71" t="s">
        <v>1225</v>
      </c>
      <c r="E385" s="71" t="s">
        <v>435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1226</v>
      </c>
      <c r="L385" s="104">
        <f t="shared" si="42"/>
        <v>46132</v>
      </c>
      <c r="M385" s="105">
        <f ca="1" t="shared" si="43"/>
        <v>-35</v>
      </c>
      <c r="N385" s="70"/>
      <c r="O385" s="70"/>
      <c r="P385" s="70"/>
      <c r="Q385" s="71"/>
      <c r="R385" s="71"/>
      <c r="S385" s="72"/>
      <c r="T385" s="73"/>
      <c r="U385" s="79"/>
      <c r="V385" s="102"/>
      <c r="W385" s="70"/>
      <c r="X385" s="103"/>
      <c r="Y385" s="104">
        <f t="shared" si="46"/>
        <v>0</v>
      </c>
      <c r="Z385" s="105">
        <f ca="1" t="shared" si="47"/>
        <v>-46167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689</v>
      </c>
      <c r="C386" s="70" t="s">
        <v>287</v>
      </c>
      <c r="D386" s="71" t="s">
        <v>1227</v>
      </c>
      <c r="E386" s="71" t="s">
        <v>435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1228</v>
      </c>
      <c r="L386" s="104">
        <f t="shared" ref="L386:L449" si="48">EDATE(I386,J386)</f>
        <v>46132</v>
      </c>
      <c r="M386" s="105">
        <f ca="1" t="shared" ref="M386:M449" si="49">L386-TODAY()</f>
        <v>-35</v>
      </c>
      <c r="N386" s="70"/>
      <c r="O386" s="70"/>
      <c r="P386" s="70"/>
      <c r="Q386" s="71"/>
      <c r="R386" s="71"/>
      <c r="S386" s="72"/>
      <c r="T386" s="73"/>
      <c r="U386" s="76"/>
      <c r="V386" s="102"/>
      <c r="W386" s="70"/>
      <c r="X386" s="103"/>
      <c r="Y386" s="104">
        <f t="shared" si="46"/>
        <v>0</v>
      </c>
      <c r="Z386" s="105">
        <f ca="1" t="shared" si="47"/>
        <v>-46167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689</v>
      </c>
      <c r="C387" s="70" t="s">
        <v>287</v>
      </c>
      <c r="D387" s="71" t="s">
        <v>1229</v>
      </c>
      <c r="E387" s="71" t="s">
        <v>435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1230</v>
      </c>
      <c r="L387" s="104">
        <f t="shared" si="48"/>
        <v>46132</v>
      </c>
      <c r="M387" s="105">
        <f ca="1" t="shared" si="49"/>
        <v>-35</v>
      </c>
      <c r="N387" s="70"/>
      <c r="O387" s="70"/>
      <c r="P387" s="70"/>
      <c r="Q387" s="71"/>
      <c r="R387" s="71"/>
      <c r="S387" s="72"/>
      <c r="T387" s="73"/>
      <c r="U387" s="76"/>
      <c r="V387" s="102"/>
      <c r="W387" s="70"/>
      <c r="X387" s="103"/>
      <c r="Y387" s="104">
        <f t="shared" si="46"/>
        <v>0</v>
      </c>
      <c r="Z387" s="105">
        <f ca="1" t="shared" si="47"/>
        <v>-46167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897</v>
      </c>
      <c r="C388" s="70" t="s">
        <v>287</v>
      </c>
      <c r="D388" s="71" t="s">
        <v>1231</v>
      </c>
      <c r="E388" s="71" t="s">
        <v>687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1232</v>
      </c>
      <c r="L388" s="104">
        <f t="shared" si="48"/>
        <v>46132</v>
      </c>
      <c r="M388" s="105">
        <f ca="1" t="shared" si="49"/>
        <v>-35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46"/>
        <v>0</v>
      </c>
      <c r="Z388" s="105">
        <f ca="1" t="shared" si="47"/>
        <v>-46167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1233</v>
      </c>
      <c r="E389" s="71" t="s">
        <v>1234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1235</v>
      </c>
      <c r="L389" s="104">
        <f t="shared" si="48"/>
        <v>46133</v>
      </c>
      <c r="M389" s="105">
        <f ca="1" t="shared" si="49"/>
        <v>-34</v>
      </c>
      <c r="N389" s="70"/>
      <c r="O389" s="70" t="s">
        <v>12</v>
      </c>
      <c r="P389" s="70" t="s">
        <v>13</v>
      </c>
      <c r="Q389" s="71" t="s">
        <v>1233</v>
      </c>
      <c r="R389" s="71" t="s">
        <v>1234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1236</v>
      </c>
      <c r="Y389" s="104">
        <f t="shared" si="46"/>
        <v>46243</v>
      </c>
      <c r="Z389" s="105">
        <f ca="1" t="shared" si="47"/>
        <v>76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1075</v>
      </c>
      <c r="C390" s="70" t="s">
        <v>31</v>
      </c>
      <c r="D390" s="71" t="s">
        <v>1237</v>
      </c>
      <c r="E390" s="71" t="s">
        <v>1238</v>
      </c>
      <c r="F390" s="72"/>
      <c r="G390" s="73"/>
      <c r="H390" s="157"/>
      <c r="I390" s="173">
        <v>46043</v>
      </c>
      <c r="J390" s="70">
        <v>3</v>
      </c>
      <c r="K390" s="106" t="s">
        <v>1239</v>
      </c>
      <c r="L390" s="104">
        <f t="shared" si="48"/>
        <v>46133</v>
      </c>
      <c r="M390" s="105">
        <f ca="1" t="shared" si="49"/>
        <v>-34</v>
      </c>
      <c r="N390" s="70"/>
      <c r="O390" s="70" t="s">
        <v>1075</v>
      </c>
      <c r="P390" s="70" t="s">
        <v>31</v>
      </c>
      <c r="Q390" s="71" t="s">
        <v>1237</v>
      </c>
      <c r="R390" s="71" t="s">
        <v>1238</v>
      </c>
      <c r="S390" s="72"/>
      <c r="T390" s="73"/>
      <c r="U390" s="157"/>
      <c r="V390" s="102">
        <v>46147</v>
      </c>
      <c r="W390" s="70">
        <v>3</v>
      </c>
      <c r="X390" s="103" t="s">
        <v>1240</v>
      </c>
      <c r="Y390" s="104">
        <f t="shared" si="46"/>
        <v>46239</v>
      </c>
      <c r="Z390" s="105">
        <f ca="1" t="shared" si="47"/>
        <v>72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437</v>
      </c>
      <c r="C391" s="70" t="s">
        <v>13</v>
      </c>
      <c r="D391" s="71" t="s">
        <v>1241</v>
      </c>
      <c r="E391" s="71" t="s">
        <v>57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1242</v>
      </c>
      <c r="L391" s="104">
        <f t="shared" si="48"/>
        <v>46133</v>
      </c>
      <c r="M391" s="105">
        <f ca="1" t="shared" si="49"/>
        <v>-34</v>
      </c>
      <c r="N391" s="70"/>
      <c r="O391" s="70"/>
      <c r="P391" s="70"/>
      <c r="Q391" s="71"/>
      <c r="R391" s="71"/>
      <c r="S391" s="72"/>
      <c r="T391" s="73"/>
      <c r="U391" s="76"/>
      <c r="V391" s="102"/>
      <c r="W391" s="70"/>
      <c r="X391" s="103"/>
      <c r="Y391" s="104">
        <f t="shared" si="46"/>
        <v>0</v>
      </c>
      <c r="Z391" s="105">
        <f ca="1" t="shared" si="47"/>
        <v>-46167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178</v>
      </c>
      <c r="C392" s="70" t="s">
        <v>31</v>
      </c>
      <c r="D392" s="71" t="s">
        <v>1243</v>
      </c>
      <c r="E392" s="71" t="s">
        <v>1244</v>
      </c>
      <c r="F392" s="72"/>
      <c r="G392" s="73"/>
      <c r="H392" s="157"/>
      <c r="I392" s="173">
        <v>46043</v>
      </c>
      <c r="J392" s="70">
        <v>3</v>
      </c>
      <c r="K392" s="106" t="s">
        <v>1245</v>
      </c>
      <c r="L392" s="104">
        <f t="shared" si="48"/>
        <v>46133</v>
      </c>
      <c r="M392" s="105">
        <f ca="1" t="shared" si="49"/>
        <v>-34</v>
      </c>
      <c r="N392" s="70"/>
      <c r="O392" s="70" t="s">
        <v>178</v>
      </c>
      <c r="P392" s="70" t="s">
        <v>31</v>
      </c>
      <c r="Q392" s="71" t="s">
        <v>1243</v>
      </c>
      <c r="R392" s="71" t="s">
        <v>1244</v>
      </c>
      <c r="S392" s="72"/>
      <c r="T392" s="73"/>
      <c r="U392" s="157"/>
      <c r="V392" s="102">
        <v>46140</v>
      </c>
      <c r="W392" s="70">
        <v>3</v>
      </c>
      <c r="X392" s="103" t="s">
        <v>1246</v>
      </c>
      <c r="Y392" s="104">
        <f t="shared" si="46"/>
        <v>46231</v>
      </c>
      <c r="Z392" s="105">
        <f ca="1" t="shared" si="47"/>
        <v>64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178</v>
      </c>
      <c r="C393" s="70" t="s">
        <v>31</v>
      </c>
      <c r="D393" s="71" t="s">
        <v>1247</v>
      </c>
      <c r="E393" s="71" t="s">
        <v>33</v>
      </c>
      <c r="F393" s="72"/>
      <c r="G393" s="73"/>
      <c r="H393" s="157"/>
      <c r="I393" s="173">
        <v>46043</v>
      </c>
      <c r="J393" s="70">
        <v>3</v>
      </c>
      <c r="K393" s="106" t="s">
        <v>1248</v>
      </c>
      <c r="L393" s="104">
        <f t="shared" si="48"/>
        <v>46133</v>
      </c>
      <c r="M393" s="105">
        <f ca="1" t="shared" si="49"/>
        <v>-34</v>
      </c>
      <c r="N393" s="70"/>
      <c r="O393" s="70" t="s">
        <v>178</v>
      </c>
      <c r="P393" s="70" t="s">
        <v>31</v>
      </c>
      <c r="Q393" s="71" t="s">
        <v>1247</v>
      </c>
      <c r="R393" s="71" t="s">
        <v>33</v>
      </c>
      <c r="S393" s="72"/>
      <c r="T393" s="73"/>
      <c r="U393" s="157"/>
      <c r="V393" s="102">
        <v>46127</v>
      </c>
      <c r="W393" s="70">
        <v>3</v>
      </c>
      <c r="X393" s="103" t="s">
        <v>1249</v>
      </c>
      <c r="Y393" s="104">
        <f t="shared" si="46"/>
        <v>46218</v>
      </c>
      <c r="Z393" s="105">
        <f ca="1" t="shared" si="47"/>
        <v>51</v>
      </c>
      <c r="AA393" s="70"/>
      <c r="AB393" s="70"/>
      <c r="AC393" s="70"/>
      <c r="AD393" s="71"/>
      <c r="AE393" s="71"/>
      <c r="AF393" s="72"/>
      <c r="AG393" s="73"/>
      <c r="AH393" s="114"/>
      <c r="AI393" s="102"/>
      <c r="AJ393" s="70"/>
      <c r="AK393" s="103"/>
      <c r="AL393" s="104"/>
      <c r="AM393" s="105"/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178</v>
      </c>
      <c r="C394" s="70" t="s">
        <v>31</v>
      </c>
      <c r="D394" s="71" t="s">
        <v>1250</v>
      </c>
      <c r="E394" s="71" t="s">
        <v>1251</v>
      </c>
      <c r="F394" s="72"/>
      <c r="G394" s="73"/>
      <c r="H394" s="157"/>
      <c r="I394" s="173">
        <v>46043</v>
      </c>
      <c r="J394" s="70">
        <v>3</v>
      </c>
      <c r="K394" s="106" t="s">
        <v>1252</v>
      </c>
      <c r="L394" s="104">
        <f t="shared" si="48"/>
        <v>46133</v>
      </c>
      <c r="M394" s="105">
        <f ca="1" t="shared" si="49"/>
        <v>-34</v>
      </c>
      <c r="N394" s="70"/>
      <c r="O394" s="70" t="s">
        <v>178</v>
      </c>
      <c r="P394" s="70" t="s">
        <v>31</v>
      </c>
      <c r="Q394" s="71" t="s">
        <v>1250</v>
      </c>
      <c r="R394" s="71" t="s">
        <v>1251</v>
      </c>
      <c r="S394" s="72"/>
      <c r="T394" s="73"/>
      <c r="U394" s="157"/>
      <c r="V394" s="102">
        <v>46133</v>
      </c>
      <c r="W394" s="70">
        <v>3</v>
      </c>
      <c r="X394" s="103" t="s">
        <v>1253</v>
      </c>
      <c r="Y394" s="104">
        <f t="shared" si="46"/>
        <v>46224</v>
      </c>
      <c r="Z394" s="105">
        <f ca="1" t="shared" si="47"/>
        <v>57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/>
      <c r="AM394" s="105"/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178</v>
      </c>
      <c r="C395" s="70" t="s">
        <v>13</v>
      </c>
      <c r="D395" s="71" t="s">
        <v>1254</v>
      </c>
      <c r="E395" s="71" t="s">
        <v>37</v>
      </c>
      <c r="F395" s="72"/>
      <c r="G395" s="73"/>
      <c r="H395" s="75"/>
      <c r="I395" s="173">
        <v>46043</v>
      </c>
      <c r="J395" s="70">
        <v>3</v>
      </c>
      <c r="K395" s="106" t="s">
        <v>1255</v>
      </c>
      <c r="L395" s="104">
        <f t="shared" si="48"/>
        <v>46133</v>
      </c>
      <c r="M395" s="105">
        <f ca="1" t="shared" si="49"/>
        <v>-34</v>
      </c>
      <c r="N395" s="70"/>
      <c r="O395" s="70" t="s">
        <v>178</v>
      </c>
      <c r="P395" s="70" t="s">
        <v>13</v>
      </c>
      <c r="Q395" s="71" t="s">
        <v>1254</v>
      </c>
      <c r="R395" s="71" t="s">
        <v>37</v>
      </c>
      <c r="S395" s="72"/>
      <c r="T395" s="73"/>
      <c r="U395" s="75"/>
      <c r="V395" s="102">
        <v>46151</v>
      </c>
      <c r="W395" s="70">
        <v>3</v>
      </c>
      <c r="X395" s="103" t="s">
        <v>1256</v>
      </c>
      <c r="Y395" s="104">
        <f t="shared" si="46"/>
        <v>46243</v>
      </c>
      <c r="Z395" s="105">
        <f ca="1" t="shared" si="47"/>
        <v>76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/>
      <c r="AM395" s="105"/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178</v>
      </c>
      <c r="C396" s="70" t="s">
        <v>13</v>
      </c>
      <c r="D396" s="71" t="s">
        <v>1257</v>
      </c>
      <c r="E396" s="71" t="s">
        <v>57</v>
      </c>
      <c r="F396" s="72"/>
      <c r="G396" s="73"/>
      <c r="H396" s="75"/>
      <c r="I396" s="173">
        <v>46043</v>
      </c>
      <c r="J396" s="70">
        <v>3</v>
      </c>
      <c r="K396" s="106" t="s">
        <v>1258</v>
      </c>
      <c r="L396" s="104">
        <f t="shared" si="48"/>
        <v>46133</v>
      </c>
      <c r="M396" s="105">
        <f ca="1" t="shared" si="49"/>
        <v>-34</v>
      </c>
      <c r="N396" s="70"/>
      <c r="O396" s="70" t="s">
        <v>178</v>
      </c>
      <c r="P396" s="70" t="s">
        <v>13</v>
      </c>
      <c r="Q396" s="71" t="s">
        <v>1257</v>
      </c>
      <c r="R396" s="71" t="s">
        <v>57</v>
      </c>
      <c r="S396" s="72"/>
      <c r="T396" s="73"/>
      <c r="U396" s="75"/>
      <c r="V396" s="102">
        <v>46153</v>
      </c>
      <c r="W396" s="70">
        <v>3</v>
      </c>
      <c r="X396" s="103" t="s">
        <v>1259</v>
      </c>
      <c r="Y396" s="104">
        <f t="shared" si="46"/>
        <v>46245</v>
      </c>
      <c r="Z396" s="105">
        <f ca="1" t="shared" si="47"/>
        <v>78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/>
      <c r="AM396" s="105"/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178</v>
      </c>
      <c r="C397" s="70" t="s">
        <v>13</v>
      </c>
      <c r="D397" s="70" t="s">
        <v>1260</v>
      </c>
      <c r="E397" s="71" t="s">
        <v>979</v>
      </c>
      <c r="F397" s="72"/>
      <c r="G397" s="73"/>
      <c r="H397" s="75"/>
      <c r="I397" s="173">
        <v>46043</v>
      </c>
      <c r="J397" s="70">
        <v>3</v>
      </c>
      <c r="K397" s="106" t="s">
        <v>1261</v>
      </c>
      <c r="L397" s="104">
        <f t="shared" si="48"/>
        <v>46133</v>
      </c>
      <c r="M397" s="105">
        <f ca="1" t="shared" si="49"/>
        <v>-34</v>
      </c>
      <c r="N397" s="70"/>
      <c r="O397" s="70" t="s">
        <v>178</v>
      </c>
      <c r="P397" s="70" t="s">
        <v>13</v>
      </c>
      <c r="Q397" s="70" t="s">
        <v>1260</v>
      </c>
      <c r="R397" s="71" t="s">
        <v>979</v>
      </c>
      <c r="S397" s="72"/>
      <c r="T397" s="73"/>
      <c r="U397" s="75"/>
      <c r="V397" s="102">
        <v>46136</v>
      </c>
      <c r="W397" s="70">
        <v>3</v>
      </c>
      <c r="X397" s="103" t="s">
        <v>1262</v>
      </c>
      <c r="Y397" s="104">
        <f t="shared" si="46"/>
        <v>46227</v>
      </c>
      <c r="Z397" s="105">
        <f ca="1" t="shared" si="47"/>
        <v>60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/>
      <c r="AM397" s="105"/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178</v>
      </c>
      <c r="C398" s="70" t="s">
        <v>13</v>
      </c>
      <c r="D398" s="70" t="s">
        <v>1263</v>
      </c>
      <c r="E398" s="71" t="s">
        <v>243</v>
      </c>
      <c r="F398" s="72"/>
      <c r="G398" s="73"/>
      <c r="H398" s="75"/>
      <c r="I398" s="173">
        <v>46043</v>
      </c>
      <c r="J398" s="70">
        <v>3</v>
      </c>
      <c r="K398" s="106" t="s">
        <v>1264</v>
      </c>
      <c r="L398" s="104">
        <f t="shared" si="48"/>
        <v>46133</v>
      </c>
      <c r="M398" s="105">
        <f ca="1" t="shared" si="49"/>
        <v>-34</v>
      </c>
      <c r="N398" s="70"/>
      <c r="O398" s="70" t="s">
        <v>178</v>
      </c>
      <c r="P398" s="70" t="s">
        <v>13</v>
      </c>
      <c r="Q398" s="70" t="s">
        <v>1263</v>
      </c>
      <c r="R398" s="71" t="s">
        <v>243</v>
      </c>
      <c r="S398" s="72"/>
      <c r="T398" s="73"/>
      <c r="U398" s="75"/>
      <c r="V398" s="102">
        <v>46136</v>
      </c>
      <c r="W398" s="70">
        <v>3</v>
      </c>
      <c r="X398" s="103" t="s">
        <v>1265</v>
      </c>
      <c r="Y398" s="104">
        <f t="shared" ref="Y387:Y409" si="50">EDATE(V398,W398)</f>
        <v>46227</v>
      </c>
      <c r="Z398" s="105">
        <f ca="1" t="shared" si="47"/>
        <v>60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/>
      <c r="AM398" s="105"/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102</v>
      </c>
      <c r="C399" s="70" t="s">
        <v>13</v>
      </c>
      <c r="D399" s="71" t="s">
        <v>1266</v>
      </c>
      <c r="E399" s="71" t="s">
        <v>37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1267</v>
      </c>
      <c r="L399" s="104">
        <f t="shared" si="48"/>
        <v>46133</v>
      </c>
      <c r="M399" s="105">
        <f ca="1" t="shared" si="49"/>
        <v>-34</v>
      </c>
      <c r="N399" s="70"/>
      <c r="O399" s="70" t="s">
        <v>102</v>
      </c>
      <c r="P399" s="70" t="s">
        <v>13</v>
      </c>
      <c r="Q399" s="71" t="s">
        <v>1266</v>
      </c>
      <c r="R399" s="71" t="s">
        <v>37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1268</v>
      </c>
      <c r="Y399" s="104">
        <f t="shared" si="50"/>
        <v>46223</v>
      </c>
      <c r="Z399" s="105">
        <f ca="1" t="shared" si="47"/>
        <v>56</v>
      </c>
      <c r="AA399" s="70"/>
      <c r="AB399" s="70"/>
      <c r="AC399" s="70"/>
      <c r="AD399" s="71"/>
      <c r="AE399" s="71"/>
      <c r="AF399" s="72"/>
      <c r="AG399" s="73"/>
      <c r="AH399" s="114"/>
      <c r="AI399" s="102"/>
      <c r="AJ399" s="70"/>
      <c r="AK399" s="103"/>
      <c r="AL399" s="104"/>
      <c r="AM399" s="105"/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102</v>
      </c>
      <c r="C400" s="70" t="s">
        <v>13</v>
      </c>
      <c r="D400" s="71" t="s">
        <v>1269</v>
      </c>
      <c r="E400" s="71" t="s">
        <v>37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1270</v>
      </c>
      <c r="L400" s="104">
        <f t="shared" si="48"/>
        <v>46133</v>
      </c>
      <c r="M400" s="105">
        <f ca="1" t="shared" si="49"/>
        <v>-34</v>
      </c>
      <c r="N400" s="70"/>
      <c r="O400" s="70" t="s">
        <v>102</v>
      </c>
      <c r="P400" s="70" t="s">
        <v>13</v>
      </c>
      <c r="Q400" s="71" t="s">
        <v>1269</v>
      </c>
      <c r="R400" s="71" t="s">
        <v>37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1271</v>
      </c>
      <c r="Y400" s="104">
        <f t="shared" si="50"/>
        <v>46220</v>
      </c>
      <c r="Z400" s="105">
        <f ca="1" t="shared" si="47"/>
        <v>53</v>
      </c>
      <c r="AA400" s="70"/>
      <c r="AB400" s="70"/>
      <c r="AC400" s="70"/>
      <c r="AD400" s="71"/>
      <c r="AE400" s="71"/>
      <c r="AF400" s="72"/>
      <c r="AG400" s="73"/>
      <c r="AH400" s="75"/>
      <c r="AI400" s="102"/>
      <c r="AJ400" s="70"/>
      <c r="AK400" s="103"/>
      <c r="AL400" s="104"/>
      <c r="AM400" s="105"/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102</v>
      </c>
      <c r="C401" s="70" t="s">
        <v>13</v>
      </c>
      <c r="D401" s="71" t="s">
        <v>1272</v>
      </c>
      <c r="E401" s="71" t="s">
        <v>464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1273</v>
      </c>
      <c r="L401" s="104">
        <f t="shared" si="48"/>
        <v>46133</v>
      </c>
      <c r="M401" s="105">
        <f ca="1" t="shared" si="49"/>
        <v>-34</v>
      </c>
      <c r="N401" s="70"/>
      <c r="O401" s="70" t="s">
        <v>102</v>
      </c>
      <c r="P401" s="70" t="s">
        <v>13</v>
      </c>
      <c r="Q401" s="71" t="s">
        <v>1272</v>
      </c>
      <c r="R401" s="71" t="s">
        <v>464</v>
      </c>
      <c r="S401" s="72"/>
      <c r="T401" s="73"/>
      <c r="U401" s="157"/>
      <c r="V401" s="102">
        <v>46131</v>
      </c>
      <c r="W401" s="70">
        <v>3</v>
      </c>
      <c r="X401" s="103" t="s">
        <v>1274</v>
      </c>
      <c r="Y401" s="104">
        <f t="shared" si="50"/>
        <v>46222</v>
      </c>
      <c r="Z401" s="105">
        <f ca="1" t="shared" si="47"/>
        <v>55</v>
      </c>
      <c r="AA401" s="70"/>
      <c r="AB401" s="70"/>
      <c r="AC401" s="70"/>
      <c r="AD401" s="71"/>
      <c r="AE401" s="71"/>
      <c r="AF401" s="72"/>
      <c r="AG401" s="73"/>
      <c r="AH401" s="157"/>
      <c r="AI401" s="102"/>
      <c r="AJ401" s="70"/>
      <c r="AK401" s="103"/>
      <c r="AL401" s="104"/>
      <c r="AM401" s="105"/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359</v>
      </c>
      <c r="C402" s="70" t="s">
        <v>13</v>
      </c>
      <c r="D402" s="71" t="s">
        <v>1275</v>
      </c>
      <c r="E402" s="71" t="s">
        <v>95</v>
      </c>
      <c r="F402" s="72"/>
      <c r="G402" s="73"/>
      <c r="H402" s="75"/>
      <c r="I402" s="173">
        <v>46043</v>
      </c>
      <c r="J402" s="70">
        <v>3</v>
      </c>
      <c r="K402" s="106" t="s">
        <v>1276</v>
      </c>
      <c r="L402" s="104">
        <f t="shared" si="48"/>
        <v>46133</v>
      </c>
      <c r="M402" s="105">
        <f ca="1" t="shared" si="49"/>
        <v>-34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50"/>
        <v>0</v>
      </c>
      <c r="Z402" s="105">
        <f ca="1" t="shared" si="47"/>
        <v>-46167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/>
      <c r="AM402" s="105"/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359</v>
      </c>
      <c r="C403" s="70" t="s">
        <v>13</v>
      </c>
      <c r="D403" s="71" t="s">
        <v>1277</v>
      </c>
      <c r="E403" s="71" t="s">
        <v>1278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1279</v>
      </c>
      <c r="L403" s="104">
        <f t="shared" si="48"/>
        <v>46133</v>
      </c>
      <c r="M403" s="105">
        <f ca="1" t="shared" si="49"/>
        <v>-34</v>
      </c>
      <c r="N403" s="70"/>
      <c r="O403" s="71" t="s">
        <v>985</v>
      </c>
      <c r="P403" s="70" t="s">
        <v>13</v>
      </c>
      <c r="Q403" s="71" t="s">
        <v>1277</v>
      </c>
      <c r="R403" s="71" t="s">
        <v>1278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1280</v>
      </c>
      <c r="Y403" s="104">
        <f t="shared" si="50"/>
        <v>46245</v>
      </c>
      <c r="Z403" s="105">
        <f ca="1" t="shared" si="47"/>
        <v>78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/>
      <c r="AM403" s="105"/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588</v>
      </c>
      <c r="C404" s="70" t="s">
        <v>203</v>
      </c>
      <c r="D404" s="71" t="s">
        <v>1281</v>
      </c>
      <c r="E404" s="71" t="s">
        <v>203</v>
      </c>
      <c r="F404" s="72"/>
      <c r="G404" s="73"/>
      <c r="H404" s="75"/>
      <c r="I404" s="173">
        <v>46043</v>
      </c>
      <c r="J404" s="70">
        <v>3</v>
      </c>
      <c r="K404" s="106" t="s">
        <v>1282</v>
      </c>
      <c r="L404" s="104">
        <f t="shared" si="48"/>
        <v>46133</v>
      </c>
      <c r="M404" s="105">
        <f ca="1" t="shared" si="49"/>
        <v>-34</v>
      </c>
      <c r="N404" s="70"/>
      <c r="O404" s="70" t="s">
        <v>588</v>
      </c>
      <c r="P404" s="70" t="s">
        <v>203</v>
      </c>
      <c r="Q404" s="71" t="s">
        <v>1281</v>
      </c>
      <c r="R404" s="71" t="s">
        <v>203</v>
      </c>
      <c r="S404" s="72"/>
      <c r="T404" s="73"/>
      <c r="U404" s="75"/>
      <c r="V404" s="102">
        <v>46160</v>
      </c>
      <c r="W404" s="70">
        <v>3</v>
      </c>
      <c r="X404" s="103" t="s">
        <v>1283</v>
      </c>
      <c r="Y404" s="104">
        <f t="shared" si="50"/>
        <v>46252</v>
      </c>
      <c r="Z404" s="105">
        <f ca="1" t="shared" si="47"/>
        <v>85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/>
      <c r="AM404" s="105"/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217</v>
      </c>
      <c r="C405" s="70" t="s">
        <v>203</v>
      </c>
      <c r="D405" s="71" t="s">
        <v>1284</v>
      </c>
      <c r="E405" s="71" t="s">
        <v>279</v>
      </c>
      <c r="F405" s="72"/>
      <c r="G405" s="73"/>
      <c r="H405" s="75"/>
      <c r="I405" s="173">
        <v>46043</v>
      </c>
      <c r="J405" s="70">
        <v>3</v>
      </c>
      <c r="K405" s="106" t="s">
        <v>1285</v>
      </c>
      <c r="L405" s="104">
        <f t="shared" si="48"/>
        <v>46133</v>
      </c>
      <c r="M405" s="105">
        <f ca="1" t="shared" si="49"/>
        <v>-34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5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/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497</v>
      </c>
      <c r="C406" s="70" t="s">
        <v>203</v>
      </c>
      <c r="D406" s="71" t="s">
        <v>204</v>
      </c>
      <c r="E406" s="71" t="s">
        <v>205</v>
      </c>
      <c r="F406" s="72"/>
      <c r="G406" s="73"/>
      <c r="H406" s="75"/>
      <c r="I406" s="173">
        <v>46043</v>
      </c>
      <c r="J406" s="173" t="s">
        <v>596</v>
      </c>
      <c r="K406" s="106"/>
      <c r="L406" s="104" t="e">
        <f t="shared" si="48"/>
        <v>#VALUE!</v>
      </c>
      <c r="M406" s="105" t="e">
        <f ca="1" t="shared" si="49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5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/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613</v>
      </c>
      <c r="C407" s="70" t="s">
        <v>287</v>
      </c>
      <c r="D407" s="71" t="s">
        <v>1286</v>
      </c>
      <c r="E407" s="71" t="s">
        <v>1287</v>
      </c>
      <c r="F407" s="72"/>
      <c r="G407" s="73"/>
      <c r="H407" s="75"/>
      <c r="I407" s="173">
        <v>46043</v>
      </c>
      <c r="J407" s="70">
        <v>3</v>
      </c>
      <c r="K407" s="106" t="s">
        <v>1288</v>
      </c>
      <c r="L407" s="104">
        <f t="shared" si="48"/>
        <v>46133</v>
      </c>
      <c r="M407" s="105">
        <f ca="1" t="shared" si="49"/>
        <v>-34</v>
      </c>
      <c r="N407" s="70"/>
      <c r="O407" s="70"/>
      <c r="P407" s="70"/>
      <c r="Q407" s="71"/>
      <c r="R407" s="71"/>
      <c r="S407" s="72"/>
      <c r="T407" s="73"/>
      <c r="U407" s="74"/>
      <c r="V407" s="102"/>
      <c r="W407" s="70"/>
      <c r="X407" s="103"/>
      <c r="Y407" s="104">
        <f t="shared" si="50"/>
        <v>0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/>
      <c r="AM407" s="105"/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102</v>
      </c>
      <c r="C408" s="70" t="s">
        <v>13</v>
      </c>
      <c r="D408" s="71" t="s">
        <v>1289</v>
      </c>
      <c r="E408" s="71" t="s">
        <v>1290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1291</v>
      </c>
      <c r="L408" s="104">
        <f t="shared" si="48"/>
        <v>46134</v>
      </c>
      <c r="M408" s="105">
        <f ca="1" t="shared" si="49"/>
        <v>-33</v>
      </c>
      <c r="N408" s="70"/>
      <c r="O408" s="70" t="s">
        <v>102</v>
      </c>
      <c r="P408" s="70" t="s">
        <v>13</v>
      </c>
      <c r="Q408" s="71" t="s">
        <v>1289</v>
      </c>
      <c r="R408" s="71" t="s">
        <v>1290</v>
      </c>
      <c r="S408" s="72"/>
      <c r="T408" s="73"/>
      <c r="U408" s="75" t="s">
        <v>334</v>
      </c>
      <c r="V408" s="102">
        <v>46128</v>
      </c>
      <c r="W408" s="70">
        <v>3</v>
      </c>
      <c r="X408" s="103" t="s">
        <v>1292</v>
      </c>
      <c r="Y408" s="104">
        <f t="shared" si="50"/>
        <v>46219</v>
      </c>
      <c r="Z408" s="105">
        <f ca="1">Y408-TODAY()</f>
        <v>52</v>
      </c>
      <c r="AA408" s="70"/>
      <c r="AB408" s="70"/>
      <c r="AC408" s="70"/>
      <c r="AD408" s="71"/>
      <c r="AE408" s="71"/>
      <c r="AF408" s="72"/>
      <c r="AG408" s="73"/>
      <c r="AH408" s="79"/>
      <c r="AI408" s="102"/>
      <c r="AJ408" s="70"/>
      <c r="AK408" s="103"/>
      <c r="AL408" s="104"/>
      <c r="AM408" s="105"/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178</v>
      </c>
      <c r="C409" s="70" t="s">
        <v>13</v>
      </c>
      <c r="D409" s="71" t="s">
        <v>1293</v>
      </c>
      <c r="E409" s="71" t="s">
        <v>28</v>
      </c>
      <c r="F409" s="72"/>
      <c r="G409" s="73"/>
      <c r="H409" s="75"/>
      <c r="I409" s="173">
        <v>46044</v>
      </c>
      <c r="J409" s="70">
        <v>3</v>
      </c>
      <c r="K409" s="106" t="s">
        <v>1294</v>
      </c>
      <c r="L409" s="104">
        <f t="shared" si="48"/>
        <v>46134</v>
      </c>
      <c r="M409" s="105">
        <f ca="1" t="shared" si="49"/>
        <v>-33</v>
      </c>
      <c r="N409" s="70"/>
      <c r="O409" s="70" t="s">
        <v>178</v>
      </c>
      <c r="P409" s="70" t="s">
        <v>13</v>
      </c>
      <c r="Q409" s="71" t="s">
        <v>1293</v>
      </c>
      <c r="R409" s="71" t="s">
        <v>28</v>
      </c>
      <c r="S409" s="72"/>
      <c r="T409" s="73"/>
      <c r="U409" s="75"/>
      <c r="V409" s="102">
        <v>46139</v>
      </c>
      <c r="W409" s="70">
        <v>3</v>
      </c>
      <c r="X409" s="103" t="s">
        <v>1295</v>
      </c>
      <c r="Y409" s="104">
        <f t="shared" si="50"/>
        <v>46230</v>
      </c>
      <c r="Z409" s="105">
        <f ca="1">Y409-TODAY()</f>
        <v>63</v>
      </c>
      <c r="AA409" s="70"/>
      <c r="AB409" s="70"/>
      <c r="AC409" s="70"/>
      <c r="AD409" s="71"/>
      <c r="AE409" s="71"/>
      <c r="AF409" s="198"/>
      <c r="AG409" s="73"/>
      <c r="AH409" s="79"/>
      <c r="AI409" s="102"/>
      <c r="AJ409" s="70"/>
      <c r="AK409" s="103"/>
      <c r="AL409" s="104"/>
      <c r="AM409" s="105"/>
      <c r="AN409" s="122"/>
      <c r="AO409" s="70"/>
      <c r="AP409" s="70"/>
      <c r="AQ409" s="71"/>
      <c r="AR409" s="71"/>
      <c r="AS409" s="198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359</v>
      </c>
      <c r="C410" s="70" t="s">
        <v>31</v>
      </c>
      <c r="D410" s="70" t="s">
        <v>1296</v>
      </c>
      <c r="E410" s="71" t="s">
        <v>148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1297</v>
      </c>
      <c r="L410" s="104">
        <f t="shared" si="48"/>
        <v>46134</v>
      </c>
      <c r="M410" s="105">
        <f ca="1" t="shared" si="49"/>
        <v>-33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51">EDATE(V410,W410)</f>
        <v>0</v>
      </c>
      <c r="Z410" s="105">
        <f ca="1" t="shared" ref="Z410:Z433" si="52">Y410-TODAY()</f>
        <v>-46167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/>
      <c r="AM410" s="105"/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230</v>
      </c>
      <c r="C411" s="70" t="s">
        <v>203</v>
      </c>
      <c r="D411" s="71" t="s">
        <v>1298</v>
      </c>
      <c r="E411" s="71" t="s">
        <v>1299</v>
      </c>
      <c r="F411" s="72"/>
      <c r="G411" s="73"/>
      <c r="H411" s="75"/>
      <c r="I411" s="173">
        <v>46044</v>
      </c>
      <c r="J411" s="70">
        <v>3</v>
      </c>
      <c r="K411" s="106" t="s">
        <v>1300</v>
      </c>
      <c r="L411" s="104">
        <f t="shared" si="48"/>
        <v>46134</v>
      </c>
      <c r="M411" s="105">
        <f ca="1" t="shared" si="49"/>
        <v>-33</v>
      </c>
      <c r="N411" s="70"/>
      <c r="O411" s="70"/>
      <c r="P411" s="70"/>
      <c r="Q411" s="71"/>
      <c r="R411" s="71"/>
      <c r="S411" s="72"/>
      <c r="T411" s="73"/>
      <c r="U411" s="74"/>
      <c r="V411" s="102"/>
      <c r="W411" s="70"/>
      <c r="X411" s="103"/>
      <c r="Y411" s="104">
        <f t="shared" si="51"/>
        <v>0</v>
      </c>
      <c r="Z411" s="105">
        <f ca="1" t="shared" si="52"/>
        <v>-46167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/>
      <c r="AM411" s="105"/>
      <c r="AN411" s="122"/>
      <c r="AO411" s="122"/>
      <c r="AP411" s="122"/>
      <c r="AQ411" s="93"/>
      <c r="AR411" s="93"/>
      <c r="AS411" s="94"/>
      <c r="AT411" s="95"/>
      <c r="AU411" s="199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230</v>
      </c>
      <c r="C412" s="70" t="s">
        <v>203</v>
      </c>
      <c r="D412" s="70" t="s">
        <v>1301</v>
      </c>
      <c r="E412" s="71" t="s">
        <v>1302</v>
      </c>
      <c r="F412" s="72"/>
      <c r="G412" s="73"/>
      <c r="H412" s="75"/>
      <c r="I412" s="173">
        <v>46044</v>
      </c>
      <c r="J412" s="70">
        <v>3</v>
      </c>
      <c r="K412" s="106" t="s">
        <v>1303</v>
      </c>
      <c r="L412" s="104">
        <f t="shared" si="48"/>
        <v>46134</v>
      </c>
      <c r="M412" s="105">
        <f ca="1" t="shared" si="49"/>
        <v>-33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51"/>
        <v>0</v>
      </c>
      <c r="Z412" s="105">
        <f ca="1" t="shared" si="52"/>
        <v>-46167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/>
      <c r="AM412" s="105"/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230</v>
      </c>
      <c r="C413" s="70" t="s">
        <v>203</v>
      </c>
      <c r="D413" s="71" t="s">
        <v>1304</v>
      </c>
      <c r="E413" s="71" t="s">
        <v>1305</v>
      </c>
      <c r="F413" s="72"/>
      <c r="G413" s="73"/>
      <c r="H413" s="75"/>
      <c r="I413" s="173">
        <v>46044</v>
      </c>
      <c r="J413" s="70">
        <v>3</v>
      </c>
      <c r="K413" s="106" t="s">
        <v>1306</v>
      </c>
      <c r="L413" s="104">
        <f t="shared" si="48"/>
        <v>46134</v>
      </c>
      <c r="M413" s="105">
        <f ca="1" t="shared" si="49"/>
        <v>-33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51"/>
        <v>0</v>
      </c>
      <c r="Z413" s="105">
        <f ca="1" t="shared" si="52"/>
        <v>-46167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/>
      <c r="AM413" s="105"/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208</v>
      </c>
      <c r="C414" s="70" t="s">
        <v>203</v>
      </c>
      <c r="D414" s="71" t="s">
        <v>213</v>
      </c>
      <c r="E414" s="71" t="s">
        <v>214</v>
      </c>
      <c r="F414" s="72"/>
      <c r="G414" s="73"/>
      <c r="H414" s="75"/>
      <c r="I414" s="173">
        <v>46044</v>
      </c>
      <c r="J414" s="173" t="s">
        <v>596</v>
      </c>
      <c r="K414" s="106"/>
      <c r="L414" s="104" t="e">
        <f t="shared" si="48"/>
        <v>#VALUE!</v>
      </c>
      <c r="M414" s="105" t="e">
        <f ca="1" t="shared" si="49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51"/>
        <v>0</v>
      </c>
      <c r="Z414" s="105">
        <f ca="1" t="shared" si="52"/>
        <v>-46167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/>
      <c r="AM414" s="105"/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208</v>
      </c>
      <c r="C415" s="70" t="s">
        <v>203</v>
      </c>
      <c r="D415" s="71" t="s">
        <v>1211</v>
      </c>
      <c r="E415" s="71" t="s">
        <v>1305</v>
      </c>
      <c r="F415" s="72"/>
      <c r="G415" s="73"/>
      <c r="H415" s="75"/>
      <c r="I415" s="173">
        <v>46044</v>
      </c>
      <c r="J415" s="173" t="s">
        <v>596</v>
      </c>
      <c r="K415" s="106"/>
      <c r="L415" s="104" t="e">
        <f t="shared" si="48"/>
        <v>#VALUE!</v>
      </c>
      <c r="M415" s="105" t="e">
        <f ca="1" t="shared" si="49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51"/>
        <v>0</v>
      </c>
      <c r="Z415" s="105">
        <f ca="1" t="shared" si="52"/>
        <v>-46167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/>
      <c r="AM415" s="105"/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208</v>
      </c>
      <c r="C416" s="70" t="s">
        <v>203</v>
      </c>
      <c r="D416" s="71" t="s">
        <v>743</v>
      </c>
      <c r="E416" s="71" t="s">
        <v>283</v>
      </c>
      <c r="F416" s="72"/>
      <c r="G416" s="73"/>
      <c r="H416" s="75"/>
      <c r="I416" s="173">
        <v>46044</v>
      </c>
      <c r="J416" s="173" t="s">
        <v>596</v>
      </c>
      <c r="K416" s="106"/>
      <c r="L416" s="104" t="e">
        <f t="shared" si="48"/>
        <v>#VALUE!</v>
      </c>
      <c r="M416" s="105" t="e">
        <f ca="1" t="shared" si="49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51"/>
        <v>0</v>
      </c>
      <c r="Z416" s="105">
        <f ca="1" t="shared" si="52"/>
        <v>-46167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/>
      <c r="AM416" s="105"/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1079</v>
      </c>
      <c r="C417" s="70" t="s">
        <v>287</v>
      </c>
      <c r="D417" s="71" t="s">
        <v>1307</v>
      </c>
      <c r="E417" s="71" t="s">
        <v>687</v>
      </c>
      <c r="F417" s="72"/>
      <c r="G417" s="73"/>
      <c r="H417" s="75"/>
      <c r="I417" s="173">
        <v>46044</v>
      </c>
      <c r="J417" s="70">
        <v>3</v>
      </c>
      <c r="K417" s="106" t="s">
        <v>1308</v>
      </c>
      <c r="L417" s="104">
        <f t="shared" si="48"/>
        <v>46134</v>
      </c>
      <c r="M417" s="105">
        <f ca="1" t="shared" si="49"/>
        <v>-33</v>
      </c>
      <c r="N417" s="70"/>
      <c r="O417" s="70" t="s">
        <v>1079</v>
      </c>
      <c r="P417" s="70" t="s">
        <v>287</v>
      </c>
      <c r="Q417" s="71" t="s">
        <v>1307</v>
      </c>
      <c r="R417" s="71" t="s">
        <v>687</v>
      </c>
      <c r="S417" s="72"/>
      <c r="T417" s="73"/>
      <c r="U417" s="75"/>
      <c r="V417" s="102">
        <v>46129</v>
      </c>
      <c r="W417" s="70">
        <v>3</v>
      </c>
      <c r="X417" s="103" t="s">
        <v>1309</v>
      </c>
      <c r="Y417" s="104">
        <f t="shared" si="51"/>
        <v>46220</v>
      </c>
      <c r="Z417" s="105">
        <f ca="1" t="shared" si="52"/>
        <v>53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/>
      <c r="AM417" s="105"/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1079</v>
      </c>
      <c r="C418" s="70" t="s">
        <v>287</v>
      </c>
      <c r="D418" s="71" t="s">
        <v>1310</v>
      </c>
      <c r="E418" s="71" t="s">
        <v>687</v>
      </c>
      <c r="F418" s="72"/>
      <c r="G418" s="73"/>
      <c r="H418" s="75"/>
      <c r="I418" s="173">
        <v>46044</v>
      </c>
      <c r="J418" s="70">
        <v>3</v>
      </c>
      <c r="K418" s="106" t="s">
        <v>1311</v>
      </c>
      <c r="L418" s="104">
        <f t="shared" si="48"/>
        <v>46134</v>
      </c>
      <c r="M418" s="105">
        <f ca="1" t="shared" si="49"/>
        <v>-33</v>
      </c>
      <c r="N418" s="70"/>
      <c r="O418" s="70" t="s">
        <v>1079</v>
      </c>
      <c r="P418" s="70" t="s">
        <v>287</v>
      </c>
      <c r="Q418" s="71" t="s">
        <v>1310</v>
      </c>
      <c r="R418" s="71" t="s">
        <v>687</v>
      </c>
      <c r="S418" s="72"/>
      <c r="T418" s="73"/>
      <c r="U418" s="75"/>
      <c r="V418" s="102">
        <v>46140</v>
      </c>
      <c r="W418" s="70">
        <v>3</v>
      </c>
      <c r="X418" s="103" t="s">
        <v>1312</v>
      </c>
      <c r="Y418" s="104">
        <f t="shared" si="51"/>
        <v>46231</v>
      </c>
      <c r="Z418" s="105">
        <f ca="1" t="shared" si="52"/>
        <v>64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/>
      <c r="AM418" s="105"/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1079</v>
      </c>
      <c r="C419" s="70" t="s">
        <v>287</v>
      </c>
      <c r="D419" s="71" t="s">
        <v>1313</v>
      </c>
      <c r="E419" s="71" t="s">
        <v>687</v>
      </c>
      <c r="F419" s="72"/>
      <c r="G419" s="73"/>
      <c r="H419" s="75"/>
      <c r="I419" s="173">
        <v>46044</v>
      </c>
      <c r="J419" s="70">
        <v>3</v>
      </c>
      <c r="K419" s="106" t="s">
        <v>1314</v>
      </c>
      <c r="L419" s="104">
        <f t="shared" si="48"/>
        <v>46134</v>
      </c>
      <c r="M419" s="105">
        <f ca="1" t="shared" si="49"/>
        <v>-33</v>
      </c>
      <c r="N419" s="70"/>
      <c r="O419" s="70" t="s">
        <v>1079</v>
      </c>
      <c r="P419" s="70" t="s">
        <v>287</v>
      </c>
      <c r="Q419" s="71" t="s">
        <v>1313</v>
      </c>
      <c r="R419" s="71" t="s">
        <v>687</v>
      </c>
      <c r="S419" s="72"/>
      <c r="T419" s="73"/>
      <c r="U419" s="75"/>
      <c r="V419" s="102">
        <v>46140</v>
      </c>
      <c r="W419" s="70">
        <v>3</v>
      </c>
      <c r="X419" s="103" t="s">
        <v>1315</v>
      </c>
      <c r="Y419" s="104">
        <f t="shared" si="51"/>
        <v>46231</v>
      </c>
      <c r="Z419" s="105">
        <f ca="1" t="shared" si="52"/>
        <v>64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/>
      <c r="AM419" s="105"/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1079</v>
      </c>
      <c r="C420" s="70" t="s">
        <v>287</v>
      </c>
      <c r="D420" s="71" t="s">
        <v>1316</v>
      </c>
      <c r="E420" s="71" t="s">
        <v>687</v>
      </c>
      <c r="F420" s="72"/>
      <c r="G420" s="73"/>
      <c r="H420" s="75"/>
      <c r="I420" s="173">
        <v>46044</v>
      </c>
      <c r="J420" s="70">
        <v>3</v>
      </c>
      <c r="K420" s="106" t="s">
        <v>1317</v>
      </c>
      <c r="L420" s="104">
        <f t="shared" si="48"/>
        <v>46134</v>
      </c>
      <c r="M420" s="105">
        <f ca="1" t="shared" si="49"/>
        <v>-33</v>
      </c>
      <c r="N420" s="70"/>
      <c r="O420" s="70" t="s">
        <v>1079</v>
      </c>
      <c r="P420" s="70" t="s">
        <v>287</v>
      </c>
      <c r="Q420" s="71" t="s">
        <v>1316</v>
      </c>
      <c r="R420" s="71" t="s">
        <v>687</v>
      </c>
      <c r="S420" s="72"/>
      <c r="T420" s="73"/>
      <c r="U420" s="75"/>
      <c r="V420" s="102">
        <v>46140</v>
      </c>
      <c r="W420" s="70">
        <v>3</v>
      </c>
      <c r="X420" s="103" t="s">
        <v>1318</v>
      </c>
      <c r="Y420" s="104">
        <f t="shared" si="51"/>
        <v>46231</v>
      </c>
      <c r="Z420" s="105">
        <f ca="1" t="shared" si="52"/>
        <v>64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/>
      <c r="AM420" s="105"/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1079</v>
      </c>
      <c r="C421" s="70" t="s">
        <v>287</v>
      </c>
      <c r="D421" s="71" t="s">
        <v>1319</v>
      </c>
      <c r="E421" s="71" t="s">
        <v>687</v>
      </c>
      <c r="F421" s="72"/>
      <c r="G421" s="73"/>
      <c r="H421" s="75"/>
      <c r="I421" s="173">
        <v>46044</v>
      </c>
      <c r="J421" s="70">
        <v>3</v>
      </c>
      <c r="K421" s="106" t="s">
        <v>1320</v>
      </c>
      <c r="L421" s="104">
        <f t="shared" si="48"/>
        <v>46134</v>
      </c>
      <c r="M421" s="105">
        <f ca="1" t="shared" si="49"/>
        <v>-33</v>
      </c>
      <c r="N421" s="70"/>
      <c r="O421" s="70" t="s">
        <v>1079</v>
      </c>
      <c r="P421" s="70" t="s">
        <v>287</v>
      </c>
      <c r="Q421" s="71" t="s">
        <v>1319</v>
      </c>
      <c r="R421" s="71" t="s">
        <v>687</v>
      </c>
      <c r="S421" s="72"/>
      <c r="T421" s="73"/>
      <c r="U421" s="75"/>
      <c r="V421" s="102">
        <v>46140</v>
      </c>
      <c r="W421" s="70">
        <v>3</v>
      </c>
      <c r="X421" s="103" t="s">
        <v>1321</v>
      </c>
      <c r="Y421" s="104">
        <f t="shared" si="51"/>
        <v>46231</v>
      </c>
      <c r="Z421" s="105">
        <f ca="1" t="shared" si="52"/>
        <v>64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/>
      <c r="AM421" s="105"/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1079</v>
      </c>
      <c r="C422" s="70" t="s">
        <v>287</v>
      </c>
      <c r="D422" s="71" t="s">
        <v>1322</v>
      </c>
      <c r="E422" s="71" t="s">
        <v>687</v>
      </c>
      <c r="F422" s="72"/>
      <c r="G422" s="73"/>
      <c r="H422" s="75"/>
      <c r="I422" s="173">
        <v>46044</v>
      </c>
      <c r="J422" s="70">
        <v>3</v>
      </c>
      <c r="K422" s="106" t="s">
        <v>1323</v>
      </c>
      <c r="L422" s="104">
        <f t="shared" si="48"/>
        <v>46134</v>
      </c>
      <c r="M422" s="105">
        <f ca="1" t="shared" si="49"/>
        <v>-33</v>
      </c>
      <c r="N422" s="70"/>
      <c r="O422" s="70" t="s">
        <v>1079</v>
      </c>
      <c r="P422" s="70" t="s">
        <v>287</v>
      </c>
      <c r="Q422" s="71" t="s">
        <v>1322</v>
      </c>
      <c r="R422" s="71" t="s">
        <v>687</v>
      </c>
      <c r="S422" s="72"/>
      <c r="T422" s="73"/>
      <c r="U422" s="75"/>
      <c r="V422" s="102">
        <v>46140</v>
      </c>
      <c r="W422" s="70">
        <v>3</v>
      </c>
      <c r="X422" s="103" t="s">
        <v>1324</v>
      </c>
      <c r="Y422" s="104">
        <f t="shared" si="51"/>
        <v>46231</v>
      </c>
      <c r="Z422" s="105">
        <f ca="1" t="shared" si="52"/>
        <v>64</v>
      </c>
      <c r="AA422" s="70"/>
      <c r="AB422" s="70"/>
      <c r="AC422" s="70"/>
      <c r="AD422" s="71"/>
      <c r="AE422" s="71"/>
      <c r="AF422" s="72"/>
      <c r="AG422" s="73"/>
      <c r="AH422" s="75"/>
      <c r="AI422" s="102"/>
      <c r="AJ422" s="70"/>
      <c r="AK422" s="103"/>
      <c r="AL422" s="104"/>
      <c r="AM422" s="105"/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1079</v>
      </c>
      <c r="C423" s="70" t="s">
        <v>287</v>
      </c>
      <c r="D423" s="71" t="s">
        <v>1325</v>
      </c>
      <c r="E423" s="71" t="s">
        <v>687</v>
      </c>
      <c r="F423" s="72"/>
      <c r="G423" s="73"/>
      <c r="H423" s="75"/>
      <c r="I423" s="173">
        <v>46044</v>
      </c>
      <c r="J423" s="70">
        <v>3</v>
      </c>
      <c r="K423" s="106" t="s">
        <v>1326</v>
      </c>
      <c r="L423" s="104">
        <f t="shared" si="48"/>
        <v>46134</v>
      </c>
      <c r="M423" s="105">
        <f ca="1" t="shared" si="49"/>
        <v>-33</v>
      </c>
      <c r="N423" s="70"/>
      <c r="O423" s="70" t="s">
        <v>1079</v>
      </c>
      <c r="P423" s="70" t="s">
        <v>287</v>
      </c>
      <c r="Q423" s="71" t="s">
        <v>1325</v>
      </c>
      <c r="R423" s="71" t="s">
        <v>687</v>
      </c>
      <c r="S423" s="72"/>
      <c r="T423" s="73"/>
      <c r="U423" s="75"/>
      <c r="V423" s="102">
        <v>46140</v>
      </c>
      <c r="W423" s="70">
        <v>3</v>
      </c>
      <c r="X423" s="103" t="s">
        <v>1327</v>
      </c>
      <c r="Y423" s="104">
        <f t="shared" si="51"/>
        <v>46231</v>
      </c>
      <c r="Z423" s="105">
        <f ca="1" t="shared" si="52"/>
        <v>64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/>
      <c r="AM423" s="105"/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1079</v>
      </c>
      <c r="C424" s="70" t="s">
        <v>287</v>
      </c>
      <c r="D424" s="71" t="s">
        <v>1328</v>
      </c>
      <c r="E424" s="71" t="s">
        <v>687</v>
      </c>
      <c r="F424" s="72"/>
      <c r="G424" s="73"/>
      <c r="H424" s="75"/>
      <c r="I424" s="173">
        <v>46044</v>
      </c>
      <c r="J424" s="70">
        <v>3</v>
      </c>
      <c r="K424" s="106" t="s">
        <v>1329</v>
      </c>
      <c r="L424" s="104">
        <f t="shared" si="48"/>
        <v>46134</v>
      </c>
      <c r="M424" s="105">
        <f ca="1" t="shared" si="49"/>
        <v>-33</v>
      </c>
      <c r="N424" s="70"/>
      <c r="O424" s="70" t="s">
        <v>1079</v>
      </c>
      <c r="P424" s="70" t="s">
        <v>287</v>
      </c>
      <c r="Q424" s="71" t="s">
        <v>1328</v>
      </c>
      <c r="R424" s="71" t="s">
        <v>687</v>
      </c>
      <c r="S424" s="72"/>
      <c r="T424" s="73"/>
      <c r="U424" s="75"/>
      <c r="V424" s="173">
        <v>46098</v>
      </c>
      <c r="W424" s="70">
        <v>3</v>
      </c>
      <c r="X424" s="106" t="s">
        <v>1330</v>
      </c>
      <c r="Y424" s="104">
        <f t="shared" si="51"/>
        <v>46190</v>
      </c>
      <c r="Z424" s="105">
        <f ca="1" t="shared" si="52"/>
        <v>23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/>
      <c r="AM424" s="105"/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1079</v>
      </c>
      <c r="C425" s="70" t="s">
        <v>287</v>
      </c>
      <c r="D425" s="71" t="s">
        <v>1331</v>
      </c>
      <c r="E425" s="71" t="s">
        <v>687</v>
      </c>
      <c r="F425" s="72"/>
      <c r="G425" s="73"/>
      <c r="H425" s="75"/>
      <c r="I425" s="173">
        <v>46044</v>
      </c>
      <c r="J425" s="70">
        <v>3</v>
      </c>
      <c r="K425" s="106" t="s">
        <v>1332</v>
      </c>
      <c r="L425" s="104">
        <f t="shared" si="48"/>
        <v>46134</v>
      </c>
      <c r="M425" s="105">
        <f ca="1" t="shared" si="49"/>
        <v>-33</v>
      </c>
      <c r="N425" s="70"/>
      <c r="O425" s="70" t="s">
        <v>1079</v>
      </c>
      <c r="P425" s="70" t="s">
        <v>287</v>
      </c>
      <c r="Q425" s="71" t="s">
        <v>1331</v>
      </c>
      <c r="R425" s="71" t="s">
        <v>687</v>
      </c>
      <c r="S425" s="72"/>
      <c r="T425" s="73"/>
      <c r="U425" s="75"/>
      <c r="V425" s="102">
        <v>46135</v>
      </c>
      <c r="W425" s="70">
        <v>3</v>
      </c>
      <c r="X425" s="103" t="s">
        <v>1333</v>
      </c>
      <c r="Y425" s="104">
        <f t="shared" si="51"/>
        <v>46226</v>
      </c>
      <c r="Z425" s="105">
        <f ca="1" t="shared" si="52"/>
        <v>59</v>
      </c>
      <c r="AA425" s="70"/>
      <c r="AB425" s="70"/>
      <c r="AC425" s="70"/>
      <c r="AD425" s="71"/>
      <c r="AE425" s="71"/>
      <c r="AF425" s="72"/>
      <c r="AG425" s="73"/>
      <c r="AH425" s="74"/>
      <c r="AI425" s="102"/>
      <c r="AJ425" s="70"/>
      <c r="AK425" s="103"/>
      <c r="AL425" s="104"/>
      <c r="AM425" s="105"/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1079</v>
      </c>
      <c r="C426" s="70" t="s">
        <v>287</v>
      </c>
      <c r="D426" s="71" t="s">
        <v>1334</v>
      </c>
      <c r="E426" s="71" t="s">
        <v>687</v>
      </c>
      <c r="F426" s="72"/>
      <c r="G426" s="73"/>
      <c r="H426" s="75"/>
      <c r="I426" s="173">
        <v>46044</v>
      </c>
      <c r="J426" s="70">
        <v>3</v>
      </c>
      <c r="K426" s="106" t="s">
        <v>1335</v>
      </c>
      <c r="L426" s="104">
        <f t="shared" si="48"/>
        <v>46134</v>
      </c>
      <c r="M426" s="105">
        <f ca="1" t="shared" si="49"/>
        <v>-33</v>
      </c>
      <c r="N426" s="70"/>
      <c r="O426" s="70" t="s">
        <v>1079</v>
      </c>
      <c r="P426" s="70" t="s">
        <v>287</v>
      </c>
      <c r="Q426" s="71" t="s">
        <v>1334</v>
      </c>
      <c r="R426" s="71" t="s">
        <v>687</v>
      </c>
      <c r="S426" s="72"/>
      <c r="T426" s="73"/>
      <c r="U426" s="75"/>
      <c r="V426" s="102">
        <v>46135</v>
      </c>
      <c r="W426" s="70">
        <v>3</v>
      </c>
      <c r="X426" s="103" t="s">
        <v>1336</v>
      </c>
      <c r="Y426" s="104">
        <f t="shared" si="51"/>
        <v>46226</v>
      </c>
      <c r="Z426" s="105">
        <f ca="1" t="shared" si="52"/>
        <v>59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/>
      <c r="AM426" s="105"/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1079</v>
      </c>
      <c r="C427" s="70" t="s">
        <v>287</v>
      </c>
      <c r="D427" s="71" t="s">
        <v>1337</v>
      </c>
      <c r="E427" s="71" t="s">
        <v>687</v>
      </c>
      <c r="F427" s="72"/>
      <c r="G427" s="73"/>
      <c r="H427" s="75"/>
      <c r="I427" s="173">
        <v>46044</v>
      </c>
      <c r="J427" s="70">
        <v>3</v>
      </c>
      <c r="K427" s="106" t="s">
        <v>1338</v>
      </c>
      <c r="L427" s="104">
        <f t="shared" si="48"/>
        <v>46134</v>
      </c>
      <c r="M427" s="105">
        <f ca="1" t="shared" si="49"/>
        <v>-33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51"/>
        <v>0</v>
      </c>
      <c r="Z427" s="105">
        <f ca="1" t="shared" si="52"/>
        <v>-46167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/>
      <c r="AM427" s="105"/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1079</v>
      </c>
      <c r="C428" s="70" t="s">
        <v>287</v>
      </c>
      <c r="D428" s="71" t="s">
        <v>1339</v>
      </c>
      <c r="E428" s="71" t="s">
        <v>687</v>
      </c>
      <c r="F428" s="72"/>
      <c r="G428" s="73"/>
      <c r="H428" s="75"/>
      <c r="I428" s="173">
        <v>46044</v>
      </c>
      <c r="J428" s="70">
        <v>3</v>
      </c>
      <c r="K428" s="106" t="s">
        <v>1340</v>
      </c>
      <c r="L428" s="104">
        <f t="shared" si="48"/>
        <v>46134</v>
      </c>
      <c r="M428" s="105">
        <f ca="1" t="shared" si="49"/>
        <v>-33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51"/>
        <v>0</v>
      </c>
      <c r="Z428" s="105">
        <f ca="1" t="shared" si="52"/>
        <v>-46167</v>
      </c>
      <c r="AA428" s="70"/>
      <c r="AB428" s="70"/>
      <c r="AC428" s="70"/>
      <c r="AD428" s="71"/>
      <c r="AE428" s="71"/>
      <c r="AF428" s="72"/>
      <c r="AG428" s="73"/>
      <c r="AH428" s="75"/>
      <c r="AI428" s="102"/>
      <c r="AJ428" s="70"/>
      <c r="AK428" s="103"/>
      <c r="AL428" s="104"/>
      <c r="AM428" s="105"/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1341</v>
      </c>
      <c r="C429" s="70" t="s">
        <v>287</v>
      </c>
      <c r="D429" s="71" t="s">
        <v>1342</v>
      </c>
      <c r="E429" s="71" t="s">
        <v>1343</v>
      </c>
      <c r="F429" s="72"/>
      <c r="G429" s="73"/>
      <c r="H429" s="75"/>
      <c r="I429" s="173">
        <v>46044</v>
      </c>
      <c r="J429" s="70">
        <v>3</v>
      </c>
      <c r="K429" s="106" t="s">
        <v>1344</v>
      </c>
      <c r="L429" s="104">
        <f t="shared" si="48"/>
        <v>46134</v>
      </c>
      <c r="M429" s="105">
        <f ca="1" t="shared" si="49"/>
        <v>-33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51"/>
        <v>0</v>
      </c>
      <c r="Z429" s="105">
        <f ca="1" t="shared" si="52"/>
        <v>-46167</v>
      </c>
      <c r="AA429" s="70"/>
      <c r="AB429" s="70"/>
      <c r="AC429" s="70"/>
      <c r="AD429" s="71"/>
      <c r="AE429" s="71"/>
      <c r="AF429" s="72"/>
      <c r="AG429" s="73"/>
      <c r="AH429" s="74"/>
      <c r="AI429" s="102"/>
      <c r="AJ429" s="70"/>
      <c r="AK429" s="103"/>
      <c r="AL429" s="104"/>
      <c r="AM429" s="105"/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1345</v>
      </c>
      <c r="C430" s="70" t="s">
        <v>287</v>
      </c>
      <c r="D430" s="71" t="s">
        <v>1346</v>
      </c>
      <c r="E430" s="71" t="s">
        <v>1347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1348</v>
      </c>
      <c r="L430" s="104">
        <f t="shared" si="48"/>
        <v>46134</v>
      </c>
      <c r="M430" s="105">
        <f ca="1" t="shared" si="49"/>
        <v>-33</v>
      </c>
      <c r="N430" s="70"/>
      <c r="O430" s="70" t="s">
        <v>1345</v>
      </c>
      <c r="P430" s="70" t="s">
        <v>287</v>
      </c>
      <c r="Q430" s="71" t="s">
        <v>1346</v>
      </c>
      <c r="R430" s="71" t="s">
        <v>1347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1349</v>
      </c>
      <c r="Y430" s="104">
        <f t="shared" si="51"/>
        <v>46220</v>
      </c>
      <c r="Z430" s="105">
        <f ca="1" t="shared" si="52"/>
        <v>53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/>
      <c r="AM430" s="105"/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1345</v>
      </c>
      <c r="C431" s="70" t="s">
        <v>287</v>
      </c>
      <c r="D431" s="71" t="s">
        <v>1350</v>
      </c>
      <c r="E431" s="71" t="s">
        <v>1347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1351</v>
      </c>
      <c r="L431" s="104">
        <f t="shared" si="48"/>
        <v>46134</v>
      </c>
      <c r="M431" s="105">
        <f ca="1" t="shared" si="49"/>
        <v>-33</v>
      </c>
      <c r="N431" s="70"/>
      <c r="O431" s="70" t="s">
        <v>1345</v>
      </c>
      <c r="P431" s="70" t="s">
        <v>287</v>
      </c>
      <c r="Q431" s="71" t="s">
        <v>1350</v>
      </c>
      <c r="R431" s="71" t="s">
        <v>1347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1352</v>
      </c>
      <c r="Y431" s="104">
        <f t="shared" si="51"/>
        <v>46220</v>
      </c>
      <c r="Z431" s="105">
        <f ca="1" t="shared" si="52"/>
        <v>53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/>
      <c r="AM431" s="105"/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607</v>
      </c>
      <c r="C432" s="70" t="s">
        <v>287</v>
      </c>
      <c r="D432" s="71" t="s">
        <v>1353</v>
      </c>
      <c r="E432" s="71" t="s">
        <v>418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1354</v>
      </c>
      <c r="L432" s="104">
        <f t="shared" si="48"/>
        <v>46134</v>
      </c>
      <c r="M432" s="105">
        <f ca="1" t="shared" si="49"/>
        <v>-33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51"/>
        <v>0</v>
      </c>
      <c r="Z432" s="105">
        <f ca="1" t="shared" si="52"/>
        <v>-46167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/>
      <c r="AM432" s="105"/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607</v>
      </c>
      <c r="C433" s="70" t="s">
        <v>287</v>
      </c>
      <c r="D433" s="71" t="s">
        <v>1355</v>
      </c>
      <c r="E433" s="71" t="s">
        <v>418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1356</v>
      </c>
      <c r="L433" s="104">
        <f t="shared" si="48"/>
        <v>46134</v>
      </c>
      <c r="M433" s="105">
        <f ca="1" t="shared" si="49"/>
        <v>-33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51"/>
        <v>0</v>
      </c>
      <c r="Z433" s="105">
        <f ca="1" t="shared" si="52"/>
        <v>-46167</v>
      </c>
      <c r="AA433" s="70"/>
      <c r="AB433" s="70"/>
      <c r="AC433" s="70"/>
      <c r="AD433" s="71"/>
      <c r="AE433" s="71"/>
      <c r="AF433" s="72"/>
      <c r="AG433" s="73"/>
      <c r="AH433" s="74"/>
      <c r="AI433" s="102"/>
      <c r="AJ433" s="70"/>
      <c r="AK433" s="103"/>
      <c r="AL433" s="104"/>
      <c r="AM433" s="105"/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607</v>
      </c>
      <c r="C434" s="70" t="s">
        <v>287</v>
      </c>
      <c r="D434" s="71" t="s">
        <v>1357</v>
      </c>
      <c r="E434" s="71" t="s">
        <v>418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1358</v>
      </c>
      <c r="L434" s="104">
        <f t="shared" si="48"/>
        <v>46134</v>
      </c>
      <c r="M434" s="105">
        <f ca="1" t="shared" si="49"/>
        <v>-33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53">EDATE(V434,W434)</f>
        <v>0</v>
      </c>
      <c r="Z434" s="105">
        <f ca="1" t="shared" ref="Z429:Z447" si="54">Y434-TODAY()</f>
        <v>-46167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/>
      <c r="AM434" s="105"/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178</v>
      </c>
      <c r="C435" s="70" t="s">
        <v>31</v>
      </c>
      <c r="D435" s="71" t="s">
        <v>1359</v>
      </c>
      <c r="E435" s="71" t="s">
        <v>52</v>
      </c>
      <c r="F435" s="72"/>
      <c r="G435" s="73"/>
      <c r="H435" s="75"/>
      <c r="I435" s="173">
        <v>46045</v>
      </c>
      <c r="J435" s="70">
        <v>3</v>
      </c>
      <c r="K435" s="106" t="s">
        <v>1360</v>
      </c>
      <c r="L435" s="104">
        <f t="shared" si="48"/>
        <v>46135</v>
      </c>
      <c r="M435" s="105">
        <f ca="1" t="shared" si="49"/>
        <v>-32</v>
      </c>
      <c r="N435" s="70"/>
      <c r="O435" s="70" t="s">
        <v>178</v>
      </c>
      <c r="P435" s="70" t="s">
        <v>31</v>
      </c>
      <c r="Q435" s="71" t="s">
        <v>1359</v>
      </c>
      <c r="R435" s="71" t="s">
        <v>52</v>
      </c>
      <c r="S435" s="72"/>
      <c r="T435" s="73"/>
      <c r="U435" s="75"/>
      <c r="V435" s="102">
        <v>46127</v>
      </c>
      <c r="W435" s="70">
        <v>3</v>
      </c>
      <c r="X435" s="103" t="s">
        <v>1361</v>
      </c>
      <c r="Y435" s="104">
        <f t="shared" si="53"/>
        <v>46218</v>
      </c>
      <c r="Z435" s="105">
        <f ca="1" t="shared" si="54"/>
        <v>51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/>
      <c r="AM435" s="105"/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178</v>
      </c>
      <c r="C436" s="70" t="s">
        <v>13</v>
      </c>
      <c r="D436" s="71" t="s">
        <v>1362</v>
      </c>
      <c r="E436" s="71" t="s">
        <v>636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1363</v>
      </c>
      <c r="L436" s="104">
        <f t="shared" si="48"/>
        <v>46135</v>
      </c>
      <c r="M436" s="105">
        <f ca="1" t="shared" si="49"/>
        <v>-32</v>
      </c>
      <c r="N436" s="70"/>
      <c r="O436" s="70" t="s">
        <v>178</v>
      </c>
      <c r="P436" s="70" t="s">
        <v>13</v>
      </c>
      <c r="Q436" s="71" t="s">
        <v>1362</v>
      </c>
      <c r="R436" s="71" t="s">
        <v>636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1364</v>
      </c>
      <c r="Y436" s="104">
        <f t="shared" si="53"/>
        <v>46247</v>
      </c>
      <c r="Z436" s="105">
        <f ca="1" t="shared" si="54"/>
        <v>80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/>
      <c r="AM436" s="105"/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178</v>
      </c>
      <c r="C437" s="70" t="s">
        <v>13</v>
      </c>
      <c r="D437" s="71" t="s">
        <v>1365</v>
      </c>
      <c r="E437" s="71" t="s">
        <v>1366</v>
      </c>
      <c r="F437" s="72"/>
      <c r="G437" s="73"/>
      <c r="H437" s="75"/>
      <c r="I437" s="173">
        <v>46045</v>
      </c>
      <c r="J437" s="70">
        <v>3</v>
      </c>
      <c r="K437" s="106" t="s">
        <v>1367</v>
      </c>
      <c r="L437" s="104">
        <f t="shared" si="48"/>
        <v>46135</v>
      </c>
      <c r="M437" s="105">
        <f ca="1" t="shared" si="49"/>
        <v>-32</v>
      </c>
      <c r="N437" s="70"/>
      <c r="O437" s="70"/>
      <c r="P437" s="70"/>
      <c r="Q437" s="71"/>
      <c r="R437" s="71"/>
      <c r="S437" s="72"/>
      <c r="T437" s="73"/>
      <c r="U437" s="74"/>
      <c r="V437" s="102"/>
      <c r="W437" s="70"/>
      <c r="X437" s="103"/>
      <c r="Y437" s="104">
        <f t="shared" si="53"/>
        <v>0</v>
      </c>
      <c r="Z437" s="105">
        <f ca="1" t="shared" si="54"/>
        <v>-46167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/>
      <c r="AM437" s="105"/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178</v>
      </c>
      <c r="C438" s="70" t="s">
        <v>13</v>
      </c>
      <c r="D438" s="71" t="s">
        <v>1368</v>
      </c>
      <c r="E438" s="71" t="s">
        <v>876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1369</v>
      </c>
      <c r="L438" s="104">
        <f t="shared" si="48"/>
        <v>46135</v>
      </c>
      <c r="M438" s="105">
        <f ca="1" t="shared" si="49"/>
        <v>-32</v>
      </c>
      <c r="N438" s="70"/>
      <c r="O438" s="70" t="s">
        <v>178</v>
      </c>
      <c r="P438" s="70" t="s">
        <v>13</v>
      </c>
      <c r="Q438" s="71" t="s">
        <v>1368</v>
      </c>
      <c r="R438" s="71" t="s">
        <v>876</v>
      </c>
      <c r="S438" s="72"/>
      <c r="T438" s="73"/>
      <c r="U438" s="74" t="s">
        <v>16</v>
      </c>
      <c r="V438" s="102">
        <v>46166</v>
      </c>
      <c r="W438" s="70">
        <v>3</v>
      </c>
      <c r="X438" s="103"/>
      <c r="Y438" s="104">
        <f t="shared" si="53"/>
        <v>46258</v>
      </c>
      <c r="Z438" s="105">
        <f ca="1" t="shared" si="54"/>
        <v>91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/>
      <c r="AM438" s="105"/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178</v>
      </c>
      <c r="C439" s="70" t="s">
        <v>31</v>
      </c>
      <c r="D439" s="71" t="s">
        <v>1370</v>
      </c>
      <c r="E439" s="71" t="s">
        <v>52</v>
      </c>
      <c r="F439" s="72"/>
      <c r="G439" s="73"/>
      <c r="H439" s="75"/>
      <c r="I439" s="173">
        <v>46045</v>
      </c>
      <c r="J439" s="70">
        <v>3</v>
      </c>
      <c r="K439" s="106" t="s">
        <v>1371</v>
      </c>
      <c r="L439" s="104">
        <f t="shared" si="48"/>
        <v>46135</v>
      </c>
      <c r="M439" s="105">
        <f ca="1" t="shared" si="49"/>
        <v>-32</v>
      </c>
      <c r="N439" s="70"/>
      <c r="O439" s="70" t="s">
        <v>178</v>
      </c>
      <c r="P439" s="70" t="s">
        <v>31</v>
      </c>
      <c r="Q439" s="71" t="s">
        <v>1370</v>
      </c>
      <c r="R439" s="71" t="s">
        <v>52</v>
      </c>
      <c r="S439" s="72"/>
      <c r="T439" s="73"/>
      <c r="U439" s="75"/>
      <c r="V439" s="102">
        <v>46127</v>
      </c>
      <c r="W439" s="70">
        <v>3</v>
      </c>
      <c r="X439" s="103" t="s">
        <v>1372</v>
      </c>
      <c r="Y439" s="104">
        <f t="shared" si="53"/>
        <v>46218</v>
      </c>
      <c r="Z439" s="105">
        <f ca="1" t="shared" si="54"/>
        <v>51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/>
      <c r="AM439" s="105"/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44</v>
      </c>
      <c r="C440" s="70" t="s">
        <v>13</v>
      </c>
      <c r="D440" s="71" t="s">
        <v>1373</v>
      </c>
      <c r="E440" s="71" t="s">
        <v>57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1374</v>
      </c>
      <c r="L440" s="104">
        <f t="shared" si="48"/>
        <v>46135</v>
      </c>
      <c r="M440" s="105">
        <f ca="1" t="shared" si="49"/>
        <v>-32</v>
      </c>
      <c r="N440" s="70"/>
      <c r="O440" s="70"/>
      <c r="P440" s="70"/>
      <c r="Q440" s="71"/>
      <c r="R440" s="71"/>
      <c r="S440" s="72"/>
      <c r="T440" s="73"/>
      <c r="U440" s="74"/>
      <c r="V440" s="102"/>
      <c r="W440" s="70"/>
      <c r="X440" s="103"/>
      <c r="Y440" s="104">
        <f t="shared" si="53"/>
        <v>0</v>
      </c>
      <c r="Z440" s="105">
        <f ca="1" t="shared" si="54"/>
        <v>-46167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/>
      <c r="AM440" s="105"/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44</v>
      </c>
      <c r="C441" s="70" t="s">
        <v>13</v>
      </c>
      <c r="D441" s="71" t="s">
        <v>1375</v>
      </c>
      <c r="E441" s="71" t="s">
        <v>28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1376</v>
      </c>
      <c r="L441" s="104">
        <f t="shared" si="48"/>
        <v>46135</v>
      </c>
      <c r="M441" s="105">
        <f ca="1" t="shared" si="49"/>
        <v>-32</v>
      </c>
      <c r="N441" s="70"/>
      <c r="O441" s="70" t="s">
        <v>44</v>
      </c>
      <c r="P441" s="70" t="s">
        <v>13</v>
      </c>
      <c r="Q441" s="71" t="s">
        <v>1375</v>
      </c>
      <c r="R441" s="71" t="s">
        <v>28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1377</v>
      </c>
      <c r="Y441" s="104">
        <f t="shared" si="53"/>
        <v>46250</v>
      </c>
      <c r="Z441" s="105">
        <f ca="1" t="shared" si="54"/>
        <v>83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/>
      <c r="AM441" s="105"/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44</v>
      </c>
      <c r="C442" s="70" t="s">
        <v>13</v>
      </c>
      <c r="D442" s="71" t="s">
        <v>1378</v>
      </c>
      <c r="E442" s="71" t="s">
        <v>95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1379</v>
      </c>
      <c r="L442" s="104">
        <f t="shared" si="48"/>
        <v>46135</v>
      </c>
      <c r="M442" s="105">
        <f ca="1" t="shared" si="49"/>
        <v>-32</v>
      </c>
      <c r="N442" s="70"/>
      <c r="O442" s="70"/>
      <c r="P442" s="70"/>
      <c r="Q442" s="71"/>
      <c r="R442" s="71"/>
      <c r="S442" s="72"/>
      <c r="T442" s="73"/>
      <c r="U442" s="74"/>
      <c r="V442" s="102"/>
      <c r="W442" s="70"/>
      <c r="X442" s="103"/>
      <c r="Y442" s="104">
        <f t="shared" si="53"/>
        <v>0</v>
      </c>
      <c r="Z442" s="105">
        <f ca="1" t="shared" si="54"/>
        <v>-46167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/>
      <c r="AM442" s="105"/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44</v>
      </c>
      <c r="C443" s="70" t="s">
        <v>13</v>
      </c>
      <c r="D443" s="71" t="s">
        <v>1380</v>
      </c>
      <c r="E443" s="71" t="s">
        <v>95</v>
      </c>
      <c r="F443" s="72"/>
      <c r="G443" s="73"/>
      <c r="H443" s="75"/>
      <c r="I443" s="173">
        <v>46045</v>
      </c>
      <c r="J443" s="70">
        <v>3</v>
      </c>
      <c r="K443" s="106" t="s">
        <v>1381</v>
      </c>
      <c r="L443" s="104">
        <f t="shared" si="48"/>
        <v>46135</v>
      </c>
      <c r="M443" s="105">
        <f ca="1" t="shared" si="49"/>
        <v>-32</v>
      </c>
      <c r="N443" s="70"/>
      <c r="O443" s="70" t="s">
        <v>44</v>
      </c>
      <c r="P443" s="70" t="s">
        <v>13</v>
      </c>
      <c r="Q443" s="71" t="s">
        <v>1380</v>
      </c>
      <c r="R443" s="71" t="s">
        <v>95</v>
      </c>
      <c r="S443" s="72"/>
      <c r="T443" s="73"/>
      <c r="U443" s="75"/>
      <c r="V443" s="102">
        <v>46129</v>
      </c>
      <c r="W443" s="70">
        <v>3</v>
      </c>
      <c r="X443" s="103" t="s">
        <v>1382</v>
      </c>
      <c r="Y443" s="104">
        <f t="shared" si="53"/>
        <v>46220</v>
      </c>
      <c r="Z443" s="105">
        <f ca="1" t="shared" si="54"/>
        <v>53</v>
      </c>
      <c r="AA443" s="70"/>
      <c r="AB443" s="70"/>
      <c r="AC443" s="70"/>
      <c r="AD443" s="71"/>
      <c r="AE443" s="71"/>
      <c r="AF443" s="72"/>
      <c r="AG443" s="73"/>
      <c r="AH443" s="79"/>
      <c r="AI443" s="102"/>
      <c r="AJ443" s="70"/>
      <c r="AK443" s="103"/>
      <c r="AL443" s="104"/>
      <c r="AM443" s="105"/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44</v>
      </c>
      <c r="C444" s="70" t="s">
        <v>13</v>
      </c>
      <c r="D444" s="71" t="s">
        <v>1383</v>
      </c>
      <c r="E444" s="71" t="s">
        <v>95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1384</v>
      </c>
      <c r="L444" s="104">
        <f t="shared" si="48"/>
        <v>46135</v>
      </c>
      <c r="M444" s="105">
        <f ca="1" t="shared" si="49"/>
        <v>-32</v>
      </c>
      <c r="N444" s="70"/>
      <c r="O444" s="70" t="s">
        <v>44</v>
      </c>
      <c r="P444" s="70" t="s">
        <v>13</v>
      </c>
      <c r="Q444" s="71" t="s">
        <v>1383</v>
      </c>
      <c r="R444" s="71" t="s">
        <v>95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1385</v>
      </c>
      <c r="Y444" s="104">
        <f t="shared" si="53"/>
        <v>46220</v>
      </c>
      <c r="Z444" s="105">
        <f ca="1" t="shared" si="54"/>
        <v>53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/>
      <c r="AM444" s="105"/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44</v>
      </c>
      <c r="C445" s="70" t="s">
        <v>13</v>
      </c>
      <c r="D445" s="71" t="s">
        <v>1386</v>
      </c>
      <c r="E445" s="71" t="s">
        <v>1387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1388</v>
      </c>
      <c r="L445" s="104">
        <f t="shared" si="48"/>
        <v>46135</v>
      </c>
      <c r="M445" s="105">
        <f ca="1" t="shared" si="49"/>
        <v>-32</v>
      </c>
      <c r="N445" s="70"/>
      <c r="O445" s="70" t="s">
        <v>44</v>
      </c>
      <c r="P445" s="70" t="s">
        <v>13</v>
      </c>
      <c r="Q445" s="71" t="s">
        <v>1386</v>
      </c>
      <c r="R445" s="71" t="s">
        <v>1387</v>
      </c>
      <c r="S445" s="72"/>
      <c r="T445" s="73"/>
      <c r="U445" s="75"/>
      <c r="V445" s="102">
        <v>46129</v>
      </c>
      <c r="W445" s="70">
        <v>3</v>
      </c>
      <c r="X445" s="103" t="s">
        <v>1389</v>
      </c>
      <c r="Y445" s="104">
        <f t="shared" si="53"/>
        <v>46220</v>
      </c>
      <c r="Z445" s="105">
        <f ca="1" t="shared" si="54"/>
        <v>53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/>
      <c r="AM445" s="105"/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44</v>
      </c>
      <c r="C446" s="70" t="s">
        <v>31</v>
      </c>
      <c r="D446" s="71" t="s">
        <v>1390</v>
      </c>
      <c r="E446" s="71" t="s">
        <v>24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1391</v>
      </c>
      <c r="L446" s="104">
        <f t="shared" si="48"/>
        <v>46135</v>
      </c>
      <c r="M446" s="105">
        <f ca="1" t="shared" si="49"/>
        <v>-32</v>
      </c>
      <c r="N446" s="70"/>
      <c r="O446" s="70" t="s">
        <v>44</v>
      </c>
      <c r="P446" s="70" t="s">
        <v>31</v>
      </c>
      <c r="Q446" s="71" t="s">
        <v>1390</v>
      </c>
      <c r="R446" s="71" t="s">
        <v>24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1392</v>
      </c>
      <c r="Y446" s="104">
        <f t="shared" si="53"/>
        <v>46249</v>
      </c>
      <c r="Z446" s="105">
        <f ca="1" t="shared" si="54"/>
        <v>82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/>
      <c r="AM446" s="105"/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44</v>
      </c>
      <c r="C447" s="70" t="s">
        <v>31</v>
      </c>
      <c r="D447" s="71" t="s">
        <v>1393</v>
      </c>
      <c r="E447" s="71" t="s">
        <v>1394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1395</v>
      </c>
      <c r="L447" s="104">
        <f t="shared" si="48"/>
        <v>46135</v>
      </c>
      <c r="M447" s="105">
        <f ca="1" t="shared" si="49"/>
        <v>-32</v>
      </c>
      <c r="N447" s="70"/>
      <c r="O447" s="70" t="s">
        <v>44</v>
      </c>
      <c r="P447" s="70" t="s">
        <v>31</v>
      </c>
      <c r="Q447" s="71" t="s">
        <v>1393</v>
      </c>
      <c r="R447" s="71" t="s">
        <v>1394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1396</v>
      </c>
      <c r="Y447" s="104">
        <f t="shared" si="53"/>
        <v>46233</v>
      </c>
      <c r="Z447" s="105">
        <f ca="1" t="shared" si="54"/>
        <v>66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/>
      <c r="AM447" s="105"/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202</v>
      </c>
      <c r="C448" s="70" t="s">
        <v>203</v>
      </c>
      <c r="D448" s="71" t="s">
        <v>1397</v>
      </c>
      <c r="E448" s="71" t="s">
        <v>1398</v>
      </c>
      <c r="F448" s="72"/>
      <c r="G448" s="73"/>
      <c r="H448" s="157"/>
      <c r="I448" s="173">
        <v>46045</v>
      </c>
      <c r="J448" s="70">
        <v>3</v>
      </c>
      <c r="K448" s="106" t="s">
        <v>1399</v>
      </c>
      <c r="L448" s="104">
        <f t="shared" si="48"/>
        <v>46135</v>
      </c>
      <c r="M448" s="105">
        <f ca="1" t="shared" si="49"/>
        <v>-32</v>
      </c>
      <c r="N448" s="70"/>
      <c r="O448" s="70" t="s">
        <v>202</v>
      </c>
      <c r="P448" s="70" t="s">
        <v>203</v>
      </c>
      <c r="Q448" s="71" t="s">
        <v>1397</v>
      </c>
      <c r="R448" s="71" t="s">
        <v>1398</v>
      </c>
      <c r="S448" s="72"/>
      <c r="T448" s="73"/>
      <c r="U448" s="157"/>
      <c r="V448" s="102">
        <v>46153</v>
      </c>
      <c r="W448" s="70">
        <v>3</v>
      </c>
      <c r="X448" s="103" t="s">
        <v>1400</v>
      </c>
      <c r="Y448" s="104">
        <f t="shared" ref="Y448:Y460" si="55">EDATE(V448,W448)</f>
        <v>46245</v>
      </c>
      <c r="Z448" s="105">
        <f ca="1" t="shared" ref="Z448:Z460" si="56">Y448-TODAY()</f>
        <v>78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/>
      <c r="AM448" s="105"/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202</v>
      </c>
      <c r="C449" s="70" t="s">
        <v>203</v>
      </c>
      <c r="D449" s="71" t="s">
        <v>741</v>
      </c>
      <c r="E449" s="71" t="s">
        <v>594</v>
      </c>
      <c r="F449" s="72"/>
      <c r="G449" s="73"/>
      <c r="H449" s="157"/>
      <c r="I449" s="173">
        <v>46045</v>
      </c>
      <c r="J449" s="76" t="s">
        <v>596</v>
      </c>
      <c r="K449" s="106"/>
      <c r="L449" s="104" t="e">
        <f t="shared" si="48"/>
        <v>#VALUE!</v>
      </c>
      <c r="M449" s="105" t="e">
        <f ca="1" t="shared" si="49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55"/>
        <v>0</v>
      </c>
      <c r="Z449" s="105">
        <f ca="1" t="shared" si="56"/>
        <v>-46167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/>
      <c r="AM449" s="105"/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530</v>
      </c>
      <c r="C450" s="70" t="s">
        <v>31</v>
      </c>
      <c r="D450" s="71" t="s">
        <v>1401</v>
      </c>
      <c r="E450" s="71" t="s">
        <v>33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1402</v>
      </c>
      <c r="L450" s="104">
        <f t="shared" ref="L450:L513" si="57">EDATE(I450,J450)</f>
        <v>46136</v>
      </c>
      <c r="M450" s="105">
        <f ca="1" t="shared" ref="M450:M513" si="58">L450-TODAY()</f>
        <v>-31</v>
      </c>
      <c r="N450" s="70"/>
      <c r="O450" s="70" t="s">
        <v>530</v>
      </c>
      <c r="P450" s="70" t="s">
        <v>31</v>
      </c>
      <c r="Q450" s="71" t="s">
        <v>1401</v>
      </c>
      <c r="R450" s="71" t="s">
        <v>33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1403</v>
      </c>
      <c r="Y450" s="104">
        <f t="shared" si="55"/>
        <v>46229</v>
      </c>
      <c r="Z450" s="105">
        <f ca="1" t="shared" si="56"/>
        <v>62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/>
      <c r="AM450" s="105"/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31</v>
      </c>
      <c r="D451" s="71" t="s">
        <v>1404</v>
      </c>
      <c r="E451" s="71" t="s">
        <v>52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1405</v>
      </c>
      <c r="L451" s="104">
        <f t="shared" si="57"/>
        <v>46136</v>
      </c>
      <c r="M451" s="105">
        <f ca="1" t="shared" si="58"/>
        <v>-31</v>
      </c>
      <c r="N451" s="70"/>
      <c r="O451" s="70" t="s">
        <v>12</v>
      </c>
      <c r="P451" s="70" t="s">
        <v>31</v>
      </c>
      <c r="Q451" s="71" t="s">
        <v>1404</v>
      </c>
      <c r="R451" s="71" t="s">
        <v>52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1406</v>
      </c>
      <c r="Y451" s="104">
        <f t="shared" si="55"/>
        <v>46247</v>
      </c>
      <c r="Z451" s="105">
        <f ca="1" t="shared" si="56"/>
        <v>80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/>
      <c r="AM451" s="105"/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1407</v>
      </c>
      <c r="E452" s="71" t="s">
        <v>57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1408</v>
      </c>
      <c r="L452" s="104">
        <f t="shared" si="57"/>
        <v>46136</v>
      </c>
      <c r="M452" s="105">
        <f ca="1" t="shared" si="58"/>
        <v>-31</v>
      </c>
      <c r="N452" s="70"/>
      <c r="O452" s="70"/>
      <c r="P452" s="70"/>
      <c r="Q452" s="71"/>
      <c r="R452" s="71"/>
      <c r="S452" s="72"/>
      <c r="T452" s="73"/>
      <c r="U452" s="74"/>
      <c r="V452" s="102"/>
      <c r="W452" s="70"/>
      <c r="X452" s="103"/>
      <c r="Y452" s="104">
        <f t="shared" si="55"/>
        <v>0</v>
      </c>
      <c r="Z452" s="105">
        <f ca="1" t="shared" si="56"/>
        <v>-46167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/>
      <c r="AM452" s="105"/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178</v>
      </c>
      <c r="C453" s="70" t="s">
        <v>31</v>
      </c>
      <c r="D453" s="71" t="s">
        <v>1409</v>
      </c>
      <c r="E453" s="71" t="s">
        <v>709</v>
      </c>
      <c r="F453" s="72"/>
      <c r="G453" s="73"/>
      <c r="H453" s="157"/>
      <c r="I453" s="173">
        <v>46046</v>
      </c>
      <c r="J453" s="70">
        <v>3</v>
      </c>
      <c r="K453" s="106" t="s">
        <v>1410</v>
      </c>
      <c r="L453" s="104">
        <f t="shared" si="57"/>
        <v>46136</v>
      </c>
      <c r="M453" s="105">
        <f ca="1" t="shared" si="58"/>
        <v>-31</v>
      </c>
      <c r="N453" s="70"/>
      <c r="O453" s="70" t="s">
        <v>178</v>
      </c>
      <c r="P453" s="70" t="s">
        <v>31</v>
      </c>
      <c r="Q453" s="71" t="s">
        <v>1409</v>
      </c>
      <c r="R453" s="71" t="s">
        <v>709</v>
      </c>
      <c r="S453" s="72"/>
      <c r="T453" s="73"/>
      <c r="U453" s="157"/>
      <c r="V453" s="102">
        <v>46128</v>
      </c>
      <c r="W453" s="70">
        <v>3</v>
      </c>
      <c r="X453" s="103" t="s">
        <v>1411</v>
      </c>
      <c r="Y453" s="104">
        <f t="shared" si="55"/>
        <v>46219</v>
      </c>
      <c r="Z453" s="105">
        <f ca="1" t="shared" si="56"/>
        <v>52</v>
      </c>
      <c r="AA453" s="70"/>
      <c r="AB453" s="70"/>
      <c r="AC453" s="70"/>
      <c r="AD453" s="71"/>
      <c r="AE453" s="71"/>
      <c r="AF453" s="72"/>
      <c r="AG453" s="73"/>
      <c r="AH453" s="114"/>
      <c r="AI453" s="102"/>
      <c r="AJ453" s="70"/>
      <c r="AK453" s="103"/>
      <c r="AL453" s="104"/>
      <c r="AM453" s="105"/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178</v>
      </c>
      <c r="C454" s="70" t="s">
        <v>31</v>
      </c>
      <c r="D454" s="71" t="s">
        <v>1412</v>
      </c>
      <c r="E454" s="71" t="s">
        <v>33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1413</v>
      </c>
      <c r="L454" s="104">
        <f t="shared" si="57"/>
        <v>46136</v>
      </c>
      <c r="M454" s="105">
        <f ca="1" t="shared" si="58"/>
        <v>-31</v>
      </c>
      <c r="N454" s="70"/>
      <c r="O454" s="70" t="s">
        <v>178</v>
      </c>
      <c r="P454" s="70" t="s">
        <v>31</v>
      </c>
      <c r="Q454" s="71" t="s">
        <v>1412</v>
      </c>
      <c r="R454" s="71" t="s">
        <v>33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1414</v>
      </c>
      <c r="Y454" s="104">
        <f t="shared" si="55"/>
        <v>46243</v>
      </c>
      <c r="Z454" s="105">
        <f ca="1" t="shared" si="56"/>
        <v>76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/>
      <c r="AM454" s="105"/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102</v>
      </c>
      <c r="C455" s="70" t="s">
        <v>13</v>
      </c>
      <c r="D455" s="71" t="s">
        <v>1415</v>
      </c>
      <c r="E455" s="71" t="s">
        <v>37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1416</v>
      </c>
      <c r="L455" s="104">
        <f t="shared" si="57"/>
        <v>46136</v>
      </c>
      <c r="M455" s="105">
        <f ca="1" t="shared" si="58"/>
        <v>-31</v>
      </c>
      <c r="N455" s="70"/>
      <c r="O455" s="70" t="s">
        <v>102</v>
      </c>
      <c r="P455" s="70" t="s">
        <v>13</v>
      </c>
      <c r="Q455" s="71" t="s">
        <v>1415</v>
      </c>
      <c r="R455" s="71" t="s">
        <v>37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1417</v>
      </c>
      <c r="Y455" s="104">
        <f t="shared" si="55"/>
        <v>46237</v>
      </c>
      <c r="Z455" s="105">
        <f ca="1" t="shared" si="56"/>
        <v>70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/>
      <c r="AM455" s="105"/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44</v>
      </c>
      <c r="C456" s="70" t="s">
        <v>13</v>
      </c>
      <c r="D456" s="71" t="s">
        <v>1418</v>
      </c>
      <c r="E456" s="71" t="s">
        <v>95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1419</v>
      </c>
      <c r="L456" s="104">
        <f t="shared" si="57"/>
        <v>46136</v>
      </c>
      <c r="M456" s="105">
        <f ca="1" t="shared" si="58"/>
        <v>-31</v>
      </c>
      <c r="N456" s="70"/>
      <c r="O456" s="70" t="s">
        <v>44</v>
      </c>
      <c r="P456" s="70" t="s">
        <v>13</v>
      </c>
      <c r="Q456" s="71" t="s">
        <v>1418</v>
      </c>
      <c r="R456" s="71" t="s">
        <v>95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1420</v>
      </c>
      <c r="Y456" s="104">
        <f t="shared" si="55"/>
        <v>46241</v>
      </c>
      <c r="Z456" s="105">
        <f ca="1" t="shared" si="56"/>
        <v>74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/>
      <c r="AM456" s="105"/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1421</v>
      </c>
      <c r="C457" s="70" t="s">
        <v>31</v>
      </c>
      <c r="D457" s="71" t="s">
        <v>1422</v>
      </c>
      <c r="E457" s="71" t="s">
        <v>258</v>
      </c>
      <c r="F457" s="72"/>
      <c r="G457" s="73"/>
      <c r="H457" s="75"/>
      <c r="I457" s="173">
        <v>46046</v>
      </c>
      <c r="J457" s="70">
        <v>3</v>
      </c>
      <c r="K457" s="106" t="s">
        <v>1423</v>
      </c>
      <c r="L457" s="104">
        <f t="shared" si="57"/>
        <v>46136</v>
      </c>
      <c r="M457" s="105">
        <f ca="1" t="shared" si="58"/>
        <v>-31</v>
      </c>
      <c r="N457" s="70"/>
      <c r="O457" s="70" t="s">
        <v>1421</v>
      </c>
      <c r="P457" s="70" t="s">
        <v>31</v>
      </c>
      <c r="Q457" s="71" t="s">
        <v>1422</v>
      </c>
      <c r="R457" s="71" t="s">
        <v>258</v>
      </c>
      <c r="S457" s="72"/>
      <c r="T457" s="73"/>
      <c r="U457" s="75"/>
      <c r="V457" s="102">
        <v>46145</v>
      </c>
      <c r="W457" s="70">
        <v>3</v>
      </c>
      <c r="X457" s="103" t="s">
        <v>1424</v>
      </c>
      <c r="Y457" s="104">
        <f t="shared" si="55"/>
        <v>46237</v>
      </c>
      <c r="Z457" s="105">
        <f ca="1" t="shared" si="56"/>
        <v>70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/>
      <c r="AM457" s="105"/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559</v>
      </c>
      <c r="C458" s="70" t="s">
        <v>31</v>
      </c>
      <c r="D458" s="71" t="s">
        <v>1425</v>
      </c>
      <c r="E458" s="71" t="s">
        <v>41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1426</v>
      </c>
      <c r="L458" s="104">
        <f t="shared" si="57"/>
        <v>46136</v>
      </c>
      <c r="M458" s="105">
        <f ca="1" t="shared" si="58"/>
        <v>-31</v>
      </c>
      <c r="N458" s="70"/>
      <c r="O458" s="70" t="s">
        <v>559</v>
      </c>
      <c r="P458" s="70" t="s">
        <v>31</v>
      </c>
      <c r="Q458" s="71" t="s">
        <v>1425</v>
      </c>
      <c r="R458" s="71" t="s">
        <v>41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1427</v>
      </c>
      <c r="Y458" s="104">
        <f t="shared" si="55"/>
        <v>46248</v>
      </c>
      <c r="Z458" s="105">
        <f ca="1" t="shared" si="56"/>
        <v>81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/>
      <c r="AM458" s="105"/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559</v>
      </c>
      <c r="C459" s="70" t="s">
        <v>13</v>
      </c>
      <c r="D459" s="71" t="s">
        <v>1428</v>
      </c>
      <c r="E459" s="71" t="s">
        <v>28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1429</v>
      </c>
      <c r="L459" s="104">
        <f t="shared" si="57"/>
        <v>46136</v>
      </c>
      <c r="M459" s="105">
        <f ca="1" t="shared" si="58"/>
        <v>-31</v>
      </c>
      <c r="N459" s="70"/>
      <c r="O459" s="70" t="s">
        <v>559</v>
      </c>
      <c r="P459" s="70" t="s">
        <v>13</v>
      </c>
      <c r="Q459" s="71" t="s">
        <v>1428</v>
      </c>
      <c r="R459" s="71" t="s">
        <v>28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1430</v>
      </c>
      <c r="Y459" s="104">
        <f t="shared" si="55"/>
        <v>46244</v>
      </c>
      <c r="Z459" s="105">
        <f ca="1" t="shared" si="56"/>
        <v>77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/>
      <c r="AM459" s="105"/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559</v>
      </c>
      <c r="C460" s="70" t="s">
        <v>31</v>
      </c>
      <c r="D460" s="71" t="s">
        <v>1431</v>
      </c>
      <c r="E460" s="71" t="s">
        <v>400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1432</v>
      </c>
      <c r="L460" s="104">
        <f t="shared" si="57"/>
        <v>46136</v>
      </c>
      <c r="M460" s="105">
        <f ca="1" t="shared" si="58"/>
        <v>-31</v>
      </c>
      <c r="N460" s="70"/>
      <c r="O460" s="70" t="s">
        <v>559</v>
      </c>
      <c r="P460" s="70" t="s">
        <v>31</v>
      </c>
      <c r="Q460" s="71" t="s">
        <v>1431</v>
      </c>
      <c r="R460" s="71" t="s">
        <v>400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1433</v>
      </c>
      <c r="Y460" s="104">
        <f t="shared" si="55"/>
        <v>46240</v>
      </c>
      <c r="Z460" s="105">
        <f ca="1" t="shared" si="56"/>
        <v>73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/>
      <c r="AM460" s="105"/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1434</v>
      </c>
      <c r="C461" s="70" t="s">
        <v>31</v>
      </c>
      <c r="D461" s="71" t="s">
        <v>1435</v>
      </c>
      <c r="E461" s="71" t="s">
        <v>148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1436</v>
      </c>
      <c r="L461" s="104">
        <f t="shared" si="57"/>
        <v>46136</v>
      </c>
      <c r="M461" s="105">
        <f ca="1" t="shared" si="58"/>
        <v>-31</v>
      </c>
      <c r="N461" s="70"/>
      <c r="O461" s="70" t="s">
        <v>1434</v>
      </c>
      <c r="P461" s="70" t="s">
        <v>31</v>
      </c>
      <c r="Q461" s="71" t="s">
        <v>1435</v>
      </c>
      <c r="R461" s="71" t="s">
        <v>148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1437</v>
      </c>
      <c r="Y461" s="104">
        <f t="shared" ref="Y461:Y470" si="59">EDATE(V461,W461)</f>
        <v>46231</v>
      </c>
      <c r="Z461" s="105">
        <f ca="1" t="shared" ref="Z461:Z470" si="60">Y461-TODAY()</f>
        <v>64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/>
      <c r="AM461" s="105"/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1434</v>
      </c>
      <c r="C462" s="70" t="s">
        <v>31</v>
      </c>
      <c r="D462" s="71" t="s">
        <v>1438</v>
      </c>
      <c r="E462" s="71" t="s">
        <v>1176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1439</v>
      </c>
      <c r="L462" s="104">
        <f t="shared" si="57"/>
        <v>46136</v>
      </c>
      <c r="M462" s="105">
        <f ca="1" t="shared" si="58"/>
        <v>-31</v>
      </c>
      <c r="N462" s="70"/>
      <c r="O462" s="70" t="s">
        <v>1434</v>
      </c>
      <c r="P462" s="70" t="s">
        <v>31</v>
      </c>
      <c r="Q462" s="71" t="s">
        <v>1438</v>
      </c>
      <c r="R462" s="71" t="s">
        <v>1176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1440</v>
      </c>
      <c r="Y462" s="104">
        <f t="shared" si="59"/>
        <v>46231</v>
      </c>
      <c r="Z462" s="105">
        <f ca="1" t="shared" si="60"/>
        <v>64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/>
      <c r="AM462" s="105"/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1434</v>
      </c>
      <c r="C463" s="70" t="s">
        <v>31</v>
      </c>
      <c r="D463" s="71" t="s">
        <v>1441</v>
      </c>
      <c r="E463" s="71" t="s">
        <v>1173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1442</v>
      </c>
      <c r="L463" s="104">
        <f t="shared" si="57"/>
        <v>46136</v>
      </c>
      <c r="M463" s="105">
        <f ca="1" t="shared" si="58"/>
        <v>-31</v>
      </c>
      <c r="N463" s="70"/>
      <c r="O463" s="70" t="s">
        <v>1434</v>
      </c>
      <c r="P463" s="70" t="s">
        <v>31</v>
      </c>
      <c r="Q463" s="71" t="s">
        <v>1441</v>
      </c>
      <c r="R463" s="71" t="s">
        <v>1173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1443</v>
      </c>
      <c r="Y463" s="104">
        <f t="shared" si="59"/>
        <v>46231</v>
      </c>
      <c r="Z463" s="105">
        <f ca="1" t="shared" si="60"/>
        <v>64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/>
      <c r="AM463" s="105"/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1434</v>
      </c>
      <c r="C464" s="70" t="s">
        <v>13</v>
      </c>
      <c r="D464" s="71" t="s">
        <v>1444</v>
      </c>
      <c r="E464" s="71" t="s">
        <v>1445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1446</v>
      </c>
      <c r="L464" s="104">
        <f t="shared" si="57"/>
        <v>46136</v>
      </c>
      <c r="M464" s="105">
        <f ca="1" t="shared" si="58"/>
        <v>-31</v>
      </c>
      <c r="N464" s="70"/>
      <c r="O464" s="70" t="s">
        <v>1434</v>
      </c>
      <c r="P464" s="70" t="s">
        <v>13</v>
      </c>
      <c r="Q464" s="71" t="s">
        <v>1444</v>
      </c>
      <c r="R464" s="71" t="s">
        <v>1445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1447</v>
      </c>
      <c r="Y464" s="104">
        <f t="shared" si="59"/>
        <v>46230</v>
      </c>
      <c r="Z464" s="105">
        <f ca="1" t="shared" si="60"/>
        <v>63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/>
      <c r="AM464" s="105"/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1434</v>
      </c>
      <c r="C465" s="70" t="s">
        <v>13</v>
      </c>
      <c r="D465" s="71" t="s">
        <v>1448</v>
      </c>
      <c r="E465" s="71" t="s">
        <v>1449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1450</v>
      </c>
      <c r="L465" s="104">
        <f t="shared" si="57"/>
        <v>46136</v>
      </c>
      <c r="M465" s="105">
        <f ca="1" t="shared" si="58"/>
        <v>-31</v>
      </c>
      <c r="N465" s="70"/>
      <c r="O465" s="70" t="s">
        <v>1434</v>
      </c>
      <c r="P465" s="70" t="s">
        <v>13</v>
      </c>
      <c r="Q465" s="71" t="s">
        <v>1448</v>
      </c>
      <c r="R465" s="71" t="s">
        <v>1449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1451</v>
      </c>
      <c r="Y465" s="104">
        <f t="shared" si="59"/>
        <v>46230</v>
      </c>
      <c r="Z465" s="105">
        <f ca="1" t="shared" si="60"/>
        <v>63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1434</v>
      </c>
      <c r="C466" s="70" t="s">
        <v>13</v>
      </c>
      <c r="D466" s="71" t="s">
        <v>1452</v>
      </c>
      <c r="E466" s="71" t="s">
        <v>24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1453</v>
      </c>
      <c r="L466" s="104">
        <f t="shared" si="57"/>
        <v>46136</v>
      </c>
      <c r="M466" s="105">
        <f ca="1" t="shared" si="58"/>
        <v>-31</v>
      </c>
      <c r="N466" s="70"/>
      <c r="O466" s="70" t="s">
        <v>1434</v>
      </c>
      <c r="P466" s="70" t="s">
        <v>13</v>
      </c>
      <c r="Q466" s="71" t="s">
        <v>1452</v>
      </c>
      <c r="R466" s="71" t="s">
        <v>24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1454</v>
      </c>
      <c r="Y466" s="104">
        <f t="shared" si="59"/>
        <v>46230</v>
      </c>
      <c r="Z466" s="105">
        <f ca="1" t="shared" si="60"/>
        <v>63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1434</v>
      </c>
      <c r="C467" s="70" t="s">
        <v>13</v>
      </c>
      <c r="D467" s="71" t="s">
        <v>1455</v>
      </c>
      <c r="E467" s="71" t="s">
        <v>95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1456</v>
      </c>
      <c r="L467" s="104">
        <f t="shared" si="57"/>
        <v>46136</v>
      </c>
      <c r="M467" s="105">
        <f ca="1" t="shared" si="58"/>
        <v>-31</v>
      </c>
      <c r="N467" s="70"/>
      <c r="O467" s="70" t="s">
        <v>1434</v>
      </c>
      <c r="P467" s="70" t="s">
        <v>13</v>
      </c>
      <c r="Q467" s="71" t="s">
        <v>1455</v>
      </c>
      <c r="R467" s="71" t="s">
        <v>95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1457</v>
      </c>
      <c r="Y467" s="104">
        <f t="shared" si="59"/>
        <v>46231</v>
      </c>
      <c r="Z467" s="105">
        <f ca="1" t="shared" si="60"/>
        <v>64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1458</v>
      </c>
      <c r="C468" s="70" t="s">
        <v>13</v>
      </c>
      <c r="D468" s="71" t="s">
        <v>1459</v>
      </c>
      <c r="E468" s="71" t="s">
        <v>1460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1461</v>
      </c>
      <c r="L468" s="104">
        <f t="shared" si="57"/>
        <v>46136</v>
      </c>
      <c r="M468" s="105">
        <f ca="1" t="shared" si="58"/>
        <v>-31</v>
      </c>
      <c r="N468" s="70"/>
      <c r="O468" s="70" t="s">
        <v>1458</v>
      </c>
      <c r="P468" s="70" t="s">
        <v>13</v>
      </c>
      <c r="Q468" s="71" t="s">
        <v>1459</v>
      </c>
      <c r="R468" s="71" t="s">
        <v>1460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1462</v>
      </c>
      <c r="Y468" s="104">
        <f t="shared" si="59"/>
        <v>46216</v>
      </c>
      <c r="Z468" s="105">
        <f ca="1" t="shared" si="60"/>
        <v>49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1463</v>
      </c>
      <c r="C469" s="70" t="s">
        <v>31</v>
      </c>
      <c r="D469" s="71" t="s">
        <v>1464</v>
      </c>
      <c r="E469" s="71" t="s">
        <v>1465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1466</v>
      </c>
      <c r="L469" s="104">
        <f t="shared" si="57"/>
        <v>46136</v>
      </c>
      <c r="M469" s="105">
        <f ca="1" t="shared" si="58"/>
        <v>-31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59"/>
        <v>0</v>
      </c>
      <c r="Z469" s="105">
        <f ca="1" t="shared" si="60"/>
        <v>-46167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1467</v>
      </c>
      <c r="C470" s="70" t="s">
        <v>203</v>
      </c>
      <c r="D470" s="71" t="s">
        <v>741</v>
      </c>
      <c r="E470" s="71" t="s">
        <v>594</v>
      </c>
      <c r="F470" s="72"/>
      <c r="G470" s="73"/>
      <c r="H470" s="157"/>
      <c r="I470" s="173">
        <v>46046</v>
      </c>
      <c r="J470" s="70">
        <v>3</v>
      </c>
      <c r="K470" s="106" t="s">
        <v>1468</v>
      </c>
      <c r="L470" s="104">
        <f t="shared" si="57"/>
        <v>46136</v>
      </c>
      <c r="M470" s="105">
        <f ca="1" t="shared" si="58"/>
        <v>-31</v>
      </c>
      <c r="N470" s="70"/>
      <c r="O470" s="70" t="s">
        <v>1467</v>
      </c>
      <c r="P470" s="70" t="s">
        <v>203</v>
      </c>
      <c r="Q470" s="71" t="s">
        <v>741</v>
      </c>
      <c r="R470" s="71" t="s">
        <v>594</v>
      </c>
      <c r="S470" s="72"/>
      <c r="T470" s="73"/>
      <c r="U470" s="157"/>
      <c r="V470" s="102">
        <v>46139</v>
      </c>
      <c r="W470" s="70">
        <v>3</v>
      </c>
      <c r="X470" s="103" t="s">
        <v>1469</v>
      </c>
      <c r="Y470" s="104">
        <f t="shared" si="59"/>
        <v>46230</v>
      </c>
      <c r="Z470" s="105">
        <f ca="1" t="shared" si="60"/>
        <v>63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497</v>
      </c>
      <c r="C471" s="70" t="s">
        <v>203</v>
      </c>
      <c r="D471" s="71" t="s">
        <v>204</v>
      </c>
      <c r="E471" s="71" t="s">
        <v>205</v>
      </c>
      <c r="F471" s="72"/>
      <c r="G471" s="73"/>
      <c r="H471" s="157"/>
      <c r="I471" s="173">
        <v>46046</v>
      </c>
      <c r="J471" s="173" t="s">
        <v>596</v>
      </c>
      <c r="K471" s="106"/>
      <c r="L471" s="104" t="e">
        <f t="shared" si="57"/>
        <v>#VALUE!</v>
      </c>
      <c r="M471" s="105" t="e">
        <f ca="1" t="shared" si="58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61">EDATE(V471,W471)</f>
        <v>0</v>
      </c>
      <c r="Z471" s="105">
        <f ca="1" t="shared" ref="Z469:Z494" si="62">Y471-TODAY()</f>
        <v>-46167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497</v>
      </c>
      <c r="C472" s="70" t="s">
        <v>203</v>
      </c>
      <c r="D472" s="71" t="s">
        <v>1470</v>
      </c>
      <c r="E472" s="71" t="s">
        <v>205</v>
      </c>
      <c r="F472" s="72"/>
      <c r="G472" s="73"/>
      <c r="H472" s="157"/>
      <c r="I472" s="173">
        <v>46046</v>
      </c>
      <c r="J472" s="70">
        <v>3</v>
      </c>
      <c r="K472" s="106" t="s">
        <v>1471</v>
      </c>
      <c r="L472" s="104">
        <f t="shared" si="57"/>
        <v>46136</v>
      </c>
      <c r="M472" s="105">
        <f ca="1" t="shared" si="58"/>
        <v>-31</v>
      </c>
      <c r="N472" s="70"/>
      <c r="O472" s="70" t="s">
        <v>497</v>
      </c>
      <c r="P472" s="70" t="s">
        <v>203</v>
      </c>
      <c r="Q472" s="71" t="s">
        <v>1470</v>
      </c>
      <c r="R472" s="71" t="s">
        <v>205</v>
      </c>
      <c r="S472" s="72"/>
      <c r="T472" s="73"/>
      <c r="U472" s="157"/>
      <c r="V472" s="102">
        <v>46133</v>
      </c>
      <c r="W472" s="70">
        <v>3</v>
      </c>
      <c r="X472" s="103" t="s">
        <v>1472</v>
      </c>
      <c r="Y472" s="104">
        <f t="shared" si="61"/>
        <v>46224</v>
      </c>
      <c r="Z472" s="105">
        <f ca="1" t="shared" si="62"/>
        <v>57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1473</v>
      </c>
      <c r="C473" s="70" t="s">
        <v>31</v>
      </c>
      <c r="D473" s="71" t="s">
        <v>1474</v>
      </c>
      <c r="E473" s="71" t="s">
        <v>1475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1476</v>
      </c>
      <c r="L473" s="104">
        <f t="shared" si="57"/>
        <v>46136</v>
      </c>
      <c r="M473" s="105">
        <f ca="1" t="shared" si="58"/>
        <v>-31</v>
      </c>
      <c r="N473" s="70"/>
      <c r="O473" s="70" t="s">
        <v>1473</v>
      </c>
      <c r="P473" s="70" t="s">
        <v>31</v>
      </c>
      <c r="Q473" s="71" t="s">
        <v>1474</v>
      </c>
      <c r="R473" s="71" t="s">
        <v>1475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1477</v>
      </c>
      <c r="Y473" s="104">
        <f t="shared" si="61"/>
        <v>46225</v>
      </c>
      <c r="Z473" s="105">
        <f ca="1" t="shared" si="62"/>
        <v>58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889</v>
      </c>
      <c r="C474" s="70" t="s">
        <v>13</v>
      </c>
      <c r="D474" s="71" t="s">
        <v>1478</v>
      </c>
      <c r="E474" s="71" t="s">
        <v>1479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1480</v>
      </c>
      <c r="L474" s="104">
        <f t="shared" si="57"/>
        <v>46136</v>
      </c>
      <c r="M474" s="105">
        <f ca="1" t="shared" si="58"/>
        <v>-31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61"/>
        <v>0</v>
      </c>
      <c r="Z474" s="105">
        <f ca="1" t="shared" si="62"/>
        <v>-46167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889</v>
      </c>
      <c r="C475" s="70" t="s">
        <v>13</v>
      </c>
      <c r="D475" s="71" t="s">
        <v>1481</v>
      </c>
      <c r="E475" s="71" t="s">
        <v>1479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1482</v>
      </c>
      <c r="L475" s="104">
        <f t="shared" si="57"/>
        <v>46136</v>
      </c>
      <c r="M475" s="105">
        <f ca="1" t="shared" si="58"/>
        <v>-31</v>
      </c>
      <c r="N475" s="70"/>
      <c r="O475" s="70" t="s">
        <v>889</v>
      </c>
      <c r="P475" s="70" t="s">
        <v>13</v>
      </c>
      <c r="Q475" s="71" t="s">
        <v>1481</v>
      </c>
      <c r="R475" s="71" t="s">
        <v>1479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1483</v>
      </c>
      <c r="Y475" s="104">
        <f t="shared" si="61"/>
        <v>46230</v>
      </c>
      <c r="Z475" s="105">
        <f ca="1" t="shared" si="62"/>
        <v>63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1484</v>
      </c>
      <c r="C476" s="70" t="s">
        <v>287</v>
      </c>
      <c r="D476" s="71" t="s">
        <v>1485</v>
      </c>
      <c r="E476" s="71" t="s">
        <v>1486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1487</v>
      </c>
      <c r="L476" s="104">
        <f t="shared" si="57"/>
        <v>46136</v>
      </c>
      <c r="M476" s="105">
        <f ca="1" t="shared" si="58"/>
        <v>-31</v>
      </c>
      <c r="N476" s="70"/>
      <c r="O476" s="70"/>
      <c r="P476" s="70"/>
      <c r="Q476" s="71"/>
      <c r="R476" s="71"/>
      <c r="S476" s="72"/>
      <c r="T476" s="73"/>
      <c r="U476" s="74"/>
      <c r="V476" s="102"/>
      <c r="W476" s="70"/>
      <c r="X476" s="103"/>
      <c r="Y476" s="104">
        <f t="shared" si="61"/>
        <v>0</v>
      </c>
      <c r="Z476" s="105">
        <f ca="1" t="shared" si="62"/>
        <v>-46167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1488</v>
      </c>
      <c r="C477" s="70" t="s">
        <v>287</v>
      </c>
      <c r="D477" s="71" t="s">
        <v>1489</v>
      </c>
      <c r="E477" s="71" t="s">
        <v>1490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1491</v>
      </c>
      <c r="L477" s="104">
        <f t="shared" si="57"/>
        <v>46136</v>
      </c>
      <c r="M477" s="105">
        <f ca="1" t="shared" si="58"/>
        <v>-31</v>
      </c>
      <c r="N477" s="70"/>
      <c r="O477" s="70" t="s">
        <v>1488</v>
      </c>
      <c r="P477" s="70" t="s">
        <v>287</v>
      </c>
      <c r="Q477" s="71" t="s">
        <v>1489</v>
      </c>
      <c r="R477" s="71" t="s">
        <v>1490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1492</v>
      </c>
      <c r="Y477" s="104">
        <f t="shared" si="61"/>
        <v>46222</v>
      </c>
      <c r="Z477" s="105">
        <f ca="1" t="shared" si="62"/>
        <v>55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520</v>
      </c>
      <c r="C478" s="70" t="s">
        <v>287</v>
      </c>
      <c r="D478" s="71" t="s">
        <v>1493</v>
      </c>
      <c r="E478" s="71" t="s">
        <v>522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1494</v>
      </c>
      <c r="L478" s="104">
        <f t="shared" si="57"/>
        <v>46136</v>
      </c>
      <c r="M478" s="105">
        <f ca="1" t="shared" si="58"/>
        <v>-31</v>
      </c>
      <c r="N478" s="70"/>
      <c r="O478" s="70" t="s">
        <v>520</v>
      </c>
      <c r="P478" s="70" t="s">
        <v>287</v>
      </c>
      <c r="Q478" s="71" t="s">
        <v>1493</v>
      </c>
      <c r="R478" s="71" t="s">
        <v>522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1495</v>
      </c>
      <c r="Y478" s="104">
        <f t="shared" si="61"/>
        <v>46221</v>
      </c>
      <c r="Z478" s="105">
        <f ca="1" t="shared" si="62"/>
        <v>54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286</v>
      </c>
      <c r="C479" s="70" t="s">
        <v>287</v>
      </c>
      <c r="D479" s="71" t="s">
        <v>1496</v>
      </c>
      <c r="E479" s="71" t="s">
        <v>293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1497</v>
      </c>
      <c r="L479" s="104">
        <f t="shared" si="57"/>
        <v>46136</v>
      </c>
      <c r="M479" s="105">
        <f ca="1" t="shared" si="58"/>
        <v>-31</v>
      </c>
      <c r="N479" s="70"/>
      <c r="O479" s="70" t="s">
        <v>286</v>
      </c>
      <c r="P479" s="70" t="s">
        <v>287</v>
      </c>
      <c r="Q479" s="71" t="s">
        <v>1496</v>
      </c>
      <c r="R479" s="71" t="s">
        <v>293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1498</v>
      </c>
      <c r="Y479" s="104">
        <f t="shared" si="61"/>
        <v>46228</v>
      </c>
      <c r="Z479" s="105">
        <f ca="1" t="shared" si="62"/>
        <v>61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286</v>
      </c>
      <c r="C480" s="70" t="s">
        <v>287</v>
      </c>
      <c r="D480" s="71" t="s">
        <v>1499</v>
      </c>
      <c r="E480" s="71" t="s">
        <v>289</v>
      </c>
      <c r="F480" s="72"/>
      <c r="G480" s="73"/>
      <c r="H480" s="75"/>
      <c r="I480" s="173">
        <v>46046</v>
      </c>
      <c r="J480" s="70">
        <v>3</v>
      </c>
      <c r="K480" s="106" t="s">
        <v>1500</v>
      </c>
      <c r="L480" s="104">
        <f t="shared" si="57"/>
        <v>46136</v>
      </c>
      <c r="M480" s="105">
        <f ca="1" t="shared" si="58"/>
        <v>-31</v>
      </c>
      <c r="N480" s="70"/>
      <c r="O480" s="70"/>
      <c r="P480" s="70"/>
      <c r="Q480" s="71"/>
      <c r="R480" s="71"/>
      <c r="S480" s="72"/>
      <c r="T480" s="73"/>
      <c r="U480" s="74"/>
      <c r="V480" s="102"/>
      <c r="W480" s="70"/>
      <c r="X480" s="103"/>
      <c r="Y480" s="104">
        <f t="shared" si="61"/>
        <v>0</v>
      </c>
      <c r="Z480" s="105">
        <f ca="1" t="shared" si="62"/>
        <v>-46167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286</v>
      </c>
      <c r="C481" s="70" t="s">
        <v>287</v>
      </c>
      <c r="D481" s="71" t="s">
        <v>1501</v>
      </c>
      <c r="E481" s="71" t="s">
        <v>289</v>
      </c>
      <c r="F481" s="72"/>
      <c r="G481" s="73"/>
      <c r="H481" s="75" t="s">
        <v>334</v>
      </c>
      <c r="I481" s="173">
        <v>46046</v>
      </c>
      <c r="J481" s="70">
        <v>3</v>
      </c>
      <c r="K481" s="106" t="s">
        <v>1502</v>
      </c>
      <c r="L481" s="104">
        <f t="shared" si="57"/>
        <v>46136</v>
      </c>
      <c r="M481" s="105">
        <f ca="1" t="shared" si="58"/>
        <v>-31</v>
      </c>
      <c r="N481" s="70"/>
      <c r="O481" s="70" t="s">
        <v>286</v>
      </c>
      <c r="P481" s="70" t="s">
        <v>287</v>
      </c>
      <c r="Q481" s="71" t="s">
        <v>1501</v>
      </c>
      <c r="R481" s="71" t="s">
        <v>289</v>
      </c>
      <c r="S481" s="72"/>
      <c r="T481" s="73"/>
      <c r="U481" s="75" t="s">
        <v>334</v>
      </c>
      <c r="V481" s="102">
        <v>46150</v>
      </c>
      <c r="W481" s="70">
        <v>3</v>
      </c>
      <c r="X481" s="103" t="s">
        <v>1503</v>
      </c>
      <c r="Y481" s="104">
        <f t="shared" si="61"/>
        <v>46242</v>
      </c>
      <c r="Z481" s="105">
        <f ca="1" t="shared" si="62"/>
        <v>75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286</v>
      </c>
      <c r="C482" s="70" t="s">
        <v>287</v>
      </c>
      <c r="D482" s="71" t="s">
        <v>1504</v>
      </c>
      <c r="E482" s="71" t="s">
        <v>289</v>
      </c>
      <c r="F482" s="72"/>
      <c r="G482" s="73"/>
      <c r="H482" s="79"/>
      <c r="I482" s="173">
        <v>46046</v>
      </c>
      <c r="J482" s="70">
        <v>3</v>
      </c>
      <c r="K482" s="106" t="s">
        <v>1505</v>
      </c>
      <c r="L482" s="104">
        <f t="shared" si="57"/>
        <v>46136</v>
      </c>
      <c r="M482" s="105">
        <f ca="1" t="shared" si="58"/>
        <v>-31</v>
      </c>
      <c r="N482" s="70"/>
      <c r="O482" s="70" t="s">
        <v>286</v>
      </c>
      <c r="P482" s="70" t="s">
        <v>287</v>
      </c>
      <c r="Q482" s="71" t="s">
        <v>1504</v>
      </c>
      <c r="R482" s="71" t="s">
        <v>289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1506</v>
      </c>
      <c r="Y482" s="104">
        <f t="shared" si="61"/>
        <v>46232</v>
      </c>
      <c r="Z482" s="105">
        <f ca="1" t="shared" si="62"/>
        <v>65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286</v>
      </c>
      <c r="C483" s="70" t="s">
        <v>287</v>
      </c>
      <c r="D483" s="71" t="s">
        <v>1507</v>
      </c>
      <c r="E483" s="71" t="s">
        <v>289</v>
      </c>
      <c r="F483" s="72"/>
      <c r="G483" s="73"/>
      <c r="H483" s="75"/>
      <c r="I483" s="173">
        <v>46046</v>
      </c>
      <c r="J483" s="70">
        <v>3</v>
      </c>
      <c r="K483" s="106" t="s">
        <v>1508</v>
      </c>
      <c r="L483" s="104">
        <f t="shared" si="57"/>
        <v>46136</v>
      </c>
      <c r="M483" s="105">
        <f ca="1" t="shared" si="58"/>
        <v>-31</v>
      </c>
      <c r="N483" s="70"/>
      <c r="O483" s="70" t="s">
        <v>286</v>
      </c>
      <c r="P483" s="70" t="s">
        <v>287</v>
      </c>
      <c r="Q483" s="71" t="s">
        <v>1507</v>
      </c>
      <c r="R483" s="71" t="s">
        <v>289</v>
      </c>
      <c r="S483" s="72"/>
      <c r="T483" s="73"/>
      <c r="U483" s="75"/>
      <c r="V483" s="102">
        <v>46137</v>
      </c>
      <c r="W483" s="70">
        <v>3</v>
      </c>
      <c r="X483" s="103" t="s">
        <v>1509</v>
      </c>
      <c r="Y483" s="104">
        <f t="shared" si="61"/>
        <v>46228</v>
      </c>
      <c r="Z483" s="105">
        <f ca="1" t="shared" si="62"/>
        <v>61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178</v>
      </c>
      <c r="C484" s="70" t="s">
        <v>31</v>
      </c>
      <c r="D484" s="71" t="s">
        <v>1510</v>
      </c>
      <c r="E484" s="71" t="s">
        <v>41</v>
      </c>
      <c r="F484" s="72"/>
      <c r="G484" s="73"/>
      <c r="H484" s="75"/>
      <c r="I484" s="173">
        <v>46047</v>
      </c>
      <c r="J484" s="70">
        <v>3</v>
      </c>
      <c r="K484" s="106" t="s">
        <v>1511</v>
      </c>
      <c r="L484" s="104">
        <f t="shared" si="57"/>
        <v>46137</v>
      </c>
      <c r="M484" s="105">
        <f ca="1" t="shared" si="58"/>
        <v>-30</v>
      </c>
      <c r="N484" s="70"/>
      <c r="O484" s="70" t="s">
        <v>178</v>
      </c>
      <c r="P484" s="70" t="s">
        <v>31</v>
      </c>
      <c r="Q484" s="71" t="s">
        <v>1510</v>
      </c>
      <c r="R484" s="71" t="s">
        <v>41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1512</v>
      </c>
      <c r="Y484" s="104">
        <f t="shared" si="61"/>
        <v>46245</v>
      </c>
      <c r="Z484" s="105">
        <f ca="1" t="shared" si="62"/>
        <v>78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178</v>
      </c>
      <c r="C485" s="70" t="s">
        <v>13</v>
      </c>
      <c r="D485" s="71" t="s">
        <v>1513</v>
      </c>
      <c r="E485" s="71" t="s">
        <v>876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1514</v>
      </c>
      <c r="L485" s="104">
        <f t="shared" si="57"/>
        <v>46137</v>
      </c>
      <c r="M485" s="105">
        <f ca="1" t="shared" si="58"/>
        <v>-30</v>
      </c>
      <c r="N485" s="70"/>
      <c r="O485" s="70"/>
      <c r="P485" s="70"/>
      <c r="Q485" s="71"/>
      <c r="R485" s="71"/>
      <c r="S485" s="72"/>
      <c r="T485" s="73"/>
      <c r="U485" s="74"/>
      <c r="V485" s="102"/>
      <c r="W485" s="70"/>
      <c r="X485" s="103"/>
      <c r="Y485" s="104">
        <f t="shared" si="61"/>
        <v>0</v>
      </c>
      <c r="Z485" s="105">
        <f ca="1" t="shared" si="62"/>
        <v>-46167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173</v>
      </c>
      <c r="C486" s="70" t="s">
        <v>31</v>
      </c>
      <c r="D486" s="71" t="s">
        <v>1515</v>
      </c>
      <c r="E486" s="71" t="s">
        <v>247</v>
      </c>
      <c r="F486" s="72"/>
      <c r="G486" s="73"/>
      <c r="H486" s="75"/>
      <c r="I486" s="173">
        <v>46047</v>
      </c>
      <c r="J486" s="70">
        <v>3</v>
      </c>
      <c r="K486" s="106" t="s">
        <v>1516</v>
      </c>
      <c r="L486" s="104">
        <f t="shared" si="57"/>
        <v>46137</v>
      </c>
      <c r="M486" s="105">
        <f ca="1" t="shared" si="58"/>
        <v>-30</v>
      </c>
      <c r="N486" s="70"/>
      <c r="O486" s="70"/>
      <c r="P486" s="70"/>
      <c r="Q486" s="71"/>
      <c r="R486" s="71"/>
      <c r="S486" s="72"/>
      <c r="T486" s="73"/>
      <c r="U486" s="74"/>
      <c r="V486" s="102"/>
      <c r="W486" s="70"/>
      <c r="X486" s="103"/>
      <c r="Y486" s="104">
        <f t="shared" si="61"/>
        <v>0</v>
      </c>
      <c r="Z486" s="105">
        <f ca="1" t="shared" si="62"/>
        <v>-46167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173</v>
      </c>
      <c r="C487" s="70" t="s">
        <v>31</v>
      </c>
      <c r="D487" s="71" t="s">
        <v>1517</v>
      </c>
      <c r="E487" s="71" t="s">
        <v>247</v>
      </c>
      <c r="F487" s="72"/>
      <c r="G487" s="73"/>
      <c r="H487" s="75"/>
      <c r="I487" s="173">
        <v>46047</v>
      </c>
      <c r="J487" s="70">
        <v>3</v>
      </c>
      <c r="K487" s="106" t="s">
        <v>1518</v>
      </c>
      <c r="L487" s="104">
        <f t="shared" si="57"/>
        <v>46137</v>
      </c>
      <c r="M487" s="105">
        <f ca="1" t="shared" si="58"/>
        <v>-30</v>
      </c>
      <c r="N487" s="70"/>
      <c r="O487" s="70" t="s">
        <v>173</v>
      </c>
      <c r="P487" s="70" t="s">
        <v>31</v>
      </c>
      <c r="Q487" s="71" t="s">
        <v>1517</v>
      </c>
      <c r="R487" s="71" t="s">
        <v>247</v>
      </c>
      <c r="S487" s="72"/>
      <c r="T487" s="73"/>
      <c r="U487" s="75"/>
      <c r="V487" s="102">
        <v>46149</v>
      </c>
      <c r="W487" s="70">
        <v>3</v>
      </c>
      <c r="X487" s="103" t="s">
        <v>1519</v>
      </c>
      <c r="Y487" s="104">
        <f t="shared" si="61"/>
        <v>46241</v>
      </c>
      <c r="Z487" s="105">
        <f ca="1" t="shared" si="62"/>
        <v>74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173</v>
      </c>
      <c r="C488" s="70" t="s">
        <v>31</v>
      </c>
      <c r="D488" s="71" t="s">
        <v>1520</v>
      </c>
      <c r="E488" s="71" t="s">
        <v>247</v>
      </c>
      <c r="F488" s="72"/>
      <c r="G488" s="73"/>
      <c r="H488" s="75"/>
      <c r="I488" s="173">
        <v>46047</v>
      </c>
      <c r="J488" s="70">
        <v>3</v>
      </c>
      <c r="K488" s="106" t="s">
        <v>1521</v>
      </c>
      <c r="L488" s="104">
        <f t="shared" si="57"/>
        <v>46137</v>
      </c>
      <c r="M488" s="105">
        <f ca="1" t="shared" si="58"/>
        <v>-30</v>
      </c>
      <c r="N488" s="70"/>
      <c r="O488" s="70" t="s">
        <v>173</v>
      </c>
      <c r="P488" s="70" t="s">
        <v>31</v>
      </c>
      <c r="Q488" s="71" t="s">
        <v>1520</v>
      </c>
      <c r="R488" s="71" t="s">
        <v>247</v>
      </c>
      <c r="S488" s="72"/>
      <c r="T488" s="73"/>
      <c r="U488" s="75"/>
      <c r="V488" s="102">
        <v>46137</v>
      </c>
      <c r="W488" s="70">
        <v>3</v>
      </c>
      <c r="X488" s="103" t="s">
        <v>1522</v>
      </c>
      <c r="Y488" s="104">
        <f t="shared" si="61"/>
        <v>46228</v>
      </c>
      <c r="Z488" s="105">
        <f ca="1" t="shared" si="62"/>
        <v>61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1075</v>
      </c>
      <c r="C489" s="70" t="s">
        <v>31</v>
      </c>
      <c r="D489" s="71" t="s">
        <v>1523</v>
      </c>
      <c r="E489" s="71" t="s">
        <v>1524</v>
      </c>
      <c r="F489" s="72"/>
      <c r="G489" s="73"/>
      <c r="H489" s="75"/>
      <c r="I489" s="173">
        <v>46047</v>
      </c>
      <c r="J489" s="70">
        <v>3</v>
      </c>
      <c r="K489" s="106" t="s">
        <v>1525</v>
      </c>
      <c r="L489" s="104">
        <f t="shared" si="57"/>
        <v>46137</v>
      </c>
      <c r="M489" s="105">
        <f ca="1" t="shared" si="58"/>
        <v>-30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61"/>
        <v>0</v>
      </c>
      <c r="Z489" s="105">
        <f ca="1" t="shared" si="62"/>
        <v>-46167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1075</v>
      </c>
      <c r="C490" s="70" t="s">
        <v>31</v>
      </c>
      <c r="D490" s="71" t="s">
        <v>1526</v>
      </c>
      <c r="E490" s="71" t="s">
        <v>1238</v>
      </c>
      <c r="F490" s="72"/>
      <c r="G490" s="73"/>
      <c r="H490" s="75"/>
      <c r="I490" s="173">
        <v>46047</v>
      </c>
      <c r="J490" s="70">
        <v>3</v>
      </c>
      <c r="K490" s="106" t="s">
        <v>1527</v>
      </c>
      <c r="L490" s="104">
        <f t="shared" si="57"/>
        <v>46137</v>
      </c>
      <c r="M490" s="105">
        <f ca="1" t="shared" si="58"/>
        <v>-30</v>
      </c>
      <c r="N490" s="70"/>
      <c r="O490" s="70" t="s">
        <v>1075</v>
      </c>
      <c r="P490" s="70" t="s">
        <v>31</v>
      </c>
      <c r="Q490" s="71" t="s">
        <v>1526</v>
      </c>
      <c r="R490" s="71" t="s">
        <v>1238</v>
      </c>
      <c r="S490" s="72"/>
      <c r="T490" s="73"/>
      <c r="U490" s="75"/>
      <c r="V490" s="102">
        <v>46150</v>
      </c>
      <c r="W490" s="70">
        <v>3</v>
      </c>
      <c r="X490" s="103" t="s">
        <v>1528</v>
      </c>
      <c r="Y490" s="104">
        <f t="shared" si="61"/>
        <v>46242</v>
      </c>
      <c r="Z490" s="105">
        <f ca="1" t="shared" si="62"/>
        <v>75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437</v>
      </c>
      <c r="C491" s="70" t="s">
        <v>31</v>
      </c>
      <c r="D491" s="71" t="s">
        <v>1529</v>
      </c>
      <c r="E491" s="71" t="s">
        <v>148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1530</v>
      </c>
      <c r="L491" s="104">
        <f t="shared" si="57"/>
        <v>46137</v>
      </c>
      <c r="M491" s="105">
        <f ca="1" t="shared" si="58"/>
        <v>-30</v>
      </c>
      <c r="N491" s="70"/>
      <c r="O491" s="70" t="s">
        <v>437</v>
      </c>
      <c r="P491" s="70" t="s">
        <v>31</v>
      </c>
      <c r="Q491" s="71" t="s">
        <v>1529</v>
      </c>
      <c r="R491" s="71" t="s">
        <v>148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1531</v>
      </c>
      <c r="Y491" s="104">
        <f t="shared" si="61"/>
        <v>46224</v>
      </c>
      <c r="Z491" s="105">
        <f ca="1" t="shared" si="62"/>
        <v>57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364</v>
      </c>
      <c r="C492" s="70" t="s">
        <v>13</v>
      </c>
      <c r="D492" s="70" t="s">
        <v>1532</v>
      </c>
      <c r="E492" s="71" t="s">
        <v>299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1533</v>
      </c>
      <c r="L492" s="104">
        <f t="shared" si="57"/>
        <v>46137</v>
      </c>
      <c r="M492" s="105">
        <f ca="1" t="shared" si="58"/>
        <v>-30</v>
      </c>
      <c r="N492" s="70"/>
      <c r="O492" s="70" t="s">
        <v>364</v>
      </c>
      <c r="P492" s="70" t="s">
        <v>13</v>
      </c>
      <c r="Q492" s="70" t="s">
        <v>1532</v>
      </c>
      <c r="R492" s="71" t="s">
        <v>299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1534</v>
      </c>
      <c r="Y492" s="104">
        <f t="shared" si="61"/>
        <v>46229</v>
      </c>
      <c r="Z492" s="105">
        <f ca="1" t="shared" si="62"/>
        <v>62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364</v>
      </c>
      <c r="C493" s="70" t="s">
        <v>13</v>
      </c>
      <c r="D493" s="71" t="s">
        <v>1535</v>
      </c>
      <c r="E493" s="71" t="s">
        <v>28</v>
      </c>
      <c r="F493" s="72"/>
      <c r="G493" s="73"/>
      <c r="H493" s="75" t="s">
        <v>334</v>
      </c>
      <c r="I493" s="173">
        <v>46047</v>
      </c>
      <c r="J493" s="70">
        <v>3</v>
      </c>
      <c r="K493" s="106" t="s">
        <v>1536</v>
      </c>
      <c r="L493" s="104">
        <f t="shared" si="57"/>
        <v>46137</v>
      </c>
      <c r="M493" s="105">
        <f ca="1" t="shared" si="58"/>
        <v>-30</v>
      </c>
      <c r="N493" s="70"/>
      <c r="O493" s="70" t="s">
        <v>364</v>
      </c>
      <c r="P493" s="70" t="s">
        <v>13</v>
      </c>
      <c r="Q493" s="71" t="s">
        <v>1535</v>
      </c>
      <c r="R493" s="71" t="s">
        <v>28</v>
      </c>
      <c r="S493" s="72"/>
      <c r="T493" s="73"/>
      <c r="U493" s="75" t="s">
        <v>334</v>
      </c>
      <c r="V493" s="102">
        <v>46138</v>
      </c>
      <c r="W493" s="70">
        <v>3</v>
      </c>
      <c r="X493" s="103" t="s">
        <v>1537</v>
      </c>
      <c r="Y493" s="104">
        <f t="shared" si="61"/>
        <v>46229</v>
      </c>
      <c r="Z493" s="105">
        <f ca="1" t="shared" si="62"/>
        <v>62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128</v>
      </c>
      <c r="C494" s="70" t="s">
        <v>31</v>
      </c>
      <c r="D494" s="71" t="s">
        <v>1538</v>
      </c>
      <c r="E494" s="71" t="s">
        <v>148</v>
      </c>
      <c r="F494" s="72"/>
      <c r="G494" s="73"/>
      <c r="H494" s="75"/>
      <c r="I494" s="173">
        <v>46047</v>
      </c>
      <c r="J494" s="70">
        <v>3</v>
      </c>
      <c r="K494" s="106" t="s">
        <v>1539</v>
      </c>
      <c r="L494" s="104">
        <f t="shared" si="57"/>
        <v>46137</v>
      </c>
      <c r="M494" s="105">
        <f ca="1" t="shared" si="58"/>
        <v>-30</v>
      </c>
      <c r="N494" s="70"/>
      <c r="O494" s="70" t="s">
        <v>128</v>
      </c>
      <c r="P494" s="70" t="s">
        <v>31</v>
      </c>
      <c r="Q494" s="71" t="s">
        <v>1538</v>
      </c>
      <c r="R494" s="71" t="s">
        <v>148</v>
      </c>
      <c r="S494" s="72"/>
      <c r="T494" s="73"/>
      <c r="U494" s="75"/>
      <c r="V494" s="102">
        <v>46137</v>
      </c>
      <c r="W494" s="70">
        <v>3</v>
      </c>
      <c r="X494" s="103" t="s">
        <v>1540</v>
      </c>
      <c r="Y494" s="104">
        <f t="shared" si="61"/>
        <v>46228</v>
      </c>
      <c r="Z494" s="105">
        <f ca="1" t="shared" si="62"/>
        <v>61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128</v>
      </c>
      <c r="C495" s="70" t="s">
        <v>31</v>
      </c>
      <c r="D495" s="71" t="s">
        <v>1541</v>
      </c>
      <c r="E495" s="71" t="s">
        <v>148</v>
      </c>
      <c r="F495" s="72"/>
      <c r="G495" s="73"/>
      <c r="H495" s="75"/>
      <c r="I495" s="173">
        <v>46047</v>
      </c>
      <c r="J495" s="70">
        <v>3</v>
      </c>
      <c r="K495" s="106" t="s">
        <v>1542</v>
      </c>
      <c r="L495" s="104">
        <f t="shared" si="57"/>
        <v>46137</v>
      </c>
      <c r="M495" s="105">
        <f ca="1" t="shared" si="58"/>
        <v>-30</v>
      </c>
      <c r="N495" s="70"/>
      <c r="O495" s="70" t="s">
        <v>128</v>
      </c>
      <c r="P495" s="70" t="s">
        <v>31</v>
      </c>
      <c r="Q495" s="71" t="s">
        <v>1541</v>
      </c>
      <c r="R495" s="71" t="s">
        <v>148</v>
      </c>
      <c r="S495" s="72"/>
      <c r="T495" s="73"/>
      <c r="U495" s="75"/>
      <c r="V495" s="102">
        <v>46150</v>
      </c>
      <c r="W495" s="70">
        <v>3</v>
      </c>
      <c r="X495" s="103" t="s">
        <v>1543</v>
      </c>
      <c r="Y495" s="104">
        <f t="shared" ref="Y495:Y509" si="63">EDATE(V495,W495)</f>
        <v>46242</v>
      </c>
      <c r="Z495" s="105">
        <f ca="1" t="shared" ref="Z495:Z509" si="64">Y495-TODAY()</f>
        <v>75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128</v>
      </c>
      <c r="C496" s="70" t="s">
        <v>13</v>
      </c>
      <c r="D496" s="71" t="s">
        <v>1544</v>
      </c>
      <c r="E496" s="71" t="s">
        <v>37</v>
      </c>
      <c r="F496" s="72"/>
      <c r="G496" s="73"/>
      <c r="H496" s="75"/>
      <c r="I496" s="173">
        <v>46047</v>
      </c>
      <c r="J496" s="70">
        <v>3</v>
      </c>
      <c r="K496" s="106" t="s">
        <v>1545</v>
      </c>
      <c r="L496" s="104">
        <f t="shared" si="57"/>
        <v>46137</v>
      </c>
      <c r="M496" s="105">
        <f ca="1" t="shared" si="58"/>
        <v>-30</v>
      </c>
      <c r="N496" s="70"/>
      <c r="O496" s="70" t="s">
        <v>128</v>
      </c>
      <c r="P496" s="70" t="s">
        <v>13</v>
      </c>
      <c r="Q496" s="71" t="s">
        <v>1544</v>
      </c>
      <c r="R496" s="71" t="s">
        <v>37</v>
      </c>
      <c r="S496" s="72"/>
      <c r="T496" s="73"/>
      <c r="U496" s="75"/>
      <c r="V496" s="102">
        <v>46136</v>
      </c>
      <c r="W496" s="70">
        <v>3</v>
      </c>
      <c r="X496" s="103" t="s">
        <v>1546</v>
      </c>
      <c r="Y496" s="104">
        <f t="shared" si="63"/>
        <v>46227</v>
      </c>
      <c r="Z496" s="105">
        <f ca="1" t="shared" si="64"/>
        <v>60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128</v>
      </c>
      <c r="C497" s="70" t="s">
        <v>13</v>
      </c>
      <c r="D497" s="71" t="s">
        <v>1547</v>
      </c>
      <c r="E497" s="71" t="s">
        <v>37</v>
      </c>
      <c r="F497" s="72"/>
      <c r="G497" s="73"/>
      <c r="H497" s="75"/>
      <c r="I497" s="173">
        <v>46047</v>
      </c>
      <c r="J497" s="70">
        <v>3</v>
      </c>
      <c r="K497" s="106" t="s">
        <v>1548</v>
      </c>
      <c r="L497" s="104">
        <f t="shared" si="57"/>
        <v>46137</v>
      </c>
      <c r="M497" s="105">
        <f ca="1" t="shared" si="58"/>
        <v>-30</v>
      </c>
      <c r="N497" s="70"/>
      <c r="O497" s="70"/>
      <c r="P497" s="70"/>
      <c r="Q497" s="71"/>
      <c r="R497" s="71"/>
      <c r="S497" s="72"/>
      <c r="T497" s="73"/>
      <c r="U497" s="74"/>
      <c r="V497" s="102"/>
      <c r="W497" s="70"/>
      <c r="X497" s="103"/>
      <c r="Y497" s="104">
        <f t="shared" si="63"/>
        <v>0</v>
      </c>
      <c r="Z497" s="105">
        <f ca="1" t="shared" si="64"/>
        <v>-46167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109</v>
      </c>
      <c r="C498" s="70" t="s">
        <v>13</v>
      </c>
      <c r="D498" s="71" t="s">
        <v>1549</v>
      </c>
      <c r="E498" s="71" t="s">
        <v>95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1550</v>
      </c>
      <c r="L498" s="104">
        <f t="shared" si="57"/>
        <v>46137</v>
      </c>
      <c r="M498" s="105">
        <f ca="1" t="shared" si="58"/>
        <v>-30</v>
      </c>
      <c r="N498" s="70"/>
      <c r="O498" s="70" t="s">
        <v>109</v>
      </c>
      <c r="P498" s="70" t="s">
        <v>13</v>
      </c>
      <c r="Q498" s="71" t="s">
        <v>1549</v>
      </c>
      <c r="R498" s="71" t="s">
        <v>95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1551</v>
      </c>
      <c r="Y498" s="104">
        <f t="shared" si="63"/>
        <v>46248</v>
      </c>
      <c r="Z498" s="105">
        <f ca="1" t="shared" si="64"/>
        <v>81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109</v>
      </c>
      <c r="C499" s="70" t="s">
        <v>13</v>
      </c>
      <c r="D499" s="71" t="s">
        <v>1552</v>
      </c>
      <c r="E499" s="71" t="s">
        <v>95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1553</v>
      </c>
      <c r="L499" s="104">
        <f t="shared" si="57"/>
        <v>46137</v>
      </c>
      <c r="M499" s="105">
        <f ca="1" t="shared" si="58"/>
        <v>-30</v>
      </c>
      <c r="N499" s="70"/>
      <c r="O499" s="70" t="s">
        <v>109</v>
      </c>
      <c r="P499" s="70" t="s">
        <v>13</v>
      </c>
      <c r="Q499" s="71" t="s">
        <v>1552</v>
      </c>
      <c r="R499" s="71" t="s">
        <v>95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1554</v>
      </c>
      <c r="Y499" s="104">
        <f t="shared" si="63"/>
        <v>46248</v>
      </c>
      <c r="Z499" s="105">
        <f ca="1" t="shared" si="64"/>
        <v>81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200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208</v>
      </c>
      <c r="C500" s="70" t="s">
        <v>203</v>
      </c>
      <c r="D500" s="71" t="s">
        <v>282</v>
      </c>
      <c r="E500" s="71" t="s">
        <v>283</v>
      </c>
      <c r="F500" s="72"/>
      <c r="G500" s="73"/>
      <c r="H500" s="75"/>
      <c r="I500" s="173">
        <v>46047</v>
      </c>
      <c r="J500" s="79" t="s">
        <v>596</v>
      </c>
      <c r="K500" s="106"/>
      <c r="L500" s="104" t="e">
        <f t="shared" si="57"/>
        <v>#VALUE!</v>
      </c>
      <c r="M500" s="105" t="e">
        <f ca="1" t="shared" si="58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63"/>
        <v>0</v>
      </c>
      <c r="Z500" s="105">
        <f ca="1" t="shared" si="64"/>
        <v>-46167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200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530</v>
      </c>
      <c r="C501" s="70" t="s">
        <v>13</v>
      </c>
      <c r="D501" s="71" t="s">
        <v>1555</v>
      </c>
      <c r="E501" s="71" t="s">
        <v>95</v>
      </c>
      <c r="F501" s="72"/>
      <c r="G501" s="73"/>
      <c r="H501" s="75"/>
      <c r="I501" s="102">
        <v>46048</v>
      </c>
      <c r="J501" s="70">
        <v>3</v>
      </c>
      <c r="K501" s="106" t="s">
        <v>1556</v>
      </c>
      <c r="L501" s="104">
        <f t="shared" si="57"/>
        <v>46138</v>
      </c>
      <c r="M501" s="105">
        <f ca="1" t="shared" si="58"/>
        <v>-29</v>
      </c>
      <c r="N501" s="70"/>
      <c r="O501" s="70" t="s">
        <v>530</v>
      </c>
      <c r="P501" s="70" t="s">
        <v>13</v>
      </c>
      <c r="Q501" s="71" t="s">
        <v>1555</v>
      </c>
      <c r="R501" s="71" t="s">
        <v>95</v>
      </c>
      <c r="S501" s="72"/>
      <c r="T501" s="73"/>
      <c r="U501" s="75"/>
      <c r="V501" s="102">
        <v>46157</v>
      </c>
      <c r="W501" s="70">
        <v>3</v>
      </c>
      <c r="X501" s="103" t="s">
        <v>1557</v>
      </c>
      <c r="Y501" s="104">
        <f t="shared" si="63"/>
        <v>46249</v>
      </c>
      <c r="Z501" s="105">
        <f ca="1" t="shared" si="64"/>
        <v>82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530</v>
      </c>
      <c r="C502" s="70" t="s">
        <v>13</v>
      </c>
      <c r="D502" s="71" t="s">
        <v>1558</v>
      </c>
      <c r="E502" s="71" t="s">
        <v>28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1559</v>
      </c>
      <c r="L502" s="104">
        <f t="shared" si="57"/>
        <v>46138</v>
      </c>
      <c r="M502" s="105">
        <f ca="1" t="shared" si="58"/>
        <v>-29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63"/>
        <v>0</v>
      </c>
      <c r="Z502" s="105">
        <f ca="1" t="shared" si="64"/>
        <v>-46167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178</v>
      </c>
      <c r="C503" s="70" t="s">
        <v>31</v>
      </c>
      <c r="D503" s="71" t="s">
        <v>1560</v>
      </c>
      <c r="E503" s="71" t="s">
        <v>1244</v>
      </c>
      <c r="F503" s="72"/>
      <c r="G503" s="73"/>
      <c r="H503" s="75"/>
      <c r="I503" s="102">
        <v>46048</v>
      </c>
      <c r="J503" s="70">
        <v>3</v>
      </c>
      <c r="K503" s="106" t="s">
        <v>1561</v>
      </c>
      <c r="L503" s="104">
        <f t="shared" si="57"/>
        <v>46138</v>
      </c>
      <c r="M503" s="105">
        <f ca="1" t="shared" si="58"/>
        <v>-29</v>
      </c>
      <c r="N503" s="70"/>
      <c r="O503" s="70" t="s">
        <v>178</v>
      </c>
      <c r="P503" s="70" t="s">
        <v>31</v>
      </c>
      <c r="Q503" s="71" t="s">
        <v>1560</v>
      </c>
      <c r="R503" s="71" t="s">
        <v>1244</v>
      </c>
      <c r="S503" s="72"/>
      <c r="T503" s="73"/>
      <c r="U503" s="75"/>
      <c r="V503" s="102">
        <v>46158</v>
      </c>
      <c r="W503" s="70">
        <v>3</v>
      </c>
      <c r="X503" s="103" t="s">
        <v>1562</v>
      </c>
      <c r="Y503" s="104">
        <f t="shared" si="63"/>
        <v>46250</v>
      </c>
      <c r="Z503" s="105">
        <f ca="1" t="shared" si="64"/>
        <v>83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44</v>
      </c>
      <c r="C504" s="70" t="s">
        <v>13</v>
      </c>
      <c r="D504" s="71" t="s">
        <v>1563</v>
      </c>
      <c r="E504" s="71" t="s">
        <v>28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1564</v>
      </c>
      <c r="L504" s="104">
        <f t="shared" si="57"/>
        <v>46138</v>
      </c>
      <c r="M504" s="105">
        <f ca="1" t="shared" si="58"/>
        <v>-29</v>
      </c>
      <c r="N504" s="70"/>
      <c r="O504" s="70" t="s">
        <v>44</v>
      </c>
      <c r="P504" s="70" t="s">
        <v>13</v>
      </c>
      <c r="Q504" s="71" t="s">
        <v>1563</v>
      </c>
      <c r="R504" s="71" t="s">
        <v>28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1565</v>
      </c>
      <c r="Y504" s="104">
        <f t="shared" si="63"/>
        <v>46229</v>
      </c>
      <c r="Z504" s="105">
        <f ca="1" t="shared" si="64"/>
        <v>62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437</v>
      </c>
      <c r="C505" s="70" t="s">
        <v>31</v>
      </c>
      <c r="D505" s="71" t="s">
        <v>1566</v>
      </c>
      <c r="E505" s="71" t="s">
        <v>148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1567</v>
      </c>
      <c r="L505" s="104">
        <f t="shared" si="57"/>
        <v>46138</v>
      </c>
      <c r="M505" s="105">
        <f ca="1" t="shared" si="58"/>
        <v>-29</v>
      </c>
      <c r="N505" s="70"/>
      <c r="O505" s="70" t="s">
        <v>437</v>
      </c>
      <c r="P505" s="70" t="s">
        <v>31</v>
      </c>
      <c r="Q505" s="71" t="s">
        <v>1566</v>
      </c>
      <c r="R505" s="71" t="s">
        <v>148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1568</v>
      </c>
      <c r="Y505" s="104">
        <f t="shared" si="63"/>
        <v>46247</v>
      </c>
      <c r="Z505" s="105">
        <f ca="1" t="shared" si="64"/>
        <v>80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1569</v>
      </c>
      <c r="C506" s="70" t="s">
        <v>31</v>
      </c>
      <c r="D506" s="71" t="s">
        <v>1570</v>
      </c>
      <c r="E506" s="71" t="s">
        <v>258</v>
      </c>
      <c r="F506" s="72"/>
      <c r="G506" s="73"/>
      <c r="H506" s="75"/>
      <c r="I506" s="102">
        <v>46048</v>
      </c>
      <c r="J506" s="70">
        <v>3</v>
      </c>
      <c r="K506" s="106" t="s">
        <v>1571</v>
      </c>
      <c r="L506" s="104">
        <f t="shared" si="57"/>
        <v>46138</v>
      </c>
      <c r="M506" s="105">
        <f ca="1" t="shared" si="58"/>
        <v>-29</v>
      </c>
      <c r="N506" s="70"/>
      <c r="O506" s="70" t="s">
        <v>1569</v>
      </c>
      <c r="P506" s="70" t="s">
        <v>31</v>
      </c>
      <c r="Q506" s="71" t="s">
        <v>1570</v>
      </c>
      <c r="R506" s="71" t="s">
        <v>258</v>
      </c>
      <c r="S506" s="72"/>
      <c r="T506" s="73"/>
      <c r="U506" s="75"/>
      <c r="V506" s="102">
        <v>46141</v>
      </c>
      <c r="W506" s="70">
        <v>3</v>
      </c>
      <c r="X506" s="103" t="s">
        <v>1572</v>
      </c>
      <c r="Y506" s="104">
        <f t="shared" si="63"/>
        <v>46232</v>
      </c>
      <c r="Z506" s="105">
        <f ca="1" t="shared" si="64"/>
        <v>65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1573</v>
      </c>
      <c r="C507" s="70" t="s">
        <v>13</v>
      </c>
      <c r="D507" s="71" t="s">
        <v>1574</v>
      </c>
      <c r="E507" s="71" t="s">
        <v>1575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1576</v>
      </c>
      <c r="L507" s="104">
        <f t="shared" si="57"/>
        <v>46138</v>
      </c>
      <c r="M507" s="105">
        <f ca="1" t="shared" si="58"/>
        <v>-29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63"/>
        <v>0</v>
      </c>
      <c r="Z507" s="105">
        <f ca="1" t="shared" si="64"/>
        <v>-46167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1577</v>
      </c>
      <c r="C508" s="70" t="s">
        <v>203</v>
      </c>
      <c r="D508" s="71" t="s">
        <v>1578</v>
      </c>
      <c r="E508" s="71" t="s">
        <v>675</v>
      </c>
      <c r="F508" s="72"/>
      <c r="G508" s="73"/>
      <c r="H508" s="75"/>
      <c r="I508" s="102">
        <v>46048</v>
      </c>
      <c r="J508" s="70">
        <v>3</v>
      </c>
      <c r="K508" s="106" t="s">
        <v>1579</v>
      </c>
      <c r="L508" s="104">
        <f t="shared" si="57"/>
        <v>46138</v>
      </c>
      <c r="M508" s="105">
        <f ca="1" t="shared" si="58"/>
        <v>-29</v>
      </c>
      <c r="N508" s="70"/>
      <c r="O508" s="70" t="s">
        <v>1577</v>
      </c>
      <c r="P508" s="70" t="s">
        <v>203</v>
      </c>
      <c r="Q508" s="71" t="s">
        <v>1578</v>
      </c>
      <c r="R508" s="71" t="s">
        <v>675</v>
      </c>
      <c r="S508" s="72"/>
      <c r="T508" s="73"/>
      <c r="U508" s="75"/>
      <c r="V508" s="102">
        <v>46142</v>
      </c>
      <c r="W508" s="70">
        <v>3</v>
      </c>
      <c r="X508" s="103" t="s">
        <v>1580</v>
      </c>
      <c r="Y508" s="104">
        <f t="shared" si="63"/>
        <v>46233</v>
      </c>
      <c r="Z508" s="105">
        <f ca="1" t="shared" si="64"/>
        <v>66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217</v>
      </c>
      <c r="C509" s="70" t="s">
        <v>203</v>
      </c>
      <c r="D509" s="71" t="s">
        <v>1581</v>
      </c>
      <c r="E509" s="71" t="s">
        <v>279</v>
      </c>
      <c r="F509" s="72"/>
      <c r="G509" s="73"/>
      <c r="H509" s="75"/>
      <c r="I509" s="102">
        <v>46048</v>
      </c>
      <c r="J509" s="70">
        <v>3</v>
      </c>
      <c r="K509" s="106" t="s">
        <v>1582</v>
      </c>
      <c r="L509" s="104">
        <f t="shared" si="57"/>
        <v>46138</v>
      </c>
      <c r="M509" s="105">
        <f ca="1" t="shared" si="58"/>
        <v>-29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63"/>
        <v>0</v>
      </c>
      <c r="Z509" s="105">
        <f ca="1" t="shared" si="64"/>
        <v>-46167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954</v>
      </c>
      <c r="C510" s="70" t="s">
        <v>203</v>
      </c>
      <c r="D510" s="71" t="s">
        <v>1583</v>
      </c>
      <c r="E510" s="71" t="s">
        <v>203</v>
      </c>
      <c r="F510" s="72"/>
      <c r="G510" s="73"/>
      <c r="H510" s="75"/>
      <c r="I510" s="102">
        <v>46048</v>
      </c>
      <c r="J510" s="70">
        <v>3</v>
      </c>
      <c r="K510" s="106" t="s">
        <v>1584</v>
      </c>
      <c r="L510" s="104">
        <f t="shared" si="57"/>
        <v>46138</v>
      </c>
      <c r="M510" s="105">
        <f ca="1" t="shared" si="58"/>
        <v>-29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217</v>
      </c>
      <c r="C511" s="70" t="s">
        <v>203</v>
      </c>
      <c r="D511" s="71" t="s">
        <v>1585</v>
      </c>
      <c r="E511" s="71" t="s">
        <v>1586</v>
      </c>
      <c r="F511" s="72"/>
      <c r="G511" s="73"/>
      <c r="H511" s="75"/>
      <c r="I511" s="102">
        <v>46048</v>
      </c>
      <c r="J511" s="70">
        <v>3</v>
      </c>
      <c r="K511" s="106" t="s">
        <v>1587</v>
      </c>
      <c r="L511" s="104">
        <f t="shared" si="57"/>
        <v>46138</v>
      </c>
      <c r="M511" s="105">
        <f ca="1" t="shared" si="58"/>
        <v>-29</v>
      </c>
      <c r="N511" s="70"/>
      <c r="O511" s="70" t="s">
        <v>217</v>
      </c>
      <c r="P511" s="70" t="s">
        <v>203</v>
      </c>
      <c r="Q511" s="71" t="s">
        <v>1585</v>
      </c>
      <c r="R511" s="71" t="s">
        <v>1586</v>
      </c>
      <c r="S511" s="72"/>
      <c r="T511" s="73"/>
      <c r="U511" s="75"/>
      <c r="V511" s="102">
        <v>46142</v>
      </c>
      <c r="W511" s="70">
        <v>3</v>
      </c>
      <c r="X511" s="103" t="s">
        <v>1588</v>
      </c>
      <c r="Y511" s="104">
        <f t="shared" ref="Y511:Y521" si="65">EDATE(V511,W511)</f>
        <v>46233</v>
      </c>
      <c r="Z511" s="105">
        <f ca="1" t="shared" ref="Z511:Z521" si="66">Y511-TODAY()</f>
        <v>66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217</v>
      </c>
      <c r="C512" s="70" t="s">
        <v>203</v>
      </c>
      <c r="D512" s="71" t="s">
        <v>950</v>
      </c>
      <c r="E512" s="71" t="s">
        <v>279</v>
      </c>
      <c r="F512" s="72"/>
      <c r="G512" s="73"/>
      <c r="H512" s="165"/>
      <c r="I512" s="102">
        <v>46048</v>
      </c>
      <c r="J512" s="102" t="s">
        <v>596</v>
      </c>
      <c r="K512" s="106"/>
      <c r="L512" s="104" t="e">
        <f t="shared" si="57"/>
        <v>#VALUE!</v>
      </c>
      <c r="M512" s="105" t="e">
        <f ca="1" t="shared" si="58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65"/>
        <v>0</v>
      </c>
      <c r="Z512" s="105">
        <f ca="1" t="shared" si="66"/>
        <v>-46167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1589</v>
      </c>
      <c r="C513" s="70" t="s">
        <v>13</v>
      </c>
      <c r="D513" s="71" t="s">
        <v>1590</v>
      </c>
      <c r="E513" s="71" t="s">
        <v>1591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1592</v>
      </c>
      <c r="L513" s="104">
        <f t="shared" si="57"/>
        <v>46138</v>
      </c>
      <c r="M513" s="105">
        <f ca="1" t="shared" si="58"/>
        <v>-29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65"/>
        <v>0</v>
      </c>
      <c r="Z513" s="105">
        <f ca="1" t="shared" si="66"/>
        <v>-46167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607</v>
      </c>
      <c r="C514" s="70" t="s">
        <v>287</v>
      </c>
      <c r="D514" s="71" t="s">
        <v>1593</v>
      </c>
      <c r="E514" s="71" t="s">
        <v>1594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1595</v>
      </c>
      <c r="L514" s="104">
        <f t="shared" ref="L514:L577" si="67">EDATE(I514,J514)</f>
        <v>46138</v>
      </c>
      <c r="M514" s="105">
        <f ca="1" t="shared" ref="M514:M577" si="68">L514-TODAY()</f>
        <v>-29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65"/>
        <v>0</v>
      </c>
      <c r="Z514" s="105">
        <f ca="1" t="shared" si="66"/>
        <v>-46167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429</v>
      </c>
      <c r="C515" s="70" t="s">
        <v>287</v>
      </c>
      <c r="D515" s="71" t="s">
        <v>1596</v>
      </c>
      <c r="E515" s="71" t="s">
        <v>691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1597</v>
      </c>
      <c r="L515" s="104">
        <f t="shared" si="67"/>
        <v>46138</v>
      </c>
      <c r="M515" s="105">
        <f ca="1" t="shared" si="68"/>
        <v>-29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65"/>
        <v>0</v>
      </c>
      <c r="Z515" s="105">
        <f ca="1" t="shared" si="66"/>
        <v>-46167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429</v>
      </c>
      <c r="C516" s="70" t="s">
        <v>287</v>
      </c>
      <c r="D516" s="71" t="s">
        <v>1598</v>
      </c>
      <c r="E516" s="71" t="s">
        <v>691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1599</v>
      </c>
      <c r="L516" s="104">
        <f t="shared" si="67"/>
        <v>46138</v>
      </c>
      <c r="M516" s="105">
        <f ca="1" t="shared" si="68"/>
        <v>-29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65"/>
        <v>0</v>
      </c>
      <c r="Z516" s="105">
        <f ca="1" t="shared" si="66"/>
        <v>-46167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178</v>
      </c>
      <c r="C517" s="70" t="s">
        <v>13</v>
      </c>
      <c r="D517" s="71" t="s">
        <v>1600</v>
      </c>
      <c r="E517" s="71" t="s">
        <v>1601</v>
      </c>
      <c r="F517" s="72"/>
      <c r="G517" s="73"/>
      <c r="H517" s="75"/>
      <c r="I517" s="102">
        <v>46049</v>
      </c>
      <c r="J517" s="70">
        <v>3</v>
      </c>
      <c r="K517" s="106" t="s">
        <v>1602</v>
      </c>
      <c r="L517" s="104">
        <f t="shared" si="67"/>
        <v>46139</v>
      </c>
      <c r="M517" s="105">
        <f ca="1" t="shared" si="68"/>
        <v>-28</v>
      </c>
      <c r="N517" s="70"/>
      <c r="O517" s="70" t="s">
        <v>178</v>
      </c>
      <c r="P517" s="70" t="s">
        <v>13</v>
      </c>
      <c r="Q517" s="71" t="s">
        <v>1600</v>
      </c>
      <c r="R517" s="71" t="s">
        <v>1601</v>
      </c>
      <c r="S517" s="72"/>
      <c r="T517" s="73"/>
      <c r="U517" s="75"/>
      <c r="V517" s="102">
        <v>46158</v>
      </c>
      <c r="W517" s="70">
        <v>3</v>
      </c>
      <c r="X517" s="103" t="s">
        <v>1603</v>
      </c>
      <c r="Y517" s="104">
        <f t="shared" si="65"/>
        <v>46250</v>
      </c>
      <c r="Z517" s="105">
        <f ca="1" t="shared" si="66"/>
        <v>83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178</v>
      </c>
      <c r="C518" s="70" t="s">
        <v>31</v>
      </c>
      <c r="D518" s="71" t="s">
        <v>1604</v>
      </c>
      <c r="E518" s="71" t="s">
        <v>148</v>
      </c>
      <c r="F518" s="72"/>
      <c r="G518" s="73"/>
      <c r="H518" s="75"/>
      <c r="I518" s="102">
        <v>46049</v>
      </c>
      <c r="J518" s="70">
        <v>3</v>
      </c>
      <c r="K518" s="106" t="s">
        <v>1605</v>
      </c>
      <c r="L518" s="104">
        <f t="shared" si="67"/>
        <v>46139</v>
      </c>
      <c r="M518" s="105">
        <f ca="1" t="shared" si="68"/>
        <v>-28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65"/>
        <v>0</v>
      </c>
      <c r="Z518" s="105">
        <f ca="1" t="shared" si="66"/>
        <v>-46167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178</v>
      </c>
      <c r="C519" s="70" t="s">
        <v>13</v>
      </c>
      <c r="D519" s="71" t="s">
        <v>1606</v>
      </c>
      <c r="E519" s="71" t="s">
        <v>104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1607</v>
      </c>
      <c r="L519" s="104">
        <f t="shared" si="67"/>
        <v>46139</v>
      </c>
      <c r="M519" s="105">
        <f ca="1" t="shared" si="68"/>
        <v>-28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65"/>
        <v>0</v>
      </c>
      <c r="Z519" s="105">
        <f ca="1" t="shared" si="66"/>
        <v>-46167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44</v>
      </c>
      <c r="C520" s="70" t="s">
        <v>13</v>
      </c>
      <c r="D520" s="71" t="s">
        <v>1608</v>
      </c>
      <c r="E520" s="71" t="s">
        <v>95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1609</v>
      </c>
      <c r="L520" s="104">
        <f t="shared" si="67"/>
        <v>46139</v>
      </c>
      <c r="M520" s="105">
        <f ca="1" t="shared" si="68"/>
        <v>-28</v>
      </c>
      <c r="N520" s="70"/>
      <c r="O520" s="70" t="s">
        <v>44</v>
      </c>
      <c r="P520" s="70" t="s">
        <v>13</v>
      </c>
      <c r="Q520" s="71" t="s">
        <v>1608</v>
      </c>
      <c r="R520" s="71" t="s">
        <v>95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1610</v>
      </c>
      <c r="Y520" s="104">
        <f t="shared" si="65"/>
        <v>46243</v>
      </c>
      <c r="Z520" s="105">
        <f ca="1" t="shared" si="66"/>
        <v>76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1611</v>
      </c>
      <c r="C521" s="70" t="s">
        <v>13</v>
      </c>
      <c r="D521" s="71" t="s">
        <v>1612</v>
      </c>
      <c r="E521" s="71" t="s">
        <v>95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1613</v>
      </c>
      <c r="L521" s="104">
        <f t="shared" si="67"/>
        <v>46139</v>
      </c>
      <c r="M521" s="105">
        <f ca="1" t="shared" si="68"/>
        <v>-28</v>
      </c>
      <c r="N521" s="70"/>
      <c r="O521" s="70" t="s">
        <v>1614</v>
      </c>
      <c r="P521" s="70" t="s">
        <v>13</v>
      </c>
      <c r="Q521" s="71" t="s">
        <v>1612</v>
      </c>
      <c r="R521" s="71" t="s">
        <v>95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1615</v>
      </c>
      <c r="Y521" s="104">
        <f t="shared" si="65"/>
        <v>46223</v>
      </c>
      <c r="Z521" s="105">
        <f ca="1" t="shared" si="66"/>
        <v>56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44</v>
      </c>
      <c r="C522" s="70" t="s">
        <v>13</v>
      </c>
      <c r="D522" s="71" t="s">
        <v>1616</v>
      </c>
      <c r="E522" s="71" t="s">
        <v>95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1617</v>
      </c>
      <c r="L522" s="104">
        <f t="shared" si="67"/>
        <v>46139</v>
      </c>
      <c r="M522" s="105">
        <f ca="1" t="shared" si="68"/>
        <v>-28</v>
      </c>
      <c r="N522" s="70"/>
      <c r="O522" s="70"/>
      <c r="P522" s="70"/>
      <c r="Q522" s="71"/>
      <c r="R522" s="71"/>
      <c r="S522" s="72"/>
      <c r="T522" s="73"/>
      <c r="U522" s="114"/>
      <c r="V522" s="102"/>
      <c r="W522" s="70"/>
      <c r="X522" s="103"/>
      <c r="Y522" s="104">
        <f t="shared" ref="Y521:Y524" si="69">EDATE(V522,W522)</f>
        <v>0</v>
      </c>
      <c r="Z522" s="105">
        <f ca="1" t="shared" ref="Z521:Z524" si="70">Y522-TODAY()</f>
        <v>-46167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102</v>
      </c>
      <c r="C523" s="70" t="s">
        <v>13</v>
      </c>
      <c r="D523" s="71" t="s">
        <v>1618</v>
      </c>
      <c r="E523" s="71" t="s">
        <v>1290</v>
      </c>
      <c r="F523" s="72"/>
      <c r="G523" s="73"/>
      <c r="H523" s="157" t="s">
        <v>334</v>
      </c>
      <c r="I523" s="102">
        <v>46049</v>
      </c>
      <c r="J523" s="70">
        <v>3</v>
      </c>
      <c r="K523" s="106" t="s">
        <v>1619</v>
      </c>
      <c r="L523" s="104">
        <f t="shared" si="67"/>
        <v>46139</v>
      </c>
      <c r="M523" s="105">
        <f ca="1" t="shared" si="68"/>
        <v>-28</v>
      </c>
      <c r="N523" s="70"/>
      <c r="O523" s="70" t="s">
        <v>102</v>
      </c>
      <c r="P523" s="70" t="s">
        <v>13</v>
      </c>
      <c r="Q523" s="71" t="s">
        <v>1618</v>
      </c>
      <c r="R523" s="71" t="s">
        <v>1290</v>
      </c>
      <c r="S523" s="72"/>
      <c r="T523" s="73"/>
      <c r="U523" s="157" t="s">
        <v>334</v>
      </c>
      <c r="V523" s="102">
        <v>46129</v>
      </c>
      <c r="W523" s="70">
        <v>3</v>
      </c>
      <c r="X523" s="103" t="s">
        <v>1620</v>
      </c>
      <c r="Y523" s="104">
        <f t="shared" si="69"/>
        <v>46220</v>
      </c>
      <c r="Z523" s="105">
        <f ca="1" t="shared" si="70"/>
        <v>53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102</v>
      </c>
      <c r="C524" s="70" t="s">
        <v>13</v>
      </c>
      <c r="D524" s="71" t="s">
        <v>1621</v>
      </c>
      <c r="E524" s="71" t="s">
        <v>1622</v>
      </c>
      <c r="F524" s="72"/>
      <c r="G524" s="73"/>
      <c r="H524" s="157" t="s">
        <v>334</v>
      </c>
      <c r="I524" s="102">
        <v>46049</v>
      </c>
      <c r="J524" s="70">
        <v>3</v>
      </c>
      <c r="K524" s="106" t="s">
        <v>1623</v>
      </c>
      <c r="L524" s="104">
        <f t="shared" si="67"/>
        <v>46139</v>
      </c>
      <c r="M524" s="105">
        <f ca="1" t="shared" si="68"/>
        <v>-28</v>
      </c>
      <c r="N524" s="70"/>
      <c r="O524" s="70" t="s">
        <v>102</v>
      </c>
      <c r="P524" s="70" t="s">
        <v>13</v>
      </c>
      <c r="Q524" s="71" t="s">
        <v>1621</v>
      </c>
      <c r="R524" s="71" t="s">
        <v>1622</v>
      </c>
      <c r="S524" s="72"/>
      <c r="T524" s="73"/>
      <c r="U524" s="157" t="s">
        <v>334</v>
      </c>
      <c r="V524" s="102">
        <v>46129</v>
      </c>
      <c r="W524" s="70">
        <v>3</v>
      </c>
      <c r="X524" s="103" t="s">
        <v>1624</v>
      </c>
      <c r="Y524" s="104">
        <f t="shared" si="69"/>
        <v>46220</v>
      </c>
      <c r="Z524" s="105">
        <f ca="1" t="shared" si="70"/>
        <v>53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102</v>
      </c>
      <c r="C525" s="70" t="s">
        <v>13</v>
      </c>
      <c r="D525" s="71" t="s">
        <v>1625</v>
      </c>
      <c r="E525" s="71" t="s">
        <v>1626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1627</v>
      </c>
      <c r="L525" s="104">
        <f t="shared" si="67"/>
        <v>46139</v>
      </c>
      <c r="M525" s="105">
        <f ca="1" t="shared" si="68"/>
        <v>-28</v>
      </c>
      <c r="N525" s="70"/>
      <c r="O525" s="70" t="s">
        <v>102</v>
      </c>
      <c r="P525" s="70" t="s">
        <v>13</v>
      </c>
      <c r="Q525" s="71" t="s">
        <v>1625</v>
      </c>
      <c r="R525" s="71" t="s">
        <v>1626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1628</v>
      </c>
      <c r="Y525" s="104">
        <f t="shared" ref="Y525:Y533" si="71">EDATE(V525,W525)</f>
        <v>46224</v>
      </c>
      <c r="Z525" s="105">
        <f ca="1" t="shared" ref="Z525:Z533" si="72">Y525-TODAY()</f>
        <v>57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1629</v>
      </c>
      <c r="C526" s="70" t="s">
        <v>31</v>
      </c>
      <c r="D526" s="71" t="s">
        <v>1630</v>
      </c>
      <c r="E526" s="71" t="s">
        <v>1631</v>
      </c>
      <c r="F526" s="72"/>
      <c r="G526" s="73"/>
      <c r="H526" s="75"/>
      <c r="I526" s="102">
        <v>46049</v>
      </c>
      <c r="J526" s="70">
        <v>3</v>
      </c>
      <c r="K526" s="106" t="s">
        <v>1632</v>
      </c>
      <c r="L526" s="104">
        <f t="shared" si="67"/>
        <v>46139</v>
      </c>
      <c r="M526" s="105">
        <f ca="1" t="shared" si="68"/>
        <v>-28</v>
      </c>
      <c r="N526" s="70"/>
      <c r="O526" s="70" t="s">
        <v>1629</v>
      </c>
      <c r="P526" s="70" t="s">
        <v>31</v>
      </c>
      <c r="Q526" s="71" t="s">
        <v>1630</v>
      </c>
      <c r="R526" s="71" t="s">
        <v>1631</v>
      </c>
      <c r="S526" s="72"/>
      <c r="T526" s="73"/>
      <c r="U526" s="75"/>
      <c r="V526" s="102">
        <v>46133</v>
      </c>
      <c r="W526" s="70">
        <v>3</v>
      </c>
      <c r="X526" s="103" t="s">
        <v>1633</v>
      </c>
      <c r="Y526" s="104">
        <f t="shared" si="71"/>
        <v>46224</v>
      </c>
      <c r="Z526" s="105">
        <f ca="1" t="shared" si="72"/>
        <v>57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437</v>
      </c>
      <c r="C527" s="70" t="s">
        <v>13</v>
      </c>
      <c r="D527" s="71" t="s">
        <v>1634</v>
      </c>
      <c r="E527" s="71" t="s">
        <v>37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1635</v>
      </c>
      <c r="L527" s="104">
        <f t="shared" si="67"/>
        <v>46139</v>
      </c>
      <c r="M527" s="105">
        <f ca="1" t="shared" si="68"/>
        <v>-28</v>
      </c>
      <c r="N527" s="70"/>
      <c r="O527" s="70" t="s">
        <v>437</v>
      </c>
      <c r="P527" s="70" t="s">
        <v>13</v>
      </c>
      <c r="Q527" s="71" t="s">
        <v>1634</v>
      </c>
      <c r="R527" s="71" t="s">
        <v>37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1636</v>
      </c>
      <c r="Y527" s="104">
        <f t="shared" si="71"/>
        <v>46247</v>
      </c>
      <c r="Z527" s="105">
        <f ca="1" t="shared" si="72"/>
        <v>80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132</v>
      </c>
      <c r="C528" s="70" t="s">
        <v>31</v>
      </c>
      <c r="D528" s="71" t="s">
        <v>133</v>
      </c>
      <c r="E528" s="71" t="s">
        <v>134</v>
      </c>
      <c r="F528" s="72"/>
      <c r="G528" s="73"/>
      <c r="H528" s="75"/>
      <c r="I528" s="102">
        <v>46049</v>
      </c>
      <c r="J528" s="102" t="s">
        <v>596</v>
      </c>
      <c r="K528" s="106"/>
      <c r="L528" s="104" t="e">
        <f t="shared" si="67"/>
        <v>#VALUE!</v>
      </c>
      <c r="M528" s="105" t="e">
        <f ca="1" t="shared" si="68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71"/>
        <v>0</v>
      </c>
      <c r="Z528" s="105">
        <f ca="1" t="shared" si="72"/>
        <v>-46167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1637</v>
      </c>
      <c r="C529" s="70" t="s">
        <v>13</v>
      </c>
      <c r="D529" s="71" t="s">
        <v>1638</v>
      </c>
      <c r="E529" s="71" t="s">
        <v>1639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1640</v>
      </c>
      <c r="L529" s="104">
        <f t="shared" si="67"/>
        <v>46139</v>
      </c>
      <c r="M529" s="105">
        <f ca="1" t="shared" si="68"/>
        <v>-28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71"/>
        <v>0</v>
      </c>
      <c r="Z529" s="105">
        <f ca="1" t="shared" si="72"/>
        <v>-46167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1637</v>
      </c>
      <c r="C530" s="70" t="s">
        <v>13</v>
      </c>
      <c r="D530" s="71" t="s">
        <v>1641</v>
      </c>
      <c r="E530" s="71" t="s">
        <v>1639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1642</v>
      </c>
      <c r="L530" s="104">
        <f t="shared" si="67"/>
        <v>46139</v>
      </c>
      <c r="M530" s="105">
        <f ca="1" t="shared" si="68"/>
        <v>-28</v>
      </c>
      <c r="N530" s="70"/>
      <c r="O530" s="70" t="s">
        <v>1637</v>
      </c>
      <c r="P530" s="70" t="s">
        <v>13</v>
      </c>
      <c r="Q530" s="71" t="s">
        <v>1641</v>
      </c>
      <c r="R530" s="71" t="s">
        <v>1639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1643</v>
      </c>
      <c r="Y530" s="104">
        <f t="shared" si="71"/>
        <v>46232</v>
      </c>
      <c r="Z530" s="105">
        <f ca="1" t="shared" si="72"/>
        <v>65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424</v>
      </c>
      <c r="C531" s="70" t="s">
        <v>287</v>
      </c>
      <c r="D531" s="71" t="s">
        <v>1644</v>
      </c>
      <c r="E531" s="71" t="s">
        <v>799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1645</v>
      </c>
      <c r="L531" s="104">
        <f t="shared" si="67"/>
        <v>46139</v>
      </c>
      <c r="M531" s="105">
        <f ca="1" t="shared" si="68"/>
        <v>-28</v>
      </c>
      <c r="N531" s="70"/>
      <c r="O531" s="70" t="s">
        <v>424</v>
      </c>
      <c r="P531" s="70" t="s">
        <v>287</v>
      </c>
      <c r="Q531" s="71" t="s">
        <v>1644</v>
      </c>
      <c r="R531" s="71" t="s">
        <v>799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1646</v>
      </c>
      <c r="Y531" s="104">
        <f t="shared" si="71"/>
        <v>46252</v>
      </c>
      <c r="Z531" s="105">
        <f ca="1" t="shared" si="72"/>
        <v>85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797</v>
      </c>
      <c r="C532" s="70" t="s">
        <v>287</v>
      </c>
      <c r="D532" s="71" t="s">
        <v>1647</v>
      </c>
      <c r="E532" s="71" t="s">
        <v>799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1648</v>
      </c>
      <c r="L532" s="104">
        <f t="shared" si="67"/>
        <v>46139</v>
      </c>
      <c r="M532" s="105">
        <f ca="1" t="shared" si="68"/>
        <v>-28</v>
      </c>
      <c r="N532" s="70"/>
      <c r="O532" s="70" t="s">
        <v>797</v>
      </c>
      <c r="P532" s="70" t="s">
        <v>287</v>
      </c>
      <c r="Q532" s="71" t="s">
        <v>1647</v>
      </c>
      <c r="R532" s="71" t="s">
        <v>799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1649</v>
      </c>
      <c r="Y532" s="104">
        <f t="shared" si="71"/>
        <v>46226</v>
      </c>
      <c r="Z532" s="105">
        <f ca="1" t="shared" si="72"/>
        <v>59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424</v>
      </c>
      <c r="C533" s="70" t="s">
        <v>287</v>
      </c>
      <c r="D533" s="71" t="s">
        <v>1650</v>
      </c>
      <c r="E533" s="71" t="s">
        <v>687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1651</v>
      </c>
      <c r="L533" s="104">
        <f t="shared" si="67"/>
        <v>46139</v>
      </c>
      <c r="M533" s="105">
        <f ca="1" t="shared" si="68"/>
        <v>-28</v>
      </c>
      <c r="N533" s="70"/>
      <c r="O533" s="70" t="s">
        <v>424</v>
      </c>
      <c r="P533" s="70" t="s">
        <v>287</v>
      </c>
      <c r="Q533" s="71" t="s">
        <v>1650</v>
      </c>
      <c r="R533" s="71" t="s">
        <v>687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1652</v>
      </c>
      <c r="Y533" s="104">
        <f t="shared" si="71"/>
        <v>46252</v>
      </c>
      <c r="Z533" s="105">
        <f ca="1" t="shared" si="72"/>
        <v>85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437</v>
      </c>
      <c r="C534" s="70" t="s">
        <v>13</v>
      </c>
      <c r="D534" s="71" t="s">
        <v>1653</v>
      </c>
      <c r="E534" s="71" t="s">
        <v>33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1654</v>
      </c>
      <c r="L534" s="104">
        <f t="shared" si="67"/>
        <v>46140</v>
      </c>
      <c r="M534" s="105">
        <f ca="1" t="shared" si="68"/>
        <v>-27</v>
      </c>
      <c r="N534" s="70"/>
      <c r="O534" s="70" t="s">
        <v>437</v>
      </c>
      <c r="P534" s="70" t="s">
        <v>13</v>
      </c>
      <c r="Q534" s="71" t="s">
        <v>1653</v>
      </c>
      <c r="R534" s="71" t="s">
        <v>33</v>
      </c>
      <c r="S534" s="72"/>
      <c r="T534" s="73"/>
      <c r="U534" s="74" t="s">
        <v>16</v>
      </c>
      <c r="V534" s="102">
        <v>46165</v>
      </c>
      <c r="W534" s="70">
        <v>3</v>
      </c>
      <c r="X534" s="103"/>
      <c r="Y534" s="104">
        <f t="shared" ref="Y534:Y560" si="73">EDATE(V534,W534)</f>
        <v>46257</v>
      </c>
      <c r="Z534" s="105">
        <f ca="1" t="shared" ref="Z534:Z560" si="74">Y534-TODAY()</f>
        <v>90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437</v>
      </c>
      <c r="C535" s="70" t="s">
        <v>31</v>
      </c>
      <c r="D535" s="71" t="s">
        <v>1655</v>
      </c>
      <c r="E535" s="71" t="s">
        <v>148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1656</v>
      </c>
      <c r="L535" s="104">
        <f t="shared" si="67"/>
        <v>46140</v>
      </c>
      <c r="M535" s="105">
        <f ca="1" t="shared" si="68"/>
        <v>-27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73"/>
        <v>0</v>
      </c>
      <c r="Z535" s="105">
        <f ca="1" t="shared" si="74"/>
        <v>-46167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178</v>
      </c>
      <c r="C536" s="70" t="s">
        <v>13</v>
      </c>
      <c r="D536" s="71" t="s">
        <v>1657</v>
      </c>
      <c r="E536" s="71" t="s">
        <v>766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1658</v>
      </c>
      <c r="L536" s="104">
        <f t="shared" si="67"/>
        <v>46140</v>
      </c>
      <c r="M536" s="105">
        <f ca="1" t="shared" si="68"/>
        <v>-27</v>
      </c>
      <c r="N536" s="70"/>
      <c r="O536" s="70" t="s">
        <v>178</v>
      </c>
      <c r="P536" s="70" t="s">
        <v>13</v>
      </c>
      <c r="Q536" s="71" t="s">
        <v>1657</v>
      </c>
      <c r="R536" s="71" t="s">
        <v>766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1659</v>
      </c>
      <c r="Y536" s="104">
        <f t="shared" si="73"/>
        <v>46243</v>
      </c>
      <c r="Z536" s="105">
        <f ca="1" t="shared" si="74"/>
        <v>76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178</v>
      </c>
      <c r="C537" s="70" t="s">
        <v>13</v>
      </c>
      <c r="D537" s="71" t="s">
        <v>1660</v>
      </c>
      <c r="E537" s="71" t="s">
        <v>1661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1662</v>
      </c>
      <c r="L537" s="104">
        <f t="shared" si="67"/>
        <v>46140</v>
      </c>
      <c r="M537" s="105">
        <f ca="1" t="shared" si="68"/>
        <v>-27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73"/>
        <v>0</v>
      </c>
      <c r="Z537" s="105">
        <f ca="1" t="shared" si="74"/>
        <v>-46167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178</v>
      </c>
      <c r="C538" s="70" t="s">
        <v>31</v>
      </c>
      <c r="D538" s="71" t="s">
        <v>1663</v>
      </c>
      <c r="E538" s="71" t="s">
        <v>636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1664</v>
      </c>
      <c r="L538" s="104">
        <f t="shared" si="67"/>
        <v>46140</v>
      </c>
      <c r="M538" s="105">
        <f ca="1" t="shared" si="68"/>
        <v>-27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73"/>
        <v>0</v>
      </c>
      <c r="Z538" s="105">
        <f ca="1" t="shared" si="74"/>
        <v>-46167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178</v>
      </c>
      <c r="C539" s="70" t="s">
        <v>31</v>
      </c>
      <c r="D539" s="71" t="s">
        <v>1665</v>
      </c>
      <c r="E539" s="71" t="s">
        <v>52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1666</v>
      </c>
      <c r="L539" s="104">
        <f t="shared" si="67"/>
        <v>46140</v>
      </c>
      <c r="M539" s="105">
        <f ca="1" t="shared" si="68"/>
        <v>-27</v>
      </c>
      <c r="N539" s="70"/>
      <c r="O539" s="70"/>
      <c r="P539" s="70"/>
      <c r="Q539" s="71"/>
      <c r="R539" s="71"/>
      <c r="S539" s="72"/>
      <c r="T539" s="73"/>
      <c r="U539" s="74"/>
      <c r="V539" s="102"/>
      <c r="W539" s="70"/>
      <c r="X539" s="103"/>
      <c r="Y539" s="104">
        <f t="shared" si="73"/>
        <v>0</v>
      </c>
      <c r="Z539" s="105">
        <f ca="1" t="shared" si="74"/>
        <v>-46167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178</v>
      </c>
      <c r="C540" s="70" t="s">
        <v>13</v>
      </c>
      <c r="D540" s="71" t="s">
        <v>1667</v>
      </c>
      <c r="E540" s="71" t="s">
        <v>28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1668</v>
      </c>
      <c r="L540" s="104">
        <f t="shared" si="67"/>
        <v>46140</v>
      </c>
      <c r="M540" s="105">
        <f ca="1" t="shared" si="68"/>
        <v>-27</v>
      </c>
      <c r="N540" s="70"/>
      <c r="O540" s="70"/>
      <c r="P540" s="70"/>
      <c r="Q540" s="71"/>
      <c r="R540" s="71"/>
      <c r="S540" s="72"/>
      <c r="T540" s="73"/>
      <c r="U540" s="74"/>
      <c r="V540" s="102"/>
      <c r="W540" s="70"/>
      <c r="X540" s="103"/>
      <c r="Y540" s="104">
        <f t="shared" si="73"/>
        <v>0</v>
      </c>
      <c r="Z540" s="105">
        <f ca="1" t="shared" si="74"/>
        <v>-46167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178</v>
      </c>
      <c r="C541" s="70" t="s">
        <v>13</v>
      </c>
      <c r="D541" s="71" t="s">
        <v>1669</v>
      </c>
      <c r="E541" s="71" t="s">
        <v>86</v>
      </c>
      <c r="F541" s="72"/>
      <c r="G541" s="73"/>
      <c r="H541" s="75"/>
      <c r="I541" s="102">
        <v>46050</v>
      </c>
      <c r="J541" s="70">
        <v>3</v>
      </c>
      <c r="K541" s="106" t="s">
        <v>1670</v>
      </c>
      <c r="L541" s="104">
        <f t="shared" si="67"/>
        <v>46140</v>
      </c>
      <c r="M541" s="105">
        <f ca="1" t="shared" si="68"/>
        <v>-27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73"/>
        <v>0</v>
      </c>
      <c r="Z541" s="105">
        <f ca="1" t="shared" si="74"/>
        <v>-46167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102</v>
      </c>
      <c r="C542" s="70" t="s">
        <v>31</v>
      </c>
      <c r="D542" s="71" t="s">
        <v>1671</v>
      </c>
      <c r="E542" s="71" t="s">
        <v>148</v>
      </c>
      <c r="F542" s="72"/>
      <c r="G542" s="73"/>
      <c r="H542" s="75"/>
      <c r="I542" s="102">
        <v>46050</v>
      </c>
      <c r="J542" s="70">
        <v>3</v>
      </c>
      <c r="K542" s="106" t="s">
        <v>1672</v>
      </c>
      <c r="L542" s="104">
        <f t="shared" si="67"/>
        <v>46140</v>
      </c>
      <c r="M542" s="105">
        <f ca="1" t="shared" si="68"/>
        <v>-27</v>
      </c>
      <c r="N542" s="70"/>
      <c r="O542" s="70" t="s">
        <v>102</v>
      </c>
      <c r="P542" s="70" t="s">
        <v>31</v>
      </c>
      <c r="Q542" s="71" t="s">
        <v>1671</v>
      </c>
      <c r="R542" s="71" t="s">
        <v>148</v>
      </c>
      <c r="S542" s="72"/>
      <c r="T542" s="73"/>
      <c r="U542" s="75"/>
      <c r="V542" s="102">
        <v>46146</v>
      </c>
      <c r="W542" s="70">
        <v>3</v>
      </c>
      <c r="X542" s="103" t="s">
        <v>1673</v>
      </c>
      <c r="Y542" s="104">
        <f t="shared" si="73"/>
        <v>46238</v>
      </c>
      <c r="Z542" s="105">
        <f ca="1" t="shared" si="74"/>
        <v>71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102</v>
      </c>
      <c r="C543" s="70" t="s">
        <v>31</v>
      </c>
      <c r="D543" s="71" t="s">
        <v>1674</v>
      </c>
      <c r="E543" s="71" t="s">
        <v>41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1675</v>
      </c>
      <c r="L543" s="104">
        <f t="shared" si="67"/>
        <v>46140</v>
      </c>
      <c r="M543" s="105">
        <f ca="1" t="shared" si="68"/>
        <v>-27</v>
      </c>
      <c r="N543" s="70"/>
      <c r="O543" s="70" t="s">
        <v>102</v>
      </c>
      <c r="P543" s="70" t="s">
        <v>31</v>
      </c>
      <c r="Q543" s="71" t="s">
        <v>1674</v>
      </c>
      <c r="R543" s="71" t="s">
        <v>41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1676</v>
      </c>
      <c r="Y543" s="104">
        <f t="shared" si="73"/>
        <v>46242</v>
      </c>
      <c r="Z543" s="105">
        <f ca="1" t="shared" si="74"/>
        <v>75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942</v>
      </c>
      <c r="C544" s="70" t="s">
        <v>31</v>
      </c>
      <c r="D544" s="71" t="s">
        <v>1677</v>
      </c>
      <c r="E544" s="71" t="s">
        <v>570</v>
      </c>
      <c r="F544" s="72"/>
      <c r="G544" s="73"/>
      <c r="H544" s="75"/>
      <c r="I544" s="102">
        <v>46050</v>
      </c>
      <c r="J544" s="70">
        <v>3</v>
      </c>
      <c r="K544" s="106" t="s">
        <v>1678</v>
      </c>
      <c r="L544" s="104">
        <f t="shared" si="67"/>
        <v>46140</v>
      </c>
      <c r="M544" s="105">
        <f ca="1" t="shared" si="68"/>
        <v>-27</v>
      </c>
      <c r="N544" s="70"/>
      <c r="O544" s="70" t="s">
        <v>942</v>
      </c>
      <c r="P544" s="70" t="s">
        <v>31</v>
      </c>
      <c r="Q544" s="71" t="s">
        <v>1677</v>
      </c>
      <c r="R544" s="71" t="s">
        <v>570</v>
      </c>
      <c r="S544" s="72"/>
      <c r="T544" s="73"/>
      <c r="U544" s="75"/>
      <c r="V544" s="102">
        <v>46136</v>
      </c>
      <c r="W544" s="70">
        <v>3</v>
      </c>
      <c r="X544" s="103" t="s">
        <v>1679</v>
      </c>
      <c r="Y544" s="104">
        <f t="shared" si="73"/>
        <v>46227</v>
      </c>
      <c r="Z544" s="105">
        <f ca="1" t="shared" si="74"/>
        <v>60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1680</v>
      </c>
      <c r="C545" s="70" t="s">
        <v>31</v>
      </c>
      <c r="D545" s="71" t="s">
        <v>1681</v>
      </c>
      <c r="E545" s="71" t="s">
        <v>1475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1682</v>
      </c>
      <c r="L545" s="104">
        <f t="shared" si="67"/>
        <v>46140</v>
      </c>
      <c r="M545" s="105">
        <f ca="1" t="shared" si="68"/>
        <v>-27</v>
      </c>
      <c r="N545" s="70"/>
      <c r="O545" s="70" t="s">
        <v>1680</v>
      </c>
      <c r="P545" s="70" t="s">
        <v>31</v>
      </c>
      <c r="Q545" s="71" t="s">
        <v>1681</v>
      </c>
      <c r="R545" s="71" t="s">
        <v>1475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1683</v>
      </c>
      <c r="Y545" s="104">
        <f t="shared" si="73"/>
        <v>46225</v>
      </c>
      <c r="Z545" s="105">
        <f ca="1" t="shared" si="74"/>
        <v>58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1684</v>
      </c>
      <c r="C546" s="70" t="s">
        <v>31</v>
      </c>
      <c r="D546" s="71" t="s">
        <v>1685</v>
      </c>
      <c r="E546" s="71" t="s">
        <v>1686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1687</v>
      </c>
      <c r="L546" s="104">
        <f t="shared" si="67"/>
        <v>46140</v>
      </c>
      <c r="M546" s="105">
        <f ca="1" t="shared" si="68"/>
        <v>-27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73"/>
        <v>0</v>
      </c>
      <c r="Z546" s="105">
        <f ca="1" t="shared" si="74"/>
        <v>-46167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1688</v>
      </c>
      <c r="C547" s="70" t="s">
        <v>31</v>
      </c>
      <c r="D547" s="71" t="s">
        <v>1689</v>
      </c>
      <c r="E547" s="71" t="s">
        <v>1690</v>
      </c>
      <c r="F547" s="72"/>
      <c r="G547" s="73"/>
      <c r="H547" s="75"/>
      <c r="I547" s="102">
        <v>46050</v>
      </c>
      <c r="J547" s="70">
        <v>3</v>
      </c>
      <c r="K547" s="106" t="s">
        <v>1691</v>
      </c>
      <c r="L547" s="104">
        <f t="shared" si="67"/>
        <v>46140</v>
      </c>
      <c r="M547" s="105">
        <f ca="1" t="shared" si="68"/>
        <v>-27</v>
      </c>
      <c r="N547" s="70"/>
      <c r="O547" s="70" t="s">
        <v>1688</v>
      </c>
      <c r="P547" s="70" t="s">
        <v>31</v>
      </c>
      <c r="Q547" s="71" t="s">
        <v>1689</v>
      </c>
      <c r="R547" s="71" t="s">
        <v>1690</v>
      </c>
      <c r="S547" s="72"/>
      <c r="T547" s="73"/>
      <c r="U547" s="75"/>
      <c r="V547" s="102">
        <v>46141</v>
      </c>
      <c r="W547" s="70">
        <v>3</v>
      </c>
      <c r="X547" s="103" t="s">
        <v>1692</v>
      </c>
      <c r="Y547" s="104">
        <f t="shared" si="73"/>
        <v>46232</v>
      </c>
      <c r="Z547" s="105">
        <f ca="1" t="shared" si="74"/>
        <v>65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1688</v>
      </c>
      <c r="C548" s="70" t="s">
        <v>31</v>
      </c>
      <c r="D548" s="71" t="s">
        <v>1693</v>
      </c>
      <c r="E548" s="71" t="s">
        <v>1690</v>
      </c>
      <c r="F548" s="72"/>
      <c r="G548" s="73"/>
      <c r="H548" s="75"/>
      <c r="I548" s="102">
        <v>46050</v>
      </c>
      <c r="J548" s="70">
        <v>3</v>
      </c>
      <c r="K548" s="106" t="s">
        <v>1694</v>
      </c>
      <c r="L548" s="104">
        <f t="shared" si="67"/>
        <v>46140</v>
      </c>
      <c r="M548" s="105">
        <f ca="1" t="shared" si="68"/>
        <v>-27</v>
      </c>
      <c r="N548" s="70"/>
      <c r="O548" s="70"/>
      <c r="P548" s="70"/>
      <c r="Q548" s="71"/>
      <c r="R548" s="71"/>
      <c r="S548" s="72"/>
      <c r="T548" s="73"/>
      <c r="U548" s="74"/>
      <c r="V548" s="102"/>
      <c r="W548" s="70"/>
      <c r="X548" s="103"/>
      <c r="Y548" s="104">
        <f t="shared" si="73"/>
        <v>0</v>
      </c>
      <c r="Z548" s="105">
        <f ca="1" t="shared" si="74"/>
        <v>-46167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1695</v>
      </c>
      <c r="C549" s="70" t="s">
        <v>203</v>
      </c>
      <c r="D549" s="71" t="s">
        <v>741</v>
      </c>
      <c r="E549" s="71" t="s">
        <v>594</v>
      </c>
      <c r="F549" s="72"/>
      <c r="G549" s="73"/>
      <c r="H549" s="75"/>
      <c r="I549" s="102">
        <v>46050</v>
      </c>
      <c r="J549" s="70">
        <v>3</v>
      </c>
      <c r="K549" s="106" t="s">
        <v>1696</v>
      </c>
      <c r="L549" s="104">
        <f t="shared" si="67"/>
        <v>46140</v>
      </c>
      <c r="M549" s="105">
        <f ca="1" t="shared" si="68"/>
        <v>-27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73"/>
        <v>0</v>
      </c>
      <c r="Z549" s="105">
        <f ca="1" t="shared" si="74"/>
        <v>-46167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1695</v>
      </c>
      <c r="C550" s="70" t="s">
        <v>203</v>
      </c>
      <c r="D550" s="71" t="s">
        <v>204</v>
      </c>
      <c r="E550" s="71" t="s">
        <v>205</v>
      </c>
      <c r="F550" s="72"/>
      <c r="G550" s="73"/>
      <c r="H550" s="75"/>
      <c r="I550" s="102">
        <v>46050</v>
      </c>
      <c r="J550" s="70">
        <v>3</v>
      </c>
      <c r="K550" s="106" t="s">
        <v>1697</v>
      </c>
      <c r="L550" s="104">
        <f t="shared" si="67"/>
        <v>46140</v>
      </c>
      <c r="M550" s="105">
        <f ca="1" t="shared" si="68"/>
        <v>-27</v>
      </c>
      <c r="N550" s="70"/>
      <c r="O550" s="70"/>
      <c r="P550" s="70"/>
      <c r="Q550" s="71"/>
      <c r="R550" s="71"/>
      <c r="S550" s="72"/>
      <c r="T550" s="73"/>
      <c r="U550" s="79"/>
      <c r="V550" s="102"/>
      <c r="W550" s="70"/>
      <c r="X550" s="103"/>
      <c r="Y550" s="104">
        <f t="shared" si="73"/>
        <v>0</v>
      </c>
      <c r="Z550" s="105">
        <f ca="1" t="shared" si="74"/>
        <v>-46167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202</v>
      </c>
      <c r="C551" s="70" t="s">
        <v>203</v>
      </c>
      <c r="D551" s="71" t="s">
        <v>204</v>
      </c>
      <c r="E551" s="71" t="s">
        <v>205</v>
      </c>
      <c r="F551" s="72"/>
      <c r="G551" s="73"/>
      <c r="H551" s="75"/>
      <c r="I551" s="102">
        <v>46050</v>
      </c>
      <c r="J551" s="102" t="s">
        <v>596</v>
      </c>
      <c r="K551" s="106"/>
      <c r="L551" s="104" t="e">
        <f t="shared" si="67"/>
        <v>#VALUE!</v>
      </c>
      <c r="M551" s="105" t="e">
        <f ca="1" t="shared" si="68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73"/>
        <v>0</v>
      </c>
      <c r="Z551" s="105">
        <f ca="1" t="shared" si="74"/>
        <v>-46167</v>
      </c>
      <c r="AA551" s="70"/>
      <c r="AB551" s="203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3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208</v>
      </c>
      <c r="C552" s="70" t="s">
        <v>203</v>
      </c>
      <c r="D552" s="71" t="s">
        <v>743</v>
      </c>
      <c r="E552" s="71" t="s">
        <v>283</v>
      </c>
      <c r="F552" s="72"/>
      <c r="G552" s="73"/>
      <c r="H552" s="75"/>
      <c r="I552" s="102">
        <v>46050</v>
      </c>
      <c r="J552" s="102" t="s">
        <v>596</v>
      </c>
      <c r="K552" s="106"/>
      <c r="L552" s="104" t="e">
        <f t="shared" si="67"/>
        <v>#VALUE!</v>
      </c>
      <c r="M552" s="105" t="e">
        <f ca="1" t="shared" si="68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73"/>
        <v>0</v>
      </c>
      <c r="Z552" s="105">
        <f ca="1" t="shared" si="74"/>
        <v>-46167</v>
      </c>
      <c r="AA552" s="70"/>
      <c r="AB552" s="203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3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208</v>
      </c>
      <c r="C553" s="70" t="s">
        <v>203</v>
      </c>
      <c r="D553" s="71" t="s">
        <v>213</v>
      </c>
      <c r="E553" s="71" t="s">
        <v>214</v>
      </c>
      <c r="F553" s="72"/>
      <c r="G553" s="73"/>
      <c r="H553" s="75"/>
      <c r="I553" s="102">
        <v>46050</v>
      </c>
      <c r="J553" s="102" t="s">
        <v>596</v>
      </c>
      <c r="K553" s="106"/>
      <c r="L553" s="104" t="e">
        <f t="shared" si="67"/>
        <v>#VALUE!</v>
      </c>
      <c r="M553" s="105" t="e">
        <f ca="1" t="shared" si="68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73"/>
        <v>0</v>
      </c>
      <c r="Z553" s="105">
        <f ca="1" t="shared" si="74"/>
        <v>-46167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178</v>
      </c>
      <c r="C554" s="70" t="s">
        <v>13</v>
      </c>
      <c r="D554" s="71" t="s">
        <v>1698</v>
      </c>
      <c r="E554" s="71" t="s">
        <v>303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1699</v>
      </c>
      <c r="L554" s="104">
        <f t="shared" si="67"/>
        <v>46141</v>
      </c>
      <c r="M554" s="105">
        <f ca="1" t="shared" si="68"/>
        <v>-26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73"/>
        <v>0</v>
      </c>
      <c r="Z554" s="105">
        <f ca="1" t="shared" si="74"/>
        <v>-46167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178</v>
      </c>
      <c r="C555" s="70" t="s">
        <v>13</v>
      </c>
      <c r="D555" s="71" t="s">
        <v>1700</v>
      </c>
      <c r="E555" s="71" t="s">
        <v>95</v>
      </c>
      <c r="F555" s="72"/>
      <c r="G555" s="73"/>
      <c r="H555" s="75"/>
      <c r="I555" s="102">
        <v>46051</v>
      </c>
      <c r="J555" s="70">
        <v>3</v>
      </c>
      <c r="K555" s="106" t="s">
        <v>1701</v>
      </c>
      <c r="L555" s="104">
        <f t="shared" si="67"/>
        <v>46141</v>
      </c>
      <c r="M555" s="105">
        <f ca="1" t="shared" si="68"/>
        <v>-26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73"/>
        <v>0</v>
      </c>
      <c r="Z555" s="105">
        <f ca="1" t="shared" si="74"/>
        <v>-46167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583</v>
      </c>
      <c r="C556" s="70" t="s">
        <v>31</v>
      </c>
      <c r="D556" s="71" t="s">
        <v>1702</v>
      </c>
      <c r="E556" s="71" t="s">
        <v>52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1703</v>
      </c>
      <c r="L556" s="104">
        <f t="shared" si="67"/>
        <v>46141</v>
      </c>
      <c r="M556" s="105">
        <f ca="1" t="shared" si="68"/>
        <v>-26</v>
      </c>
      <c r="N556" s="70"/>
      <c r="O556" s="70"/>
      <c r="P556" s="70"/>
      <c r="Q556" s="71"/>
      <c r="R556" s="71"/>
      <c r="S556" s="72"/>
      <c r="T556" s="73"/>
      <c r="U556" s="74"/>
      <c r="V556" s="102"/>
      <c r="W556" s="70"/>
      <c r="X556" s="103"/>
      <c r="Y556" s="104">
        <f t="shared" si="73"/>
        <v>0</v>
      </c>
      <c r="Z556" s="105">
        <f ca="1" t="shared" si="74"/>
        <v>-46167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583</v>
      </c>
      <c r="C557" s="70" t="s">
        <v>13</v>
      </c>
      <c r="D557" s="71" t="s">
        <v>1704</v>
      </c>
      <c r="E557" s="71" t="s">
        <v>95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1705</v>
      </c>
      <c r="L557" s="104">
        <f t="shared" si="67"/>
        <v>46141</v>
      </c>
      <c r="M557" s="105">
        <f ca="1" t="shared" si="68"/>
        <v>-26</v>
      </c>
      <c r="N557" s="70"/>
      <c r="O557" s="70" t="s">
        <v>583</v>
      </c>
      <c r="P557" s="70" t="s">
        <v>13</v>
      </c>
      <c r="Q557" s="71" t="s">
        <v>1704</v>
      </c>
      <c r="R557" s="71" t="s">
        <v>95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1706</v>
      </c>
      <c r="Y557" s="104">
        <f t="shared" si="73"/>
        <v>46239</v>
      </c>
      <c r="Z557" s="105">
        <f ca="1" t="shared" si="74"/>
        <v>72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102</v>
      </c>
      <c r="C558" s="70" t="s">
        <v>31</v>
      </c>
      <c r="D558" s="71" t="s">
        <v>1707</v>
      </c>
      <c r="E558" s="71" t="s">
        <v>24</v>
      </c>
      <c r="F558" s="72"/>
      <c r="G558" s="73"/>
      <c r="H558" s="75"/>
      <c r="I558" s="102">
        <v>46051</v>
      </c>
      <c r="J558" s="70">
        <v>3</v>
      </c>
      <c r="K558" s="106" t="s">
        <v>1708</v>
      </c>
      <c r="L558" s="104">
        <f t="shared" si="67"/>
        <v>46141</v>
      </c>
      <c r="M558" s="105">
        <f ca="1" t="shared" si="68"/>
        <v>-26</v>
      </c>
      <c r="N558" s="70"/>
      <c r="O558" s="70" t="s">
        <v>102</v>
      </c>
      <c r="P558" s="70" t="s">
        <v>31</v>
      </c>
      <c r="Q558" s="71" t="s">
        <v>1707</v>
      </c>
      <c r="R558" s="71" t="s">
        <v>24</v>
      </c>
      <c r="S558" s="72"/>
      <c r="T558" s="73"/>
      <c r="U558" s="75"/>
      <c r="V558" s="102">
        <v>46134</v>
      </c>
      <c r="W558" s="70">
        <v>3</v>
      </c>
      <c r="X558" s="103" t="s">
        <v>1709</v>
      </c>
      <c r="Y558" s="104">
        <f t="shared" si="73"/>
        <v>46225</v>
      </c>
      <c r="Z558" s="105">
        <f ca="1" t="shared" si="74"/>
        <v>58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102</v>
      </c>
      <c r="C559" s="70" t="s">
        <v>13</v>
      </c>
      <c r="D559" s="71" t="s">
        <v>1710</v>
      </c>
      <c r="E559" s="71" t="s">
        <v>1711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1712</v>
      </c>
      <c r="L559" s="104">
        <f t="shared" si="67"/>
        <v>46141</v>
      </c>
      <c r="M559" s="105">
        <f ca="1" t="shared" si="68"/>
        <v>-26</v>
      </c>
      <c r="N559" s="70"/>
      <c r="O559" s="70" t="s">
        <v>102</v>
      </c>
      <c r="P559" s="70" t="s">
        <v>13</v>
      </c>
      <c r="Q559" s="71" t="s">
        <v>1710</v>
      </c>
      <c r="R559" s="71" t="s">
        <v>1711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1713</v>
      </c>
      <c r="Y559" s="104">
        <f t="shared" si="73"/>
        <v>46223</v>
      </c>
      <c r="Z559" s="105">
        <f ca="1" t="shared" si="74"/>
        <v>56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102</v>
      </c>
      <c r="C560" s="70" t="s">
        <v>13</v>
      </c>
      <c r="D560" s="71" t="s">
        <v>1714</v>
      </c>
      <c r="E560" s="71" t="s">
        <v>104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1715</v>
      </c>
      <c r="L560" s="104">
        <f t="shared" si="67"/>
        <v>46141</v>
      </c>
      <c r="M560" s="105">
        <f ca="1" t="shared" si="68"/>
        <v>-26</v>
      </c>
      <c r="N560" s="70"/>
      <c r="O560" s="70"/>
      <c r="P560" s="70"/>
      <c r="Q560" s="71"/>
      <c r="R560" s="71"/>
      <c r="S560" s="72"/>
      <c r="T560" s="73"/>
      <c r="U560" s="114"/>
      <c r="V560" s="102"/>
      <c r="W560" s="70"/>
      <c r="X560" s="103"/>
      <c r="Y560" s="104">
        <f t="shared" si="73"/>
        <v>0</v>
      </c>
      <c r="Z560" s="105">
        <f ca="1" t="shared" si="74"/>
        <v>-46167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102</v>
      </c>
      <c r="C561" s="70" t="s">
        <v>13</v>
      </c>
      <c r="D561" s="71" t="s">
        <v>1716</v>
      </c>
      <c r="E561" s="71" t="s">
        <v>104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1717</v>
      </c>
      <c r="L561" s="104">
        <f t="shared" si="67"/>
        <v>46141</v>
      </c>
      <c r="M561" s="105">
        <f ca="1" t="shared" si="68"/>
        <v>-26</v>
      </c>
      <c r="N561" s="70"/>
      <c r="O561" s="70"/>
      <c r="P561" s="70"/>
      <c r="Q561" s="71"/>
      <c r="R561" s="71"/>
      <c r="S561" s="72"/>
      <c r="T561" s="73"/>
      <c r="U561" s="74"/>
      <c r="V561" s="102"/>
      <c r="W561" s="70"/>
      <c r="X561" s="103"/>
      <c r="Y561" s="104">
        <f t="shared" ref="Y561:Y564" si="75">EDATE(V561,W561)</f>
        <v>0</v>
      </c>
      <c r="Z561" s="105">
        <f ca="1" t="shared" ref="Z561:Z564" si="76">Y561-TODAY()</f>
        <v>-46167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102</v>
      </c>
      <c r="C562" s="70" t="s">
        <v>13</v>
      </c>
      <c r="D562" s="71" t="s">
        <v>1718</v>
      </c>
      <c r="E562" s="71" t="s">
        <v>725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1719</v>
      </c>
      <c r="L562" s="104">
        <f t="shared" si="67"/>
        <v>46141</v>
      </c>
      <c r="M562" s="105">
        <f ca="1" t="shared" si="68"/>
        <v>-26</v>
      </c>
      <c r="N562" s="70"/>
      <c r="O562" s="70" t="s">
        <v>102</v>
      </c>
      <c r="P562" s="70" t="s">
        <v>13</v>
      </c>
      <c r="Q562" s="71" t="s">
        <v>1718</v>
      </c>
      <c r="R562" s="71" t="s">
        <v>725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1720</v>
      </c>
      <c r="Y562" s="104">
        <f t="shared" si="75"/>
        <v>46223</v>
      </c>
      <c r="Z562" s="105">
        <f ca="1" t="shared" si="76"/>
        <v>56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1467</v>
      </c>
      <c r="C563" s="70" t="s">
        <v>203</v>
      </c>
      <c r="D563" s="71" t="s">
        <v>741</v>
      </c>
      <c r="E563" s="71" t="s">
        <v>594</v>
      </c>
      <c r="F563" s="72"/>
      <c r="G563" s="73"/>
      <c r="H563" s="157"/>
      <c r="I563" s="102">
        <v>46051</v>
      </c>
      <c r="J563" s="102" t="s">
        <v>596</v>
      </c>
      <c r="K563" s="106"/>
      <c r="L563" s="104" t="e">
        <f t="shared" si="67"/>
        <v>#VALUE!</v>
      </c>
      <c r="M563" s="105" t="e">
        <f ca="1" t="shared" si="68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75"/>
        <v>0</v>
      </c>
      <c r="Z563" s="105">
        <f ca="1" t="shared" si="76"/>
        <v>-46167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607</v>
      </c>
      <c r="C564" s="70" t="s">
        <v>287</v>
      </c>
      <c r="D564" s="71" t="s">
        <v>1721</v>
      </c>
      <c r="E564" s="71" t="s">
        <v>1722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1723</v>
      </c>
      <c r="L564" s="104">
        <f t="shared" si="67"/>
        <v>46141</v>
      </c>
      <c r="M564" s="105">
        <f ca="1" t="shared" si="68"/>
        <v>-26</v>
      </c>
      <c r="N564" s="70"/>
      <c r="O564" s="70" t="s">
        <v>607</v>
      </c>
      <c r="P564" s="70" t="s">
        <v>287</v>
      </c>
      <c r="Q564" s="71" t="s">
        <v>1721</v>
      </c>
      <c r="R564" s="71" t="s">
        <v>1722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1724</v>
      </c>
      <c r="Y564" s="104">
        <f t="shared" si="75"/>
        <v>46244</v>
      </c>
      <c r="Z564" s="105">
        <f ca="1" t="shared" si="76"/>
        <v>77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619</v>
      </c>
      <c r="C565" s="70" t="s">
        <v>287</v>
      </c>
      <c r="D565" s="71" t="s">
        <v>1725</v>
      </c>
      <c r="E565" s="71" t="s">
        <v>1726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1727</v>
      </c>
      <c r="L565" s="104">
        <f t="shared" si="67"/>
        <v>46141</v>
      </c>
      <c r="M565" s="105">
        <f ca="1" t="shared" si="68"/>
        <v>-26</v>
      </c>
      <c r="N565" s="70"/>
      <c r="O565" s="70" t="s">
        <v>619</v>
      </c>
      <c r="P565" s="70" t="s">
        <v>287</v>
      </c>
      <c r="Q565" s="71" t="s">
        <v>1725</v>
      </c>
      <c r="R565" s="71" t="s">
        <v>1726</v>
      </c>
      <c r="S565" s="72"/>
      <c r="T565" s="73"/>
      <c r="U565" s="157"/>
      <c r="V565" s="102">
        <v>46131</v>
      </c>
      <c r="W565" s="70">
        <v>3</v>
      </c>
      <c r="X565" s="103" t="s">
        <v>1728</v>
      </c>
      <c r="Y565" s="104">
        <f t="shared" ref="Y565:Y573" si="77">EDATE(V565,W565)</f>
        <v>46222</v>
      </c>
      <c r="Z565" s="105">
        <f ca="1" t="shared" ref="Z565:Z573" si="78">Y565-TODAY()</f>
        <v>55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1729</v>
      </c>
      <c r="E566" s="71" t="s">
        <v>1445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1730</v>
      </c>
      <c r="L566" s="104">
        <f t="shared" si="67"/>
        <v>46142</v>
      </c>
      <c r="M566" s="105">
        <f ca="1" t="shared" si="68"/>
        <v>-25</v>
      </c>
      <c r="N566" s="70"/>
      <c r="O566" s="70" t="s">
        <v>1611</v>
      </c>
      <c r="P566" s="70" t="s">
        <v>13</v>
      </c>
      <c r="Q566" s="71" t="s">
        <v>1729</v>
      </c>
      <c r="R566" s="71" t="s">
        <v>1445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1731</v>
      </c>
      <c r="Y566" s="104">
        <f t="shared" si="77"/>
        <v>46239</v>
      </c>
      <c r="Z566" s="105">
        <f ca="1" t="shared" si="78"/>
        <v>72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31</v>
      </c>
      <c r="D567" s="71" t="s">
        <v>1732</v>
      </c>
      <c r="E567" s="71" t="s">
        <v>41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1733</v>
      </c>
      <c r="L567" s="104">
        <f t="shared" si="67"/>
        <v>46142</v>
      </c>
      <c r="M567" s="105">
        <f ca="1" t="shared" si="68"/>
        <v>-25</v>
      </c>
      <c r="N567" s="70"/>
      <c r="O567" s="70" t="s">
        <v>12</v>
      </c>
      <c r="P567" s="70" t="s">
        <v>31</v>
      </c>
      <c r="Q567" s="71" t="s">
        <v>1732</v>
      </c>
      <c r="R567" s="71" t="s">
        <v>41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1734</v>
      </c>
      <c r="Y567" s="104">
        <f t="shared" si="77"/>
        <v>46224</v>
      </c>
      <c r="Z567" s="105">
        <f ca="1" t="shared" si="78"/>
        <v>57</v>
      </c>
      <c r="AA567" s="70"/>
      <c r="AB567" s="70"/>
      <c r="AC567" s="70"/>
      <c r="AD567" s="71"/>
      <c r="AE567" s="71"/>
      <c r="AF567" s="72"/>
      <c r="AG567" s="73"/>
      <c r="AH567" s="114"/>
      <c r="AI567" s="102"/>
      <c r="AJ567" s="70"/>
      <c r="AK567" s="103"/>
      <c r="AL567" s="104"/>
      <c r="AM567" s="105"/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1735</v>
      </c>
      <c r="E568" s="71" t="s">
        <v>57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1736</v>
      </c>
      <c r="L568" s="104">
        <f t="shared" si="67"/>
        <v>46142</v>
      </c>
      <c r="M568" s="105">
        <f ca="1" t="shared" si="68"/>
        <v>-25</v>
      </c>
      <c r="N568" s="70"/>
      <c r="O568" s="70" t="s">
        <v>12</v>
      </c>
      <c r="P568" s="70" t="s">
        <v>13</v>
      </c>
      <c r="Q568" s="71" t="s">
        <v>1735</v>
      </c>
      <c r="R568" s="71" t="s">
        <v>57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1737</v>
      </c>
      <c r="Y568" s="104">
        <f t="shared" si="77"/>
        <v>46242</v>
      </c>
      <c r="Z568" s="105">
        <f ca="1" t="shared" si="78"/>
        <v>75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/>
      <c r="AM568" s="105"/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1738</v>
      </c>
      <c r="E569" s="71" t="s">
        <v>95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1739</v>
      </c>
      <c r="L569" s="104">
        <f t="shared" si="67"/>
        <v>46142</v>
      </c>
      <c r="M569" s="105">
        <f ca="1" t="shared" si="68"/>
        <v>-25</v>
      </c>
      <c r="N569" s="70"/>
      <c r="O569" s="70" t="s">
        <v>12</v>
      </c>
      <c r="P569" s="70" t="s">
        <v>13</v>
      </c>
      <c r="Q569" s="71" t="s">
        <v>1738</v>
      </c>
      <c r="R569" s="71" t="s">
        <v>95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1740</v>
      </c>
      <c r="Y569" s="104">
        <f t="shared" si="77"/>
        <v>46232</v>
      </c>
      <c r="Z569" s="105">
        <f ca="1" t="shared" si="78"/>
        <v>65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/>
      <c r="AM569" s="105"/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1741</v>
      </c>
      <c r="E570" s="71" t="s">
        <v>95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1742</v>
      </c>
      <c r="L570" s="104">
        <f t="shared" si="67"/>
        <v>46142</v>
      </c>
      <c r="M570" s="105">
        <f ca="1" t="shared" si="68"/>
        <v>-25</v>
      </c>
      <c r="N570" s="70"/>
      <c r="O570" s="70" t="s">
        <v>12</v>
      </c>
      <c r="P570" s="70" t="s">
        <v>13</v>
      </c>
      <c r="Q570" s="71" t="s">
        <v>1741</v>
      </c>
      <c r="R570" s="71" t="s">
        <v>95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1743</v>
      </c>
      <c r="Y570" s="104">
        <f t="shared" si="77"/>
        <v>46229</v>
      </c>
      <c r="Z570" s="105">
        <f ca="1" t="shared" si="78"/>
        <v>62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/>
      <c r="AM570" s="105"/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1744</v>
      </c>
      <c r="E571" s="71" t="s">
        <v>57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1745</v>
      </c>
      <c r="L571" s="104">
        <f t="shared" si="67"/>
        <v>46142</v>
      </c>
      <c r="M571" s="105">
        <f ca="1" t="shared" si="68"/>
        <v>-25</v>
      </c>
      <c r="N571" s="70"/>
      <c r="O571" s="201" t="s">
        <v>1746</v>
      </c>
      <c r="P571" s="70" t="s">
        <v>13</v>
      </c>
      <c r="Q571" s="71" t="s">
        <v>1744</v>
      </c>
      <c r="R571" s="71" t="s">
        <v>57</v>
      </c>
      <c r="S571" s="72"/>
      <c r="T571" s="73"/>
      <c r="U571" s="114" t="s">
        <v>16</v>
      </c>
      <c r="V571" s="102">
        <v>46162</v>
      </c>
      <c r="W571" s="70">
        <v>3</v>
      </c>
      <c r="X571" s="103"/>
      <c r="Y571" s="104">
        <f t="shared" si="77"/>
        <v>46254</v>
      </c>
      <c r="Z571" s="105">
        <f ca="1" t="shared" si="78"/>
        <v>87</v>
      </c>
      <c r="AA571" s="70"/>
      <c r="AB571" s="70"/>
      <c r="AC571" s="70"/>
      <c r="AD571" s="71"/>
      <c r="AE571" s="71"/>
      <c r="AF571" s="72"/>
      <c r="AG571" s="73"/>
      <c r="AH571" s="75"/>
      <c r="AI571" s="102"/>
      <c r="AJ571" s="70"/>
      <c r="AK571" s="103"/>
      <c r="AL571" s="104"/>
      <c r="AM571" s="105"/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178</v>
      </c>
      <c r="C572" s="70" t="s">
        <v>13</v>
      </c>
      <c r="D572" s="71" t="s">
        <v>1747</v>
      </c>
      <c r="E572" s="71" t="s">
        <v>104</v>
      </c>
      <c r="F572" s="72"/>
      <c r="G572" s="73"/>
      <c r="H572" s="75"/>
      <c r="I572" s="102">
        <v>46052</v>
      </c>
      <c r="J572" s="70">
        <v>3</v>
      </c>
      <c r="K572" s="106" t="s">
        <v>1748</v>
      </c>
      <c r="L572" s="104">
        <f t="shared" si="67"/>
        <v>46142</v>
      </c>
      <c r="M572" s="105">
        <f ca="1" t="shared" si="68"/>
        <v>-25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77"/>
        <v>0</v>
      </c>
      <c r="Z572" s="105">
        <f ca="1" t="shared" si="78"/>
        <v>-46167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/>
      <c r="AM572" s="105"/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178</v>
      </c>
      <c r="C573" s="70" t="s">
        <v>13</v>
      </c>
      <c r="D573" s="71" t="s">
        <v>1749</v>
      </c>
      <c r="E573" s="71" t="s">
        <v>57</v>
      </c>
      <c r="F573" s="72"/>
      <c r="G573" s="73"/>
      <c r="H573" s="75"/>
      <c r="I573" s="102">
        <v>46052</v>
      </c>
      <c r="J573" s="70">
        <v>3</v>
      </c>
      <c r="K573" s="106" t="s">
        <v>1750</v>
      </c>
      <c r="L573" s="104">
        <f t="shared" si="67"/>
        <v>46142</v>
      </c>
      <c r="M573" s="105">
        <f ca="1" t="shared" si="68"/>
        <v>-25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77"/>
        <v>0</v>
      </c>
      <c r="Z573" s="105">
        <f ca="1" t="shared" si="78"/>
        <v>-46167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/>
      <c r="AM573" s="105"/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178</v>
      </c>
      <c r="C574" s="70" t="s">
        <v>13</v>
      </c>
      <c r="D574" s="71" t="s">
        <v>1751</v>
      </c>
      <c r="E574" s="71" t="s">
        <v>28</v>
      </c>
      <c r="F574" s="72"/>
      <c r="G574" s="73"/>
      <c r="H574" s="75"/>
      <c r="I574" s="102">
        <v>46052</v>
      </c>
      <c r="J574" s="70">
        <v>3</v>
      </c>
      <c r="K574" s="106" t="s">
        <v>1752</v>
      </c>
      <c r="L574" s="202">
        <f t="shared" si="67"/>
        <v>46142</v>
      </c>
      <c r="M574" s="105">
        <f ca="1" t="shared" si="68"/>
        <v>-25</v>
      </c>
      <c r="N574" s="70"/>
      <c r="O574" s="70" t="s">
        <v>178</v>
      </c>
      <c r="P574" s="70" t="s">
        <v>13</v>
      </c>
      <c r="Q574" s="71" t="s">
        <v>1751</v>
      </c>
      <c r="R574" s="71" t="s">
        <v>28</v>
      </c>
      <c r="S574" s="72"/>
      <c r="T574" s="73"/>
      <c r="U574" s="75"/>
      <c r="V574" s="102">
        <v>46152</v>
      </c>
      <c r="W574" s="70">
        <v>3</v>
      </c>
      <c r="X574" s="103" t="s">
        <v>394</v>
      </c>
      <c r="Y574" s="104">
        <f t="shared" ref="Y574:Y579" si="79">EDATE(V574,W574)</f>
        <v>46244</v>
      </c>
      <c r="Z574" s="105">
        <f ca="1" t="shared" ref="Z574:Z579" si="80">Y574-TODAY()</f>
        <v>77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/>
      <c r="AM574" s="105"/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178</v>
      </c>
      <c r="C575" s="70" t="s">
        <v>31</v>
      </c>
      <c r="D575" s="71" t="s">
        <v>1753</v>
      </c>
      <c r="E575" s="71" t="s">
        <v>52</v>
      </c>
      <c r="F575" s="72"/>
      <c r="G575" s="73"/>
      <c r="H575" s="75"/>
      <c r="I575" s="102">
        <v>46052</v>
      </c>
      <c r="J575" s="70">
        <v>3</v>
      </c>
      <c r="K575" s="106" t="s">
        <v>1754</v>
      </c>
      <c r="L575" s="104">
        <f t="shared" si="67"/>
        <v>46142</v>
      </c>
      <c r="M575" s="105">
        <f ca="1" t="shared" si="68"/>
        <v>-25</v>
      </c>
      <c r="N575" s="70"/>
      <c r="O575" s="70" t="s">
        <v>178</v>
      </c>
      <c r="P575" s="70" t="s">
        <v>31</v>
      </c>
      <c r="Q575" s="71" t="s">
        <v>1753</v>
      </c>
      <c r="R575" s="71" t="s">
        <v>52</v>
      </c>
      <c r="S575" s="72"/>
      <c r="T575" s="73"/>
      <c r="U575" s="75"/>
      <c r="V575" s="102">
        <v>46155</v>
      </c>
      <c r="W575" s="70">
        <v>3</v>
      </c>
      <c r="X575" s="103" t="s">
        <v>1755</v>
      </c>
      <c r="Y575" s="104">
        <f t="shared" si="79"/>
        <v>46247</v>
      </c>
      <c r="Z575" s="105">
        <f ca="1" t="shared" si="80"/>
        <v>80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/>
      <c r="AM575" s="105"/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102</v>
      </c>
      <c r="C576" s="70" t="s">
        <v>31</v>
      </c>
      <c r="D576" s="71" t="s">
        <v>1756</v>
      </c>
      <c r="E576" s="71" t="s">
        <v>24</v>
      </c>
      <c r="F576" s="72"/>
      <c r="G576" s="73"/>
      <c r="H576" s="75"/>
      <c r="I576" s="102">
        <v>46052</v>
      </c>
      <c r="J576" s="70">
        <v>3</v>
      </c>
      <c r="K576" s="106" t="s">
        <v>1757</v>
      </c>
      <c r="L576" s="104">
        <f t="shared" si="67"/>
        <v>46142</v>
      </c>
      <c r="M576" s="105">
        <f ca="1" t="shared" si="68"/>
        <v>-25</v>
      </c>
      <c r="N576" s="70"/>
      <c r="O576" s="70" t="s">
        <v>102</v>
      </c>
      <c r="P576" s="70" t="s">
        <v>31</v>
      </c>
      <c r="Q576" s="71" t="s">
        <v>1756</v>
      </c>
      <c r="R576" s="71" t="s">
        <v>24</v>
      </c>
      <c r="S576" s="72"/>
      <c r="T576" s="73"/>
      <c r="U576" s="75"/>
      <c r="V576" s="102">
        <v>46146</v>
      </c>
      <c r="W576" s="70">
        <v>3</v>
      </c>
      <c r="X576" s="103" t="s">
        <v>1758</v>
      </c>
      <c r="Y576" s="104">
        <f t="shared" si="79"/>
        <v>46238</v>
      </c>
      <c r="Z576" s="105">
        <f ca="1" t="shared" si="80"/>
        <v>71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/>
      <c r="AM576" s="105"/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102</v>
      </c>
      <c r="C577" s="70" t="s">
        <v>31</v>
      </c>
      <c r="D577" s="71" t="s">
        <v>1759</v>
      </c>
      <c r="E577" s="71" t="s">
        <v>148</v>
      </c>
      <c r="F577" s="72"/>
      <c r="G577" s="73"/>
      <c r="H577" s="75"/>
      <c r="I577" s="102">
        <v>46052</v>
      </c>
      <c r="J577" s="70">
        <v>3</v>
      </c>
      <c r="K577" s="106" t="s">
        <v>1760</v>
      </c>
      <c r="L577" s="104">
        <f t="shared" si="67"/>
        <v>46142</v>
      </c>
      <c r="M577" s="105">
        <f ca="1" t="shared" si="68"/>
        <v>-25</v>
      </c>
      <c r="N577" s="70"/>
      <c r="O577" s="70" t="s">
        <v>102</v>
      </c>
      <c r="P577" s="70" t="s">
        <v>31</v>
      </c>
      <c r="Q577" s="71" t="s">
        <v>1759</v>
      </c>
      <c r="R577" s="71" t="s">
        <v>148</v>
      </c>
      <c r="S577" s="72"/>
      <c r="T577" s="73"/>
      <c r="U577" s="75"/>
      <c r="V577" s="102">
        <v>46146</v>
      </c>
      <c r="W577" s="70">
        <v>3</v>
      </c>
      <c r="X577" s="103" t="s">
        <v>1761</v>
      </c>
      <c r="Y577" s="104">
        <f t="shared" si="79"/>
        <v>46238</v>
      </c>
      <c r="Z577" s="105">
        <f ca="1" t="shared" si="80"/>
        <v>71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/>
      <c r="AM577" s="105"/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102</v>
      </c>
      <c r="C578" s="70" t="s">
        <v>31</v>
      </c>
      <c r="D578" s="71" t="s">
        <v>1762</v>
      </c>
      <c r="E578" s="71" t="s">
        <v>111</v>
      </c>
      <c r="F578" s="72"/>
      <c r="G578" s="73"/>
      <c r="H578" s="75"/>
      <c r="I578" s="102">
        <v>46052</v>
      </c>
      <c r="J578" s="70">
        <v>3</v>
      </c>
      <c r="K578" s="106" t="s">
        <v>1763</v>
      </c>
      <c r="L578" s="104">
        <f t="shared" ref="L578:L605" si="81">EDATE(I578,J578)</f>
        <v>46142</v>
      </c>
      <c r="M578" s="105">
        <f ca="1" t="shared" ref="M578:M605" si="82">L578-TODAY()</f>
        <v>-25</v>
      </c>
      <c r="N578" s="70"/>
      <c r="O578" s="70" t="s">
        <v>102</v>
      </c>
      <c r="P578" s="70" t="s">
        <v>31</v>
      </c>
      <c r="Q578" s="71" t="s">
        <v>1762</v>
      </c>
      <c r="R578" s="71" t="s">
        <v>111</v>
      </c>
      <c r="S578" s="72"/>
      <c r="T578" s="73"/>
      <c r="U578" s="75"/>
      <c r="V578" s="102">
        <v>46134</v>
      </c>
      <c r="W578" s="70">
        <v>3</v>
      </c>
      <c r="X578" s="103" t="s">
        <v>1764</v>
      </c>
      <c r="Y578" s="104">
        <f t="shared" si="79"/>
        <v>46225</v>
      </c>
      <c r="Z578" s="105">
        <f ca="1" t="shared" si="80"/>
        <v>58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/>
      <c r="AM578" s="105"/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102</v>
      </c>
      <c r="C579" s="70" t="s">
        <v>13</v>
      </c>
      <c r="D579" s="71" t="s">
        <v>1765</v>
      </c>
      <c r="E579" s="71" t="s">
        <v>57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1766</v>
      </c>
      <c r="L579" s="104">
        <f t="shared" si="81"/>
        <v>46142</v>
      </c>
      <c r="M579" s="105">
        <f ca="1" t="shared" si="82"/>
        <v>-25</v>
      </c>
      <c r="N579" s="70"/>
      <c r="O579" s="70"/>
      <c r="P579" s="70"/>
      <c r="Q579" s="71"/>
      <c r="R579" s="71"/>
      <c r="S579" s="72"/>
      <c r="T579" s="73"/>
      <c r="U579" s="79"/>
      <c r="V579" s="102"/>
      <c r="W579" s="70"/>
      <c r="X579" s="103"/>
      <c r="Y579" s="104">
        <f t="shared" si="79"/>
        <v>0</v>
      </c>
      <c r="Z579" s="105">
        <f ca="1" t="shared" si="80"/>
        <v>-46167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/>
      <c r="AM579" s="105"/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208</v>
      </c>
      <c r="C580" s="70" t="s">
        <v>203</v>
      </c>
      <c r="D580" s="71" t="s">
        <v>1211</v>
      </c>
      <c r="E580" s="71" t="s">
        <v>1305</v>
      </c>
      <c r="F580" s="72"/>
      <c r="G580" s="73"/>
      <c r="H580" s="157"/>
      <c r="I580" s="102">
        <v>46052</v>
      </c>
      <c r="J580" s="102" t="s">
        <v>596</v>
      </c>
      <c r="K580" s="106"/>
      <c r="L580" s="104" t="e">
        <f t="shared" si="81"/>
        <v>#VALUE!</v>
      </c>
      <c r="M580" s="105" t="e">
        <f ca="1" t="shared" si="82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83">EDATE(V580,W580)</f>
        <v>0</v>
      </c>
      <c r="Z580" s="105">
        <f ca="1" t="shared" ref="Z578:Z588" si="84">Y580-TODAY()</f>
        <v>-46167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/>
      <c r="AM580" s="105"/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208</v>
      </c>
      <c r="C581" s="70" t="s">
        <v>203</v>
      </c>
      <c r="D581" s="71" t="s">
        <v>209</v>
      </c>
      <c r="E581" s="71" t="s">
        <v>210</v>
      </c>
      <c r="F581" s="72"/>
      <c r="G581" s="73"/>
      <c r="H581" s="157"/>
      <c r="I581" s="102">
        <v>46052</v>
      </c>
      <c r="J581" s="102" t="s">
        <v>596</v>
      </c>
      <c r="K581" s="106"/>
      <c r="L581" s="104" t="e">
        <f t="shared" si="81"/>
        <v>#VALUE!</v>
      </c>
      <c r="M581" s="105" t="e">
        <f ca="1" t="shared" si="82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83"/>
        <v>0</v>
      </c>
      <c r="Z581" s="105">
        <f ca="1" t="shared" si="84"/>
        <v>-46167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/>
      <c r="AM581" s="105"/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208</v>
      </c>
      <c r="C582" s="70" t="s">
        <v>203</v>
      </c>
      <c r="D582" s="71" t="s">
        <v>282</v>
      </c>
      <c r="E582" s="71" t="s">
        <v>283</v>
      </c>
      <c r="F582" s="72"/>
      <c r="G582" s="73"/>
      <c r="H582" s="157"/>
      <c r="I582" s="102">
        <v>46052</v>
      </c>
      <c r="J582" s="102" t="s">
        <v>596</v>
      </c>
      <c r="K582" s="106"/>
      <c r="L582" s="104" t="e">
        <f t="shared" si="81"/>
        <v>#VALUE!</v>
      </c>
      <c r="M582" s="105" t="e">
        <f ca="1" t="shared" si="82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83"/>
        <v>0</v>
      </c>
      <c r="Z582" s="105">
        <f ca="1" t="shared" si="84"/>
        <v>-46167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/>
      <c r="AM582" s="105"/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607</v>
      </c>
      <c r="C583" s="70" t="s">
        <v>287</v>
      </c>
      <c r="D583" s="71" t="s">
        <v>1767</v>
      </c>
      <c r="E583" s="71" t="s">
        <v>605</v>
      </c>
      <c r="F583" s="72"/>
      <c r="G583" s="73"/>
      <c r="H583" s="157"/>
      <c r="I583" s="102">
        <v>46052</v>
      </c>
      <c r="J583" s="70">
        <v>3</v>
      </c>
      <c r="K583" s="106" t="s">
        <v>1768</v>
      </c>
      <c r="L583" s="104">
        <f t="shared" si="81"/>
        <v>46142</v>
      </c>
      <c r="M583" s="105">
        <f ca="1" t="shared" si="82"/>
        <v>-25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83"/>
        <v>0</v>
      </c>
      <c r="Z583" s="105">
        <f ca="1" t="shared" si="84"/>
        <v>-46167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/>
      <c r="AM583" s="105"/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603</v>
      </c>
      <c r="C584" s="70" t="s">
        <v>287</v>
      </c>
      <c r="D584" s="71" t="s">
        <v>1769</v>
      </c>
      <c r="E584" s="71" t="s">
        <v>605</v>
      </c>
      <c r="F584" s="72"/>
      <c r="G584" s="73"/>
      <c r="H584" s="157"/>
      <c r="I584" s="102">
        <v>46052</v>
      </c>
      <c r="J584" s="70">
        <v>3</v>
      </c>
      <c r="K584" s="106" t="s">
        <v>1770</v>
      </c>
      <c r="L584" s="104">
        <f t="shared" si="81"/>
        <v>46142</v>
      </c>
      <c r="M584" s="105">
        <f ca="1" t="shared" si="82"/>
        <v>-25</v>
      </c>
      <c r="N584" s="70"/>
      <c r="O584" s="70"/>
      <c r="P584" s="70"/>
      <c r="Q584" s="71"/>
      <c r="R584" s="71"/>
      <c r="S584" s="72"/>
      <c r="T584" s="73"/>
      <c r="U584" s="79"/>
      <c r="V584" s="102"/>
      <c r="W584" s="70"/>
      <c r="X584" s="103"/>
      <c r="Y584" s="104">
        <f t="shared" si="83"/>
        <v>0</v>
      </c>
      <c r="Z584" s="105">
        <f ca="1" t="shared" si="84"/>
        <v>-46167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/>
      <c r="AM584" s="105"/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603</v>
      </c>
      <c r="C585" s="70" t="s">
        <v>287</v>
      </c>
      <c r="D585" s="71" t="s">
        <v>1771</v>
      </c>
      <c r="E585" s="71" t="s">
        <v>418</v>
      </c>
      <c r="F585" s="72"/>
      <c r="G585" s="73"/>
      <c r="H585" s="157"/>
      <c r="I585" s="102">
        <v>46052</v>
      </c>
      <c r="J585" s="70">
        <v>3</v>
      </c>
      <c r="K585" s="106" t="s">
        <v>1772</v>
      </c>
      <c r="L585" s="104">
        <f t="shared" si="81"/>
        <v>46142</v>
      </c>
      <c r="M585" s="105">
        <f ca="1" t="shared" si="82"/>
        <v>-25</v>
      </c>
      <c r="N585" s="70"/>
      <c r="O585" s="70" t="s">
        <v>603</v>
      </c>
      <c r="P585" s="70" t="s">
        <v>287</v>
      </c>
      <c r="Q585" s="71" t="s">
        <v>1771</v>
      </c>
      <c r="R585" s="71" t="s">
        <v>418</v>
      </c>
      <c r="S585" s="72"/>
      <c r="T585" s="73"/>
      <c r="U585" s="157"/>
      <c r="V585" s="102">
        <v>46151</v>
      </c>
      <c r="W585" s="70">
        <v>3</v>
      </c>
      <c r="X585" s="103" t="s">
        <v>1773</v>
      </c>
      <c r="Y585" s="104">
        <f t="shared" si="83"/>
        <v>46243</v>
      </c>
      <c r="Z585" s="105">
        <f ca="1" t="shared" si="84"/>
        <v>76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/>
      <c r="AM585" s="105"/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429</v>
      </c>
      <c r="C586" s="70" t="s">
        <v>287</v>
      </c>
      <c r="D586" s="71" t="s">
        <v>1774</v>
      </c>
      <c r="E586" s="71" t="s">
        <v>435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1775</v>
      </c>
      <c r="L586" s="104">
        <f t="shared" si="81"/>
        <v>46142</v>
      </c>
      <c r="M586" s="105">
        <f ca="1" t="shared" si="82"/>
        <v>-25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83"/>
        <v>0</v>
      </c>
      <c r="Z586" s="105">
        <f ca="1" t="shared" si="84"/>
        <v>-46167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/>
      <c r="AM586" s="105"/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685</v>
      </c>
      <c r="C587" s="70" t="s">
        <v>287</v>
      </c>
      <c r="D587" s="71" t="s">
        <v>1776</v>
      </c>
      <c r="E587" s="71" t="s">
        <v>687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1777</v>
      </c>
      <c r="L587" s="104">
        <f t="shared" si="81"/>
        <v>46142</v>
      </c>
      <c r="M587" s="105">
        <f ca="1" t="shared" si="82"/>
        <v>-25</v>
      </c>
      <c r="N587" s="70"/>
      <c r="O587" s="70"/>
      <c r="P587" s="70"/>
      <c r="Q587" s="71"/>
      <c r="R587" s="71"/>
      <c r="S587" s="72"/>
      <c r="T587" s="73"/>
      <c r="U587" s="74"/>
      <c r="V587" s="102"/>
      <c r="W587" s="70"/>
      <c r="X587" s="103"/>
      <c r="Y587" s="104">
        <f t="shared" si="83"/>
        <v>0</v>
      </c>
      <c r="Z587" s="105">
        <f ca="1" t="shared" si="84"/>
        <v>-46167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/>
      <c r="AM587" s="105"/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685</v>
      </c>
      <c r="C588" s="70" t="s">
        <v>287</v>
      </c>
      <c r="D588" s="71" t="s">
        <v>1778</v>
      </c>
      <c r="E588" s="71" t="s">
        <v>687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1779</v>
      </c>
      <c r="L588" s="104">
        <f t="shared" si="81"/>
        <v>46142</v>
      </c>
      <c r="M588" s="105">
        <f ca="1" t="shared" si="82"/>
        <v>-25</v>
      </c>
      <c r="N588" s="70"/>
      <c r="O588" s="70" t="s">
        <v>685</v>
      </c>
      <c r="P588" s="70" t="s">
        <v>287</v>
      </c>
      <c r="Q588" s="71" t="s">
        <v>1778</v>
      </c>
      <c r="R588" s="71" t="s">
        <v>687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1780</v>
      </c>
      <c r="Y588" s="104">
        <f t="shared" si="83"/>
        <v>46226</v>
      </c>
      <c r="Z588" s="105">
        <f ca="1" t="shared" si="84"/>
        <v>59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/>
      <c r="AM588" s="105"/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31</v>
      </c>
      <c r="D589" s="71" t="s">
        <v>1781</v>
      </c>
      <c r="E589" s="71" t="s">
        <v>148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1782</v>
      </c>
      <c r="L589" s="104">
        <f t="shared" si="81"/>
        <v>46142</v>
      </c>
      <c r="M589" s="105">
        <f ca="1" t="shared" si="82"/>
        <v>-25</v>
      </c>
      <c r="N589" s="70"/>
      <c r="O589" s="70" t="s">
        <v>12</v>
      </c>
      <c r="P589" s="70" t="s">
        <v>31</v>
      </c>
      <c r="Q589" s="71" t="s">
        <v>1781</v>
      </c>
      <c r="R589" s="71" t="s">
        <v>148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1783</v>
      </c>
      <c r="Y589" s="104">
        <f t="shared" ref="Y589:Y610" si="85">EDATE(V589,W589)</f>
        <v>46239</v>
      </c>
      <c r="Z589" s="105">
        <f ca="1" t="shared" ref="Z589:Z610" si="86">Y589-TODAY()</f>
        <v>72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/>
      <c r="AM589" s="105"/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31</v>
      </c>
      <c r="D590" s="71" t="s">
        <v>1784</v>
      </c>
      <c r="E590" s="71" t="s">
        <v>148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1785</v>
      </c>
      <c r="L590" s="104">
        <f t="shared" si="81"/>
        <v>46142</v>
      </c>
      <c r="M590" s="105">
        <f ca="1" t="shared" si="82"/>
        <v>-25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85"/>
        <v>0</v>
      </c>
      <c r="Z590" s="105">
        <f ca="1" t="shared" si="86"/>
        <v>-46167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/>
      <c r="AM590" s="105"/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530</v>
      </c>
      <c r="C591" s="70" t="s">
        <v>13</v>
      </c>
      <c r="D591" s="71" t="s">
        <v>1786</v>
      </c>
      <c r="E591" s="71" t="s">
        <v>61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1787</v>
      </c>
      <c r="L591" s="104">
        <f t="shared" si="81"/>
        <v>46142</v>
      </c>
      <c r="M591" s="105">
        <f ca="1" t="shared" si="82"/>
        <v>-25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85"/>
        <v>0</v>
      </c>
      <c r="Z591" s="105">
        <f ca="1" t="shared" si="86"/>
        <v>-46167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/>
      <c r="AM591" s="105"/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178</v>
      </c>
      <c r="C592" s="70" t="s">
        <v>13</v>
      </c>
      <c r="D592" s="71" t="s">
        <v>1788</v>
      </c>
      <c r="E592" s="71" t="s">
        <v>95</v>
      </c>
      <c r="F592" s="72"/>
      <c r="G592" s="73"/>
      <c r="H592" s="157"/>
      <c r="I592" s="102">
        <v>46053</v>
      </c>
      <c r="J592" s="70">
        <v>3</v>
      </c>
      <c r="K592" s="106" t="s">
        <v>1789</v>
      </c>
      <c r="L592" s="104">
        <f t="shared" si="81"/>
        <v>46142</v>
      </c>
      <c r="M592" s="105">
        <f ca="1" t="shared" si="82"/>
        <v>-25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85"/>
        <v>0</v>
      </c>
      <c r="Z592" s="105">
        <f ca="1" t="shared" si="86"/>
        <v>-46167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/>
      <c r="AM592" s="105"/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178</v>
      </c>
      <c r="C593" s="70" t="s">
        <v>13</v>
      </c>
      <c r="D593" s="71" t="s">
        <v>1790</v>
      </c>
      <c r="E593" s="71" t="s">
        <v>661</v>
      </c>
      <c r="F593" s="72"/>
      <c r="G593" s="73"/>
      <c r="H593" s="157"/>
      <c r="I593" s="102">
        <v>46053</v>
      </c>
      <c r="J593" s="70">
        <v>3</v>
      </c>
      <c r="K593" s="106" t="s">
        <v>1791</v>
      </c>
      <c r="L593" s="104">
        <f t="shared" si="81"/>
        <v>46142</v>
      </c>
      <c r="M593" s="105">
        <f ca="1" t="shared" si="82"/>
        <v>-25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85"/>
        <v>0</v>
      </c>
      <c r="Z593" s="105">
        <f ca="1" t="shared" si="86"/>
        <v>-46167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178</v>
      </c>
      <c r="C594" s="70" t="s">
        <v>13</v>
      </c>
      <c r="D594" s="70" t="s">
        <v>1792</v>
      </c>
      <c r="E594" s="71" t="s">
        <v>104</v>
      </c>
      <c r="F594" s="72"/>
      <c r="G594" s="73"/>
      <c r="H594" s="157"/>
      <c r="I594" s="102">
        <v>46053</v>
      </c>
      <c r="J594" s="70">
        <v>3</v>
      </c>
      <c r="K594" s="106" t="s">
        <v>1793</v>
      </c>
      <c r="L594" s="104">
        <f t="shared" si="81"/>
        <v>46142</v>
      </c>
      <c r="M594" s="105">
        <f ca="1" t="shared" si="82"/>
        <v>-25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85"/>
        <v>0</v>
      </c>
      <c r="Z594" s="105">
        <f ca="1" t="shared" si="86"/>
        <v>-46167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178</v>
      </c>
      <c r="C595" s="70" t="s">
        <v>13</v>
      </c>
      <c r="D595" s="71" t="s">
        <v>1794</v>
      </c>
      <c r="E595" s="71" t="s">
        <v>57</v>
      </c>
      <c r="F595" s="72"/>
      <c r="G595" s="73"/>
      <c r="H595" s="157"/>
      <c r="I595" s="102">
        <v>46053</v>
      </c>
      <c r="J595" s="70">
        <v>3</v>
      </c>
      <c r="K595" s="106" t="s">
        <v>1795</v>
      </c>
      <c r="L595" s="104">
        <f t="shared" si="81"/>
        <v>46142</v>
      </c>
      <c r="M595" s="105">
        <f ca="1" t="shared" si="82"/>
        <v>-25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85"/>
        <v>0</v>
      </c>
      <c r="Z595" s="105">
        <f ca="1" t="shared" si="86"/>
        <v>-46167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178</v>
      </c>
      <c r="C596" s="70" t="s">
        <v>13</v>
      </c>
      <c r="D596" s="71" t="s">
        <v>1796</v>
      </c>
      <c r="E596" s="71" t="s">
        <v>28</v>
      </c>
      <c r="F596" s="72"/>
      <c r="G596" s="73"/>
      <c r="H596" s="157"/>
      <c r="I596" s="102">
        <v>46053</v>
      </c>
      <c r="J596" s="70">
        <v>3</v>
      </c>
      <c r="K596" s="106" t="s">
        <v>1797</v>
      </c>
      <c r="L596" s="104">
        <f t="shared" si="81"/>
        <v>46142</v>
      </c>
      <c r="M596" s="105">
        <f ca="1" t="shared" si="82"/>
        <v>-25</v>
      </c>
      <c r="N596" s="70"/>
      <c r="O596" s="70"/>
      <c r="P596" s="70"/>
      <c r="Q596" s="71"/>
      <c r="R596" s="71"/>
      <c r="S596" s="72"/>
      <c r="T596" s="73"/>
      <c r="U596" s="79"/>
      <c r="V596" s="102"/>
      <c r="W596" s="70"/>
      <c r="X596" s="103"/>
      <c r="Y596" s="104">
        <f t="shared" si="85"/>
        <v>0</v>
      </c>
      <c r="Z596" s="105">
        <f ca="1" t="shared" si="86"/>
        <v>-46167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178</v>
      </c>
      <c r="C597" s="70" t="s">
        <v>13</v>
      </c>
      <c r="D597" s="71" t="s">
        <v>1798</v>
      </c>
      <c r="E597" s="71" t="s">
        <v>28</v>
      </c>
      <c r="F597" s="72"/>
      <c r="G597" s="73"/>
      <c r="H597" s="157"/>
      <c r="I597" s="102">
        <v>46053</v>
      </c>
      <c r="J597" s="70">
        <v>3</v>
      </c>
      <c r="K597" s="106" t="s">
        <v>1799</v>
      </c>
      <c r="L597" s="104">
        <f t="shared" si="81"/>
        <v>46142</v>
      </c>
      <c r="M597" s="105">
        <f ca="1" t="shared" si="82"/>
        <v>-25</v>
      </c>
      <c r="N597" s="70"/>
      <c r="O597" s="70" t="s">
        <v>178</v>
      </c>
      <c r="P597" s="70" t="s">
        <v>13</v>
      </c>
      <c r="Q597" s="71" t="s">
        <v>1798</v>
      </c>
      <c r="R597" s="71" t="s">
        <v>28</v>
      </c>
      <c r="S597" s="72"/>
      <c r="T597" s="73"/>
      <c r="U597" s="157"/>
      <c r="V597" s="102">
        <v>46154</v>
      </c>
      <c r="W597" s="70">
        <v>3</v>
      </c>
      <c r="X597" s="103" t="s">
        <v>1800</v>
      </c>
      <c r="Y597" s="104">
        <f t="shared" si="85"/>
        <v>46246</v>
      </c>
      <c r="Z597" s="105">
        <f ca="1" t="shared" si="86"/>
        <v>79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102</v>
      </c>
      <c r="C598" s="70" t="s">
        <v>13</v>
      </c>
      <c r="D598" s="71" t="s">
        <v>1801</v>
      </c>
      <c r="E598" s="71" t="s">
        <v>464</v>
      </c>
      <c r="F598" s="72"/>
      <c r="G598" s="73"/>
      <c r="H598" s="157"/>
      <c r="I598" s="102">
        <v>46053</v>
      </c>
      <c r="J598" s="70">
        <v>3</v>
      </c>
      <c r="K598" s="106" t="s">
        <v>1802</v>
      </c>
      <c r="L598" s="104">
        <f t="shared" si="81"/>
        <v>46142</v>
      </c>
      <c r="M598" s="105">
        <f ca="1" t="shared" si="82"/>
        <v>-25</v>
      </c>
      <c r="N598" s="70"/>
      <c r="O598" s="70"/>
      <c r="P598" s="70"/>
      <c r="Q598" s="71"/>
      <c r="R598" s="71"/>
      <c r="S598" s="72"/>
      <c r="T598" s="73"/>
      <c r="U598" s="79"/>
      <c r="V598" s="102"/>
      <c r="W598" s="70"/>
      <c r="X598" s="103"/>
      <c r="Y598" s="104">
        <f t="shared" si="85"/>
        <v>0</v>
      </c>
      <c r="Z598" s="105">
        <f ca="1" t="shared" si="86"/>
        <v>-46167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102</v>
      </c>
      <c r="C599" s="70" t="s">
        <v>31</v>
      </c>
      <c r="D599" s="71" t="s">
        <v>1803</v>
      </c>
      <c r="E599" s="71" t="s">
        <v>41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1804</v>
      </c>
      <c r="L599" s="104">
        <f t="shared" si="81"/>
        <v>46142</v>
      </c>
      <c r="M599" s="105">
        <f ca="1" t="shared" si="82"/>
        <v>-25</v>
      </c>
      <c r="N599" s="70"/>
      <c r="O599" s="70" t="s">
        <v>102</v>
      </c>
      <c r="P599" s="70" t="s">
        <v>31</v>
      </c>
      <c r="Q599" s="71" t="s">
        <v>1803</v>
      </c>
      <c r="R599" s="71" t="s">
        <v>41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1805</v>
      </c>
      <c r="Y599" s="104">
        <f t="shared" si="85"/>
        <v>46231</v>
      </c>
      <c r="Z599" s="105">
        <f ca="1" t="shared" si="86"/>
        <v>64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566</v>
      </c>
      <c r="C600" s="70" t="s">
        <v>31</v>
      </c>
      <c r="D600" s="71" t="s">
        <v>1806</v>
      </c>
      <c r="E600" s="71" t="s">
        <v>570</v>
      </c>
      <c r="F600" s="72"/>
      <c r="G600" s="73"/>
      <c r="H600" s="75"/>
      <c r="I600" s="102">
        <v>46053</v>
      </c>
      <c r="J600" s="70">
        <v>3</v>
      </c>
      <c r="K600" s="106" t="s">
        <v>1807</v>
      </c>
      <c r="L600" s="104">
        <f t="shared" si="81"/>
        <v>46142</v>
      </c>
      <c r="M600" s="105">
        <f ca="1" t="shared" si="82"/>
        <v>-25</v>
      </c>
      <c r="N600" s="70"/>
      <c r="O600" s="70" t="s">
        <v>566</v>
      </c>
      <c r="P600" s="70" t="s">
        <v>31</v>
      </c>
      <c r="Q600" s="71" t="s">
        <v>1806</v>
      </c>
      <c r="R600" s="71" t="s">
        <v>570</v>
      </c>
      <c r="S600" s="72"/>
      <c r="T600" s="73"/>
      <c r="U600" s="75"/>
      <c r="V600" s="102">
        <v>46159</v>
      </c>
      <c r="W600" s="70">
        <v>3</v>
      </c>
      <c r="X600" s="103" t="s">
        <v>1808</v>
      </c>
      <c r="Y600" s="104">
        <f t="shared" si="85"/>
        <v>46251</v>
      </c>
      <c r="Z600" s="105">
        <f ca="1" t="shared" si="86"/>
        <v>84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566</v>
      </c>
      <c r="C601" s="70" t="s">
        <v>31</v>
      </c>
      <c r="D601" s="71" t="s">
        <v>1809</v>
      </c>
      <c r="E601" s="71" t="s">
        <v>570</v>
      </c>
      <c r="F601" s="72"/>
      <c r="G601" s="73"/>
      <c r="H601" s="75"/>
      <c r="I601" s="102">
        <v>46053</v>
      </c>
      <c r="J601" s="70">
        <v>3</v>
      </c>
      <c r="K601" s="106" t="s">
        <v>1810</v>
      </c>
      <c r="L601" s="104">
        <f t="shared" si="81"/>
        <v>46142</v>
      </c>
      <c r="M601" s="105">
        <f ca="1" t="shared" si="82"/>
        <v>-25</v>
      </c>
      <c r="N601" s="70"/>
      <c r="O601" s="70" t="s">
        <v>566</v>
      </c>
      <c r="P601" s="70" t="s">
        <v>31</v>
      </c>
      <c r="Q601" s="71" t="s">
        <v>1809</v>
      </c>
      <c r="R601" s="71" t="s">
        <v>570</v>
      </c>
      <c r="S601" s="72"/>
      <c r="T601" s="73"/>
      <c r="U601" s="75"/>
      <c r="V601" s="102">
        <v>46159</v>
      </c>
      <c r="W601" s="70">
        <v>3</v>
      </c>
      <c r="X601" s="103" t="s">
        <v>1811</v>
      </c>
      <c r="Y601" s="104">
        <f t="shared" si="85"/>
        <v>46251</v>
      </c>
      <c r="Z601" s="105">
        <f ca="1" t="shared" si="86"/>
        <v>84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930</v>
      </c>
      <c r="C602" s="70" t="s">
        <v>13</v>
      </c>
      <c r="D602" s="71" t="s">
        <v>1812</v>
      </c>
      <c r="E602" s="71" t="s">
        <v>57</v>
      </c>
      <c r="F602" s="72"/>
      <c r="G602" s="73"/>
      <c r="H602" s="75"/>
      <c r="I602" s="102">
        <v>46053</v>
      </c>
      <c r="J602" s="70">
        <v>3</v>
      </c>
      <c r="K602" s="106" t="s">
        <v>1813</v>
      </c>
      <c r="L602" s="104">
        <f t="shared" si="81"/>
        <v>46142</v>
      </c>
      <c r="M602" s="105">
        <f ca="1" t="shared" si="82"/>
        <v>-25</v>
      </c>
      <c r="N602" s="70"/>
      <c r="O602" s="70" t="s">
        <v>930</v>
      </c>
      <c r="P602" s="70" t="s">
        <v>13</v>
      </c>
      <c r="Q602" s="71" t="s">
        <v>1812</v>
      </c>
      <c r="R602" s="71" t="s">
        <v>57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85"/>
        <v>46247</v>
      </c>
      <c r="Z602" s="105">
        <f ca="1" t="shared" si="86"/>
        <v>80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1814</v>
      </c>
      <c r="C603" s="70" t="s">
        <v>31</v>
      </c>
      <c r="D603" s="71" t="s">
        <v>1815</v>
      </c>
      <c r="E603" s="71" t="s">
        <v>1176</v>
      </c>
      <c r="F603" s="72"/>
      <c r="G603" s="73"/>
      <c r="H603" s="75"/>
      <c r="I603" s="102">
        <v>46053</v>
      </c>
      <c r="J603" s="70">
        <v>3</v>
      </c>
      <c r="K603" s="106" t="s">
        <v>1816</v>
      </c>
      <c r="L603" s="104">
        <f t="shared" si="81"/>
        <v>46142</v>
      </c>
      <c r="M603" s="105">
        <f ca="1" t="shared" si="82"/>
        <v>-25</v>
      </c>
      <c r="N603" s="70"/>
      <c r="O603" s="70" t="s">
        <v>1814</v>
      </c>
      <c r="P603" s="70" t="s">
        <v>31</v>
      </c>
      <c r="Q603" s="71" t="s">
        <v>1815</v>
      </c>
      <c r="R603" s="71" t="s">
        <v>1176</v>
      </c>
      <c r="S603" s="72"/>
      <c r="T603" s="73"/>
      <c r="U603" s="75"/>
      <c r="V603" s="102">
        <v>46153</v>
      </c>
      <c r="W603" s="70">
        <v>3</v>
      </c>
      <c r="X603" s="103" t="s">
        <v>1817</v>
      </c>
      <c r="Y603" s="104">
        <f t="shared" si="85"/>
        <v>46245</v>
      </c>
      <c r="Z603" s="105">
        <f ca="1" t="shared" si="86"/>
        <v>78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1814</v>
      </c>
      <c r="C604" s="70" t="s">
        <v>31</v>
      </c>
      <c r="D604" s="71" t="s">
        <v>1818</v>
      </c>
      <c r="E604" s="71" t="s">
        <v>1173</v>
      </c>
      <c r="F604" s="72"/>
      <c r="G604" s="73"/>
      <c r="H604" s="75"/>
      <c r="I604" s="102">
        <v>46053</v>
      </c>
      <c r="J604" s="70">
        <v>3</v>
      </c>
      <c r="K604" s="106" t="s">
        <v>1819</v>
      </c>
      <c r="L604" s="104">
        <f t="shared" si="81"/>
        <v>46142</v>
      </c>
      <c r="M604" s="105">
        <f ca="1" t="shared" si="82"/>
        <v>-25</v>
      </c>
      <c r="N604" s="70"/>
      <c r="O604" s="70" t="s">
        <v>1814</v>
      </c>
      <c r="P604" s="70" t="s">
        <v>31</v>
      </c>
      <c r="Q604" s="71" t="s">
        <v>1818</v>
      </c>
      <c r="R604" s="71" t="s">
        <v>1173</v>
      </c>
      <c r="S604" s="72"/>
      <c r="T604" s="73"/>
      <c r="U604" s="75"/>
      <c r="V604" s="102">
        <v>46153</v>
      </c>
      <c r="W604" s="70">
        <v>3</v>
      </c>
      <c r="X604" s="103" t="s">
        <v>1820</v>
      </c>
      <c r="Y604" s="104">
        <f t="shared" si="85"/>
        <v>46245</v>
      </c>
      <c r="Z604" s="105">
        <f ca="1" t="shared" si="86"/>
        <v>78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1075</v>
      </c>
      <c r="C605" s="70" t="s">
        <v>31</v>
      </c>
      <c r="D605" s="71" t="s">
        <v>1821</v>
      </c>
      <c r="E605" s="71" t="s">
        <v>1077</v>
      </c>
      <c r="F605" s="72"/>
      <c r="G605" s="73"/>
      <c r="H605" s="75"/>
      <c r="I605" s="102">
        <v>46053</v>
      </c>
      <c r="J605" s="70">
        <v>3</v>
      </c>
      <c r="K605" s="106" t="s">
        <v>1822</v>
      </c>
      <c r="L605" s="104">
        <f t="shared" si="81"/>
        <v>46142</v>
      </c>
      <c r="M605" s="105">
        <f ca="1" t="shared" si="82"/>
        <v>-25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85"/>
        <v>0</v>
      </c>
      <c r="Z605" s="105">
        <f ca="1" t="shared" si="86"/>
        <v>-46167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500</v>
      </c>
      <c r="C606" s="70" t="s">
        <v>203</v>
      </c>
      <c r="D606" s="71" t="s">
        <v>1823</v>
      </c>
      <c r="E606" s="71" t="s">
        <v>1824</v>
      </c>
      <c r="F606" s="72"/>
      <c r="G606" s="73"/>
      <c r="H606" s="75"/>
      <c r="I606" s="102">
        <v>46053</v>
      </c>
      <c r="J606" s="70">
        <v>3</v>
      </c>
      <c r="K606" s="106" t="s">
        <v>1825</v>
      </c>
      <c r="L606" s="104">
        <f t="shared" ref="L606:L640" si="87">EDATE(I606,J606)</f>
        <v>46142</v>
      </c>
      <c r="M606" s="105">
        <f ca="1" t="shared" ref="M606:M640" si="88">L606-TODAY()</f>
        <v>-25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85"/>
        <v>0</v>
      </c>
      <c r="Z606" s="105">
        <f ca="1" t="shared" si="86"/>
        <v>-46167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132</v>
      </c>
      <c r="C607" s="70" t="s">
        <v>31</v>
      </c>
      <c r="D607" s="71" t="s">
        <v>133</v>
      </c>
      <c r="E607" s="71" t="s">
        <v>134</v>
      </c>
      <c r="F607" s="72"/>
      <c r="G607" s="73"/>
      <c r="H607" s="75"/>
      <c r="I607" s="102">
        <v>46053</v>
      </c>
      <c r="J607" s="102" t="s">
        <v>596</v>
      </c>
      <c r="K607" s="106"/>
      <c r="L607" s="104" t="e">
        <f t="shared" si="87"/>
        <v>#VALUE!</v>
      </c>
      <c r="M607" s="105" t="e">
        <f ca="1" t="shared" si="88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85"/>
        <v>0</v>
      </c>
      <c r="Z607" s="105">
        <f ca="1" t="shared" si="86"/>
        <v>-46167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607</v>
      </c>
      <c r="C608" s="70" t="s">
        <v>287</v>
      </c>
      <c r="D608" s="71" t="s">
        <v>1826</v>
      </c>
      <c r="E608" s="71" t="s">
        <v>599</v>
      </c>
      <c r="F608" s="72"/>
      <c r="G608" s="73"/>
      <c r="H608" s="75"/>
      <c r="I608" s="102">
        <v>46053</v>
      </c>
      <c r="J608" s="70">
        <v>3</v>
      </c>
      <c r="K608" s="106" t="s">
        <v>1827</v>
      </c>
      <c r="L608" s="104">
        <f t="shared" si="87"/>
        <v>46142</v>
      </c>
      <c r="M608" s="105">
        <f ca="1" t="shared" si="88"/>
        <v>-25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85"/>
        <v>0</v>
      </c>
      <c r="Z608" s="105">
        <f ca="1" t="shared" si="86"/>
        <v>-46167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1828</v>
      </c>
      <c r="E609" s="71" t="s">
        <v>104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1829</v>
      </c>
      <c r="L609" s="104">
        <f t="shared" si="87"/>
        <v>46143</v>
      </c>
      <c r="M609" s="105">
        <f ca="1" t="shared" si="88"/>
        <v>-24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85"/>
        <v>0</v>
      </c>
      <c r="Z609" s="105">
        <f ca="1" t="shared" si="86"/>
        <v>-46167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1830</v>
      </c>
      <c r="E610" s="71" t="s">
        <v>95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1831</v>
      </c>
      <c r="L610" s="104">
        <f t="shared" si="87"/>
        <v>46143</v>
      </c>
      <c r="M610" s="105">
        <f ca="1" t="shared" si="88"/>
        <v>-24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85"/>
        <v>0</v>
      </c>
      <c r="Z610" s="105">
        <f ca="1" t="shared" si="86"/>
        <v>-46167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1832</v>
      </c>
      <c r="E611" s="71" t="s">
        <v>57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1833</v>
      </c>
      <c r="L611" s="104">
        <f t="shared" si="87"/>
        <v>46143</v>
      </c>
      <c r="M611" s="105">
        <f ca="1" t="shared" si="88"/>
        <v>-24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89">EDATE(V611,W611)</f>
        <v>0</v>
      </c>
      <c r="Z611" s="105">
        <f ca="1" t="shared" ref="Z606:Z614" si="90">Y611-TODAY()</f>
        <v>-46167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31</v>
      </c>
      <c r="D612" s="71" t="s">
        <v>1834</v>
      </c>
      <c r="E612" s="71" t="s">
        <v>148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1835</v>
      </c>
      <c r="L612" s="104">
        <f t="shared" si="87"/>
        <v>46143</v>
      </c>
      <c r="M612" s="105">
        <f ca="1" t="shared" si="88"/>
        <v>-24</v>
      </c>
      <c r="N612" s="70"/>
      <c r="O612" s="70" t="s">
        <v>12</v>
      </c>
      <c r="P612" s="70" t="s">
        <v>31</v>
      </c>
      <c r="Q612" s="71" t="s">
        <v>1834</v>
      </c>
      <c r="R612" s="71" t="s">
        <v>148</v>
      </c>
      <c r="S612" s="72"/>
      <c r="T612" s="73"/>
      <c r="U612" s="79" t="s">
        <v>16</v>
      </c>
      <c r="V612" s="102">
        <v>46162</v>
      </c>
      <c r="W612" s="70">
        <v>3</v>
      </c>
      <c r="X612" s="103"/>
      <c r="Y612" s="104">
        <f t="shared" si="89"/>
        <v>46254</v>
      </c>
      <c r="Z612" s="105">
        <f ca="1" t="shared" si="90"/>
        <v>87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178</v>
      </c>
      <c r="C613" s="70" t="s">
        <v>13</v>
      </c>
      <c r="D613" s="71" t="s">
        <v>1836</v>
      </c>
      <c r="E613" s="71" t="s">
        <v>1837</v>
      </c>
      <c r="F613" s="72"/>
      <c r="G613" s="73"/>
      <c r="H613" s="75"/>
      <c r="I613" s="102">
        <v>46054</v>
      </c>
      <c r="J613" s="70">
        <v>3</v>
      </c>
      <c r="K613" s="106" t="s">
        <v>1838</v>
      </c>
      <c r="L613" s="104">
        <f t="shared" si="87"/>
        <v>46143</v>
      </c>
      <c r="M613" s="105">
        <f ca="1" t="shared" si="88"/>
        <v>-24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89"/>
        <v>0</v>
      </c>
      <c r="Z613" s="105">
        <f ca="1" t="shared" si="90"/>
        <v>-46167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178</v>
      </c>
      <c r="C614" s="70" t="s">
        <v>13</v>
      </c>
      <c r="D614" s="71" t="s">
        <v>1839</v>
      </c>
      <c r="E614" s="71" t="s">
        <v>303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1840</v>
      </c>
      <c r="L614" s="104">
        <f t="shared" si="87"/>
        <v>46143</v>
      </c>
      <c r="M614" s="105">
        <f ca="1" t="shared" si="88"/>
        <v>-24</v>
      </c>
      <c r="N614" s="70"/>
      <c r="O614" s="70" t="s">
        <v>178</v>
      </c>
      <c r="P614" s="70" t="s">
        <v>13</v>
      </c>
      <c r="Q614" s="71" t="s">
        <v>1839</v>
      </c>
      <c r="R614" s="71" t="s">
        <v>303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1841</v>
      </c>
      <c r="Y614" s="104">
        <f t="shared" si="89"/>
        <v>46230</v>
      </c>
      <c r="Z614" s="105">
        <f ca="1" t="shared" si="90"/>
        <v>63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437</v>
      </c>
      <c r="C615" s="70" t="s">
        <v>13</v>
      </c>
      <c r="D615" s="71" t="s">
        <v>1842</v>
      </c>
      <c r="E615" s="71" t="s">
        <v>95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1843</v>
      </c>
      <c r="L615" s="104">
        <f t="shared" si="87"/>
        <v>46143</v>
      </c>
      <c r="M615" s="105">
        <f ca="1" t="shared" si="88"/>
        <v>-24</v>
      </c>
      <c r="N615" s="70"/>
      <c r="O615" s="70" t="s">
        <v>437</v>
      </c>
      <c r="P615" s="70" t="s">
        <v>13</v>
      </c>
      <c r="Q615" s="71" t="s">
        <v>1842</v>
      </c>
      <c r="R615" s="71" t="s">
        <v>95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91">EDATE(V615,W615)</f>
        <v>46247</v>
      </c>
      <c r="Z615" s="105">
        <f ca="1" t="shared" ref="Z615:Z625" si="92">Y615-TODAY()</f>
        <v>80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437</v>
      </c>
      <c r="C616" s="70" t="s">
        <v>13</v>
      </c>
      <c r="D616" s="71" t="s">
        <v>1844</v>
      </c>
      <c r="E616" s="71" t="s">
        <v>95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1845</v>
      </c>
      <c r="L616" s="104">
        <f t="shared" si="87"/>
        <v>46143</v>
      </c>
      <c r="M616" s="105">
        <f ca="1" t="shared" si="88"/>
        <v>-24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91"/>
        <v>0</v>
      </c>
      <c r="Z616" s="105">
        <f ca="1" t="shared" si="92"/>
        <v>-46167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437</v>
      </c>
      <c r="C617" s="70" t="s">
        <v>13</v>
      </c>
      <c r="D617" s="71" t="s">
        <v>1846</v>
      </c>
      <c r="E617" s="71" t="s">
        <v>1387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1847</v>
      </c>
      <c r="L617" s="104">
        <f t="shared" si="87"/>
        <v>46143</v>
      </c>
      <c r="M617" s="105">
        <f ca="1" t="shared" si="88"/>
        <v>-24</v>
      </c>
      <c r="N617" s="70"/>
      <c r="O617" s="70" t="s">
        <v>437</v>
      </c>
      <c r="P617" s="70" t="s">
        <v>13</v>
      </c>
      <c r="Q617" s="71" t="s">
        <v>1846</v>
      </c>
      <c r="R617" s="71" t="s">
        <v>1387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1848</v>
      </c>
      <c r="Y617" s="104">
        <f t="shared" si="91"/>
        <v>46247</v>
      </c>
      <c r="Z617" s="105">
        <f ca="1" t="shared" si="92"/>
        <v>80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437</v>
      </c>
      <c r="C618" s="70" t="s">
        <v>13</v>
      </c>
      <c r="D618" s="71" t="s">
        <v>1849</v>
      </c>
      <c r="E618" s="71" t="s">
        <v>57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1850</v>
      </c>
      <c r="L618" s="104">
        <f t="shared" si="87"/>
        <v>46143</v>
      </c>
      <c r="M618" s="105">
        <f ca="1" t="shared" si="88"/>
        <v>-24</v>
      </c>
      <c r="N618" s="70"/>
      <c r="O618" s="70" t="s">
        <v>437</v>
      </c>
      <c r="P618" s="70" t="s">
        <v>13</v>
      </c>
      <c r="Q618" s="71" t="s">
        <v>1849</v>
      </c>
      <c r="R618" s="71" t="s">
        <v>57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1851</v>
      </c>
      <c r="Y618" s="104">
        <f t="shared" si="91"/>
        <v>46245</v>
      </c>
      <c r="Z618" s="105">
        <f ca="1" t="shared" si="92"/>
        <v>78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437</v>
      </c>
      <c r="C619" s="70" t="s">
        <v>31</v>
      </c>
      <c r="D619" s="71" t="s">
        <v>1852</v>
      </c>
      <c r="E619" s="71" t="s">
        <v>111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1853</v>
      </c>
      <c r="L619" s="104">
        <f t="shared" si="87"/>
        <v>46143</v>
      </c>
      <c r="M619" s="105">
        <f ca="1" t="shared" si="88"/>
        <v>-24</v>
      </c>
      <c r="N619" s="70"/>
      <c r="O619" s="70" t="s">
        <v>437</v>
      </c>
      <c r="P619" s="70" t="s">
        <v>31</v>
      </c>
      <c r="Q619" s="71" t="s">
        <v>1852</v>
      </c>
      <c r="R619" s="71" t="s">
        <v>111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1854</v>
      </c>
      <c r="Y619" s="104">
        <f t="shared" si="91"/>
        <v>46223</v>
      </c>
      <c r="Z619" s="105">
        <f ca="1" t="shared" si="92"/>
        <v>56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559</v>
      </c>
      <c r="C620" s="70" t="s">
        <v>13</v>
      </c>
      <c r="D620" s="71" t="s">
        <v>1855</v>
      </c>
      <c r="E620" s="71" t="s">
        <v>400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1856</v>
      </c>
      <c r="L620" s="104">
        <f t="shared" si="87"/>
        <v>46143</v>
      </c>
      <c r="M620" s="105">
        <f ca="1" t="shared" si="88"/>
        <v>-24</v>
      </c>
      <c r="N620" s="70"/>
      <c r="O620" s="70" t="s">
        <v>559</v>
      </c>
      <c r="P620" s="70" t="s">
        <v>13</v>
      </c>
      <c r="Q620" s="71" t="s">
        <v>1855</v>
      </c>
      <c r="R620" s="71" t="s">
        <v>400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1857</v>
      </c>
      <c r="Y620" s="104">
        <f t="shared" si="91"/>
        <v>46242</v>
      </c>
      <c r="Z620" s="105">
        <f ca="1" t="shared" si="92"/>
        <v>75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217</v>
      </c>
      <c r="C621" s="70" t="s">
        <v>203</v>
      </c>
      <c r="D621" s="71" t="s">
        <v>1858</v>
      </c>
      <c r="E621" s="71" t="s">
        <v>1859</v>
      </c>
      <c r="F621" s="72"/>
      <c r="G621" s="73"/>
      <c r="H621" s="75"/>
      <c r="I621" s="102">
        <v>46054</v>
      </c>
      <c r="J621" s="70">
        <v>3</v>
      </c>
      <c r="K621" s="106" t="s">
        <v>1860</v>
      </c>
      <c r="L621" s="104">
        <f t="shared" si="87"/>
        <v>46143</v>
      </c>
      <c r="M621" s="105">
        <f ca="1" t="shared" si="88"/>
        <v>-24</v>
      </c>
      <c r="N621" s="70"/>
      <c r="O621" s="70" t="s">
        <v>217</v>
      </c>
      <c r="P621" s="70" t="s">
        <v>203</v>
      </c>
      <c r="Q621" s="71" t="s">
        <v>1858</v>
      </c>
      <c r="R621" s="71" t="s">
        <v>1859</v>
      </c>
      <c r="S621" s="72"/>
      <c r="T621" s="73"/>
      <c r="U621" s="75"/>
      <c r="V621" s="102">
        <v>46142</v>
      </c>
      <c r="W621" s="70">
        <v>3</v>
      </c>
      <c r="X621" s="103" t="s">
        <v>1861</v>
      </c>
      <c r="Y621" s="104">
        <f t="shared" si="91"/>
        <v>46233</v>
      </c>
      <c r="Z621" s="105">
        <f ca="1" t="shared" si="92"/>
        <v>66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217</v>
      </c>
      <c r="C622" s="70" t="s">
        <v>203</v>
      </c>
      <c r="D622" s="71" t="s">
        <v>1862</v>
      </c>
      <c r="E622" s="71" t="s">
        <v>1863</v>
      </c>
      <c r="F622" s="72"/>
      <c r="G622" s="73"/>
      <c r="H622" s="75"/>
      <c r="I622" s="102">
        <v>46054</v>
      </c>
      <c r="J622" s="70">
        <v>3</v>
      </c>
      <c r="K622" s="106" t="s">
        <v>1864</v>
      </c>
      <c r="L622" s="104">
        <f t="shared" si="87"/>
        <v>46143</v>
      </c>
      <c r="M622" s="105">
        <f ca="1" t="shared" si="88"/>
        <v>-24</v>
      </c>
      <c r="N622" s="70"/>
      <c r="O622" s="70" t="s">
        <v>217</v>
      </c>
      <c r="P622" s="70" t="s">
        <v>203</v>
      </c>
      <c r="Q622" s="71" t="s">
        <v>1862</v>
      </c>
      <c r="R622" s="71" t="s">
        <v>1863</v>
      </c>
      <c r="S622" s="72"/>
      <c r="T622" s="73"/>
      <c r="U622" s="75"/>
      <c r="V622" s="102">
        <v>46142</v>
      </c>
      <c r="W622" s="70">
        <v>3</v>
      </c>
      <c r="X622" s="103" t="s">
        <v>1865</v>
      </c>
      <c r="Y622" s="104">
        <f t="shared" si="91"/>
        <v>46233</v>
      </c>
      <c r="Z622" s="105">
        <f ca="1" t="shared" si="92"/>
        <v>66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202</v>
      </c>
      <c r="C623" s="70" t="s">
        <v>203</v>
      </c>
      <c r="D623" s="71" t="s">
        <v>741</v>
      </c>
      <c r="E623" s="71" t="s">
        <v>594</v>
      </c>
      <c r="F623" s="72"/>
      <c r="G623" s="73"/>
      <c r="H623" s="75"/>
      <c r="I623" s="102">
        <v>46054</v>
      </c>
      <c r="J623" s="70" t="s">
        <v>596</v>
      </c>
      <c r="K623" s="106"/>
      <c r="L623" s="104" t="e">
        <f t="shared" si="87"/>
        <v>#VALUE!</v>
      </c>
      <c r="M623" s="105" t="e">
        <f ca="1" t="shared" si="88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91"/>
        <v>0</v>
      </c>
      <c r="Z623" s="105">
        <f ca="1" t="shared" si="92"/>
        <v>-46167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1866</v>
      </c>
      <c r="C624" s="70" t="s">
        <v>203</v>
      </c>
      <c r="D624" s="71" t="s">
        <v>1867</v>
      </c>
      <c r="E624" s="71" t="s">
        <v>1868</v>
      </c>
      <c r="F624" s="72"/>
      <c r="G624" s="73"/>
      <c r="H624" s="75"/>
      <c r="I624" s="102">
        <v>46054</v>
      </c>
      <c r="J624" s="70">
        <v>3</v>
      </c>
      <c r="K624" s="106" t="s">
        <v>1869</v>
      </c>
      <c r="L624" s="104">
        <f t="shared" si="87"/>
        <v>46143</v>
      </c>
      <c r="M624" s="105">
        <f ca="1" t="shared" si="88"/>
        <v>-24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91"/>
        <v>0</v>
      </c>
      <c r="Z624" s="105">
        <f ca="1" t="shared" si="92"/>
        <v>-46167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588</v>
      </c>
      <c r="C625" s="70" t="s">
        <v>203</v>
      </c>
      <c r="D625" s="71" t="s">
        <v>589</v>
      </c>
      <c r="E625" s="71" t="s">
        <v>590</v>
      </c>
      <c r="F625" s="72"/>
      <c r="G625" s="73"/>
      <c r="H625" s="75"/>
      <c r="I625" s="102">
        <v>46054</v>
      </c>
      <c r="J625" s="102" t="s">
        <v>596</v>
      </c>
      <c r="K625" s="106"/>
      <c r="L625" s="104" t="e">
        <f t="shared" si="87"/>
        <v>#VALUE!</v>
      </c>
      <c r="M625" s="105" t="e">
        <f ca="1" t="shared" si="88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91"/>
        <v>0</v>
      </c>
      <c r="Z625" s="105">
        <f ca="1" t="shared" si="92"/>
        <v>-46167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588</v>
      </c>
      <c r="C626" s="70" t="s">
        <v>203</v>
      </c>
      <c r="D626" s="71" t="s">
        <v>736</v>
      </c>
      <c r="E626" s="71" t="s">
        <v>737</v>
      </c>
      <c r="F626" s="72"/>
      <c r="G626" s="73"/>
      <c r="H626" s="75"/>
      <c r="I626" s="102">
        <v>46054</v>
      </c>
      <c r="J626" s="70">
        <v>3</v>
      </c>
      <c r="K626" s="106" t="s">
        <v>1870</v>
      </c>
      <c r="L626" s="104">
        <f t="shared" si="87"/>
        <v>46143</v>
      </c>
      <c r="M626" s="105">
        <f ca="1" t="shared" si="88"/>
        <v>-24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93">EDATE(V626,W626)</f>
        <v>0</v>
      </c>
      <c r="Z626" s="105">
        <f ca="1" t="shared" ref="Z620:Z636" si="94">Y626-TODAY()</f>
        <v>-46167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497</v>
      </c>
      <c r="C627" s="70" t="s">
        <v>203</v>
      </c>
      <c r="D627" s="71" t="s">
        <v>1871</v>
      </c>
      <c r="E627" s="71" t="s">
        <v>205</v>
      </c>
      <c r="F627" s="72"/>
      <c r="G627" s="73"/>
      <c r="H627" s="75"/>
      <c r="I627" s="102">
        <v>46054</v>
      </c>
      <c r="J627" s="70">
        <v>3</v>
      </c>
      <c r="K627" s="106" t="s">
        <v>1872</v>
      </c>
      <c r="L627" s="104">
        <f t="shared" si="87"/>
        <v>46143</v>
      </c>
      <c r="M627" s="105">
        <f ca="1" t="shared" si="88"/>
        <v>-24</v>
      </c>
      <c r="N627" s="70"/>
      <c r="O627" s="70" t="s">
        <v>497</v>
      </c>
      <c r="P627" s="70" t="s">
        <v>203</v>
      </c>
      <c r="Q627" s="71" t="s">
        <v>1871</v>
      </c>
      <c r="R627" s="71" t="s">
        <v>205</v>
      </c>
      <c r="S627" s="72"/>
      <c r="T627" s="73"/>
      <c r="U627" s="75"/>
      <c r="V627" s="102">
        <v>46134</v>
      </c>
      <c r="W627" s="70">
        <v>3</v>
      </c>
      <c r="X627" s="103" t="s">
        <v>1873</v>
      </c>
      <c r="Y627" s="104">
        <f t="shared" si="93"/>
        <v>46225</v>
      </c>
      <c r="Z627" s="105">
        <f ca="1" t="shared" si="94"/>
        <v>58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497</v>
      </c>
      <c r="C628" s="70" t="s">
        <v>203</v>
      </c>
      <c r="D628" s="71" t="s">
        <v>204</v>
      </c>
      <c r="E628" s="71" t="s">
        <v>205</v>
      </c>
      <c r="F628" s="72"/>
      <c r="G628" s="73"/>
      <c r="H628" s="75"/>
      <c r="I628" s="102">
        <v>46054</v>
      </c>
      <c r="J628" s="102" t="s">
        <v>596</v>
      </c>
      <c r="K628" s="106"/>
      <c r="L628" s="104" t="e">
        <f t="shared" si="87"/>
        <v>#VALUE!</v>
      </c>
      <c r="M628" s="105" t="e">
        <f ca="1" t="shared" si="88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93"/>
        <v>0</v>
      </c>
      <c r="Z628" s="105">
        <f ca="1" t="shared" si="94"/>
        <v>-46167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217</v>
      </c>
      <c r="C629" s="70" t="s">
        <v>203</v>
      </c>
      <c r="D629" s="71" t="s">
        <v>950</v>
      </c>
      <c r="E629" s="71" t="s">
        <v>279</v>
      </c>
      <c r="F629" s="72"/>
      <c r="G629" s="73"/>
      <c r="H629" s="75"/>
      <c r="I629" s="102">
        <v>46054</v>
      </c>
      <c r="J629" s="102" t="s">
        <v>596</v>
      </c>
      <c r="K629" s="106"/>
      <c r="L629" s="104" t="e">
        <f t="shared" si="87"/>
        <v>#VALUE!</v>
      </c>
      <c r="M629" s="105" t="e">
        <f ca="1" t="shared" si="88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93"/>
        <v>0</v>
      </c>
      <c r="Z629" s="105">
        <f ca="1" t="shared" si="94"/>
        <v>-46167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178</v>
      </c>
      <c r="C630" s="70" t="s">
        <v>13</v>
      </c>
      <c r="D630" s="71" t="s">
        <v>1874</v>
      </c>
      <c r="E630" s="71" t="s">
        <v>20</v>
      </c>
      <c r="F630" s="72"/>
      <c r="G630" s="73"/>
      <c r="H630" s="75"/>
      <c r="I630" s="102">
        <v>46055</v>
      </c>
      <c r="J630" s="70">
        <v>3</v>
      </c>
      <c r="K630" s="106" t="s">
        <v>1875</v>
      </c>
      <c r="L630" s="104">
        <f t="shared" si="87"/>
        <v>46144</v>
      </c>
      <c r="M630" s="105">
        <f ca="1" t="shared" si="88"/>
        <v>-23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93"/>
        <v>0</v>
      </c>
      <c r="Z630" s="105">
        <f ca="1" t="shared" si="94"/>
        <v>-46167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178</v>
      </c>
      <c r="C631" s="70" t="s">
        <v>13</v>
      </c>
      <c r="D631" s="71" t="s">
        <v>1876</v>
      </c>
      <c r="E631" s="71" t="s">
        <v>95</v>
      </c>
      <c r="F631" s="72"/>
      <c r="G631" s="73"/>
      <c r="H631" s="75"/>
      <c r="I631" s="102">
        <v>46055</v>
      </c>
      <c r="J631" s="70">
        <v>3</v>
      </c>
      <c r="K631" s="106" t="s">
        <v>1877</v>
      </c>
      <c r="L631" s="104">
        <f t="shared" si="87"/>
        <v>46144</v>
      </c>
      <c r="M631" s="105">
        <f ca="1" t="shared" si="88"/>
        <v>-23</v>
      </c>
      <c r="N631" s="70"/>
      <c r="O631" s="70" t="s">
        <v>178</v>
      </c>
      <c r="P631" s="70" t="s">
        <v>13</v>
      </c>
      <c r="Q631" s="71" t="s">
        <v>1876</v>
      </c>
      <c r="R631" s="71" t="s">
        <v>95</v>
      </c>
      <c r="S631" s="72"/>
      <c r="T631" s="73"/>
      <c r="U631" s="75"/>
      <c r="V631" s="102">
        <v>46135</v>
      </c>
      <c r="W631" s="70">
        <v>3</v>
      </c>
      <c r="X631" s="103" t="s">
        <v>1878</v>
      </c>
      <c r="Y631" s="104">
        <f t="shared" si="93"/>
        <v>46226</v>
      </c>
      <c r="Z631" s="105">
        <f ca="1" t="shared" si="94"/>
        <v>59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178</v>
      </c>
      <c r="C632" s="70" t="s">
        <v>13</v>
      </c>
      <c r="D632" s="71" t="s">
        <v>1879</v>
      </c>
      <c r="E632" s="71" t="s">
        <v>57</v>
      </c>
      <c r="F632" s="72"/>
      <c r="G632" s="73"/>
      <c r="H632" s="75"/>
      <c r="I632" s="102">
        <v>46055</v>
      </c>
      <c r="J632" s="70">
        <v>3</v>
      </c>
      <c r="K632" s="106" t="s">
        <v>1880</v>
      </c>
      <c r="L632" s="104">
        <f t="shared" si="87"/>
        <v>46144</v>
      </c>
      <c r="M632" s="105">
        <f ca="1" t="shared" si="88"/>
        <v>-23</v>
      </c>
      <c r="N632" s="70"/>
      <c r="O632" s="70" t="s">
        <v>178</v>
      </c>
      <c r="P632" s="70" t="s">
        <v>13</v>
      </c>
      <c r="Q632" s="71" t="s">
        <v>1879</v>
      </c>
      <c r="R632" s="71" t="s">
        <v>57</v>
      </c>
      <c r="S632" s="72"/>
      <c r="T632" s="73"/>
      <c r="U632" s="75"/>
      <c r="V632" s="102">
        <v>46158</v>
      </c>
      <c r="W632" s="70">
        <v>3</v>
      </c>
      <c r="X632" s="103" t="s">
        <v>1881</v>
      </c>
      <c r="Y632" s="104">
        <f t="shared" si="93"/>
        <v>46250</v>
      </c>
      <c r="Z632" s="105">
        <f ca="1" t="shared" si="94"/>
        <v>83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1882</v>
      </c>
      <c r="C633" s="70" t="s">
        <v>31</v>
      </c>
      <c r="D633" s="71" t="s">
        <v>1883</v>
      </c>
      <c r="E633" s="71" t="s">
        <v>1475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1884</v>
      </c>
      <c r="L633" s="104">
        <f t="shared" si="87"/>
        <v>46144</v>
      </c>
      <c r="M633" s="105">
        <f ca="1" t="shared" si="88"/>
        <v>-23</v>
      </c>
      <c r="N633" s="70"/>
      <c r="O633" s="70"/>
      <c r="P633" s="70"/>
      <c r="Q633" s="71"/>
      <c r="R633" s="71"/>
      <c r="S633" s="72"/>
      <c r="T633" s="73"/>
      <c r="U633" s="127"/>
      <c r="V633" s="102"/>
      <c r="W633" s="70"/>
      <c r="X633" s="103"/>
      <c r="Y633" s="104">
        <f t="shared" si="93"/>
        <v>0</v>
      </c>
      <c r="Z633" s="105">
        <f ca="1" t="shared" si="94"/>
        <v>-46167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1885</v>
      </c>
      <c r="C634" s="70" t="s">
        <v>13</v>
      </c>
      <c r="D634" s="71" t="s">
        <v>1886</v>
      </c>
      <c r="E634" s="71" t="s">
        <v>28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1887</v>
      </c>
      <c r="L634" s="104">
        <f t="shared" si="87"/>
        <v>46144</v>
      </c>
      <c r="M634" s="105">
        <f ca="1" t="shared" si="88"/>
        <v>-23</v>
      </c>
      <c r="N634" s="70"/>
      <c r="O634" s="70" t="s">
        <v>1885</v>
      </c>
      <c r="P634" s="70" t="s">
        <v>13</v>
      </c>
      <c r="Q634" s="71" t="s">
        <v>1886</v>
      </c>
      <c r="R634" s="71" t="s">
        <v>28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1888</v>
      </c>
      <c r="Y634" s="104">
        <f t="shared" si="93"/>
        <v>46245</v>
      </c>
      <c r="Z634" s="105">
        <f ca="1" t="shared" si="94"/>
        <v>78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1885</v>
      </c>
      <c r="C635" s="70" t="s">
        <v>13</v>
      </c>
      <c r="D635" s="71" t="s">
        <v>1889</v>
      </c>
      <c r="E635" s="71" t="s">
        <v>1890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1891</v>
      </c>
      <c r="L635" s="104">
        <f t="shared" si="87"/>
        <v>46144</v>
      </c>
      <c r="M635" s="105">
        <f ca="1" t="shared" si="88"/>
        <v>-23</v>
      </c>
      <c r="N635" s="70"/>
      <c r="O635" s="70" t="s">
        <v>1885</v>
      </c>
      <c r="P635" s="70" t="s">
        <v>13</v>
      </c>
      <c r="Q635" s="71" t="s">
        <v>1889</v>
      </c>
      <c r="R635" s="71" t="s">
        <v>1890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1892</v>
      </c>
      <c r="Y635" s="104">
        <f t="shared" si="93"/>
        <v>46245</v>
      </c>
      <c r="Z635" s="105">
        <f ca="1" t="shared" si="94"/>
        <v>78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1885</v>
      </c>
      <c r="C636" s="70" t="s">
        <v>31</v>
      </c>
      <c r="D636" s="71" t="s">
        <v>1893</v>
      </c>
      <c r="E636" s="71" t="s">
        <v>1894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1895</v>
      </c>
      <c r="L636" s="104">
        <f t="shared" si="87"/>
        <v>46144</v>
      </c>
      <c r="M636" s="105">
        <f ca="1" t="shared" si="88"/>
        <v>-23</v>
      </c>
      <c r="N636" s="70"/>
      <c r="O636" s="70" t="s">
        <v>1885</v>
      </c>
      <c r="P636" s="70" t="s">
        <v>31</v>
      </c>
      <c r="Q636" s="71" t="s">
        <v>1893</v>
      </c>
      <c r="R636" s="71" t="s">
        <v>1894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1896</v>
      </c>
      <c r="Y636" s="104">
        <f t="shared" si="93"/>
        <v>46245</v>
      </c>
      <c r="Z636" s="105">
        <f ca="1" t="shared" si="94"/>
        <v>78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1885</v>
      </c>
      <c r="C637" s="70" t="s">
        <v>31</v>
      </c>
      <c r="D637" s="71" t="s">
        <v>1897</v>
      </c>
      <c r="E637" s="71" t="s">
        <v>1898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1899</v>
      </c>
      <c r="L637" s="104">
        <f t="shared" si="87"/>
        <v>46144</v>
      </c>
      <c r="M637" s="105">
        <f ca="1" t="shared" si="88"/>
        <v>-23</v>
      </c>
      <c r="N637" s="70"/>
      <c r="O637" s="70" t="s">
        <v>1885</v>
      </c>
      <c r="P637" s="70" t="s">
        <v>31</v>
      </c>
      <c r="Q637" s="71" t="s">
        <v>1897</v>
      </c>
      <c r="R637" s="71" t="s">
        <v>1898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1900</v>
      </c>
      <c r="Y637" s="104">
        <f t="shared" ref="Y637:Y666" si="95">EDATE(V637,W637)</f>
        <v>46245</v>
      </c>
      <c r="Z637" s="105">
        <f ca="1" t="shared" ref="Z637:Z666" si="96">Y637-TODAY()</f>
        <v>78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1901</v>
      </c>
      <c r="E638" s="71" t="s">
        <v>28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1902</v>
      </c>
      <c r="L638" s="104">
        <f t="shared" si="87"/>
        <v>46145</v>
      </c>
      <c r="M638" s="105">
        <f ca="1" t="shared" si="88"/>
        <v>-22</v>
      </c>
      <c r="N638" s="70"/>
      <c r="O638" s="70" t="s">
        <v>12</v>
      </c>
      <c r="P638" s="70" t="s">
        <v>13</v>
      </c>
      <c r="Q638" s="71" t="s">
        <v>1901</v>
      </c>
      <c r="R638" s="71" t="s">
        <v>28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1903</v>
      </c>
      <c r="Y638" s="104">
        <f t="shared" si="95"/>
        <v>46230</v>
      </c>
      <c r="Z638" s="105">
        <f ca="1" t="shared" si="96"/>
        <v>63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178</v>
      </c>
      <c r="C639" s="70" t="s">
        <v>13</v>
      </c>
      <c r="D639" s="71" t="s">
        <v>1904</v>
      </c>
      <c r="E639" s="71" t="s">
        <v>86</v>
      </c>
      <c r="F639" s="72"/>
      <c r="G639" s="73"/>
      <c r="H639" s="75"/>
      <c r="I639" s="102">
        <v>46056</v>
      </c>
      <c r="J639" s="70">
        <v>3</v>
      </c>
      <c r="K639" s="106" t="s">
        <v>1905</v>
      </c>
      <c r="L639" s="104">
        <f t="shared" si="87"/>
        <v>46145</v>
      </c>
      <c r="M639" s="105">
        <f ca="1" t="shared" si="88"/>
        <v>-22</v>
      </c>
      <c r="N639" s="70"/>
      <c r="O639" s="70" t="s">
        <v>178</v>
      </c>
      <c r="P639" s="70" t="s">
        <v>13</v>
      </c>
      <c r="Q639" s="71" t="s">
        <v>1904</v>
      </c>
      <c r="R639" s="71" t="s">
        <v>86</v>
      </c>
      <c r="S639" s="72"/>
      <c r="T639" s="73"/>
      <c r="U639" s="75"/>
      <c r="V639" s="102">
        <v>46139</v>
      </c>
      <c r="W639" s="70">
        <v>3</v>
      </c>
      <c r="X639" s="103" t="s">
        <v>1906</v>
      </c>
      <c r="Y639" s="104">
        <f t="shared" si="95"/>
        <v>46230</v>
      </c>
      <c r="Z639" s="105">
        <f ca="1" t="shared" si="96"/>
        <v>63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178</v>
      </c>
      <c r="C640" s="70" t="s">
        <v>13</v>
      </c>
      <c r="D640" s="71" t="s">
        <v>1907</v>
      </c>
      <c r="E640" s="71" t="s">
        <v>1908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1909</v>
      </c>
      <c r="L640" s="104">
        <f t="shared" si="87"/>
        <v>46145</v>
      </c>
      <c r="M640" s="105">
        <f ca="1" t="shared" si="88"/>
        <v>-22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95"/>
        <v>0</v>
      </c>
      <c r="Z640" s="105">
        <f ca="1" t="shared" si="96"/>
        <v>-46167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178</v>
      </c>
      <c r="C641" s="70" t="s">
        <v>13</v>
      </c>
      <c r="D641" s="71" t="s">
        <v>1910</v>
      </c>
      <c r="E641" s="71" t="s">
        <v>1911</v>
      </c>
      <c r="F641" s="72"/>
      <c r="G641" s="73"/>
      <c r="H641" s="75"/>
      <c r="I641" s="102">
        <v>46056</v>
      </c>
      <c r="J641" s="70">
        <v>3</v>
      </c>
      <c r="K641" s="106" t="s">
        <v>1912</v>
      </c>
      <c r="L641" s="104">
        <f t="shared" ref="L641:L704" si="97">EDATE(I641,J641)</f>
        <v>46145</v>
      </c>
      <c r="M641" s="105">
        <f ca="1" t="shared" ref="M641:M704" si="98">L641-TODAY()</f>
        <v>-22</v>
      </c>
      <c r="N641" s="70"/>
      <c r="O641" s="70" t="s">
        <v>178</v>
      </c>
      <c r="P641" s="70" t="s">
        <v>13</v>
      </c>
      <c r="Q641" s="71" t="s">
        <v>1910</v>
      </c>
      <c r="R641" s="71" t="s">
        <v>1911</v>
      </c>
      <c r="S641" s="72"/>
      <c r="T641" s="73"/>
      <c r="U641" s="75"/>
      <c r="V641" s="102">
        <v>46150</v>
      </c>
      <c r="W641" s="70">
        <v>3</v>
      </c>
      <c r="X641" s="103" t="s">
        <v>1913</v>
      </c>
      <c r="Y641" s="104">
        <f t="shared" si="95"/>
        <v>46242</v>
      </c>
      <c r="Z641" s="105">
        <f ca="1" t="shared" si="96"/>
        <v>75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178</v>
      </c>
      <c r="C642" s="70" t="s">
        <v>13</v>
      </c>
      <c r="D642" s="71" t="s">
        <v>1914</v>
      </c>
      <c r="E642" s="71" t="s">
        <v>1915</v>
      </c>
      <c r="F642" s="72"/>
      <c r="G642" s="73"/>
      <c r="H642" s="75"/>
      <c r="I642" s="102">
        <v>46056</v>
      </c>
      <c r="J642" s="70">
        <v>3</v>
      </c>
      <c r="K642" s="106" t="s">
        <v>1916</v>
      </c>
      <c r="L642" s="104">
        <f t="shared" si="97"/>
        <v>46145</v>
      </c>
      <c r="M642" s="105">
        <f ca="1" t="shared" si="98"/>
        <v>-22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95"/>
        <v>0</v>
      </c>
      <c r="Z642" s="105">
        <f ca="1" t="shared" si="96"/>
        <v>-46167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437</v>
      </c>
      <c r="C643" s="70" t="s">
        <v>13</v>
      </c>
      <c r="D643" s="71" t="s">
        <v>1917</v>
      </c>
      <c r="E643" s="71" t="s">
        <v>111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1918</v>
      </c>
      <c r="L643" s="104">
        <f t="shared" si="97"/>
        <v>46145</v>
      </c>
      <c r="M643" s="105">
        <f ca="1" t="shared" si="98"/>
        <v>-22</v>
      </c>
      <c r="N643" s="70"/>
      <c r="O643" s="70" t="s">
        <v>437</v>
      </c>
      <c r="P643" s="70" t="s">
        <v>13</v>
      </c>
      <c r="Q643" s="71" t="s">
        <v>1917</v>
      </c>
      <c r="R643" s="71" t="s">
        <v>111</v>
      </c>
      <c r="S643" s="72"/>
      <c r="T643" s="73"/>
      <c r="U643" s="74" t="s">
        <v>16</v>
      </c>
      <c r="V643" s="102">
        <v>46166</v>
      </c>
      <c r="W643" s="70">
        <v>3</v>
      </c>
      <c r="X643" s="103"/>
      <c r="Y643" s="104">
        <f t="shared" si="95"/>
        <v>46258</v>
      </c>
      <c r="Z643" s="105">
        <f ca="1" t="shared" si="96"/>
        <v>91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44</v>
      </c>
      <c r="C644" s="70" t="s">
        <v>13</v>
      </c>
      <c r="D644" s="71" t="s">
        <v>1919</v>
      </c>
      <c r="E644" s="71" t="s">
        <v>37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1920</v>
      </c>
      <c r="L644" s="104">
        <f t="shared" si="97"/>
        <v>46145</v>
      </c>
      <c r="M644" s="105">
        <f ca="1" t="shared" si="98"/>
        <v>-22</v>
      </c>
      <c r="N644" s="70"/>
      <c r="O644" s="70" t="s">
        <v>44</v>
      </c>
      <c r="P644" s="70" t="s">
        <v>13</v>
      </c>
      <c r="Q644" s="71" t="s">
        <v>1919</v>
      </c>
      <c r="R644" s="71" t="s">
        <v>37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1921</v>
      </c>
      <c r="Y644" s="104">
        <f t="shared" si="95"/>
        <v>46246</v>
      </c>
      <c r="Z644" s="105">
        <f ca="1" t="shared" si="96"/>
        <v>79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44</v>
      </c>
      <c r="C645" s="70" t="s">
        <v>31</v>
      </c>
      <c r="D645" s="71" t="s">
        <v>1922</v>
      </c>
      <c r="E645" s="71" t="s">
        <v>400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1923</v>
      </c>
      <c r="L645" s="104">
        <f t="shared" si="97"/>
        <v>46145</v>
      </c>
      <c r="M645" s="105">
        <f ca="1" t="shared" si="98"/>
        <v>-22</v>
      </c>
      <c r="N645" s="70"/>
      <c r="O645" s="70" t="s">
        <v>44</v>
      </c>
      <c r="P645" s="70" t="s">
        <v>31</v>
      </c>
      <c r="Q645" s="71" t="s">
        <v>1922</v>
      </c>
      <c r="R645" s="71" t="s">
        <v>400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1924</v>
      </c>
      <c r="Y645" s="104">
        <f t="shared" si="95"/>
        <v>46233</v>
      </c>
      <c r="Z645" s="105">
        <f ca="1" t="shared" si="96"/>
        <v>66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1925</v>
      </c>
      <c r="C646" s="70" t="s">
        <v>13</v>
      </c>
      <c r="D646" s="71" t="s">
        <v>1926</v>
      </c>
      <c r="E646" s="71" t="s">
        <v>1927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1928</v>
      </c>
      <c r="L646" s="104">
        <f t="shared" si="97"/>
        <v>46145</v>
      </c>
      <c r="M646" s="105">
        <f ca="1" t="shared" si="98"/>
        <v>-22</v>
      </c>
      <c r="N646" s="70"/>
      <c r="O646" s="70" t="s">
        <v>1925</v>
      </c>
      <c r="P646" s="70" t="s">
        <v>13</v>
      </c>
      <c r="Q646" s="71" t="s">
        <v>1926</v>
      </c>
      <c r="R646" s="71" t="s">
        <v>1927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1929</v>
      </c>
      <c r="Y646" s="104">
        <f t="shared" si="95"/>
        <v>46226</v>
      </c>
      <c r="Z646" s="105">
        <f ca="1" t="shared" si="96"/>
        <v>59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1467</v>
      </c>
      <c r="C647" s="70" t="s">
        <v>203</v>
      </c>
      <c r="D647" s="71" t="s">
        <v>741</v>
      </c>
      <c r="E647" s="71" t="s">
        <v>594</v>
      </c>
      <c r="F647" s="72"/>
      <c r="G647" s="73"/>
      <c r="H647" s="75"/>
      <c r="I647" s="102">
        <v>46056</v>
      </c>
      <c r="J647" s="102" t="s">
        <v>596</v>
      </c>
      <c r="K647" s="106" t="s">
        <v>1930</v>
      </c>
      <c r="L647" s="104" t="e">
        <f t="shared" si="97"/>
        <v>#VALUE!</v>
      </c>
      <c r="M647" s="105" t="e">
        <f ca="1" t="shared" si="98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95"/>
        <v>0</v>
      </c>
      <c r="Z647" s="105">
        <f ca="1" t="shared" si="96"/>
        <v>-46167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217</v>
      </c>
      <c r="C648" s="70" t="s">
        <v>203</v>
      </c>
      <c r="D648" s="71" t="s">
        <v>1931</v>
      </c>
      <c r="E648" s="71" t="s">
        <v>1932</v>
      </c>
      <c r="F648" s="72"/>
      <c r="G648" s="73"/>
      <c r="H648" s="75"/>
      <c r="I648" s="102">
        <v>46056</v>
      </c>
      <c r="J648" s="70">
        <v>3</v>
      </c>
      <c r="K648" s="106" t="s">
        <v>1933</v>
      </c>
      <c r="L648" s="104">
        <f t="shared" si="97"/>
        <v>46145</v>
      </c>
      <c r="M648" s="105">
        <f ca="1" t="shared" si="98"/>
        <v>-22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95"/>
        <v>0</v>
      </c>
      <c r="Z648" s="105">
        <f ca="1" t="shared" si="96"/>
        <v>-46167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217</v>
      </c>
      <c r="C649" s="70" t="s">
        <v>203</v>
      </c>
      <c r="D649" s="71" t="s">
        <v>1934</v>
      </c>
      <c r="E649" s="71" t="s">
        <v>1935</v>
      </c>
      <c r="F649" s="72"/>
      <c r="G649" s="73"/>
      <c r="H649" s="75"/>
      <c r="I649" s="102">
        <v>46056</v>
      </c>
      <c r="J649" s="70">
        <v>3</v>
      </c>
      <c r="K649" s="106" t="s">
        <v>1936</v>
      </c>
      <c r="L649" s="104">
        <f t="shared" si="97"/>
        <v>46145</v>
      </c>
      <c r="M649" s="105">
        <f ca="1" t="shared" si="98"/>
        <v>-22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95"/>
        <v>0</v>
      </c>
      <c r="Z649" s="105">
        <f ca="1" t="shared" si="96"/>
        <v>-46167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217</v>
      </c>
      <c r="C650" s="70" t="s">
        <v>203</v>
      </c>
      <c r="D650" s="71" t="s">
        <v>223</v>
      </c>
      <c r="E650" s="71" t="s">
        <v>1937</v>
      </c>
      <c r="F650" s="72"/>
      <c r="G650" s="73"/>
      <c r="H650" s="75"/>
      <c r="I650" s="102">
        <v>46056</v>
      </c>
      <c r="J650" s="102" t="s">
        <v>596</v>
      </c>
      <c r="K650" s="106" t="s">
        <v>1938</v>
      </c>
      <c r="L650" s="104" t="e">
        <f t="shared" si="97"/>
        <v>#VALUE!</v>
      </c>
      <c r="M650" s="105" t="e">
        <f ca="1" t="shared" si="98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95"/>
        <v>0</v>
      </c>
      <c r="Z650" s="105">
        <f ca="1" t="shared" si="96"/>
        <v>-46167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217</v>
      </c>
      <c r="C651" s="70" t="s">
        <v>203</v>
      </c>
      <c r="D651" s="71" t="s">
        <v>1939</v>
      </c>
      <c r="E651" s="71" t="s">
        <v>1940</v>
      </c>
      <c r="F651" s="72"/>
      <c r="G651" s="73"/>
      <c r="H651" s="75"/>
      <c r="I651" s="102">
        <v>46056</v>
      </c>
      <c r="J651" s="70">
        <v>3</v>
      </c>
      <c r="K651" s="106" t="s">
        <v>1941</v>
      </c>
      <c r="L651" s="104">
        <f t="shared" si="97"/>
        <v>46145</v>
      </c>
      <c r="M651" s="105">
        <f ca="1" t="shared" si="98"/>
        <v>-22</v>
      </c>
      <c r="N651" s="70"/>
      <c r="O651" s="70" t="s">
        <v>217</v>
      </c>
      <c r="P651" s="70" t="s">
        <v>203</v>
      </c>
      <c r="Q651" s="71" t="s">
        <v>1939</v>
      </c>
      <c r="R651" s="71" t="s">
        <v>1940</v>
      </c>
      <c r="S651" s="72"/>
      <c r="T651" s="73"/>
      <c r="U651" s="75"/>
      <c r="V651" s="102">
        <v>46142</v>
      </c>
      <c r="W651" s="70">
        <v>3</v>
      </c>
      <c r="X651" s="103" t="s">
        <v>1942</v>
      </c>
      <c r="Y651" s="104">
        <f t="shared" si="95"/>
        <v>46233</v>
      </c>
      <c r="Z651" s="105">
        <f ca="1" t="shared" si="96"/>
        <v>66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59</v>
      </c>
      <c r="C652" s="70" t="s">
        <v>31</v>
      </c>
      <c r="D652" s="71" t="s">
        <v>1040</v>
      </c>
      <c r="E652" s="71" t="s">
        <v>1041</v>
      </c>
      <c r="F652" s="72"/>
      <c r="G652" s="73"/>
      <c r="H652" s="75"/>
      <c r="I652" s="102">
        <v>46056</v>
      </c>
      <c r="J652" s="70">
        <v>3</v>
      </c>
      <c r="K652" s="106" t="s">
        <v>1943</v>
      </c>
      <c r="L652" s="104">
        <f t="shared" si="97"/>
        <v>46145</v>
      </c>
      <c r="M652" s="105">
        <f ca="1" t="shared" si="98"/>
        <v>-22</v>
      </c>
      <c r="N652" s="70"/>
      <c r="O652" s="70" t="s">
        <v>59</v>
      </c>
      <c r="P652" s="70" t="s">
        <v>31</v>
      </c>
      <c r="Q652" s="71" t="s">
        <v>1040</v>
      </c>
      <c r="R652" s="71" t="s">
        <v>1041</v>
      </c>
      <c r="S652" s="72"/>
      <c r="T652" s="73"/>
      <c r="U652" s="75"/>
      <c r="V652" s="102">
        <v>46156</v>
      </c>
      <c r="W652" s="70">
        <v>3</v>
      </c>
      <c r="X652" s="103" t="s">
        <v>1944</v>
      </c>
      <c r="Y652" s="104">
        <f t="shared" si="95"/>
        <v>46248</v>
      </c>
      <c r="Z652" s="105">
        <f ca="1" t="shared" si="96"/>
        <v>81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583</v>
      </c>
      <c r="C653" s="70" t="s">
        <v>13</v>
      </c>
      <c r="D653" s="71" t="s">
        <v>1945</v>
      </c>
      <c r="E653" s="71" t="s">
        <v>37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1946</v>
      </c>
      <c r="L653" s="104">
        <f t="shared" si="97"/>
        <v>46145</v>
      </c>
      <c r="M653" s="105">
        <f ca="1" t="shared" si="98"/>
        <v>-22</v>
      </c>
      <c r="N653" s="70"/>
      <c r="O653" s="70" t="s">
        <v>583</v>
      </c>
      <c r="P653" s="70" t="s">
        <v>13</v>
      </c>
      <c r="Q653" s="71" t="s">
        <v>1945</v>
      </c>
      <c r="R653" s="71" t="s">
        <v>37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1947</v>
      </c>
      <c r="Y653" s="104">
        <f t="shared" si="95"/>
        <v>46228</v>
      </c>
      <c r="Z653" s="105">
        <f ca="1" t="shared" si="96"/>
        <v>61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583</v>
      </c>
      <c r="C654" s="70" t="s">
        <v>13</v>
      </c>
      <c r="D654" s="71" t="s">
        <v>1948</v>
      </c>
      <c r="E654" s="71" t="s">
        <v>86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1949</v>
      </c>
      <c r="L654" s="104">
        <f t="shared" si="97"/>
        <v>46145</v>
      </c>
      <c r="M654" s="105">
        <f ca="1" t="shared" si="98"/>
        <v>-22</v>
      </c>
      <c r="N654" s="70"/>
      <c r="O654" s="70" t="s">
        <v>583</v>
      </c>
      <c r="P654" s="70" t="s">
        <v>13</v>
      </c>
      <c r="Q654" s="71" t="s">
        <v>1948</v>
      </c>
      <c r="R654" s="71" t="s">
        <v>86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1950</v>
      </c>
      <c r="Y654" s="104">
        <f t="shared" si="95"/>
        <v>46228</v>
      </c>
      <c r="Z654" s="105">
        <f ca="1" t="shared" si="96"/>
        <v>61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583</v>
      </c>
      <c r="C655" s="70" t="s">
        <v>13</v>
      </c>
      <c r="D655" s="71" t="s">
        <v>1951</v>
      </c>
      <c r="E655" s="71" t="s">
        <v>37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1952</v>
      </c>
      <c r="L655" s="104">
        <f t="shared" si="97"/>
        <v>46145</v>
      </c>
      <c r="M655" s="105">
        <f ca="1" t="shared" si="98"/>
        <v>-22</v>
      </c>
      <c r="N655" s="70"/>
      <c r="O655" s="70" t="s">
        <v>583</v>
      </c>
      <c r="P655" s="70" t="s">
        <v>13</v>
      </c>
      <c r="Q655" s="71" t="s">
        <v>1951</v>
      </c>
      <c r="R655" s="71" t="s">
        <v>37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1953</v>
      </c>
      <c r="Y655" s="104">
        <f t="shared" si="95"/>
        <v>46239</v>
      </c>
      <c r="Z655" s="105">
        <f ca="1" t="shared" si="96"/>
        <v>72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395</v>
      </c>
      <c r="C656" s="70" t="s">
        <v>13</v>
      </c>
      <c r="D656" s="71" t="s">
        <v>1954</v>
      </c>
      <c r="E656" s="71" t="s">
        <v>37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1955</v>
      </c>
      <c r="L656" s="104">
        <f t="shared" si="97"/>
        <v>46145</v>
      </c>
      <c r="M656" s="105">
        <f ca="1" t="shared" si="98"/>
        <v>-22</v>
      </c>
      <c r="N656" s="70"/>
      <c r="O656" s="70" t="s">
        <v>395</v>
      </c>
      <c r="P656" s="70" t="s">
        <v>13</v>
      </c>
      <c r="Q656" s="71" t="s">
        <v>1954</v>
      </c>
      <c r="R656" s="71" t="s">
        <v>37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1956</v>
      </c>
      <c r="Y656" s="104">
        <f t="shared" si="95"/>
        <v>46232</v>
      </c>
      <c r="Z656" s="105">
        <f ca="1" t="shared" si="96"/>
        <v>65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178</v>
      </c>
      <c r="C657" s="70" t="s">
        <v>31</v>
      </c>
      <c r="D657" s="71" t="s">
        <v>1957</v>
      </c>
      <c r="E657" s="71" t="s">
        <v>148</v>
      </c>
      <c r="F657" s="72"/>
      <c r="G657" s="73"/>
      <c r="H657" s="157"/>
      <c r="I657" s="102">
        <v>46057</v>
      </c>
      <c r="J657" s="70">
        <v>3</v>
      </c>
      <c r="K657" s="106" t="s">
        <v>1958</v>
      </c>
      <c r="L657" s="104">
        <f t="shared" si="97"/>
        <v>46146</v>
      </c>
      <c r="M657" s="105">
        <f ca="1" t="shared" si="98"/>
        <v>-21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95"/>
        <v>0</v>
      </c>
      <c r="Z657" s="105">
        <f ca="1" t="shared" si="96"/>
        <v>-46167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1075</v>
      </c>
      <c r="C658" s="70" t="s">
        <v>31</v>
      </c>
      <c r="D658" s="71" t="s">
        <v>1959</v>
      </c>
      <c r="E658" s="71" t="s">
        <v>1238</v>
      </c>
      <c r="F658" s="72"/>
      <c r="G658" s="73"/>
      <c r="H658" s="157"/>
      <c r="I658" s="102">
        <v>46057</v>
      </c>
      <c r="J658" s="70">
        <v>3</v>
      </c>
      <c r="K658" s="106" t="s">
        <v>1960</v>
      </c>
      <c r="L658" s="104">
        <f t="shared" si="97"/>
        <v>46146</v>
      </c>
      <c r="M658" s="105">
        <f ca="1" t="shared" si="98"/>
        <v>-21</v>
      </c>
      <c r="N658" s="70"/>
      <c r="O658" s="70"/>
      <c r="P658" s="70"/>
      <c r="Q658" s="71"/>
      <c r="R658" s="71"/>
      <c r="S658" s="72"/>
      <c r="T658" s="73"/>
      <c r="U658" s="79"/>
      <c r="V658" s="102"/>
      <c r="W658" s="70"/>
      <c r="X658" s="103"/>
      <c r="Y658" s="104">
        <f t="shared" si="95"/>
        <v>0</v>
      </c>
      <c r="Z658" s="105">
        <f ca="1" t="shared" si="96"/>
        <v>-46167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281</v>
      </c>
      <c r="C659" s="70" t="s">
        <v>203</v>
      </c>
      <c r="D659" s="71" t="s">
        <v>282</v>
      </c>
      <c r="E659" s="71" t="s">
        <v>283</v>
      </c>
      <c r="F659" s="72"/>
      <c r="G659" s="73"/>
      <c r="H659" s="157"/>
      <c r="I659" s="102">
        <v>46057</v>
      </c>
      <c r="J659" s="102" t="s">
        <v>596</v>
      </c>
      <c r="K659" s="106"/>
      <c r="L659" s="104" t="e">
        <f t="shared" si="97"/>
        <v>#VALUE!</v>
      </c>
      <c r="M659" s="105" t="e">
        <f ca="1" t="shared" si="98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95"/>
        <v>0</v>
      </c>
      <c r="Z659" s="105">
        <f ca="1" t="shared" si="96"/>
        <v>-46167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954</v>
      </c>
      <c r="C660" s="70" t="s">
        <v>203</v>
      </c>
      <c r="D660" s="71" t="s">
        <v>1961</v>
      </c>
      <c r="E660" s="71" t="s">
        <v>203</v>
      </c>
      <c r="F660" s="72"/>
      <c r="G660" s="73"/>
      <c r="H660" s="157"/>
      <c r="I660" s="102">
        <v>46057</v>
      </c>
      <c r="J660" s="70">
        <v>3</v>
      </c>
      <c r="K660" s="106" t="s">
        <v>1962</v>
      </c>
      <c r="L660" s="104">
        <f t="shared" si="97"/>
        <v>46146</v>
      </c>
      <c r="M660" s="105">
        <f ca="1" t="shared" si="98"/>
        <v>-21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95"/>
        <v>0</v>
      </c>
      <c r="Z660" s="105">
        <f ca="1" t="shared" si="96"/>
        <v>-46167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208</v>
      </c>
      <c r="C661" s="70" t="s">
        <v>203</v>
      </c>
      <c r="D661" s="71" t="s">
        <v>736</v>
      </c>
      <c r="E661" s="71" t="s">
        <v>1963</v>
      </c>
      <c r="F661" s="72"/>
      <c r="G661" s="73"/>
      <c r="H661" s="157"/>
      <c r="I661" s="102">
        <v>46057</v>
      </c>
      <c r="J661" s="102" t="s">
        <v>596</v>
      </c>
      <c r="K661" s="106"/>
      <c r="L661" s="104" t="e">
        <f t="shared" si="97"/>
        <v>#VALUE!</v>
      </c>
      <c r="M661" s="105" t="e">
        <f ca="1" t="shared" si="98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95"/>
        <v>0</v>
      </c>
      <c r="Z661" s="105">
        <f ca="1" t="shared" si="96"/>
        <v>-46167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1964</v>
      </c>
      <c r="C662" s="70" t="s">
        <v>203</v>
      </c>
      <c r="D662" s="71" t="s">
        <v>1965</v>
      </c>
      <c r="E662" s="71" t="s">
        <v>1966</v>
      </c>
      <c r="F662" s="72"/>
      <c r="G662" s="73"/>
      <c r="H662" s="157"/>
      <c r="I662" s="102">
        <v>46057</v>
      </c>
      <c r="J662" s="70">
        <v>3</v>
      </c>
      <c r="K662" s="106" t="s">
        <v>1967</v>
      </c>
      <c r="L662" s="104">
        <f t="shared" si="97"/>
        <v>46146</v>
      </c>
      <c r="M662" s="105">
        <f ca="1" t="shared" si="98"/>
        <v>-21</v>
      </c>
      <c r="N662" s="70"/>
      <c r="O662" s="70" t="s">
        <v>1964</v>
      </c>
      <c r="P662" s="70" t="s">
        <v>203</v>
      </c>
      <c r="Q662" s="71" t="s">
        <v>1965</v>
      </c>
      <c r="R662" s="71" t="s">
        <v>1966</v>
      </c>
      <c r="S662" s="72"/>
      <c r="T662" s="73"/>
      <c r="U662" s="157"/>
      <c r="V662" s="102">
        <v>46152</v>
      </c>
      <c r="W662" s="70">
        <v>3</v>
      </c>
      <c r="X662" s="103" t="s">
        <v>1968</v>
      </c>
      <c r="Y662" s="104">
        <f t="shared" si="95"/>
        <v>46244</v>
      </c>
      <c r="Z662" s="105">
        <f ca="1" t="shared" si="96"/>
        <v>77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1969</v>
      </c>
      <c r="C663" s="70" t="s">
        <v>203</v>
      </c>
      <c r="D663" s="71" t="s">
        <v>1970</v>
      </c>
      <c r="E663" s="71" t="s">
        <v>279</v>
      </c>
      <c r="F663" s="72"/>
      <c r="G663" s="73"/>
      <c r="H663" s="157"/>
      <c r="I663" s="102">
        <v>46057</v>
      </c>
      <c r="J663" s="70">
        <v>3</v>
      </c>
      <c r="K663" s="106" t="s">
        <v>1971</v>
      </c>
      <c r="L663" s="104">
        <f t="shared" si="97"/>
        <v>46146</v>
      </c>
      <c r="M663" s="105">
        <f ca="1" t="shared" si="98"/>
        <v>-21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95"/>
        <v>0</v>
      </c>
      <c r="Z663" s="105">
        <f ca="1" t="shared" si="96"/>
        <v>-46167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208</v>
      </c>
      <c r="C664" s="70" t="s">
        <v>203</v>
      </c>
      <c r="D664" s="71" t="s">
        <v>743</v>
      </c>
      <c r="E664" s="71" t="s">
        <v>283</v>
      </c>
      <c r="F664" s="72"/>
      <c r="G664" s="73"/>
      <c r="H664" s="157"/>
      <c r="I664" s="102">
        <v>46057</v>
      </c>
      <c r="J664" s="102" t="s">
        <v>596</v>
      </c>
      <c r="K664" s="106" t="s">
        <v>1972</v>
      </c>
      <c r="L664" s="104" t="e">
        <f t="shared" si="97"/>
        <v>#VALUE!</v>
      </c>
      <c r="M664" s="105" t="e">
        <f ca="1" t="shared" si="98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95"/>
        <v>0</v>
      </c>
      <c r="Z664" s="105">
        <f ca="1" t="shared" si="96"/>
        <v>-46167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497</v>
      </c>
      <c r="C665" s="70" t="s">
        <v>203</v>
      </c>
      <c r="D665" s="71" t="s">
        <v>204</v>
      </c>
      <c r="E665" s="71" t="s">
        <v>205</v>
      </c>
      <c r="F665" s="72"/>
      <c r="G665" s="73"/>
      <c r="H665" s="157"/>
      <c r="I665" s="102">
        <v>46057</v>
      </c>
      <c r="J665" s="102" t="s">
        <v>596</v>
      </c>
      <c r="K665" s="106"/>
      <c r="L665" s="104" t="e">
        <f t="shared" si="97"/>
        <v>#VALUE!</v>
      </c>
      <c r="M665" s="105" t="e">
        <f ca="1" t="shared" si="98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95"/>
        <v>0</v>
      </c>
      <c r="Z665" s="105">
        <f ca="1" t="shared" si="96"/>
        <v>-46167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202</v>
      </c>
      <c r="C666" s="70" t="s">
        <v>203</v>
      </c>
      <c r="D666" s="71" t="s">
        <v>204</v>
      </c>
      <c r="E666" s="71" t="s">
        <v>205</v>
      </c>
      <c r="F666" s="72"/>
      <c r="G666" s="73"/>
      <c r="H666" s="157"/>
      <c r="I666" s="102">
        <v>46057</v>
      </c>
      <c r="J666" s="102" t="s">
        <v>596</v>
      </c>
      <c r="K666" s="106"/>
      <c r="L666" s="104" t="e">
        <f t="shared" si="97"/>
        <v>#VALUE!</v>
      </c>
      <c r="M666" s="105" t="e">
        <f ca="1" t="shared" si="98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95"/>
        <v>0</v>
      </c>
      <c r="Z666" s="105">
        <f ca="1" t="shared" si="96"/>
        <v>-46167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102</v>
      </c>
      <c r="C667" s="70" t="s">
        <v>31</v>
      </c>
      <c r="D667" s="71" t="s">
        <v>1973</v>
      </c>
      <c r="E667" s="71" t="s">
        <v>1031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1974</v>
      </c>
      <c r="L667" s="104">
        <f t="shared" si="97"/>
        <v>46147</v>
      </c>
      <c r="M667" s="105">
        <f ca="1" t="shared" si="98"/>
        <v>-20</v>
      </c>
      <c r="N667" s="70"/>
      <c r="O667" s="70"/>
      <c r="P667" s="70"/>
      <c r="Q667" s="71"/>
      <c r="R667" s="71"/>
      <c r="S667" s="72"/>
      <c r="T667" s="73"/>
      <c r="U667" s="74"/>
      <c r="V667" s="102"/>
      <c r="W667" s="70"/>
      <c r="X667" s="103"/>
      <c r="Y667" s="104">
        <f t="shared" ref="Y663:Y672" si="99">EDATE(V667,W667)</f>
        <v>0</v>
      </c>
      <c r="Z667" s="105">
        <f ca="1" t="shared" ref="Z663:Z672" si="100">Y667-TODAY()</f>
        <v>-46167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102</v>
      </c>
      <c r="C668" s="70" t="s">
        <v>31</v>
      </c>
      <c r="D668" s="71" t="s">
        <v>1975</v>
      </c>
      <c r="E668" s="71" t="s">
        <v>111</v>
      </c>
      <c r="F668" s="72"/>
      <c r="G668" s="73"/>
      <c r="H668" s="75"/>
      <c r="I668" s="102">
        <v>46058</v>
      </c>
      <c r="J668" s="70">
        <v>3</v>
      </c>
      <c r="K668" s="106" t="s">
        <v>1976</v>
      </c>
      <c r="L668" s="104">
        <f t="shared" si="97"/>
        <v>46147</v>
      </c>
      <c r="M668" s="105">
        <f ca="1" t="shared" si="98"/>
        <v>-20</v>
      </c>
      <c r="N668" s="70"/>
      <c r="O668" s="70" t="s">
        <v>102</v>
      </c>
      <c r="P668" s="70" t="s">
        <v>31</v>
      </c>
      <c r="Q668" s="71" t="s">
        <v>1975</v>
      </c>
      <c r="R668" s="71" t="s">
        <v>111</v>
      </c>
      <c r="S668" s="72"/>
      <c r="T668" s="73"/>
      <c r="U668" s="75"/>
      <c r="V668" s="102">
        <v>46149</v>
      </c>
      <c r="W668" s="70">
        <v>3</v>
      </c>
      <c r="X668" s="103" t="s">
        <v>1977</v>
      </c>
      <c r="Y668" s="104">
        <f t="shared" si="99"/>
        <v>46241</v>
      </c>
      <c r="Z668" s="105">
        <f ca="1" t="shared" si="100"/>
        <v>74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437</v>
      </c>
      <c r="C669" s="70" t="s">
        <v>31</v>
      </c>
      <c r="D669" s="71" t="s">
        <v>1978</v>
      </c>
      <c r="E669" s="71" t="s">
        <v>400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1979</v>
      </c>
      <c r="L669" s="104">
        <f t="shared" si="97"/>
        <v>46147</v>
      </c>
      <c r="M669" s="105">
        <f ca="1" t="shared" si="98"/>
        <v>-20</v>
      </c>
      <c r="N669" s="70"/>
      <c r="O669" s="70" t="s">
        <v>437</v>
      </c>
      <c r="P669" s="70" t="s">
        <v>31</v>
      </c>
      <c r="Q669" s="71" t="s">
        <v>1978</v>
      </c>
      <c r="R669" s="71" t="s">
        <v>400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1980</v>
      </c>
      <c r="Y669" s="104">
        <f t="shared" si="99"/>
        <v>46223</v>
      </c>
      <c r="Z669" s="105">
        <f ca="1" t="shared" si="100"/>
        <v>56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985</v>
      </c>
      <c r="C670" s="70" t="s">
        <v>31</v>
      </c>
      <c r="D670" s="71" t="s">
        <v>1981</v>
      </c>
      <c r="E670" s="71" t="s">
        <v>148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1982</v>
      </c>
      <c r="L670" s="104">
        <f t="shared" si="97"/>
        <v>46147</v>
      </c>
      <c r="M670" s="105">
        <f ca="1" t="shared" si="98"/>
        <v>-20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99"/>
        <v>0</v>
      </c>
      <c r="Z670" s="105">
        <f ca="1" t="shared" si="100"/>
        <v>-46167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985</v>
      </c>
      <c r="C671" s="70" t="s">
        <v>31</v>
      </c>
      <c r="D671" s="70" t="s">
        <v>1983</v>
      </c>
      <c r="E671" s="71" t="s">
        <v>95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1984</v>
      </c>
      <c r="L671" s="104">
        <f t="shared" si="97"/>
        <v>46147</v>
      </c>
      <c r="M671" s="105">
        <f ca="1" t="shared" si="98"/>
        <v>-20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99"/>
        <v>0</v>
      </c>
      <c r="Z671" s="105">
        <f ca="1" t="shared" si="100"/>
        <v>-46167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559</v>
      </c>
      <c r="C672" s="70" t="s">
        <v>31</v>
      </c>
      <c r="D672" s="71" t="s">
        <v>1985</v>
      </c>
      <c r="E672" s="71" t="s">
        <v>1986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1987</v>
      </c>
      <c r="L672" s="104">
        <f t="shared" si="97"/>
        <v>46147</v>
      </c>
      <c r="M672" s="105">
        <f ca="1" t="shared" si="98"/>
        <v>-20</v>
      </c>
      <c r="N672" s="70"/>
      <c r="O672" s="70"/>
      <c r="P672" s="70"/>
      <c r="Q672" s="71"/>
      <c r="R672" s="71"/>
      <c r="S672" s="72"/>
      <c r="T672" s="73"/>
      <c r="U672" s="74"/>
      <c r="V672" s="102"/>
      <c r="W672" s="70"/>
      <c r="X672" s="103"/>
      <c r="Y672" s="104">
        <f t="shared" si="99"/>
        <v>0</v>
      </c>
      <c r="Z672" s="105">
        <f ca="1" t="shared" si="100"/>
        <v>-46167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1988</v>
      </c>
      <c r="C673" s="70" t="s">
        <v>13</v>
      </c>
      <c r="D673" s="71" t="s">
        <v>1989</v>
      </c>
      <c r="E673" s="71" t="s">
        <v>1990</v>
      </c>
      <c r="F673" s="72"/>
      <c r="G673" s="73"/>
      <c r="H673" s="75"/>
      <c r="I673" s="102">
        <v>46058</v>
      </c>
      <c r="J673" s="70">
        <v>3</v>
      </c>
      <c r="K673" s="106" t="s">
        <v>1991</v>
      </c>
      <c r="L673" s="104">
        <f t="shared" si="97"/>
        <v>46147</v>
      </c>
      <c r="M673" s="105">
        <f ca="1" t="shared" si="98"/>
        <v>-20</v>
      </c>
      <c r="N673" s="70"/>
      <c r="O673" s="70" t="s">
        <v>1988</v>
      </c>
      <c r="P673" s="70" t="s">
        <v>13</v>
      </c>
      <c r="Q673" s="71" t="s">
        <v>1989</v>
      </c>
      <c r="R673" s="71" t="s">
        <v>1990</v>
      </c>
      <c r="S673" s="72"/>
      <c r="T673" s="73"/>
      <c r="U673" s="75"/>
      <c r="V673" s="102">
        <v>46140</v>
      </c>
      <c r="W673" s="70">
        <v>3</v>
      </c>
      <c r="X673" s="103" t="s">
        <v>1992</v>
      </c>
      <c r="Y673" s="104">
        <f t="shared" ref="Y673:Y688" si="101">EDATE(V673,W673)</f>
        <v>46231</v>
      </c>
      <c r="Z673" s="105">
        <f ca="1" t="shared" ref="Z673:Z688" si="102">Y673-TODAY()</f>
        <v>64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1988</v>
      </c>
      <c r="C674" s="70" t="s">
        <v>13</v>
      </c>
      <c r="D674" s="71" t="s">
        <v>1993</v>
      </c>
      <c r="E674" s="71" t="s">
        <v>1994</v>
      </c>
      <c r="F674" s="72"/>
      <c r="G674" s="73"/>
      <c r="H674" s="75" t="s">
        <v>1995</v>
      </c>
      <c r="I674" s="102">
        <v>46058</v>
      </c>
      <c r="J674" s="70">
        <v>3</v>
      </c>
      <c r="K674" s="106" t="s">
        <v>1996</v>
      </c>
      <c r="L674" s="104">
        <f t="shared" si="97"/>
        <v>46147</v>
      </c>
      <c r="M674" s="105">
        <f ca="1" t="shared" si="98"/>
        <v>-20</v>
      </c>
      <c r="N674" s="70"/>
      <c r="O674" s="70" t="s">
        <v>1988</v>
      </c>
      <c r="P674" s="70" t="s">
        <v>13</v>
      </c>
      <c r="Q674" s="71" t="s">
        <v>1993</v>
      </c>
      <c r="R674" s="71" t="s">
        <v>1994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1997</v>
      </c>
      <c r="Y674" s="104">
        <f t="shared" si="101"/>
        <v>46231</v>
      </c>
      <c r="Z674" s="105">
        <f ca="1" t="shared" si="102"/>
        <v>64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1988</v>
      </c>
      <c r="C675" s="70" t="s">
        <v>31</v>
      </c>
      <c r="D675" s="71" t="s">
        <v>1998</v>
      </c>
      <c r="E675" s="71" t="s">
        <v>148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1999</v>
      </c>
      <c r="L675" s="104">
        <f t="shared" si="97"/>
        <v>46147</v>
      </c>
      <c r="M675" s="105">
        <f ca="1" t="shared" si="98"/>
        <v>-20</v>
      </c>
      <c r="N675" s="70"/>
      <c r="O675" s="70" t="s">
        <v>1988</v>
      </c>
      <c r="P675" s="70" t="s">
        <v>31</v>
      </c>
      <c r="Q675" s="71" t="s">
        <v>1998</v>
      </c>
      <c r="R675" s="71" t="s">
        <v>148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2000</v>
      </c>
      <c r="Y675" s="104">
        <f t="shared" si="101"/>
        <v>46231</v>
      </c>
      <c r="Z675" s="105">
        <f ca="1" t="shared" si="102"/>
        <v>64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1467</v>
      </c>
      <c r="C676" s="70" t="s">
        <v>203</v>
      </c>
      <c r="D676" s="71" t="s">
        <v>741</v>
      </c>
      <c r="E676" s="71" t="s">
        <v>594</v>
      </c>
      <c r="F676" s="72"/>
      <c r="G676" s="73"/>
      <c r="H676" s="75"/>
      <c r="I676" s="102">
        <v>46058</v>
      </c>
      <c r="J676" s="102" t="s">
        <v>596</v>
      </c>
      <c r="K676" s="106" t="s">
        <v>2001</v>
      </c>
      <c r="L676" s="104" t="e">
        <f t="shared" si="97"/>
        <v>#VALUE!</v>
      </c>
      <c r="M676" s="105" t="e">
        <f ca="1" t="shared" si="98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01"/>
        <v>0</v>
      </c>
      <c r="Z676" s="105">
        <f ca="1" t="shared" si="102"/>
        <v>-46167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2002</v>
      </c>
      <c r="C677" s="70" t="s">
        <v>31</v>
      </c>
      <c r="D677" s="71" t="s">
        <v>2003</v>
      </c>
      <c r="E677" s="71" t="s">
        <v>2004</v>
      </c>
      <c r="F677" s="72"/>
      <c r="G677" s="73"/>
      <c r="H677" s="75"/>
      <c r="I677" s="102">
        <v>46058</v>
      </c>
      <c r="J677" s="70">
        <v>3</v>
      </c>
      <c r="K677" s="106" t="s">
        <v>2005</v>
      </c>
      <c r="L677" s="104">
        <f t="shared" si="97"/>
        <v>46147</v>
      </c>
      <c r="M677" s="105">
        <f ca="1" t="shared" si="98"/>
        <v>-20</v>
      </c>
      <c r="N677" s="70"/>
      <c r="O677" s="70"/>
      <c r="P677" s="70"/>
      <c r="Q677" s="71"/>
      <c r="R677" s="71"/>
      <c r="S677" s="72"/>
      <c r="T677" s="73"/>
      <c r="U677" s="75"/>
      <c r="V677" s="102"/>
      <c r="W677" s="70"/>
      <c r="X677" s="103"/>
      <c r="Y677" s="104">
        <f t="shared" si="101"/>
        <v>0</v>
      </c>
      <c r="Z677" s="105">
        <f ca="1" t="shared" si="102"/>
        <v>-46167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1988</v>
      </c>
      <c r="C678" s="70" t="s">
        <v>13</v>
      </c>
      <c r="D678" s="71" t="s">
        <v>2006</v>
      </c>
      <c r="E678" s="71" t="s">
        <v>95</v>
      </c>
      <c r="F678" s="72"/>
      <c r="G678" s="73"/>
      <c r="H678" s="75"/>
      <c r="I678" s="102">
        <v>46058</v>
      </c>
      <c r="J678" s="70">
        <v>3</v>
      </c>
      <c r="K678" s="106" t="s">
        <v>2007</v>
      </c>
      <c r="L678" s="104">
        <f t="shared" si="97"/>
        <v>46147</v>
      </c>
      <c r="M678" s="105">
        <f ca="1" t="shared" si="98"/>
        <v>-20</v>
      </c>
      <c r="N678" s="70"/>
      <c r="O678" s="70" t="s">
        <v>1988</v>
      </c>
      <c r="P678" s="70" t="s">
        <v>13</v>
      </c>
      <c r="Q678" s="71" t="s">
        <v>2006</v>
      </c>
      <c r="R678" s="71" t="s">
        <v>95</v>
      </c>
      <c r="S678" s="72"/>
      <c r="T678" s="73"/>
      <c r="U678" s="75"/>
      <c r="V678" s="102">
        <v>46139</v>
      </c>
      <c r="W678" s="70">
        <v>3</v>
      </c>
      <c r="X678" s="103" t="s">
        <v>2008</v>
      </c>
      <c r="Y678" s="104">
        <f t="shared" si="101"/>
        <v>46230</v>
      </c>
      <c r="Z678" s="105">
        <f ca="1" t="shared" si="102"/>
        <v>63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407</v>
      </c>
      <c r="C679" s="70" t="s">
        <v>2009</v>
      </c>
      <c r="D679" s="71" t="s">
        <v>2010</v>
      </c>
      <c r="E679" s="71" t="s">
        <v>2011</v>
      </c>
      <c r="F679" s="72"/>
      <c r="G679" s="73"/>
      <c r="H679" s="75"/>
      <c r="I679" s="102">
        <v>46058</v>
      </c>
      <c r="J679" s="70">
        <v>3</v>
      </c>
      <c r="K679" s="106" t="s">
        <v>2012</v>
      </c>
      <c r="L679" s="104">
        <f t="shared" si="97"/>
        <v>46147</v>
      </c>
      <c r="M679" s="105">
        <f ca="1" t="shared" si="98"/>
        <v>-20</v>
      </c>
      <c r="N679" s="70"/>
      <c r="O679" s="70"/>
      <c r="P679" s="70"/>
      <c r="Q679" s="71"/>
      <c r="R679" s="71"/>
      <c r="S679" s="72"/>
      <c r="T679" s="73"/>
      <c r="U679" s="79"/>
      <c r="V679" s="102"/>
      <c r="W679" s="70"/>
      <c r="X679" s="103"/>
      <c r="Y679" s="104">
        <f t="shared" si="101"/>
        <v>0</v>
      </c>
      <c r="Z679" s="105">
        <f ca="1" t="shared" si="102"/>
        <v>-46167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2013</v>
      </c>
      <c r="C680" s="70" t="s">
        <v>2009</v>
      </c>
      <c r="D680" s="71" t="s">
        <v>2014</v>
      </c>
      <c r="E680" s="71" t="s">
        <v>2015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2016</v>
      </c>
      <c r="L680" s="104">
        <f t="shared" si="97"/>
        <v>46147</v>
      </c>
      <c r="M680" s="105">
        <f ca="1" t="shared" si="98"/>
        <v>-20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01"/>
        <v>0</v>
      </c>
      <c r="Z680" s="105">
        <f ca="1" t="shared" si="102"/>
        <v>-46167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1088</v>
      </c>
      <c r="C681" s="70" t="s">
        <v>287</v>
      </c>
      <c r="D681" s="71" t="s">
        <v>2017</v>
      </c>
      <c r="E681" s="71" t="s">
        <v>968</v>
      </c>
      <c r="F681" s="72"/>
      <c r="G681" s="73"/>
      <c r="H681" s="75"/>
      <c r="I681" s="102">
        <v>46058</v>
      </c>
      <c r="J681" s="70">
        <v>3</v>
      </c>
      <c r="K681" s="106" t="s">
        <v>2018</v>
      </c>
      <c r="L681" s="104">
        <f t="shared" si="97"/>
        <v>46147</v>
      </c>
      <c r="M681" s="105">
        <f ca="1" t="shared" si="98"/>
        <v>-20</v>
      </c>
      <c r="N681" s="70"/>
      <c r="O681" s="70" t="s">
        <v>1088</v>
      </c>
      <c r="P681" s="70" t="s">
        <v>287</v>
      </c>
      <c r="Q681" s="71" t="s">
        <v>2017</v>
      </c>
      <c r="R681" s="71" t="s">
        <v>968</v>
      </c>
      <c r="S681" s="72"/>
      <c r="T681" s="73"/>
      <c r="U681" s="75"/>
      <c r="V681" s="102">
        <v>46133</v>
      </c>
      <c r="W681" s="70">
        <v>3</v>
      </c>
      <c r="X681" s="103" t="s">
        <v>2019</v>
      </c>
      <c r="Y681" s="104">
        <f t="shared" si="101"/>
        <v>46224</v>
      </c>
      <c r="Z681" s="105">
        <f ca="1" t="shared" si="102"/>
        <v>57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44</v>
      </c>
      <c r="C682" s="70" t="s">
        <v>31</v>
      </c>
      <c r="D682" s="71" t="s">
        <v>2020</v>
      </c>
      <c r="E682" s="71" t="s">
        <v>400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2021</v>
      </c>
      <c r="L682" s="104">
        <f t="shared" si="97"/>
        <v>46147</v>
      </c>
      <c r="M682" s="105">
        <f ca="1" t="shared" si="98"/>
        <v>-20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01"/>
        <v>0</v>
      </c>
      <c r="Z682" s="105">
        <f ca="1" t="shared" si="102"/>
        <v>-46167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44</v>
      </c>
      <c r="C683" s="70" t="s">
        <v>31</v>
      </c>
      <c r="D683" s="71" t="s">
        <v>2022</v>
      </c>
      <c r="E683" s="71" t="s">
        <v>400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2023</v>
      </c>
      <c r="L683" s="104">
        <f t="shared" si="97"/>
        <v>46147</v>
      </c>
      <c r="M683" s="105">
        <f ca="1" t="shared" si="98"/>
        <v>-20</v>
      </c>
      <c r="N683" s="70"/>
      <c r="O683" s="70" t="s">
        <v>44</v>
      </c>
      <c r="P683" s="70" t="s">
        <v>31</v>
      </c>
      <c r="Q683" s="71" t="s">
        <v>2022</v>
      </c>
      <c r="R683" s="71" t="s">
        <v>400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2024</v>
      </c>
      <c r="Y683" s="104">
        <f t="shared" si="101"/>
        <v>46224</v>
      </c>
      <c r="Z683" s="105">
        <f ca="1" t="shared" si="102"/>
        <v>57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954</v>
      </c>
      <c r="C684" s="70" t="s">
        <v>203</v>
      </c>
      <c r="D684" s="71" t="s">
        <v>955</v>
      </c>
      <c r="E684" s="71" t="s">
        <v>203</v>
      </c>
      <c r="F684" s="72"/>
      <c r="G684" s="73"/>
      <c r="H684" s="75"/>
      <c r="I684" s="102">
        <v>46058</v>
      </c>
      <c r="J684" s="102" t="s">
        <v>596</v>
      </c>
      <c r="K684" s="106"/>
      <c r="L684" s="104" t="e">
        <f t="shared" si="97"/>
        <v>#VALUE!</v>
      </c>
      <c r="M684" s="105" t="e">
        <f ca="1" t="shared" si="98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01"/>
        <v>0</v>
      </c>
      <c r="Z684" s="105">
        <f ca="1" t="shared" si="102"/>
        <v>-46167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217</v>
      </c>
      <c r="C685" s="70" t="s">
        <v>203</v>
      </c>
      <c r="D685" s="71" t="s">
        <v>2025</v>
      </c>
      <c r="E685" s="71" t="s">
        <v>279</v>
      </c>
      <c r="F685" s="72"/>
      <c r="G685" s="73"/>
      <c r="H685" s="75"/>
      <c r="I685" s="102">
        <v>46060</v>
      </c>
      <c r="J685" s="70">
        <v>3</v>
      </c>
      <c r="K685" s="106" t="s">
        <v>2026</v>
      </c>
      <c r="L685" s="104">
        <f t="shared" si="97"/>
        <v>46149</v>
      </c>
      <c r="M685" s="105">
        <f ca="1" t="shared" si="98"/>
        <v>-18</v>
      </c>
      <c r="N685" s="70"/>
      <c r="O685" s="70" t="s">
        <v>217</v>
      </c>
      <c r="P685" s="70" t="s">
        <v>203</v>
      </c>
      <c r="Q685" s="71" t="s">
        <v>2025</v>
      </c>
      <c r="R685" s="71" t="s">
        <v>279</v>
      </c>
      <c r="S685" s="72"/>
      <c r="T685" s="73"/>
      <c r="U685" s="75"/>
      <c r="V685" s="102">
        <v>46136</v>
      </c>
      <c r="W685" s="70">
        <v>3</v>
      </c>
      <c r="X685" s="103" t="s">
        <v>2027</v>
      </c>
      <c r="Y685" s="104">
        <f t="shared" si="101"/>
        <v>46227</v>
      </c>
      <c r="Z685" s="105">
        <f ca="1" t="shared" si="102"/>
        <v>60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208</v>
      </c>
      <c r="C686" s="70" t="s">
        <v>203</v>
      </c>
      <c r="D686" s="71" t="s">
        <v>743</v>
      </c>
      <c r="E686" s="71" t="s">
        <v>283</v>
      </c>
      <c r="F686" s="72"/>
      <c r="G686" s="73"/>
      <c r="H686" s="75"/>
      <c r="I686" s="102">
        <v>46060</v>
      </c>
      <c r="J686" s="102" t="s">
        <v>596</v>
      </c>
      <c r="K686" s="106"/>
      <c r="L686" s="104" t="e">
        <f t="shared" si="97"/>
        <v>#VALUE!</v>
      </c>
      <c r="M686" s="105" t="e">
        <f ca="1" t="shared" si="98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01"/>
        <v>0</v>
      </c>
      <c r="Z686" s="105">
        <f ca="1" t="shared" si="102"/>
        <v>-46167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1048</v>
      </c>
      <c r="C687" s="70" t="s">
        <v>13</v>
      </c>
      <c r="D687" s="71" t="s">
        <v>2028</v>
      </c>
      <c r="E687" s="71" t="s">
        <v>2029</v>
      </c>
      <c r="F687" s="72"/>
      <c r="G687" s="73"/>
      <c r="H687" s="75"/>
      <c r="I687" s="102">
        <v>46060</v>
      </c>
      <c r="J687" s="70" t="s">
        <v>596</v>
      </c>
      <c r="K687" s="106" t="s">
        <v>2030</v>
      </c>
      <c r="L687" s="104" t="e">
        <f t="shared" si="97"/>
        <v>#VALUE!</v>
      </c>
      <c r="M687" s="105" t="e">
        <f ca="1" t="shared" si="98"/>
        <v>#VALUE!</v>
      </c>
      <c r="N687" s="70"/>
      <c r="O687" s="70"/>
      <c r="P687" s="70"/>
      <c r="Q687" s="71"/>
      <c r="R687" s="145"/>
      <c r="S687" s="169"/>
      <c r="T687" s="170"/>
      <c r="U687" s="114"/>
      <c r="V687" s="102"/>
      <c r="W687" s="70"/>
      <c r="X687" s="103"/>
      <c r="Y687" s="104">
        <f t="shared" si="101"/>
        <v>0</v>
      </c>
      <c r="Z687" s="105">
        <f ca="1" t="shared" si="102"/>
        <v>-46167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1048</v>
      </c>
      <c r="C688" s="70" t="s">
        <v>13</v>
      </c>
      <c r="D688" s="71" t="s">
        <v>2031</v>
      </c>
      <c r="E688" s="71" t="s">
        <v>1837</v>
      </c>
      <c r="F688" s="72"/>
      <c r="G688" s="73"/>
      <c r="H688" s="75"/>
      <c r="I688" s="102">
        <v>46060</v>
      </c>
      <c r="J688" s="70">
        <v>3</v>
      </c>
      <c r="K688" s="106" t="s">
        <v>2032</v>
      </c>
      <c r="L688" s="104">
        <f t="shared" si="97"/>
        <v>46149</v>
      </c>
      <c r="M688" s="105">
        <f ca="1" t="shared" si="98"/>
        <v>-18</v>
      </c>
      <c r="N688" s="70"/>
      <c r="O688" s="70" t="s">
        <v>1048</v>
      </c>
      <c r="P688" s="70" t="s">
        <v>13</v>
      </c>
      <c r="Q688" s="71" t="s">
        <v>2031</v>
      </c>
      <c r="R688" s="71" t="s">
        <v>1837</v>
      </c>
      <c r="S688" s="72"/>
      <c r="T688" s="73"/>
      <c r="U688" s="75"/>
      <c r="V688" s="102">
        <v>46158</v>
      </c>
      <c r="W688" s="70">
        <v>3</v>
      </c>
      <c r="X688" s="103" t="s">
        <v>2033</v>
      </c>
      <c r="Y688" s="104">
        <f t="shared" si="101"/>
        <v>46250</v>
      </c>
      <c r="Z688" s="105">
        <f ca="1" t="shared" si="102"/>
        <v>83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1684</v>
      </c>
      <c r="C689" s="70" t="s">
        <v>13</v>
      </c>
      <c r="D689" s="71" t="s">
        <v>2034</v>
      </c>
      <c r="E689" s="71" t="s">
        <v>2035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2036</v>
      </c>
      <c r="L689" s="104">
        <f t="shared" si="97"/>
        <v>46149</v>
      </c>
      <c r="M689" s="105">
        <f ca="1" t="shared" si="98"/>
        <v>-18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1684</v>
      </c>
      <c r="C690" s="70" t="s">
        <v>31</v>
      </c>
      <c r="D690" s="71" t="s">
        <v>2037</v>
      </c>
      <c r="E690" s="71" t="s">
        <v>2038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2039</v>
      </c>
      <c r="L690" s="104">
        <f t="shared" si="97"/>
        <v>46149</v>
      </c>
      <c r="M690" s="105">
        <f ca="1" t="shared" si="98"/>
        <v>-18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1684</v>
      </c>
      <c r="C691" s="70" t="s">
        <v>31</v>
      </c>
      <c r="D691" s="71" t="s">
        <v>2040</v>
      </c>
      <c r="E691" s="71" t="s">
        <v>2041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2042</v>
      </c>
      <c r="L691" s="104">
        <f t="shared" si="97"/>
        <v>46149</v>
      </c>
      <c r="M691" s="105">
        <f ca="1" t="shared" si="98"/>
        <v>-18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03">EDATE(V691,W691)</f>
        <v>0</v>
      </c>
      <c r="Z691" s="105">
        <f ca="1" t="shared" ref="Z691:Z712" si="104">Y691-TODAY()</f>
        <v>-46167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1680</v>
      </c>
      <c r="C692" s="70" t="s">
        <v>31</v>
      </c>
      <c r="D692" s="71" t="s">
        <v>2043</v>
      </c>
      <c r="E692" s="71" t="s">
        <v>1475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2044</v>
      </c>
      <c r="L692" s="104">
        <f t="shared" si="97"/>
        <v>46149</v>
      </c>
      <c r="M692" s="105">
        <f ca="1" t="shared" si="98"/>
        <v>-18</v>
      </c>
      <c r="N692" s="70"/>
      <c r="O692" s="70" t="s">
        <v>1680</v>
      </c>
      <c r="P692" s="70" t="s">
        <v>31</v>
      </c>
      <c r="Q692" s="71" t="s">
        <v>2043</v>
      </c>
      <c r="R692" s="71" t="s">
        <v>1475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2045</v>
      </c>
      <c r="Y692" s="104">
        <f t="shared" si="103"/>
        <v>46248</v>
      </c>
      <c r="Z692" s="105">
        <f ca="1" t="shared" si="104"/>
        <v>81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217</v>
      </c>
      <c r="C693" s="70" t="s">
        <v>203</v>
      </c>
      <c r="D693" s="71" t="s">
        <v>950</v>
      </c>
      <c r="E693" s="71" t="s">
        <v>279</v>
      </c>
      <c r="F693" s="72"/>
      <c r="G693" s="73"/>
      <c r="H693" s="75"/>
      <c r="I693" s="102">
        <v>46061</v>
      </c>
      <c r="J693" s="70" t="s">
        <v>596</v>
      </c>
      <c r="K693" s="106"/>
      <c r="L693" s="104" t="e">
        <f t="shared" si="97"/>
        <v>#VALUE!</v>
      </c>
      <c r="M693" s="105" t="e">
        <f ca="1" t="shared" si="98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03"/>
        <v>0</v>
      </c>
      <c r="Z693" s="105">
        <f ca="1" t="shared" si="104"/>
        <v>-46167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689</v>
      </c>
      <c r="C694" s="70" t="s">
        <v>287</v>
      </c>
      <c r="D694" s="71" t="s">
        <v>2046</v>
      </c>
      <c r="E694" s="71" t="s">
        <v>2047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2048</v>
      </c>
      <c r="L694" s="104">
        <f t="shared" si="97"/>
        <v>46150</v>
      </c>
      <c r="M694" s="105">
        <f ca="1" t="shared" si="98"/>
        <v>-17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03"/>
        <v>0</v>
      </c>
      <c r="Z694" s="105">
        <f ca="1" t="shared" si="104"/>
        <v>-46167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689</v>
      </c>
      <c r="C695" s="70" t="s">
        <v>287</v>
      </c>
      <c r="D695" s="71" t="s">
        <v>2049</v>
      </c>
      <c r="E695" s="71" t="s">
        <v>615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2050</v>
      </c>
      <c r="L695" s="104">
        <f t="shared" si="97"/>
        <v>46150</v>
      </c>
      <c r="M695" s="105">
        <f ca="1" t="shared" si="98"/>
        <v>-17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03"/>
        <v>0</v>
      </c>
      <c r="Z695" s="105">
        <f ca="1" t="shared" si="104"/>
        <v>-46167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689</v>
      </c>
      <c r="C696" s="70" t="s">
        <v>287</v>
      </c>
      <c r="D696" s="71" t="s">
        <v>2051</v>
      </c>
      <c r="E696" s="71" t="s">
        <v>615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2052</v>
      </c>
      <c r="L696" s="104">
        <f t="shared" si="97"/>
        <v>46150</v>
      </c>
      <c r="M696" s="105">
        <f ca="1" t="shared" si="98"/>
        <v>-17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03"/>
        <v>0</v>
      </c>
      <c r="Z696" s="105">
        <f ca="1" t="shared" si="104"/>
        <v>-46167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689</v>
      </c>
      <c r="C697" s="70" t="s">
        <v>287</v>
      </c>
      <c r="D697" s="71" t="s">
        <v>2053</v>
      </c>
      <c r="E697" s="71" t="s">
        <v>615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2054</v>
      </c>
      <c r="L697" s="104">
        <f t="shared" si="97"/>
        <v>46150</v>
      </c>
      <c r="M697" s="105">
        <f ca="1" t="shared" si="98"/>
        <v>-17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03"/>
        <v>0</v>
      </c>
      <c r="Z697" s="105">
        <f ca="1" t="shared" si="104"/>
        <v>-46167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2055</v>
      </c>
      <c r="C698" s="70" t="s">
        <v>287</v>
      </c>
      <c r="D698" s="71" t="s">
        <v>2056</v>
      </c>
      <c r="E698" s="71" t="s">
        <v>615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2057</v>
      </c>
      <c r="L698" s="104">
        <f t="shared" si="97"/>
        <v>46150</v>
      </c>
      <c r="M698" s="105">
        <f ca="1" t="shared" si="98"/>
        <v>-17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03"/>
        <v>0</v>
      </c>
      <c r="Z698" s="105">
        <f ca="1" t="shared" si="104"/>
        <v>-46167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2055</v>
      </c>
      <c r="C699" s="70" t="s">
        <v>287</v>
      </c>
      <c r="D699" s="71" t="s">
        <v>2058</v>
      </c>
      <c r="E699" s="71" t="s">
        <v>615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2059</v>
      </c>
      <c r="L699" s="104">
        <f t="shared" si="97"/>
        <v>46150</v>
      </c>
      <c r="M699" s="105">
        <f ca="1" t="shared" si="98"/>
        <v>-17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03"/>
        <v>0</v>
      </c>
      <c r="Z699" s="105">
        <f ca="1" t="shared" si="104"/>
        <v>-46167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2055</v>
      </c>
      <c r="C700" s="70" t="s">
        <v>287</v>
      </c>
      <c r="D700" s="71" t="s">
        <v>2060</v>
      </c>
      <c r="E700" s="71" t="s">
        <v>615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2061</v>
      </c>
      <c r="L700" s="104">
        <f t="shared" si="97"/>
        <v>46150</v>
      </c>
      <c r="M700" s="105">
        <f ca="1" t="shared" si="98"/>
        <v>-17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03"/>
        <v>0</v>
      </c>
      <c r="Z700" s="105">
        <f ca="1" t="shared" si="104"/>
        <v>-46167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2062</v>
      </c>
      <c r="C701" s="70" t="s">
        <v>287</v>
      </c>
      <c r="D701" s="71" t="s">
        <v>2063</v>
      </c>
      <c r="E701" s="71" t="s">
        <v>527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2064</v>
      </c>
      <c r="L701" s="104">
        <f t="shared" si="97"/>
        <v>46150</v>
      </c>
      <c r="M701" s="105">
        <f ca="1" t="shared" si="98"/>
        <v>-17</v>
      </c>
      <c r="N701" s="70"/>
      <c r="O701" s="70"/>
      <c r="P701" s="70"/>
      <c r="Q701" s="71"/>
      <c r="R701" s="71"/>
      <c r="S701" s="72"/>
      <c r="T701" s="73"/>
      <c r="U701" s="191"/>
      <c r="V701" s="191"/>
      <c r="W701" s="70"/>
      <c r="X701" s="103"/>
      <c r="Y701" s="104">
        <f t="shared" si="103"/>
        <v>0</v>
      </c>
      <c r="Z701" s="105">
        <f ca="1" t="shared" si="104"/>
        <v>-46167</v>
      </c>
      <c r="AA701" s="70"/>
      <c r="AB701" s="70"/>
      <c r="AC701" s="70"/>
      <c r="AD701" s="71"/>
      <c r="AE701" s="71"/>
      <c r="AF701" s="72"/>
      <c r="AG701" s="73"/>
      <c r="AH701" s="191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583</v>
      </c>
      <c r="C702" s="70" t="s">
        <v>287</v>
      </c>
      <c r="D702" s="71" t="s">
        <v>2065</v>
      </c>
      <c r="E702" s="71" t="s">
        <v>2066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2067</v>
      </c>
      <c r="L702" s="104">
        <f t="shared" si="97"/>
        <v>46150</v>
      </c>
      <c r="M702" s="105">
        <f ca="1" t="shared" si="98"/>
        <v>-17</v>
      </c>
      <c r="N702" s="70"/>
      <c r="O702" s="70" t="s">
        <v>583</v>
      </c>
      <c r="P702" s="70" t="s">
        <v>287</v>
      </c>
      <c r="Q702" s="71" t="s">
        <v>2065</v>
      </c>
      <c r="R702" s="71" t="s">
        <v>2066</v>
      </c>
      <c r="S702" s="72"/>
      <c r="T702" s="73"/>
      <c r="U702" s="74" t="s">
        <v>16</v>
      </c>
      <c r="V702" s="102">
        <v>46164</v>
      </c>
      <c r="W702" s="70">
        <v>3</v>
      </c>
      <c r="X702" s="103"/>
      <c r="Y702" s="104">
        <f t="shared" si="103"/>
        <v>46256</v>
      </c>
      <c r="Z702" s="105">
        <f ca="1" t="shared" si="104"/>
        <v>89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583</v>
      </c>
      <c r="C703" s="70" t="s">
        <v>287</v>
      </c>
      <c r="D703" s="71" t="s">
        <v>2068</v>
      </c>
      <c r="E703" s="71" t="s">
        <v>2066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2069</v>
      </c>
      <c r="L703" s="104">
        <f t="shared" si="97"/>
        <v>46150</v>
      </c>
      <c r="M703" s="105">
        <f ca="1" t="shared" si="98"/>
        <v>-17</v>
      </c>
      <c r="N703" s="70"/>
      <c r="O703" s="70" t="s">
        <v>583</v>
      </c>
      <c r="P703" s="70" t="s">
        <v>287</v>
      </c>
      <c r="Q703" s="71" t="s">
        <v>2068</v>
      </c>
      <c r="R703" s="71" t="s">
        <v>2066</v>
      </c>
      <c r="S703" s="72"/>
      <c r="T703" s="73"/>
      <c r="U703" s="74" t="s">
        <v>16</v>
      </c>
      <c r="V703" s="102">
        <v>46164</v>
      </c>
      <c r="W703" s="70">
        <v>3</v>
      </c>
      <c r="X703" s="103"/>
      <c r="Y703" s="104">
        <f t="shared" si="103"/>
        <v>46256</v>
      </c>
      <c r="Z703" s="105">
        <f ca="1" t="shared" si="104"/>
        <v>89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583</v>
      </c>
      <c r="C704" s="70" t="s">
        <v>287</v>
      </c>
      <c r="D704" s="71" t="s">
        <v>2070</v>
      </c>
      <c r="E704" s="71" t="s">
        <v>2066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2071</v>
      </c>
      <c r="L704" s="104">
        <f t="shared" si="97"/>
        <v>46150</v>
      </c>
      <c r="M704" s="105">
        <f ca="1" t="shared" si="98"/>
        <v>-17</v>
      </c>
      <c r="N704" s="70"/>
      <c r="O704" s="70" t="s">
        <v>583</v>
      </c>
      <c r="P704" s="70" t="s">
        <v>287</v>
      </c>
      <c r="Q704" s="71" t="s">
        <v>2070</v>
      </c>
      <c r="R704" s="71" t="s">
        <v>2066</v>
      </c>
      <c r="S704" s="72"/>
      <c r="T704" s="73"/>
      <c r="U704" s="74" t="s">
        <v>16</v>
      </c>
      <c r="V704" s="102">
        <v>46164</v>
      </c>
      <c r="W704" s="70">
        <v>3</v>
      </c>
      <c r="X704" s="103"/>
      <c r="Y704" s="104">
        <f t="shared" si="103"/>
        <v>46256</v>
      </c>
      <c r="Z704" s="105">
        <f ca="1" t="shared" si="104"/>
        <v>89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55</v>
      </c>
      <c r="C705" s="70" t="s">
        <v>31</v>
      </c>
      <c r="D705" s="71" t="s">
        <v>2072</v>
      </c>
      <c r="E705" s="71" t="s">
        <v>148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2073</v>
      </c>
      <c r="L705" s="104">
        <f t="shared" ref="L705:L768" si="105">EDATE(I705,J705)</f>
        <v>46150</v>
      </c>
      <c r="M705" s="105">
        <f ca="1" t="shared" ref="M705:M768" si="106">L705-TODAY()</f>
        <v>-17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03"/>
        <v>0</v>
      </c>
      <c r="Z705" s="105">
        <f ca="1" t="shared" si="104"/>
        <v>-46167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2074</v>
      </c>
      <c r="C706" s="70" t="s">
        <v>31</v>
      </c>
      <c r="D706" s="71" t="s">
        <v>2075</v>
      </c>
      <c r="E706" s="71" t="s">
        <v>258</v>
      </c>
      <c r="F706" s="72"/>
      <c r="G706" s="73"/>
      <c r="H706" s="75"/>
      <c r="I706" s="102">
        <v>46061</v>
      </c>
      <c r="J706" s="70">
        <v>3</v>
      </c>
      <c r="K706" s="106" t="s">
        <v>2076</v>
      </c>
      <c r="L706" s="104">
        <f t="shared" si="105"/>
        <v>46150</v>
      </c>
      <c r="M706" s="105">
        <f ca="1" t="shared" si="106"/>
        <v>-17</v>
      </c>
      <c r="N706" s="70"/>
      <c r="O706" s="70" t="s">
        <v>2074</v>
      </c>
      <c r="P706" s="70" t="s">
        <v>31</v>
      </c>
      <c r="Q706" s="71" t="s">
        <v>2075</v>
      </c>
      <c r="R706" s="71" t="s">
        <v>258</v>
      </c>
      <c r="S706" s="72"/>
      <c r="T706" s="73"/>
      <c r="U706" s="75"/>
      <c r="V706" s="102">
        <v>46164</v>
      </c>
      <c r="W706" s="70">
        <v>3</v>
      </c>
      <c r="X706" s="103"/>
      <c r="Y706" s="104">
        <f t="shared" si="103"/>
        <v>46256</v>
      </c>
      <c r="Z706" s="105">
        <f ca="1" t="shared" si="104"/>
        <v>89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530</v>
      </c>
      <c r="C707" s="70" t="s">
        <v>31</v>
      </c>
      <c r="D707" s="71" t="s">
        <v>2077</v>
      </c>
      <c r="E707" s="71" t="s">
        <v>453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2078</v>
      </c>
      <c r="L707" s="104">
        <f t="shared" si="105"/>
        <v>46150</v>
      </c>
      <c r="M707" s="105">
        <f ca="1" t="shared" si="106"/>
        <v>-17</v>
      </c>
      <c r="N707" s="70"/>
      <c r="O707" s="70" t="s">
        <v>530</v>
      </c>
      <c r="P707" s="70" t="s">
        <v>31</v>
      </c>
      <c r="Q707" s="71" t="s">
        <v>2077</v>
      </c>
      <c r="R707" s="71" t="s">
        <v>453</v>
      </c>
      <c r="S707" s="72"/>
      <c r="T707" s="73"/>
      <c r="U707" s="74" t="s">
        <v>16</v>
      </c>
      <c r="V707" s="102"/>
      <c r="W707" s="70"/>
      <c r="X707" s="103"/>
      <c r="Y707" s="104">
        <f t="shared" si="103"/>
        <v>0</v>
      </c>
      <c r="Z707" s="105">
        <f ca="1" t="shared" si="104"/>
        <v>-46167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44</v>
      </c>
      <c r="C708" s="70" t="s">
        <v>13</v>
      </c>
      <c r="D708" s="71" t="s">
        <v>2079</v>
      </c>
      <c r="E708" s="71" t="s">
        <v>2080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2081</v>
      </c>
      <c r="L708" s="104">
        <f t="shared" si="105"/>
        <v>46150</v>
      </c>
      <c r="M708" s="105">
        <f ca="1" t="shared" si="106"/>
        <v>-17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03"/>
        <v>0</v>
      </c>
      <c r="Z708" s="105">
        <f ca="1" t="shared" si="104"/>
        <v>-46167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55</v>
      </c>
      <c r="C709" s="70" t="s">
        <v>13</v>
      </c>
      <c r="D709" s="71" t="s">
        <v>2082</v>
      </c>
      <c r="E709" s="71" t="s">
        <v>57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2083</v>
      </c>
      <c r="L709" s="104">
        <f t="shared" si="105"/>
        <v>46150</v>
      </c>
      <c r="M709" s="105">
        <f ca="1" t="shared" si="106"/>
        <v>-17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03"/>
        <v>0</v>
      </c>
      <c r="Z709" s="105">
        <f ca="1" t="shared" si="104"/>
        <v>-46167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202</v>
      </c>
      <c r="C710" s="70" t="s">
        <v>203</v>
      </c>
      <c r="D710" s="71" t="s">
        <v>741</v>
      </c>
      <c r="E710" s="71" t="s">
        <v>594</v>
      </c>
      <c r="F710" s="72"/>
      <c r="G710" s="73"/>
      <c r="H710" s="75"/>
      <c r="I710" s="102">
        <v>46061</v>
      </c>
      <c r="J710" s="102" t="s">
        <v>596</v>
      </c>
      <c r="K710" s="106"/>
      <c r="L710" s="104" t="e">
        <f t="shared" si="105"/>
        <v>#VALUE!</v>
      </c>
      <c r="M710" s="105" t="e">
        <f ca="1" t="shared" si="106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03"/>
        <v>0</v>
      </c>
      <c r="Z710" s="105">
        <f ca="1" t="shared" si="104"/>
        <v>-46167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202</v>
      </c>
      <c r="C711" s="70" t="s">
        <v>203</v>
      </c>
      <c r="D711" s="71" t="s">
        <v>741</v>
      </c>
      <c r="E711" s="71" t="s">
        <v>585</v>
      </c>
      <c r="F711" s="72"/>
      <c r="G711" s="73"/>
      <c r="H711" s="75"/>
      <c r="I711" s="102">
        <v>46061</v>
      </c>
      <c r="J711" s="102" t="s">
        <v>596</v>
      </c>
      <c r="K711" s="106"/>
      <c r="L711" s="104" t="e">
        <f t="shared" si="105"/>
        <v>#VALUE!</v>
      </c>
      <c r="M711" s="105" t="e">
        <f ca="1" t="shared" si="106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03"/>
        <v>0</v>
      </c>
      <c r="Z711" s="105">
        <f ca="1" t="shared" si="104"/>
        <v>-46167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230</v>
      </c>
      <c r="C712" s="70" t="s">
        <v>203</v>
      </c>
      <c r="D712" s="71" t="s">
        <v>2084</v>
      </c>
      <c r="E712" s="71" t="s">
        <v>1305</v>
      </c>
      <c r="F712" s="72"/>
      <c r="G712" s="73"/>
      <c r="H712" s="75"/>
      <c r="I712" s="102">
        <v>46061</v>
      </c>
      <c r="J712" s="70">
        <v>3</v>
      </c>
      <c r="K712" s="106" t="s">
        <v>2085</v>
      </c>
      <c r="L712" s="104">
        <f t="shared" si="105"/>
        <v>46150</v>
      </c>
      <c r="M712" s="105">
        <f ca="1" t="shared" si="106"/>
        <v>-17</v>
      </c>
      <c r="N712" s="70"/>
      <c r="O712" s="70" t="s">
        <v>230</v>
      </c>
      <c r="P712" s="70" t="s">
        <v>203</v>
      </c>
      <c r="Q712" s="71" t="s">
        <v>2084</v>
      </c>
      <c r="R712" s="71" t="s">
        <v>1305</v>
      </c>
      <c r="S712" s="72"/>
      <c r="T712" s="73"/>
      <c r="U712" s="75"/>
      <c r="V712" s="102">
        <v>46138</v>
      </c>
      <c r="W712" s="70">
        <v>3</v>
      </c>
      <c r="X712" s="103" t="s">
        <v>2086</v>
      </c>
      <c r="Y712" s="104">
        <f t="shared" si="103"/>
        <v>46229</v>
      </c>
      <c r="Z712" s="105">
        <f ca="1" t="shared" si="104"/>
        <v>62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1467</v>
      </c>
      <c r="C713" s="70" t="s">
        <v>203</v>
      </c>
      <c r="D713" s="71" t="s">
        <v>741</v>
      </c>
      <c r="E713" s="71" t="s">
        <v>594</v>
      </c>
      <c r="F713" s="72"/>
      <c r="G713" s="73"/>
      <c r="H713" s="75"/>
      <c r="I713" s="102">
        <v>46061</v>
      </c>
      <c r="J713" s="102" t="s">
        <v>596</v>
      </c>
      <c r="K713" s="106"/>
      <c r="L713" s="104" t="e">
        <f t="shared" si="105"/>
        <v>#VALUE!</v>
      </c>
      <c r="M713" s="105" t="e">
        <f ca="1" t="shared" si="106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07">EDATE(V713,W713)</f>
        <v>0</v>
      </c>
      <c r="Z713" s="105">
        <f ca="1" t="shared" ref="Z712:Z753" si="108">Y713-TODAY()</f>
        <v>-46167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500</v>
      </c>
      <c r="C714" s="70" t="s">
        <v>203</v>
      </c>
      <c r="D714" s="71" t="s">
        <v>1823</v>
      </c>
      <c r="E714" s="71" t="s">
        <v>1824</v>
      </c>
      <c r="F714" s="72"/>
      <c r="G714" s="73"/>
      <c r="H714" s="75"/>
      <c r="I714" s="102">
        <v>46061</v>
      </c>
      <c r="J714" s="102" t="s">
        <v>596</v>
      </c>
      <c r="K714" s="106" t="s">
        <v>2087</v>
      </c>
      <c r="L714" s="104" t="e">
        <f t="shared" si="105"/>
        <v>#VALUE!</v>
      </c>
      <c r="M714" s="105" t="e">
        <f ca="1" t="shared" si="106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07"/>
        <v>0</v>
      </c>
      <c r="Z714" s="105">
        <f ca="1" t="shared" si="108"/>
        <v>-46167</v>
      </c>
      <c r="AA714" s="70"/>
      <c r="AB714" s="70"/>
      <c r="AC714" s="70"/>
      <c r="AD714" s="71"/>
      <c r="AE714" s="71"/>
      <c r="AF714" s="72"/>
      <c r="AG714" s="73"/>
      <c r="AH714" s="191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500</v>
      </c>
      <c r="C715" s="70" t="s">
        <v>203</v>
      </c>
      <c r="D715" s="71" t="s">
        <v>2088</v>
      </c>
      <c r="E715" s="71" t="s">
        <v>2089</v>
      </c>
      <c r="F715" s="72"/>
      <c r="G715" s="73"/>
      <c r="H715" s="75"/>
      <c r="I715" s="102">
        <v>46061</v>
      </c>
      <c r="J715" s="70">
        <v>3</v>
      </c>
      <c r="K715" s="106" t="s">
        <v>2090</v>
      </c>
      <c r="L715" s="104">
        <f t="shared" si="105"/>
        <v>46150</v>
      </c>
      <c r="M715" s="105">
        <f ca="1" t="shared" si="106"/>
        <v>-17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07"/>
        <v>0</v>
      </c>
      <c r="Z715" s="105">
        <f ca="1" t="shared" si="108"/>
        <v>-46167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497</v>
      </c>
      <c r="C716" s="70" t="s">
        <v>203</v>
      </c>
      <c r="D716" s="71" t="s">
        <v>204</v>
      </c>
      <c r="E716" s="71" t="s">
        <v>585</v>
      </c>
      <c r="F716" s="72"/>
      <c r="G716" s="73"/>
      <c r="H716" s="75"/>
      <c r="I716" s="102">
        <v>46061</v>
      </c>
      <c r="J716" s="102" t="s">
        <v>596</v>
      </c>
      <c r="K716" s="106"/>
      <c r="L716" s="104" t="e">
        <f t="shared" si="105"/>
        <v>#VALUE!</v>
      </c>
      <c r="M716" s="105" t="e">
        <f ca="1" t="shared" si="106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07"/>
        <v>0</v>
      </c>
      <c r="Z716" s="105">
        <f ca="1" t="shared" si="108"/>
        <v>-46167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958</v>
      </c>
      <c r="C717" s="70" t="s">
        <v>203</v>
      </c>
      <c r="D717" s="71" t="s">
        <v>2091</v>
      </c>
      <c r="E717" s="71" t="s">
        <v>279</v>
      </c>
      <c r="F717" s="72"/>
      <c r="G717" s="73"/>
      <c r="H717" s="75"/>
      <c r="I717" s="102">
        <v>46061</v>
      </c>
      <c r="J717" s="70">
        <v>3</v>
      </c>
      <c r="K717" s="106" t="s">
        <v>2092</v>
      </c>
      <c r="L717" s="104">
        <f t="shared" si="105"/>
        <v>46150</v>
      </c>
      <c r="M717" s="105">
        <f ca="1" t="shared" si="106"/>
        <v>-17</v>
      </c>
      <c r="N717" s="70"/>
      <c r="O717" s="70" t="s">
        <v>958</v>
      </c>
      <c r="P717" s="70" t="s">
        <v>203</v>
      </c>
      <c r="Q717" s="71" t="s">
        <v>2091</v>
      </c>
      <c r="R717" s="71" t="s">
        <v>279</v>
      </c>
      <c r="S717" s="72"/>
      <c r="T717" s="73"/>
      <c r="U717" s="75"/>
      <c r="V717" s="102">
        <v>46139</v>
      </c>
      <c r="W717" s="70">
        <v>3</v>
      </c>
      <c r="X717" s="103" t="s">
        <v>2093</v>
      </c>
      <c r="Y717" s="104">
        <f t="shared" si="107"/>
        <v>46230</v>
      </c>
      <c r="Z717" s="105">
        <f ca="1" t="shared" si="108"/>
        <v>63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673</v>
      </c>
      <c r="C718" s="70" t="s">
        <v>203</v>
      </c>
      <c r="D718" s="71" t="s">
        <v>2094</v>
      </c>
      <c r="E718" s="71" t="s">
        <v>2095</v>
      </c>
      <c r="F718" s="72"/>
      <c r="G718" s="73"/>
      <c r="H718" s="75"/>
      <c r="I718" s="102">
        <v>46061</v>
      </c>
      <c r="J718" s="70">
        <v>3</v>
      </c>
      <c r="K718" s="106" t="s">
        <v>2096</v>
      </c>
      <c r="L718" s="104">
        <f t="shared" si="105"/>
        <v>46150</v>
      </c>
      <c r="M718" s="105">
        <f ca="1" t="shared" si="106"/>
        <v>-17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07"/>
        <v>0</v>
      </c>
      <c r="Z718" s="105">
        <f ca="1" t="shared" si="108"/>
        <v>-46167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673</v>
      </c>
      <c r="C719" s="70" t="s">
        <v>203</v>
      </c>
      <c r="D719" s="71" t="s">
        <v>2097</v>
      </c>
      <c r="E719" s="71" t="s">
        <v>2095</v>
      </c>
      <c r="F719" s="72"/>
      <c r="G719" s="73"/>
      <c r="H719" s="75"/>
      <c r="I719" s="102">
        <v>46061</v>
      </c>
      <c r="J719" s="70">
        <v>3</v>
      </c>
      <c r="K719" s="106" t="s">
        <v>2098</v>
      </c>
      <c r="L719" s="104">
        <f t="shared" si="105"/>
        <v>46150</v>
      </c>
      <c r="M719" s="105">
        <f ca="1" t="shared" si="106"/>
        <v>-17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07"/>
        <v>0</v>
      </c>
      <c r="Z719" s="105">
        <f ca="1" t="shared" si="108"/>
        <v>-46167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132</v>
      </c>
      <c r="C720" s="70" t="s">
        <v>31</v>
      </c>
      <c r="D720" s="71" t="s">
        <v>133</v>
      </c>
      <c r="E720" s="71" t="s">
        <v>134</v>
      </c>
      <c r="F720" s="72"/>
      <c r="G720" s="73"/>
      <c r="H720" s="75"/>
      <c r="I720" s="102">
        <v>46061</v>
      </c>
      <c r="J720" s="102" t="s">
        <v>596</v>
      </c>
      <c r="K720" s="106"/>
      <c r="L720" s="104" t="e">
        <f t="shared" si="105"/>
        <v>#VALUE!</v>
      </c>
      <c r="M720" s="105" t="e">
        <f ca="1" t="shared" si="106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07"/>
        <v>0</v>
      </c>
      <c r="Z720" s="105">
        <f ca="1" t="shared" si="108"/>
        <v>-46167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797</v>
      </c>
      <c r="C721" s="70" t="s">
        <v>287</v>
      </c>
      <c r="D721" s="71" t="s">
        <v>2099</v>
      </c>
      <c r="E721" s="71" t="s">
        <v>799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2100</v>
      </c>
      <c r="L721" s="104">
        <f t="shared" si="105"/>
        <v>46150</v>
      </c>
      <c r="M721" s="105">
        <f ca="1" t="shared" si="106"/>
        <v>-17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07"/>
        <v>0</v>
      </c>
      <c r="Z721" s="105">
        <f ca="1" t="shared" si="108"/>
        <v>-46167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1048</v>
      </c>
      <c r="C722" s="70" t="s">
        <v>13</v>
      </c>
      <c r="D722" s="71" t="s">
        <v>2101</v>
      </c>
      <c r="E722" s="71" t="s">
        <v>2102</v>
      </c>
      <c r="F722" s="72"/>
      <c r="G722" s="73"/>
      <c r="H722" s="75"/>
      <c r="I722" s="102">
        <v>46061</v>
      </c>
      <c r="J722" s="70">
        <v>3</v>
      </c>
      <c r="K722" s="106" t="s">
        <v>2103</v>
      </c>
      <c r="L722" s="104">
        <f t="shared" si="105"/>
        <v>46150</v>
      </c>
      <c r="M722" s="105">
        <f ca="1" t="shared" si="106"/>
        <v>-17</v>
      </c>
      <c r="N722" s="70"/>
      <c r="O722" s="70" t="s">
        <v>1048</v>
      </c>
      <c r="P722" s="70" t="s">
        <v>13</v>
      </c>
      <c r="Q722" s="71" t="s">
        <v>2101</v>
      </c>
      <c r="R722" s="71" t="s">
        <v>2102</v>
      </c>
      <c r="S722" s="72"/>
      <c r="T722" s="73"/>
      <c r="U722" s="75"/>
      <c r="V722" s="102">
        <v>46158</v>
      </c>
      <c r="W722" s="70">
        <v>3</v>
      </c>
      <c r="X722" s="103" t="s">
        <v>2104</v>
      </c>
      <c r="Y722" s="104">
        <f t="shared" si="107"/>
        <v>46250</v>
      </c>
      <c r="Z722" s="105">
        <f ca="1" t="shared" si="108"/>
        <v>83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1048</v>
      </c>
      <c r="C723" s="70" t="s">
        <v>13</v>
      </c>
      <c r="D723" s="71" t="s">
        <v>2105</v>
      </c>
      <c r="E723" s="71" t="s">
        <v>2106</v>
      </c>
      <c r="F723" s="72"/>
      <c r="G723" s="73"/>
      <c r="H723" s="75"/>
      <c r="I723" s="102">
        <v>46061</v>
      </c>
      <c r="J723" s="70">
        <v>3</v>
      </c>
      <c r="K723" s="106" t="s">
        <v>2107</v>
      </c>
      <c r="L723" s="104">
        <f t="shared" si="105"/>
        <v>46150</v>
      </c>
      <c r="M723" s="105">
        <f ca="1" t="shared" si="106"/>
        <v>-17</v>
      </c>
      <c r="N723" s="70"/>
      <c r="O723" s="70"/>
      <c r="P723" s="70"/>
      <c r="Q723" s="71"/>
      <c r="R723" s="71"/>
      <c r="S723" s="72"/>
      <c r="T723" s="73"/>
      <c r="U723" s="74"/>
      <c r="V723" s="102"/>
      <c r="W723" s="70"/>
      <c r="X723" s="103"/>
      <c r="Y723" s="104">
        <f t="shared" si="107"/>
        <v>0</v>
      </c>
      <c r="Z723" s="105">
        <f ca="1" t="shared" si="108"/>
        <v>-46167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583</v>
      </c>
      <c r="C724" s="70" t="s">
        <v>31</v>
      </c>
      <c r="D724" s="71" t="s">
        <v>2108</v>
      </c>
      <c r="E724" s="71" t="s">
        <v>148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2109</v>
      </c>
      <c r="L724" s="104">
        <f t="shared" si="105"/>
        <v>46150</v>
      </c>
      <c r="M724" s="105">
        <f ca="1" t="shared" si="106"/>
        <v>-17</v>
      </c>
      <c r="N724" s="70"/>
      <c r="O724" s="70" t="s">
        <v>583</v>
      </c>
      <c r="P724" s="70" t="s">
        <v>31</v>
      </c>
      <c r="Q724" s="71" t="s">
        <v>2108</v>
      </c>
      <c r="R724" s="71" t="s">
        <v>148</v>
      </c>
      <c r="S724" s="72"/>
      <c r="T724" s="73"/>
      <c r="U724" s="79" t="s">
        <v>16</v>
      </c>
      <c r="V724" s="102">
        <v>46164</v>
      </c>
      <c r="W724" s="70">
        <v>3</v>
      </c>
      <c r="X724" s="103"/>
      <c r="Y724" s="104">
        <f t="shared" si="107"/>
        <v>46256</v>
      </c>
      <c r="Z724" s="105">
        <f ca="1" t="shared" si="108"/>
        <v>89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805</v>
      </c>
      <c r="C725" s="70" t="s">
        <v>287</v>
      </c>
      <c r="D725" s="71" t="s">
        <v>2110</v>
      </c>
      <c r="E725" s="71" t="s">
        <v>1013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2111</v>
      </c>
      <c r="L725" s="104">
        <f t="shared" si="105"/>
        <v>46150</v>
      </c>
      <c r="M725" s="105">
        <f ca="1" t="shared" si="106"/>
        <v>-17</v>
      </c>
      <c r="N725" s="70"/>
      <c r="O725" s="70"/>
      <c r="P725" s="70"/>
      <c r="Q725" s="71"/>
      <c r="R725" s="71"/>
      <c r="S725" s="72"/>
      <c r="T725" s="73"/>
      <c r="U725" s="79"/>
      <c r="V725" s="102"/>
      <c r="W725" s="70"/>
      <c r="X725" s="103"/>
      <c r="Y725" s="104">
        <f t="shared" si="107"/>
        <v>0</v>
      </c>
      <c r="Z725" s="105">
        <f ca="1" t="shared" si="108"/>
        <v>-46167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230</v>
      </c>
      <c r="C726" s="70" t="s">
        <v>203</v>
      </c>
      <c r="D726" s="71" t="s">
        <v>2112</v>
      </c>
      <c r="E726" s="71" t="s">
        <v>2113</v>
      </c>
      <c r="F726" s="72"/>
      <c r="G726" s="73"/>
      <c r="H726" s="75"/>
      <c r="I726" s="102">
        <v>46062</v>
      </c>
      <c r="J726" s="70">
        <v>3</v>
      </c>
      <c r="K726" s="106" t="s">
        <v>2114</v>
      </c>
      <c r="L726" s="104">
        <f t="shared" si="105"/>
        <v>46151</v>
      </c>
      <c r="M726" s="105">
        <f ca="1" t="shared" si="106"/>
        <v>-16</v>
      </c>
      <c r="N726" s="70"/>
      <c r="O726" s="70" t="s">
        <v>230</v>
      </c>
      <c r="P726" s="70" t="s">
        <v>203</v>
      </c>
      <c r="Q726" s="71" t="s">
        <v>2112</v>
      </c>
      <c r="R726" s="71" t="s">
        <v>2113</v>
      </c>
      <c r="S726" s="72"/>
      <c r="T726" s="73"/>
      <c r="U726" s="75"/>
      <c r="V726" s="102">
        <v>46152</v>
      </c>
      <c r="W726" s="70">
        <v>3</v>
      </c>
      <c r="X726" s="103" t="s">
        <v>2115</v>
      </c>
      <c r="Y726" s="104">
        <f t="shared" si="107"/>
        <v>46244</v>
      </c>
      <c r="Z726" s="105">
        <f ca="1" t="shared" si="108"/>
        <v>77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230</v>
      </c>
      <c r="C727" s="70" t="s">
        <v>203</v>
      </c>
      <c r="D727" s="71" t="s">
        <v>2116</v>
      </c>
      <c r="E727" s="71" t="s">
        <v>2117</v>
      </c>
      <c r="F727" s="72"/>
      <c r="G727" s="73"/>
      <c r="H727" s="75"/>
      <c r="I727" s="102">
        <v>46062</v>
      </c>
      <c r="J727" s="70">
        <v>3</v>
      </c>
      <c r="K727" s="106" t="s">
        <v>2118</v>
      </c>
      <c r="L727" s="104">
        <f t="shared" si="105"/>
        <v>46151</v>
      </c>
      <c r="M727" s="105">
        <f ca="1" t="shared" si="106"/>
        <v>-16</v>
      </c>
      <c r="N727" s="70"/>
      <c r="O727" s="70" t="s">
        <v>230</v>
      </c>
      <c r="P727" s="70" t="s">
        <v>203</v>
      </c>
      <c r="Q727" s="71" t="s">
        <v>2116</v>
      </c>
      <c r="R727" s="71" t="s">
        <v>2117</v>
      </c>
      <c r="S727" s="72"/>
      <c r="T727" s="73"/>
      <c r="U727" s="75"/>
      <c r="V727" s="102">
        <v>46152</v>
      </c>
      <c r="W727" s="70">
        <v>3</v>
      </c>
      <c r="X727" s="103" t="s">
        <v>2119</v>
      </c>
      <c r="Y727" s="104">
        <f t="shared" si="107"/>
        <v>46244</v>
      </c>
      <c r="Z727" s="105">
        <f ca="1" t="shared" si="108"/>
        <v>77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673</v>
      </c>
      <c r="C728" s="70" t="s">
        <v>203</v>
      </c>
      <c r="D728" s="71" t="s">
        <v>2120</v>
      </c>
      <c r="E728" s="71" t="s">
        <v>2121</v>
      </c>
      <c r="F728" s="72"/>
      <c r="G728" s="73"/>
      <c r="H728" s="75"/>
      <c r="I728" s="102">
        <v>46062</v>
      </c>
      <c r="J728" s="70">
        <v>3</v>
      </c>
      <c r="K728" s="106" t="s">
        <v>2122</v>
      </c>
      <c r="L728" s="104">
        <f t="shared" si="105"/>
        <v>46151</v>
      </c>
      <c r="M728" s="105">
        <f ca="1" t="shared" si="106"/>
        <v>-16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07"/>
        <v>0</v>
      </c>
      <c r="Z728" s="105">
        <f ca="1" t="shared" si="108"/>
        <v>-46167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673</v>
      </c>
      <c r="C729" s="70" t="s">
        <v>203</v>
      </c>
      <c r="D729" s="71" t="s">
        <v>2123</v>
      </c>
      <c r="E729" s="71" t="s">
        <v>2124</v>
      </c>
      <c r="F729" s="72"/>
      <c r="G729" s="73"/>
      <c r="H729" s="75"/>
      <c r="I729" s="102">
        <v>46062</v>
      </c>
      <c r="J729" s="70">
        <v>3</v>
      </c>
      <c r="K729" s="106" t="s">
        <v>2125</v>
      </c>
      <c r="L729" s="104">
        <f t="shared" si="105"/>
        <v>46151</v>
      </c>
      <c r="M729" s="105">
        <f ca="1" t="shared" si="106"/>
        <v>-16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07"/>
        <v>0</v>
      </c>
      <c r="Z729" s="105">
        <f ca="1" t="shared" si="108"/>
        <v>-46167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673</v>
      </c>
      <c r="C730" s="70" t="s">
        <v>203</v>
      </c>
      <c r="D730" s="71" t="s">
        <v>2126</v>
      </c>
      <c r="E730" s="71" t="s">
        <v>2127</v>
      </c>
      <c r="F730" s="72"/>
      <c r="G730" s="73"/>
      <c r="H730" s="75"/>
      <c r="I730" s="102">
        <v>46062</v>
      </c>
      <c r="J730" s="70">
        <v>3</v>
      </c>
      <c r="K730" s="106" t="s">
        <v>2128</v>
      </c>
      <c r="L730" s="104">
        <f t="shared" si="105"/>
        <v>46151</v>
      </c>
      <c r="M730" s="105">
        <f ca="1" t="shared" si="106"/>
        <v>-16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07"/>
        <v>0</v>
      </c>
      <c r="Z730" s="105">
        <f ca="1" t="shared" si="108"/>
        <v>-46167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673</v>
      </c>
      <c r="C731" s="70" t="s">
        <v>203</v>
      </c>
      <c r="D731" s="71" t="s">
        <v>2129</v>
      </c>
      <c r="E731" s="71" t="s">
        <v>2130</v>
      </c>
      <c r="F731" s="72"/>
      <c r="G731" s="73"/>
      <c r="H731" s="75"/>
      <c r="I731" s="102">
        <v>46062</v>
      </c>
      <c r="J731" s="70">
        <v>3</v>
      </c>
      <c r="K731" s="106" t="s">
        <v>2131</v>
      </c>
      <c r="L731" s="104">
        <f t="shared" si="105"/>
        <v>46151</v>
      </c>
      <c r="M731" s="105">
        <f ca="1" t="shared" si="106"/>
        <v>-16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07"/>
        <v>0</v>
      </c>
      <c r="Z731" s="105">
        <f ca="1" t="shared" si="108"/>
        <v>-46167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673</v>
      </c>
      <c r="C732" s="70" t="s">
        <v>203</v>
      </c>
      <c r="D732" s="71" t="s">
        <v>2132</v>
      </c>
      <c r="E732" s="71" t="s">
        <v>2117</v>
      </c>
      <c r="F732" s="72"/>
      <c r="G732" s="73"/>
      <c r="H732" s="75"/>
      <c r="I732" s="102">
        <v>46062</v>
      </c>
      <c r="J732" s="70">
        <v>3</v>
      </c>
      <c r="K732" s="106" t="s">
        <v>2133</v>
      </c>
      <c r="L732" s="104">
        <f t="shared" si="105"/>
        <v>46151</v>
      </c>
      <c r="M732" s="105">
        <f ca="1" t="shared" si="106"/>
        <v>-16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07"/>
        <v>0</v>
      </c>
      <c r="Z732" s="105">
        <f ca="1" t="shared" si="108"/>
        <v>-46167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2134</v>
      </c>
      <c r="C733" s="70" t="s">
        <v>203</v>
      </c>
      <c r="D733" s="71" t="s">
        <v>2135</v>
      </c>
      <c r="E733" s="71" t="s">
        <v>2136</v>
      </c>
      <c r="F733" s="72"/>
      <c r="G733" s="73"/>
      <c r="H733" s="75"/>
      <c r="I733" s="102">
        <v>46062</v>
      </c>
      <c r="J733" s="70">
        <v>3</v>
      </c>
      <c r="K733" s="106" t="s">
        <v>2137</v>
      </c>
      <c r="L733" s="104">
        <f t="shared" si="105"/>
        <v>46151</v>
      </c>
      <c r="M733" s="105">
        <f ca="1" t="shared" si="106"/>
        <v>-16</v>
      </c>
      <c r="N733" s="70"/>
      <c r="O733" s="70"/>
      <c r="P733" s="70"/>
      <c r="Q733" s="71"/>
      <c r="R733" s="71"/>
      <c r="S733" s="72"/>
      <c r="T733" s="73"/>
      <c r="U733" s="79"/>
      <c r="V733" s="102"/>
      <c r="W733" s="70"/>
      <c r="X733" s="103"/>
      <c r="Y733" s="104">
        <f t="shared" si="107"/>
        <v>0</v>
      </c>
      <c r="Z733" s="105">
        <f ca="1" t="shared" si="108"/>
        <v>-46167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954</v>
      </c>
      <c r="C734" s="70" t="s">
        <v>203</v>
      </c>
      <c r="D734" s="71" t="s">
        <v>955</v>
      </c>
      <c r="E734" s="71" t="s">
        <v>203</v>
      </c>
      <c r="F734" s="72"/>
      <c r="G734" s="73"/>
      <c r="H734" s="75"/>
      <c r="I734" s="102">
        <v>46062</v>
      </c>
      <c r="J734" s="102" t="s">
        <v>596</v>
      </c>
      <c r="K734" s="106"/>
      <c r="L734" s="104" t="e">
        <f t="shared" si="105"/>
        <v>#VALUE!</v>
      </c>
      <c r="M734" s="105" t="e">
        <f ca="1" t="shared" si="106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07"/>
        <v>0</v>
      </c>
      <c r="Z734" s="105">
        <f ca="1" t="shared" si="108"/>
        <v>-46167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407</v>
      </c>
      <c r="C735" s="70" t="s">
        <v>13</v>
      </c>
      <c r="D735" s="71" t="s">
        <v>2138</v>
      </c>
      <c r="E735" s="71" t="s">
        <v>2139</v>
      </c>
      <c r="F735" s="72"/>
      <c r="G735" s="73"/>
      <c r="H735" s="75"/>
      <c r="I735" s="102">
        <v>46063</v>
      </c>
      <c r="J735" s="70">
        <v>3</v>
      </c>
      <c r="K735" s="106" t="s">
        <v>2140</v>
      </c>
      <c r="L735" s="104">
        <f t="shared" si="105"/>
        <v>46152</v>
      </c>
      <c r="M735" s="105">
        <f ca="1" t="shared" si="106"/>
        <v>-15</v>
      </c>
      <c r="N735" s="70"/>
      <c r="O735" s="70" t="s">
        <v>407</v>
      </c>
      <c r="P735" s="70" t="s">
        <v>13</v>
      </c>
      <c r="Q735" s="71" t="s">
        <v>2138</v>
      </c>
      <c r="R735" s="71" t="s">
        <v>2139</v>
      </c>
      <c r="S735" s="72"/>
      <c r="T735" s="73"/>
      <c r="U735" s="75"/>
      <c r="V735" s="102">
        <v>46158</v>
      </c>
      <c r="W735" s="70">
        <v>3</v>
      </c>
      <c r="X735" s="103" t="s">
        <v>2141</v>
      </c>
      <c r="Y735" s="104">
        <f t="shared" si="107"/>
        <v>46250</v>
      </c>
      <c r="Z735" s="105">
        <f ca="1" t="shared" si="108"/>
        <v>83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202</v>
      </c>
      <c r="C736" s="70" t="s">
        <v>203</v>
      </c>
      <c r="D736" s="71" t="s">
        <v>741</v>
      </c>
      <c r="E736" s="71" t="s">
        <v>594</v>
      </c>
      <c r="F736" s="72"/>
      <c r="G736" s="73"/>
      <c r="H736" s="157"/>
      <c r="I736" s="102">
        <v>46065</v>
      </c>
      <c r="J736" s="102" t="s">
        <v>596</v>
      </c>
      <c r="K736" s="106"/>
      <c r="L736" s="104" t="e">
        <f t="shared" si="105"/>
        <v>#VALUE!</v>
      </c>
      <c r="M736" s="105" t="e">
        <f ca="1" t="shared" si="106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07"/>
        <v>0</v>
      </c>
      <c r="Z736" s="105">
        <f ca="1" t="shared" si="108"/>
        <v>-46167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437</v>
      </c>
      <c r="C737" s="70" t="s">
        <v>13</v>
      </c>
      <c r="D737" s="71" t="s">
        <v>2142</v>
      </c>
      <c r="E737" s="71" t="s">
        <v>86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2143</v>
      </c>
      <c r="L737" s="104">
        <f t="shared" si="105"/>
        <v>46167</v>
      </c>
      <c r="M737" s="105">
        <f ca="1" t="shared" si="106"/>
        <v>0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07"/>
        <v>0</v>
      </c>
      <c r="Z737" s="105">
        <f ca="1" t="shared" si="108"/>
        <v>-46167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583</v>
      </c>
      <c r="C738" s="70" t="s">
        <v>203</v>
      </c>
      <c r="D738" s="71" t="s">
        <v>584</v>
      </c>
      <c r="E738" s="71" t="s">
        <v>585</v>
      </c>
      <c r="F738" s="72"/>
      <c r="G738" s="73"/>
      <c r="H738" s="157"/>
      <c r="I738" s="102">
        <v>46078</v>
      </c>
      <c r="J738" s="102" t="s">
        <v>596</v>
      </c>
      <c r="K738" s="106" t="s">
        <v>2144</v>
      </c>
      <c r="L738" s="104" t="e">
        <f t="shared" si="105"/>
        <v>#VALUE!</v>
      </c>
      <c r="M738" s="105" t="e">
        <f ca="1" t="shared" si="106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07"/>
        <v>0</v>
      </c>
      <c r="Z738" s="105">
        <f ca="1" t="shared" si="108"/>
        <v>-46167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437</v>
      </c>
      <c r="C739" s="70" t="s">
        <v>31</v>
      </c>
      <c r="D739" s="71" t="s">
        <v>2145</v>
      </c>
      <c r="E739" s="71" t="s">
        <v>400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2146</v>
      </c>
      <c r="L739" s="104">
        <f t="shared" si="105"/>
        <v>46168</v>
      </c>
      <c r="M739" s="105">
        <f ca="1" t="shared" si="106"/>
        <v>1</v>
      </c>
      <c r="N739" s="70"/>
      <c r="O739" s="70"/>
      <c r="P739" s="70"/>
      <c r="Q739" s="71"/>
      <c r="R739" s="71"/>
      <c r="S739" s="72"/>
      <c r="T739" s="73"/>
      <c r="U739" s="79"/>
      <c r="V739" s="102"/>
      <c r="W739" s="70"/>
      <c r="X739" s="103"/>
      <c r="Y739" s="104">
        <f t="shared" si="107"/>
        <v>0</v>
      </c>
      <c r="Z739" s="105">
        <f ca="1" t="shared" si="108"/>
        <v>-46167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437</v>
      </c>
      <c r="C740" s="70" t="s">
        <v>13</v>
      </c>
      <c r="D740" s="71" t="s">
        <v>2147</v>
      </c>
      <c r="E740" s="71" t="s">
        <v>28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2148</v>
      </c>
      <c r="L740" s="104">
        <f t="shared" si="105"/>
        <v>46168</v>
      </c>
      <c r="M740" s="105">
        <f ca="1" t="shared" si="106"/>
        <v>1</v>
      </c>
      <c r="N740" s="70"/>
      <c r="O740" s="70" t="s">
        <v>437</v>
      </c>
      <c r="P740" s="70" t="s">
        <v>13</v>
      </c>
      <c r="Q740" s="71" t="s">
        <v>2147</v>
      </c>
      <c r="R740" s="71" t="s">
        <v>28</v>
      </c>
      <c r="S740" s="72"/>
      <c r="T740" s="73"/>
      <c r="U740" s="114" t="s">
        <v>16</v>
      </c>
      <c r="V740" s="102">
        <v>46165</v>
      </c>
      <c r="W740" s="70">
        <v>3</v>
      </c>
      <c r="X740" s="103"/>
      <c r="Y740" s="104">
        <f t="shared" si="107"/>
        <v>46257</v>
      </c>
      <c r="Z740" s="105">
        <f ca="1" t="shared" si="108"/>
        <v>90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437</v>
      </c>
      <c r="C741" s="70" t="s">
        <v>13</v>
      </c>
      <c r="D741" s="71" t="s">
        <v>2149</v>
      </c>
      <c r="E741" s="71" t="s">
        <v>95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2150</v>
      </c>
      <c r="L741" s="104">
        <f t="shared" si="105"/>
        <v>46168</v>
      </c>
      <c r="M741" s="105">
        <f ca="1" t="shared" si="106"/>
        <v>1</v>
      </c>
      <c r="N741" s="70"/>
      <c r="O741" s="70" t="s">
        <v>437</v>
      </c>
      <c r="P741" s="70" t="s">
        <v>13</v>
      </c>
      <c r="Q741" s="71" t="s">
        <v>2149</v>
      </c>
      <c r="R741" s="71" t="s">
        <v>95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2151</v>
      </c>
      <c r="Y741" s="104">
        <f t="shared" si="107"/>
        <v>46247</v>
      </c>
      <c r="Z741" s="105">
        <f ca="1" t="shared" si="108"/>
        <v>80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1048</v>
      </c>
      <c r="C742" s="70" t="s">
        <v>13</v>
      </c>
      <c r="D742" s="71" t="s">
        <v>2152</v>
      </c>
      <c r="E742" s="71" t="s">
        <v>2153</v>
      </c>
      <c r="F742" s="72"/>
      <c r="G742" s="73"/>
      <c r="H742" s="114" t="s">
        <v>16</v>
      </c>
      <c r="I742" s="102">
        <v>46079</v>
      </c>
      <c r="J742" s="70">
        <v>3</v>
      </c>
      <c r="K742" s="106" t="s">
        <v>2154</v>
      </c>
      <c r="L742" s="104">
        <f t="shared" si="105"/>
        <v>46168</v>
      </c>
      <c r="M742" s="105">
        <f ca="1" t="shared" si="106"/>
        <v>1</v>
      </c>
      <c r="N742" s="70"/>
      <c r="O742" s="70"/>
      <c r="P742" s="70"/>
      <c r="Q742" s="71"/>
      <c r="R742" s="71"/>
      <c r="S742" s="72"/>
      <c r="T742" s="73"/>
      <c r="U742" s="74"/>
      <c r="V742" s="102"/>
      <c r="W742" s="70"/>
      <c r="X742" s="103"/>
      <c r="Y742" s="104">
        <f t="shared" si="107"/>
        <v>0</v>
      </c>
      <c r="Z742" s="105">
        <f ca="1" t="shared" si="108"/>
        <v>-46167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1048</v>
      </c>
      <c r="C743" s="70" t="s">
        <v>13</v>
      </c>
      <c r="D743" s="71" t="s">
        <v>2155</v>
      </c>
      <c r="E743" s="71" t="s">
        <v>2156</v>
      </c>
      <c r="F743" s="72"/>
      <c r="G743" s="73"/>
      <c r="H743" s="114" t="s">
        <v>16</v>
      </c>
      <c r="I743" s="102">
        <v>46079</v>
      </c>
      <c r="J743" s="70">
        <v>3</v>
      </c>
      <c r="K743" s="106" t="s">
        <v>2157</v>
      </c>
      <c r="L743" s="104">
        <f t="shared" si="105"/>
        <v>46168</v>
      </c>
      <c r="M743" s="105">
        <f ca="1" t="shared" si="106"/>
        <v>1</v>
      </c>
      <c r="N743" s="70"/>
      <c r="O743" s="70"/>
      <c r="P743" s="70"/>
      <c r="Q743" s="71"/>
      <c r="R743" s="71"/>
      <c r="S743" s="72"/>
      <c r="T743" s="73"/>
      <c r="U743" s="79"/>
      <c r="V743" s="102"/>
      <c r="W743" s="70"/>
      <c r="X743" s="103"/>
      <c r="Y743" s="104">
        <f t="shared" si="107"/>
        <v>0</v>
      </c>
      <c r="Z743" s="105">
        <f ca="1" t="shared" si="108"/>
        <v>-46167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208</v>
      </c>
      <c r="C744" s="70" t="s">
        <v>203</v>
      </c>
      <c r="D744" s="71" t="s">
        <v>736</v>
      </c>
      <c r="E744" s="71" t="s">
        <v>737</v>
      </c>
      <c r="F744" s="72"/>
      <c r="G744" s="73"/>
      <c r="H744" s="75"/>
      <c r="I744" s="102">
        <v>46079</v>
      </c>
      <c r="J744" s="70" t="s">
        <v>596</v>
      </c>
      <c r="K744" s="106"/>
      <c r="L744" s="104" t="e">
        <f t="shared" si="105"/>
        <v>#VALUE!</v>
      </c>
      <c r="M744" s="105" t="e">
        <f ca="1" t="shared" si="106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07"/>
        <v>0</v>
      </c>
      <c r="Z744" s="105">
        <f ca="1" t="shared" si="108"/>
        <v>-46167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530</v>
      </c>
      <c r="C745" s="70" t="s">
        <v>13</v>
      </c>
      <c r="D745" s="71" t="s">
        <v>2158</v>
      </c>
      <c r="E745" s="71" t="s">
        <v>2159</v>
      </c>
      <c r="F745" s="72"/>
      <c r="G745" s="73"/>
      <c r="H745" s="75"/>
      <c r="I745" s="102">
        <v>46080</v>
      </c>
      <c r="J745" s="70">
        <v>3</v>
      </c>
      <c r="K745" s="106" t="s">
        <v>2160</v>
      </c>
      <c r="L745" s="104">
        <f t="shared" si="105"/>
        <v>46169</v>
      </c>
      <c r="M745" s="105">
        <f ca="1" t="shared" si="106"/>
        <v>2</v>
      </c>
      <c r="N745" s="70"/>
      <c r="O745" s="70" t="s">
        <v>530</v>
      </c>
      <c r="P745" s="70" t="s">
        <v>13</v>
      </c>
      <c r="Q745" s="71" t="s">
        <v>2158</v>
      </c>
      <c r="R745" s="71" t="s">
        <v>2159</v>
      </c>
      <c r="S745" s="72"/>
      <c r="T745" s="73"/>
      <c r="U745" s="75"/>
      <c r="V745" s="102">
        <v>46160</v>
      </c>
      <c r="W745" s="70">
        <v>3</v>
      </c>
      <c r="X745" s="103" t="s">
        <v>2161</v>
      </c>
      <c r="Y745" s="104">
        <f t="shared" si="107"/>
        <v>46252</v>
      </c>
      <c r="Z745" s="105">
        <f ca="1" t="shared" si="108"/>
        <v>85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530</v>
      </c>
      <c r="C746" s="70" t="s">
        <v>13</v>
      </c>
      <c r="D746" s="71" t="s">
        <v>2162</v>
      </c>
      <c r="E746" s="71" t="s">
        <v>2163</v>
      </c>
      <c r="F746" s="72"/>
      <c r="G746" s="73"/>
      <c r="H746" s="75"/>
      <c r="I746" s="102">
        <v>46080</v>
      </c>
      <c r="J746" s="70">
        <v>3</v>
      </c>
      <c r="K746" s="106" t="s">
        <v>2164</v>
      </c>
      <c r="L746" s="104">
        <f t="shared" si="105"/>
        <v>46169</v>
      </c>
      <c r="M746" s="105">
        <f ca="1" t="shared" si="106"/>
        <v>2</v>
      </c>
      <c r="N746" s="70"/>
      <c r="O746" s="70" t="s">
        <v>530</v>
      </c>
      <c r="P746" s="70" t="s">
        <v>13</v>
      </c>
      <c r="Q746" s="71" t="s">
        <v>2162</v>
      </c>
      <c r="R746" s="71" t="s">
        <v>2163</v>
      </c>
      <c r="S746" s="72"/>
      <c r="T746" s="73"/>
      <c r="U746" s="75"/>
      <c r="V746" s="102">
        <v>46160</v>
      </c>
      <c r="W746" s="70">
        <v>3</v>
      </c>
      <c r="X746" s="103" t="s">
        <v>2165</v>
      </c>
      <c r="Y746" s="104">
        <f t="shared" si="107"/>
        <v>46252</v>
      </c>
      <c r="Z746" s="105">
        <f ca="1" t="shared" si="108"/>
        <v>85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530</v>
      </c>
      <c r="C747" s="70" t="s">
        <v>13</v>
      </c>
      <c r="D747" s="71" t="s">
        <v>2166</v>
      </c>
      <c r="E747" s="71" t="s">
        <v>2167</v>
      </c>
      <c r="F747" s="72"/>
      <c r="G747" s="73"/>
      <c r="H747" s="75"/>
      <c r="I747" s="102">
        <v>46080</v>
      </c>
      <c r="J747" s="70">
        <v>3</v>
      </c>
      <c r="K747" s="106" t="s">
        <v>2168</v>
      </c>
      <c r="L747" s="104">
        <f t="shared" si="105"/>
        <v>46169</v>
      </c>
      <c r="M747" s="105">
        <f ca="1" t="shared" si="106"/>
        <v>2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07"/>
        <v>0</v>
      </c>
      <c r="Z747" s="105">
        <f ca="1" t="shared" si="108"/>
        <v>-46167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530</v>
      </c>
      <c r="C748" s="70" t="s">
        <v>13</v>
      </c>
      <c r="D748" s="71" t="s">
        <v>2169</v>
      </c>
      <c r="E748" s="71" t="s">
        <v>2170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2171</v>
      </c>
      <c r="L748" s="104">
        <f t="shared" si="105"/>
        <v>46169</v>
      </c>
      <c r="M748" s="105">
        <f ca="1" t="shared" si="106"/>
        <v>2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07"/>
        <v>0</v>
      </c>
      <c r="Z748" s="105">
        <f ca="1" t="shared" si="108"/>
        <v>-46167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530</v>
      </c>
      <c r="C749" s="70" t="s">
        <v>13</v>
      </c>
      <c r="D749" s="71" t="s">
        <v>2172</v>
      </c>
      <c r="E749" s="71" t="s">
        <v>95</v>
      </c>
      <c r="F749" s="72"/>
      <c r="G749" s="73"/>
      <c r="H749" s="157"/>
      <c r="I749" s="102">
        <v>46080</v>
      </c>
      <c r="J749" s="70">
        <v>3</v>
      </c>
      <c r="K749" s="106" t="s">
        <v>2173</v>
      </c>
      <c r="L749" s="104">
        <f t="shared" si="105"/>
        <v>46169</v>
      </c>
      <c r="M749" s="105">
        <f ca="1" t="shared" si="106"/>
        <v>2</v>
      </c>
      <c r="N749" s="70"/>
      <c r="O749" s="70"/>
      <c r="P749" s="70"/>
      <c r="Q749" s="71"/>
      <c r="R749" s="71"/>
      <c r="S749" s="72"/>
      <c r="T749" s="73"/>
      <c r="U749" s="114"/>
      <c r="V749" s="102"/>
      <c r="W749" s="70"/>
      <c r="X749" s="103"/>
      <c r="Y749" s="104">
        <f t="shared" si="107"/>
        <v>0</v>
      </c>
      <c r="Z749" s="105">
        <f ca="1" t="shared" si="108"/>
        <v>-46167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437</v>
      </c>
      <c r="C750" s="70" t="s">
        <v>13</v>
      </c>
      <c r="D750" s="71" t="s">
        <v>2174</v>
      </c>
      <c r="E750" s="71" t="s">
        <v>1387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2175</v>
      </c>
      <c r="L750" s="104">
        <f t="shared" si="105"/>
        <v>46169</v>
      </c>
      <c r="M750" s="105">
        <f ca="1" t="shared" si="106"/>
        <v>2</v>
      </c>
      <c r="N750" s="70"/>
      <c r="O750" s="70"/>
      <c r="P750" s="70"/>
      <c r="Q750" s="71"/>
      <c r="R750" s="71"/>
      <c r="S750" s="72"/>
      <c r="T750" s="73"/>
      <c r="U750" s="114"/>
      <c r="V750" s="102"/>
      <c r="W750" s="70"/>
      <c r="X750" s="103"/>
      <c r="Y750" s="104">
        <f t="shared" si="107"/>
        <v>0</v>
      </c>
      <c r="Z750" s="105">
        <f ca="1" t="shared" si="108"/>
        <v>-46167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437</v>
      </c>
      <c r="C751" s="70" t="s">
        <v>13</v>
      </c>
      <c r="D751" s="71" t="s">
        <v>2176</v>
      </c>
      <c r="E751" s="71" t="s">
        <v>95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2177</v>
      </c>
      <c r="L751" s="104">
        <f t="shared" si="105"/>
        <v>46169</v>
      </c>
      <c r="M751" s="105">
        <f ca="1" t="shared" si="106"/>
        <v>2</v>
      </c>
      <c r="N751" s="70"/>
      <c r="O751" s="70"/>
      <c r="P751" s="70"/>
      <c r="Q751" s="71"/>
      <c r="R751" s="71"/>
      <c r="S751" s="72"/>
      <c r="T751" s="73"/>
      <c r="U751" s="114"/>
      <c r="V751" s="102"/>
      <c r="W751" s="70"/>
      <c r="X751" s="103"/>
      <c r="Y751" s="104">
        <f t="shared" si="107"/>
        <v>0</v>
      </c>
      <c r="Z751" s="105">
        <f ca="1" t="shared" si="108"/>
        <v>-46167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2178</v>
      </c>
      <c r="C752" s="70" t="s">
        <v>13</v>
      </c>
      <c r="D752" s="71" t="s">
        <v>2179</v>
      </c>
      <c r="E752" s="71" t="s">
        <v>2180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2181</v>
      </c>
      <c r="L752" s="104">
        <f t="shared" si="105"/>
        <v>46169</v>
      </c>
      <c r="M752" s="105">
        <f ca="1" t="shared" si="106"/>
        <v>2</v>
      </c>
      <c r="N752" s="70"/>
      <c r="O752" s="70"/>
      <c r="P752" s="70"/>
      <c r="Q752" s="71"/>
      <c r="R752" s="71"/>
      <c r="S752" s="72"/>
      <c r="T752" s="73"/>
      <c r="U752" s="114"/>
      <c r="V752" s="102"/>
      <c r="W752" s="70"/>
      <c r="X752" s="103"/>
      <c r="Y752" s="104">
        <f t="shared" si="107"/>
        <v>0</v>
      </c>
      <c r="Z752" s="105">
        <f ca="1" t="shared" si="108"/>
        <v>-46167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2178</v>
      </c>
      <c r="C753" s="70" t="s">
        <v>13</v>
      </c>
      <c r="D753" s="71" t="s">
        <v>2182</v>
      </c>
      <c r="E753" s="93" t="s">
        <v>95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2183</v>
      </c>
      <c r="L753" s="104">
        <f t="shared" si="105"/>
        <v>46169</v>
      </c>
      <c r="M753" s="105">
        <f ca="1" t="shared" si="106"/>
        <v>2</v>
      </c>
      <c r="N753" s="70"/>
      <c r="O753" s="70"/>
      <c r="P753" s="70"/>
      <c r="Q753" s="71"/>
      <c r="R753" s="93"/>
      <c r="S753" s="94"/>
      <c r="T753" s="95"/>
      <c r="U753" s="79"/>
      <c r="V753" s="102"/>
      <c r="W753" s="70"/>
      <c r="X753" s="103"/>
      <c r="Y753" s="104">
        <f t="shared" si="107"/>
        <v>0</v>
      </c>
      <c r="Z753" s="105">
        <f ca="1" t="shared" si="108"/>
        <v>-46167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2178</v>
      </c>
      <c r="C754" s="70" t="s">
        <v>31</v>
      </c>
      <c r="D754" s="71" t="s">
        <v>2184</v>
      </c>
      <c r="E754" s="71" t="s">
        <v>258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2185</v>
      </c>
      <c r="L754" s="104">
        <f t="shared" si="105"/>
        <v>46169</v>
      </c>
      <c r="M754" s="105">
        <f ca="1" t="shared" si="106"/>
        <v>2</v>
      </c>
      <c r="N754" s="70"/>
      <c r="O754" s="70"/>
      <c r="P754" s="70"/>
      <c r="Q754" s="71"/>
      <c r="R754" s="71"/>
      <c r="S754" s="72"/>
      <c r="T754" s="73"/>
      <c r="U754" s="79"/>
      <c r="V754" s="102"/>
      <c r="W754" s="70"/>
      <c r="X754" s="103"/>
      <c r="Y754" s="104">
        <f t="shared" ref="Y754:Y766" si="109">EDATE(V754,W754)</f>
        <v>0</v>
      </c>
      <c r="Z754" s="105">
        <f ca="1" t="shared" ref="Z754:Z766" si="110">Y754-TODAY()</f>
        <v>-46167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2178</v>
      </c>
      <c r="C755" s="70" t="s">
        <v>31</v>
      </c>
      <c r="D755" s="71" t="s">
        <v>2186</v>
      </c>
      <c r="E755" s="71" t="s">
        <v>24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2187</v>
      </c>
      <c r="L755" s="104">
        <f t="shared" si="105"/>
        <v>46169</v>
      </c>
      <c r="M755" s="105">
        <f ca="1" t="shared" si="106"/>
        <v>2</v>
      </c>
      <c r="N755" s="70"/>
      <c r="O755" s="70"/>
      <c r="P755" s="70"/>
      <c r="Q755" s="71"/>
      <c r="R755" s="71"/>
      <c r="S755" s="72"/>
      <c r="T755" s="73"/>
      <c r="U755" s="74"/>
      <c r="V755" s="102"/>
      <c r="W755" s="70"/>
      <c r="X755" s="103"/>
      <c r="Y755" s="104">
        <f t="shared" si="109"/>
        <v>0</v>
      </c>
      <c r="Z755" s="105">
        <f ca="1" t="shared" si="110"/>
        <v>-46167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583</v>
      </c>
      <c r="C756" s="70" t="s">
        <v>13</v>
      </c>
      <c r="D756" s="71" t="s">
        <v>2188</v>
      </c>
      <c r="E756" s="71" t="s">
        <v>532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2189</v>
      </c>
      <c r="L756" s="104">
        <f t="shared" si="105"/>
        <v>46170</v>
      </c>
      <c r="M756" s="105">
        <f ca="1" t="shared" si="106"/>
        <v>3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09"/>
        <v>0</v>
      </c>
      <c r="Z756" s="105">
        <f ca="1" t="shared" si="110"/>
        <v>-46167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583</v>
      </c>
      <c r="C757" s="70" t="s">
        <v>13</v>
      </c>
      <c r="D757" s="71" t="s">
        <v>2190</v>
      </c>
      <c r="E757" s="71" t="s">
        <v>532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2191</v>
      </c>
      <c r="L757" s="104">
        <f t="shared" si="105"/>
        <v>46170</v>
      </c>
      <c r="M757" s="105">
        <f ca="1" t="shared" si="106"/>
        <v>3</v>
      </c>
      <c r="N757" s="70"/>
      <c r="O757" s="70" t="s">
        <v>583</v>
      </c>
      <c r="P757" s="70" t="s">
        <v>13</v>
      </c>
      <c r="Q757" s="71" t="s">
        <v>2190</v>
      </c>
      <c r="R757" s="71" t="s">
        <v>532</v>
      </c>
      <c r="S757" s="72"/>
      <c r="T757" s="73"/>
      <c r="U757" s="114" t="s">
        <v>16</v>
      </c>
      <c r="V757" s="102">
        <v>46163</v>
      </c>
      <c r="W757" s="70">
        <v>3</v>
      </c>
      <c r="X757" s="106"/>
      <c r="Y757" s="104">
        <f t="shared" si="109"/>
        <v>46255</v>
      </c>
      <c r="Z757" s="105">
        <f ca="1" t="shared" si="110"/>
        <v>88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583</v>
      </c>
      <c r="C758" s="70" t="s">
        <v>13</v>
      </c>
      <c r="D758" s="71" t="s">
        <v>2192</v>
      </c>
      <c r="E758" s="71" t="s">
        <v>2193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2194</v>
      </c>
      <c r="L758" s="104">
        <f t="shared" si="105"/>
        <v>46170</v>
      </c>
      <c r="M758" s="105">
        <f ca="1" t="shared" si="106"/>
        <v>3</v>
      </c>
      <c r="N758" s="70"/>
      <c r="O758" s="70"/>
      <c r="P758" s="70"/>
      <c r="Q758" s="71"/>
      <c r="R758" s="71"/>
      <c r="S758" s="72"/>
      <c r="T758" s="73"/>
      <c r="U758" s="79"/>
      <c r="V758" s="102"/>
      <c r="W758" s="70"/>
      <c r="X758" s="103"/>
      <c r="Y758" s="104">
        <f t="shared" si="109"/>
        <v>0</v>
      </c>
      <c r="Z758" s="105">
        <f ca="1" t="shared" si="110"/>
        <v>-46167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583</v>
      </c>
      <c r="C759" s="70" t="s">
        <v>13</v>
      </c>
      <c r="D759" s="71" t="s">
        <v>2195</v>
      </c>
      <c r="E759" s="71" t="s">
        <v>464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2196</v>
      </c>
      <c r="L759" s="104">
        <f t="shared" si="105"/>
        <v>46170</v>
      </c>
      <c r="M759" s="105">
        <f ca="1" t="shared" si="106"/>
        <v>3</v>
      </c>
      <c r="N759" s="70"/>
      <c r="O759" s="70" t="s">
        <v>583</v>
      </c>
      <c r="P759" s="70" t="s">
        <v>13</v>
      </c>
      <c r="Q759" s="71" t="s">
        <v>2195</v>
      </c>
      <c r="R759" s="71" t="s">
        <v>464</v>
      </c>
      <c r="S759" s="72"/>
      <c r="T759" s="73"/>
      <c r="U759" s="114" t="s">
        <v>16</v>
      </c>
      <c r="V759" s="102">
        <v>46161</v>
      </c>
      <c r="W759" s="70">
        <v>3</v>
      </c>
      <c r="X759" s="103"/>
      <c r="Y759" s="104">
        <f t="shared" si="109"/>
        <v>46253</v>
      </c>
      <c r="Z759" s="105">
        <f ca="1" t="shared" si="110"/>
        <v>86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583</v>
      </c>
      <c r="C760" s="70" t="s">
        <v>31</v>
      </c>
      <c r="D760" s="71" t="s">
        <v>2197</v>
      </c>
      <c r="E760" s="71" t="s">
        <v>148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2198</v>
      </c>
      <c r="L760" s="104">
        <f t="shared" si="105"/>
        <v>46170</v>
      </c>
      <c r="M760" s="105">
        <f ca="1" t="shared" si="106"/>
        <v>3</v>
      </c>
      <c r="N760" s="70"/>
      <c r="O760" s="70" t="s">
        <v>583</v>
      </c>
      <c r="P760" s="70" t="s">
        <v>31</v>
      </c>
      <c r="Q760" s="71" t="s">
        <v>2197</v>
      </c>
      <c r="R760" s="71" t="s">
        <v>148</v>
      </c>
      <c r="S760" s="72"/>
      <c r="T760" s="73"/>
      <c r="U760" s="114" t="s">
        <v>16</v>
      </c>
      <c r="V760" s="102">
        <v>46161</v>
      </c>
      <c r="W760" s="70">
        <v>3</v>
      </c>
      <c r="X760" s="103"/>
      <c r="Y760" s="104">
        <f t="shared" si="109"/>
        <v>46253</v>
      </c>
      <c r="Z760" s="105">
        <f ca="1" t="shared" si="110"/>
        <v>86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583</v>
      </c>
      <c r="C761" s="70" t="s">
        <v>203</v>
      </c>
      <c r="D761" s="71" t="s">
        <v>584</v>
      </c>
      <c r="E761" s="71" t="s">
        <v>585</v>
      </c>
      <c r="F761" s="72"/>
      <c r="G761" s="73"/>
      <c r="H761" s="75"/>
      <c r="I761" s="102">
        <v>46081</v>
      </c>
      <c r="J761" s="70" t="s">
        <v>596</v>
      </c>
      <c r="K761" s="106"/>
      <c r="L761" s="104" t="e">
        <f t="shared" si="105"/>
        <v>#VALUE!</v>
      </c>
      <c r="M761" s="105" t="e">
        <f ca="1" t="shared" si="106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09"/>
        <v>0</v>
      </c>
      <c r="Z761" s="105">
        <f ca="1" t="shared" si="110"/>
        <v>-46167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1421</v>
      </c>
      <c r="C762" s="70" t="s">
        <v>31</v>
      </c>
      <c r="D762" s="71" t="s">
        <v>2199</v>
      </c>
      <c r="E762" s="71" t="s">
        <v>258</v>
      </c>
      <c r="F762" s="72"/>
      <c r="G762" s="73"/>
      <c r="H762" s="75"/>
      <c r="I762" s="102">
        <v>46081</v>
      </c>
      <c r="J762" s="70">
        <v>3</v>
      </c>
      <c r="K762" s="106" t="s">
        <v>2200</v>
      </c>
      <c r="L762" s="104">
        <f t="shared" si="105"/>
        <v>46170</v>
      </c>
      <c r="M762" s="105">
        <f ca="1" t="shared" si="106"/>
        <v>3</v>
      </c>
      <c r="N762" s="70"/>
      <c r="O762" s="70"/>
      <c r="P762" s="70"/>
      <c r="Q762" s="71"/>
      <c r="R762" s="71"/>
      <c r="S762" s="72"/>
      <c r="T762" s="73"/>
      <c r="U762" s="79"/>
      <c r="V762" s="102"/>
      <c r="W762" s="70"/>
      <c r="X762" s="103"/>
      <c r="Y762" s="104">
        <f t="shared" si="109"/>
        <v>0</v>
      </c>
      <c r="Z762" s="105">
        <f ca="1" t="shared" si="110"/>
        <v>-46167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1458</v>
      </c>
      <c r="C763" s="70" t="s">
        <v>31</v>
      </c>
      <c r="D763" s="71" t="s">
        <v>2201</v>
      </c>
      <c r="E763" s="71" t="s">
        <v>2202</v>
      </c>
      <c r="F763" s="72"/>
      <c r="G763" s="73"/>
      <c r="H763" s="75"/>
      <c r="I763" s="102">
        <v>46081</v>
      </c>
      <c r="J763" s="70">
        <v>3</v>
      </c>
      <c r="K763" s="106" t="s">
        <v>2032</v>
      </c>
      <c r="L763" s="104">
        <f t="shared" si="105"/>
        <v>46170</v>
      </c>
      <c r="M763" s="105">
        <f ca="1" t="shared" si="106"/>
        <v>3</v>
      </c>
      <c r="N763" s="70"/>
      <c r="O763" s="70" t="s">
        <v>1458</v>
      </c>
      <c r="P763" s="70" t="s">
        <v>31</v>
      </c>
      <c r="Q763" s="71" t="s">
        <v>2201</v>
      </c>
      <c r="R763" s="71" t="s">
        <v>2202</v>
      </c>
      <c r="S763" s="72"/>
      <c r="T763" s="73"/>
      <c r="U763" s="75"/>
      <c r="V763" s="102">
        <v>46160</v>
      </c>
      <c r="W763" s="70">
        <v>3</v>
      </c>
      <c r="X763" s="103" t="s">
        <v>2203</v>
      </c>
      <c r="Y763" s="104">
        <f t="shared" si="109"/>
        <v>46252</v>
      </c>
      <c r="Z763" s="105">
        <f ca="1" t="shared" si="110"/>
        <v>85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1048</v>
      </c>
      <c r="C764" s="70" t="s">
        <v>13</v>
      </c>
      <c r="D764" s="71" t="s">
        <v>2204</v>
      </c>
      <c r="E764" s="71" t="s">
        <v>2205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2206</v>
      </c>
      <c r="L764" s="104">
        <f t="shared" si="105"/>
        <v>46170</v>
      </c>
      <c r="M764" s="105">
        <f ca="1" t="shared" si="106"/>
        <v>3</v>
      </c>
      <c r="N764" s="70"/>
      <c r="O764" s="70"/>
      <c r="P764" s="70"/>
      <c r="Q764" s="71"/>
      <c r="R764" s="71"/>
      <c r="S764" s="72"/>
      <c r="T764" s="73"/>
      <c r="U764" s="79"/>
      <c r="V764" s="102"/>
      <c r="W764" s="70"/>
      <c r="X764" s="103"/>
      <c r="Y764" s="104">
        <f t="shared" si="109"/>
        <v>0</v>
      </c>
      <c r="Z764" s="105">
        <f ca="1" t="shared" si="110"/>
        <v>-46167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395</v>
      </c>
      <c r="C765" s="70" t="s">
        <v>13</v>
      </c>
      <c r="D765" s="71" t="s">
        <v>2207</v>
      </c>
      <c r="E765" s="71" t="s">
        <v>766</v>
      </c>
      <c r="F765" s="72"/>
      <c r="G765" s="73"/>
      <c r="H765" s="75" t="s">
        <v>334</v>
      </c>
      <c r="I765" s="102">
        <v>46081</v>
      </c>
      <c r="J765" s="70">
        <v>3</v>
      </c>
      <c r="K765" s="106" t="s">
        <v>2208</v>
      </c>
      <c r="L765" s="104">
        <f t="shared" si="105"/>
        <v>46170</v>
      </c>
      <c r="M765" s="105">
        <f ca="1" t="shared" si="106"/>
        <v>3</v>
      </c>
      <c r="N765" s="70"/>
      <c r="O765" s="70" t="s">
        <v>395</v>
      </c>
      <c r="P765" s="70" t="s">
        <v>13</v>
      </c>
      <c r="Q765" s="71" t="s">
        <v>2207</v>
      </c>
      <c r="R765" s="71" t="s">
        <v>766</v>
      </c>
      <c r="S765" s="72"/>
      <c r="T765" s="73"/>
      <c r="U765" s="75" t="s">
        <v>334</v>
      </c>
      <c r="V765" s="102">
        <v>46164</v>
      </c>
      <c r="W765" s="70">
        <v>3</v>
      </c>
      <c r="X765" s="103"/>
      <c r="Y765" s="104">
        <f t="shared" si="109"/>
        <v>46256</v>
      </c>
      <c r="Z765" s="105">
        <f ca="1" t="shared" si="110"/>
        <v>89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1684</v>
      </c>
      <c r="C766" s="70" t="s">
        <v>31</v>
      </c>
      <c r="D766" s="71" t="s">
        <v>2209</v>
      </c>
      <c r="E766" s="71" t="s">
        <v>2041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2210</v>
      </c>
      <c r="L766" s="104">
        <f t="shared" si="105"/>
        <v>46174</v>
      </c>
      <c r="M766" s="105">
        <f ca="1" t="shared" si="106"/>
        <v>7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09"/>
        <v>0</v>
      </c>
      <c r="Z766" s="105">
        <f ca="1" t="shared" si="110"/>
        <v>-46167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1695</v>
      </c>
      <c r="C767" s="70" t="s">
        <v>203</v>
      </c>
      <c r="D767" s="71" t="s">
        <v>741</v>
      </c>
      <c r="E767" s="71" t="s">
        <v>594</v>
      </c>
      <c r="F767" s="72"/>
      <c r="G767" s="73"/>
      <c r="H767" s="75"/>
      <c r="I767" s="102">
        <v>46082</v>
      </c>
      <c r="J767" s="70" t="s">
        <v>596</v>
      </c>
      <c r="K767" s="106"/>
      <c r="L767" s="104" t="e">
        <f t="shared" si="105"/>
        <v>#VALUE!</v>
      </c>
      <c r="M767" s="105" t="e">
        <f ca="1" t="shared" si="106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/>
      <c r="Z767" s="105"/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1048</v>
      </c>
      <c r="C768" s="70" t="s">
        <v>13</v>
      </c>
      <c r="D768" s="204" t="s">
        <v>2211</v>
      </c>
      <c r="E768" s="71" t="s">
        <v>2212</v>
      </c>
      <c r="F768" s="72"/>
      <c r="G768" s="73"/>
      <c r="H768" s="75"/>
      <c r="I768" s="102">
        <v>46082</v>
      </c>
      <c r="J768" s="70">
        <v>3</v>
      </c>
      <c r="K768" s="106" t="s">
        <v>2213</v>
      </c>
      <c r="L768" s="104">
        <f t="shared" si="105"/>
        <v>46174</v>
      </c>
      <c r="M768" s="105">
        <f ca="1" t="shared" si="106"/>
        <v>7</v>
      </c>
      <c r="N768" s="70"/>
      <c r="O768" s="70"/>
      <c r="P768" s="70"/>
      <c r="Q768" s="71"/>
      <c r="R768" s="71"/>
      <c r="S768" s="72"/>
      <c r="T768" s="73"/>
      <c r="U768" s="79"/>
      <c r="V768" s="102"/>
      <c r="W768" s="70"/>
      <c r="X768" s="103"/>
      <c r="Y768" s="104"/>
      <c r="Z768" s="105"/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1048</v>
      </c>
      <c r="C769" s="70" t="s">
        <v>13</v>
      </c>
      <c r="D769" s="71" t="s">
        <v>2211</v>
      </c>
      <c r="E769" s="71" t="s">
        <v>2212</v>
      </c>
      <c r="F769" s="72"/>
      <c r="G769" s="73"/>
      <c r="H769" s="75"/>
      <c r="I769" s="102">
        <v>46083</v>
      </c>
      <c r="J769" s="70" t="s">
        <v>596</v>
      </c>
      <c r="K769" s="106"/>
      <c r="L769" s="104" t="e">
        <f t="shared" ref="L769:L832" si="111">EDATE(I769,J769)</f>
        <v>#VALUE!</v>
      </c>
      <c r="M769" s="105" t="e">
        <f ca="1" t="shared" ref="M769:M832" si="112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/>
      <c r="Z769" s="105"/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208</v>
      </c>
      <c r="C770" s="70" t="s">
        <v>203</v>
      </c>
      <c r="D770" s="71" t="s">
        <v>282</v>
      </c>
      <c r="E770" s="71" t="s">
        <v>283</v>
      </c>
      <c r="F770" s="72"/>
      <c r="G770" s="73"/>
      <c r="H770" s="75"/>
      <c r="I770" s="102">
        <v>46083</v>
      </c>
      <c r="J770" s="70" t="s">
        <v>596</v>
      </c>
      <c r="K770" s="106"/>
      <c r="L770" s="104" t="e">
        <f t="shared" si="111"/>
        <v>#VALUE!</v>
      </c>
      <c r="M770" s="105" t="e">
        <f ca="1" t="shared" si="112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/>
      <c r="Z770" s="105"/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954</v>
      </c>
      <c r="C771" s="70" t="s">
        <v>203</v>
      </c>
      <c r="D771" s="71" t="s">
        <v>1961</v>
      </c>
      <c r="E771" s="71" t="s">
        <v>585</v>
      </c>
      <c r="F771" s="72"/>
      <c r="G771" s="73"/>
      <c r="H771" s="75"/>
      <c r="I771" s="102">
        <v>46083</v>
      </c>
      <c r="J771" s="70" t="s">
        <v>596</v>
      </c>
      <c r="K771" s="106"/>
      <c r="L771" s="104" t="e">
        <f t="shared" si="111"/>
        <v>#VALUE!</v>
      </c>
      <c r="M771" s="105" t="e">
        <f ca="1" t="shared" si="112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/>
      <c r="Z771" s="105"/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2214</v>
      </c>
      <c r="C772" s="70" t="s">
        <v>287</v>
      </c>
      <c r="D772" s="71" t="s">
        <v>2215</v>
      </c>
      <c r="E772" s="71" t="s">
        <v>687</v>
      </c>
      <c r="F772" s="72"/>
      <c r="G772" s="73"/>
      <c r="H772" s="75"/>
      <c r="I772" s="102">
        <v>46083</v>
      </c>
      <c r="J772" s="70">
        <v>3</v>
      </c>
      <c r="K772" s="106" t="s">
        <v>2216</v>
      </c>
      <c r="L772" s="104">
        <f t="shared" si="111"/>
        <v>46175</v>
      </c>
      <c r="M772" s="105">
        <f ca="1" t="shared" si="112"/>
        <v>8</v>
      </c>
      <c r="N772" s="70"/>
      <c r="O772" s="70"/>
      <c r="P772" s="70"/>
      <c r="Q772" s="71"/>
      <c r="R772" s="71"/>
      <c r="S772" s="72"/>
      <c r="T772" s="73"/>
      <c r="U772" s="79"/>
      <c r="V772" s="102"/>
      <c r="W772" s="70"/>
      <c r="X772" s="103"/>
      <c r="Y772" s="104"/>
      <c r="Z772" s="105"/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2217</v>
      </c>
      <c r="C773" s="70" t="s">
        <v>13</v>
      </c>
      <c r="D773" s="71" t="s">
        <v>2218</v>
      </c>
      <c r="E773" s="71" t="s">
        <v>2139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2219</v>
      </c>
      <c r="L773" s="104">
        <f t="shared" si="111"/>
        <v>46175</v>
      </c>
      <c r="M773" s="105">
        <f ca="1" t="shared" si="112"/>
        <v>8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/>
      <c r="Z773" s="105"/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805</v>
      </c>
      <c r="C774" s="70" t="s">
        <v>287</v>
      </c>
      <c r="D774" s="71" t="s">
        <v>2220</v>
      </c>
      <c r="E774" s="71" t="s">
        <v>1013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2221</v>
      </c>
      <c r="L774" s="104">
        <f t="shared" si="111"/>
        <v>46175</v>
      </c>
      <c r="M774" s="105">
        <f ca="1" t="shared" si="112"/>
        <v>8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/>
      <c r="Z774" s="105"/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2222</v>
      </c>
      <c r="C775" s="70" t="s">
        <v>287</v>
      </c>
      <c r="D775" s="71" t="s">
        <v>2223</v>
      </c>
      <c r="E775" s="71" t="s">
        <v>2224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2225</v>
      </c>
      <c r="L775" s="104">
        <f t="shared" si="111"/>
        <v>46175</v>
      </c>
      <c r="M775" s="105">
        <f ca="1" t="shared" si="112"/>
        <v>8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/>
      <c r="Z775" s="105"/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530</v>
      </c>
      <c r="C776" s="70" t="s">
        <v>13</v>
      </c>
      <c r="D776" s="71" t="s">
        <v>2226</v>
      </c>
      <c r="E776" s="71" t="s">
        <v>2227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2228</v>
      </c>
      <c r="L776" s="104">
        <f t="shared" si="111"/>
        <v>46176</v>
      </c>
      <c r="M776" s="105">
        <f ca="1" t="shared" si="112"/>
        <v>9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/>
      <c r="Z776" s="105"/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395</v>
      </c>
      <c r="C777" s="70" t="s">
        <v>13</v>
      </c>
      <c r="D777" s="71" t="s">
        <v>2229</v>
      </c>
      <c r="E777" s="71" t="s">
        <v>95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2230</v>
      </c>
      <c r="L777" s="104">
        <f t="shared" si="111"/>
        <v>46176</v>
      </c>
      <c r="M777" s="105">
        <f ca="1" t="shared" si="112"/>
        <v>9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395</v>
      </c>
      <c r="C778" s="70" t="s">
        <v>13</v>
      </c>
      <c r="D778" s="71" t="s">
        <v>2231</v>
      </c>
      <c r="E778" s="205" t="s">
        <v>303</v>
      </c>
      <c r="F778" s="206"/>
      <c r="G778" s="207"/>
      <c r="H778" s="74" t="s">
        <v>16</v>
      </c>
      <c r="I778" s="102">
        <v>46084</v>
      </c>
      <c r="J778" s="70">
        <v>3</v>
      </c>
      <c r="K778" s="106" t="s">
        <v>2232</v>
      </c>
      <c r="L778" s="104">
        <f t="shared" si="111"/>
        <v>46176</v>
      </c>
      <c r="M778" s="105">
        <f ca="1" t="shared" si="112"/>
        <v>9</v>
      </c>
      <c r="N778" s="70"/>
      <c r="O778" s="70"/>
      <c r="P778" s="70"/>
      <c r="Q778" s="71"/>
      <c r="R778" s="205"/>
      <c r="S778" s="206"/>
      <c r="T778" s="207"/>
      <c r="U778" s="74"/>
      <c r="V778" s="102"/>
      <c r="W778" s="70"/>
      <c r="X778" s="103"/>
      <c r="Y778" s="104"/>
      <c r="Z778" s="105"/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395</v>
      </c>
      <c r="C779" s="70" t="s">
        <v>13</v>
      </c>
      <c r="D779" s="71" t="s">
        <v>2233</v>
      </c>
      <c r="E779" s="205" t="s">
        <v>28</v>
      </c>
      <c r="F779" s="206"/>
      <c r="G779" s="207"/>
      <c r="H779" s="74" t="s">
        <v>16</v>
      </c>
      <c r="I779" s="102">
        <v>46084</v>
      </c>
      <c r="J779" s="70">
        <v>3</v>
      </c>
      <c r="K779" s="106" t="s">
        <v>2234</v>
      </c>
      <c r="L779" s="104">
        <f t="shared" si="111"/>
        <v>46176</v>
      </c>
      <c r="M779" s="105">
        <f ca="1" t="shared" si="112"/>
        <v>9</v>
      </c>
      <c r="N779" s="70"/>
      <c r="O779" s="70"/>
      <c r="P779" s="70"/>
      <c r="Q779" s="71"/>
      <c r="R779" s="205"/>
      <c r="S779" s="206"/>
      <c r="T779" s="207"/>
      <c r="U779" s="79"/>
      <c r="V779" s="102"/>
      <c r="W779" s="70"/>
      <c r="X779" s="103"/>
      <c r="Y779" s="104"/>
      <c r="Z779" s="105"/>
      <c r="AA779" s="70"/>
      <c r="AB779" s="70"/>
      <c r="AC779" s="70"/>
      <c r="AD779" s="71"/>
      <c r="AE779" s="205"/>
      <c r="AF779" s="206"/>
      <c r="AG779" s="207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395</v>
      </c>
      <c r="C780" s="70" t="s">
        <v>13</v>
      </c>
      <c r="D780" s="71" t="s">
        <v>2235</v>
      </c>
      <c r="E780" s="205" t="s">
        <v>28</v>
      </c>
      <c r="F780" s="206"/>
      <c r="G780" s="207"/>
      <c r="H780" s="74" t="s">
        <v>16</v>
      </c>
      <c r="I780" s="102">
        <v>46084</v>
      </c>
      <c r="J780" s="70">
        <v>3</v>
      </c>
      <c r="K780" s="106" t="s">
        <v>2236</v>
      </c>
      <c r="L780" s="104">
        <f t="shared" si="111"/>
        <v>46176</v>
      </c>
      <c r="M780" s="105">
        <f ca="1" t="shared" si="112"/>
        <v>9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/>
      <c r="Z780" s="105"/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71</v>
      </c>
      <c r="C781" s="70" t="s">
        <v>13</v>
      </c>
      <c r="D781" s="71" t="s">
        <v>2237</v>
      </c>
      <c r="E781" s="71" t="s">
        <v>775</v>
      </c>
      <c r="F781" s="72"/>
      <c r="G781" s="73"/>
      <c r="H781" s="75"/>
      <c r="I781" s="102">
        <v>46084</v>
      </c>
      <c r="J781" s="70">
        <v>3</v>
      </c>
      <c r="K781" s="106" t="s">
        <v>2238</v>
      </c>
      <c r="L781" s="104">
        <f t="shared" si="111"/>
        <v>46176</v>
      </c>
      <c r="M781" s="105">
        <f ca="1" t="shared" si="112"/>
        <v>9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/>
      <c r="Z781" s="105"/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954</v>
      </c>
      <c r="C782" s="70" t="s">
        <v>203</v>
      </c>
      <c r="D782" s="71" t="s">
        <v>955</v>
      </c>
      <c r="E782" s="71" t="s">
        <v>203</v>
      </c>
      <c r="F782" s="72"/>
      <c r="G782" s="73"/>
      <c r="H782" s="75"/>
      <c r="I782" s="102">
        <v>46084</v>
      </c>
      <c r="J782" s="70" t="s">
        <v>596</v>
      </c>
      <c r="K782" s="106"/>
      <c r="L782" s="104" t="e">
        <f t="shared" si="111"/>
        <v>#VALUE!</v>
      </c>
      <c r="M782" s="105" t="e">
        <f ca="1" t="shared" si="112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/>
      <c r="Z782" s="105"/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281</v>
      </c>
      <c r="C783" s="70" t="s">
        <v>203</v>
      </c>
      <c r="D783" s="71" t="s">
        <v>282</v>
      </c>
      <c r="E783" s="71" t="s">
        <v>283</v>
      </c>
      <c r="F783" s="72"/>
      <c r="G783" s="73"/>
      <c r="H783" s="75"/>
      <c r="I783" s="102">
        <v>46084</v>
      </c>
      <c r="J783" s="70" t="s">
        <v>596</v>
      </c>
      <c r="K783" s="106"/>
      <c r="L783" s="104" t="e">
        <f t="shared" si="111"/>
        <v>#VALUE!</v>
      </c>
      <c r="M783" s="105" t="e">
        <f ca="1" t="shared" si="112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/>
      <c r="Z783" s="105"/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208</v>
      </c>
      <c r="C784" s="70" t="s">
        <v>203</v>
      </c>
      <c r="D784" s="71" t="s">
        <v>213</v>
      </c>
      <c r="E784" s="71" t="s">
        <v>214</v>
      </c>
      <c r="F784" s="72"/>
      <c r="G784" s="73"/>
      <c r="H784" s="75"/>
      <c r="I784" s="102">
        <v>46084</v>
      </c>
      <c r="J784" s="70" t="s">
        <v>596</v>
      </c>
      <c r="K784" s="106"/>
      <c r="L784" s="104" t="e">
        <f t="shared" si="111"/>
        <v>#VALUE!</v>
      </c>
      <c r="M784" s="105" t="e">
        <f ca="1" t="shared" si="112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/>
      <c r="Z784" s="105"/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2239</v>
      </c>
      <c r="C785" s="70" t="s">
        <v>287</v>
      </c>
      <c r="D785" s="71" t="s">
        <v>2240</v>
      </c>
      <c r="E785" s="71" t="s">
        <v>2241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2242</v>
      </c>
      <c r="L785" s="104">
        <f t="shared" si="111"/>
        <v>46176</v>
      </c>
      <c r="M785" s="105">
        <f ca="1" t="shared" si="112"/>
        <v>9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/>
      <c r="Z785" s="105"/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44</v>
      </c>
      <c r="C786" s="70" t="s">
        <v>13</v>
      </c>
      <c r="D786" s="71" t="s">
        <v>2243</v>
      </c>
      <c r="E786" s="71" t="s">
        <v>95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2244</v>
      </c>
      <c r="L786" s="104">
        <f t="shared" si="111"/>
        <v>46177</v>
      </c>
      <c r="M786" s="105">
        <f ca="1" t="shared" si="112"/>
        <v>10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/>
      <c r="Z786" s="105"/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2245</v>
      </c>
      <c r="E787" s="71" t="s">
        <v>95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2246</v>
      </c>
      <c r="L787" s="104">
        <f t="shared" si="111"/>
        <v>46177</v>
      </c>
      <c r="M787" s="105">
        <f ca="1" t="shared" si="112"/>
        <v>10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/>
      <c r="Z787" s="105"/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2247</v>
      </c>
      <c r="C788" s="70" t="s">
        <v>13</v>
      </c>
      <c r="D788" s="71" t="s">
        <v>2248</v>
      </c>
      <c r="E788" s="71" t="s">
        <v>57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2249</v>
      </c>
      <c r="L788" s="104">
        <f t="shared" si="111"/>
        <v>46177</v>
      </c>
      <c r="M788" s="105">
        <f ca="1" t="shared" si="112"/>
        <v>10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/>
      <c r="Z788" s="105"/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2247</v>
      </c>
      <c r="C789" s="70" t="s">
        <v>31</v>
      </c>
      <c r="D789" s="71" t="s">
        <v>2250</v>
      </c>
      <c r="E789" s="71" t="s">
        <v>148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2251</v>
      </c>
      <c r="L789" s="104">
        <f t="shared" si="111"/>
        <v>46177</v>
      </c>
      <c r="M789" s="105">
        <f ca="1" t="shared" si="112"/>
        <v>10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/>
      <c r="Z789" s="105"/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1925</v>
      </c>
      <c r="C790" s="70" t="s">
        <v>13</v>
      </c>
      <c r="D790" s="71" t="s">
        <v>2252</v>
      </c>
      <c r="E790" s="71" t="s">
        <v>998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2253</v>
      </c>
      <c r="L790" s="104">
        <f t="shared" si="111"/>
        <v>46177</v>
      </c>
      <c r="M790" s="105">
        <f ca="1" t="shared" si="112"/>
        <v>10</v>
      </c>
      <c r="N790" s="70"/>
      <c r="O790" s="70"/>
      <c r="P790" s="70"/>
      <c r="Q790" s="71"/>
      <c r="R790" s="71"/>
      <c r="S790" s="72"/>
      <c r="T790" s="73"/>
      <c r="U790" s="79"/>
      <c r="V790" s="102"/>
      <c r="W790" s="70"/>
      <c r="X790" s="103"/>
      <c r="Y790" s="104"/>
      <c r="Z790" s="105"/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208</v>
      </c>
      <c r="C791" s="70" t="s">
        <v>203</v>
      </c>
      <c r="D791" s="71" t="s">
        <v>2254</v>
      </c>
      <c r="E791" s="71" t="s">
        <v>214</v>
      </c>
      <c r="F791" s="72"/>
      <c r="G791" s="73"/>
      <c r="H791" s="75"/>
      <c r="I791" s="102">
        <v>46085</v>
      </c>
      <c r="J791" s="70">
        <v>3</v>
      </c>
      <c r="K791" s="106" t="s">
        <v>2255</v>
      </c>
      <c r="L791" s="104">
        <f t="shared" si="111"/>
        <v>46177</v>
      </c>
      <c r="M791" s="105">
        <f ca="1" t="shared" si="112"/>
        <v>10</v>
      </c>
      <c r="N791" s="70"/>
      <c r="O791" s="70" t="s">
        <v>208</v>
      </c>
      <c r="P791" s="70" t="s">
        <v>203</v>
      </c>
      <c r="Q791" s="71" t="s">
        <v>2254</v>
      </c>
      <c r="R791" s="71" t="s">
        <v>214</v>
      </c>
      <c r="S791" s="72"/>
      <c r="T791" s="73"/>
      <c r="U791" s="75"/>
      <c r="V791" s="102">
        <v>46162</v>
      </c>
      <c r="W791" s="70">
        <v>3</v>
      </c>
      <c r="X791" s="103"/>
      <c r="Y791" s="104">
        <f t="shared" ref="Y791:Y799" si="113">EDATE(V791,W791)</f>
        <v>46254</v>
      </c>
      <c r="Z791" s="105">
        <f ca="1" t="shared" ref="Z791:Z799" si="114">Y791-TODAY()</f>
        <v>87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208</v>
      </c>
      <c r="C792" s="70" t="s">
        <v>203</v>
      </c>
      <c r="D792" s="71" t="s">
        <v>2256</v>
      </c>
      <c r="E792" s="71" t="s">
        <v>214</v>
      </c>
      <c r="F792" s="72"/>
      <c r="G792" s="73"/>
      <c r="H792" s="75"/>
      <c r="I792" s="102">
        <v>46085</v>
      </c>
      <c r="J792" s="70">
        <v>3</v>
      </c>
      <c r="K792" s="106" t="s">
        <v>2257</v>
      </c>
      <c r="L792" s="104">
        <f t="shared" si="111"/>
        <v>46177</v>
      </c>
      <c r="M792" s="105">
        <f ca="1" t="shared" si="112"/>
        <v>10</v>
      </c>
      <c r="N792" s="70"/>
      <c r="O792" s="70" t="s">
        <v>208</v>
      </c>
      <c r="P792" s="70" t="s">
        <v>203</v>
      </c>
      <c r="Q792" s="71" t="s">
        <v>2256</v>
      </c>
      <c r="R792" s="71" t="s">
        <v>214</v>
      </c>
      <c r="S792" s="72"/>
      <c r="T792" s="73"/>
      <c r="U792" s="75"/>
      <c r="V792" s="102">
        <v>46164</v>
      </c>
      <c r="W792" s="70">
        <v>3</v>
      </c>
      <c r="X792" s="103"/>
      <c r="Y792" s="104">
        <f t="shared" si="113"/>
        <v>46256</v>
      </c>
      <c r="Z792" s="105">
        <f ca="1" t="shared" si="114"/>
        <v>89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2258</v>
      </c>
      <c r="C793" s="70" t="s">
        <v>203</v>
      </c>
      <c r="D793" s="71" t="s">
        <v>955</v>
      </c>
      <c r="E793" s="71" t="s">
        <v>203</v>
      </c>
      <c r="F793" s="72"/>
      <c r="G793" s="73"/>
      <c r="H793" s="75"/>
      <c r="I793" s="102">
        <v>46085</v>
      </c>
      <c r="J793" s="70" t="s">
        <v>596</v>
      </c>
      <c r="K793" s="106" t="s">
        <v>2259</v>
      </c>
      <c r="L793" s="104" t="e">
        <f t="shared" si="111"/>
        <v>#VALUE!</v>
      </c>
      <c r="M793" s="105" t="e">
        <f ca="1" t="shared" si="112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13"/>
        <v>0</v>
      </c>
      <c r="Z793" s="105">
        <f ca="1" t="shared" si="114"/>
        <v>-46167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2260</v>
      </c>
      <c r="C794" s="70" t="s">
        <v>31</v>
      </c>
      <c r="D794" s="71" t="s">
        <v>2261</v>
      </c>
      <c r="E794" s="71" t="s">
        <v>1475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2262</v>
      </c>
      <c r="L794" s="104">
        <f t="shared" si="111"/>
        <v>46177</v>
      </c>
      <c r="M794" s="105">
        <f ca="1" t="shared" si="112"/>
        <v>10</v>
      </c>
      <c r="N794" s="70"/>
      <c r="O794" s="70"/>
      <c r="P794" s="70"/>
      <c r="Q794" s="71"/>
      <c r="R794" s="71"/>
      <c r="S794" s="72"/>
      <c r="T794" s="73"/>
      <c r="U794" s="74"/>
      <c r="V794" s="102"/>
      <c r="W794" s="70"/>
      <c r="X794" s="103"/>
      <c r="Y794" s="104">
        <f t="shared" si="113"/>
        <v>0</v>
      </c>
      <c r="Z794" s="105">
        <f ca="1" t="shared" si="114"/>
        <v>-46167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102</v>
      </c>
      <c r="C795" s="70" t="s">
        <v>13</v>
      </c>
      <c r="D795" s="71" t="s">
        <v>2263</v>
      </c>
      <c r="E795" s="71" t="s">
        <v>28</v>
      </c>
      <c r="F795" s="72"/>
      <c r="G795" s="73"/>
      <c r="H795" s="75"/>
      <c r="I795" s="102">
        <v>46086</v>
      </c>
      <c r="J795" s="70">
        <v>3</v>
      </c>
      <c r="K795" s="106" t="s">
        <v>2264</v>
      </c>
      <c r="L795" s="104">
        <f t="shared" si="111"/>
        <v>46178</v>
      </c>
      <c r="M795" s="105">
        <f ca="1" t="shared" si="112"/>
        <v>11</v>
      </c>
      <c r="N795" s="70"/>
      <c r="O795" s="70"/>
      <c r="P795" s="70"/>
      <c r="Q795" s="71"/>
      <c r="R795" s="71"/>
      <c r="S795" s="72"/>
      <c r="T795" s="73"/>
      <c r="U795" s="79"/>
      <c r="V795" s="102"/>
      <c r="W795" s="70"/>
      <c r="X795" s="103"/>
      <c r="Y795" s="104">
        <f t="shared" si="113"/>
        <v>0</v>
      </c>
      <c r="Z795" s="105">
        <f ca="1" t="shared" si="114"/>
        <v>-46167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102</v>
      </c>
      <c r="C796" s="70" t="s">
        <v>13</v>
      </c>
      <c r="D796" s="71" t="s">
        <v>2265</v>
      </c>
      <c r="E796" s="71" t="s">
        <v>57</v>
      </c>
      <c r="F796" s="72"/>
      <c r="G796" s="73"/>
      <c r="H796" s="75"/>
      <c r="I796" s="102">
        <v>46086</v>
      </c>
      <c r="J796" s="70">
        <v>3</v>
      </c>
      <c r="K796" s="106" t="s">
        <v>2266</v>
      </c>
      <c r="L796" s="104">
        <f t="shared" si="111"/>
        <v>46178</v>
      </c>
      <c r="M796" s="105">
        <f ca="1" t="shared" si="112"/>
        <v>11</v>
      </c>
      <c r="N796" s="70"/>
      <c r="O796" s="70"/>
      <c r="P796" s="70"/>
      <c r="Q796" s="71"/>
      <c r="R796" s="71"/>
      <c r="S796" s="72"/>
      <c r="T796" s="73"/>
      <c r="U796" s="79"/>
      <c r="V796" s="102"/>
      <c r="W796" s="70"/>
      <c r="X796" s="103"/>
      <c r="Y796" s="104">
        <f t="shared" si="113"/>
        <v>0</v>
      </c>
      <c r="Z796" s="105">
        <f ca="1" t="shared" si="114"/>
        <v>-46167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178</v>
      </c>
      <c r="C797" s="70" t="s">
        <v>13</v>
      </c>
      <c r="D797" s="71" t="s">
        <v>2267</v>
      </c>
      <c r="E797" s="71" t="s">
        <v>95</v>
      </c>
      <c r="F797" s="72"/>
      <c r="G797" s="73"/>
      <c r="H797" s="75"/>
      <c r="I797" s="102">
        <v>46086</v>
      </c>
      <c r="J797" s="70">
        <v>3</v>
      </c>
      <c r="K797" s="106" t="s">
        <v>2268</v>
      </c>
      <c r="L797" s="104">
        <f t="shared" si="111"/>
        <v>46178</v>
      </c>
      <c r="M797" s="105">
        <f ca="1" t="shared" si="112"/>
        <v>11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13"/>
        <v>0</v>
      </c>
      <c r="Z797" s="105">
        <f ca="1" t="shared" si="114"/>
        <v>-46167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55</v>
      </c>
      <c r="C798" s="70" t="s">
        <v>31</v>
      </c>
      <c r="D798" s="71" t="s">
        <v>2269</v>
      </c>
      <c r="E798" s="71" t="s">
        <v>41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2270</v>
      </c>
      <c r="L798" s="104">
        <f t="shared" si="111"/>
        <v>46178</v>
      </c>
      <c r="M798" s="105">
        <f ca="1" t="shared" si="112"/>
        <v>11</v>
      </c>
      <c r="N798" s="70"/>
      <c r="O798" s="70"/>
      <c r="P798" s="70"/>
      <c r="Q798" s="71"/>
      <c r="R798" s="71"/>
      <c r="S798" s="72"/>
      <c r="T798" s="73"/>
      <c r="U798" s="114"/>
      <c r="V798" s="102"/>
      <c r="W798" s="70"/>
      <c r="X798" s="103"/>
      <c r="Y798" s="104">
        <f t="shared" si="113"/>
        <v>0</v>
      </c>
      <c r="Z798" s="105">
        <f ca="1" t="shared" si="114"/>
        <v>-46167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1467</v>
      </c>
      <c r="C799" s="70" t="s">
        <v>203</v>
      </c>
      <c r="D799" s="71" t="s">
        <v>741</v>
      </c>
      <c r="E799" s="71" t="s">
        <v>594</v>
      </c>
      <c r="F799" s="72"/>
      <c r="G799" s="73"/>
      <c r="H799" s="157"/>
      <c r="I799" s="102">
        <v>46086</v>
      </c>
      <c r="J799" s="70" t="s">
        <v>596</v>
      </c>
      <c r="K799" s="106"/>
      <c r="L799" s="104" t="e">
        <f t="shared" si="111"/>
        <v>#VALUE!</v>
      </c>
      <c r="M799" s="105" t="e">
        <f ca="1" t="shared" si="112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13"/>
        <v>0</v>
      </c>
      <c r="Z799" s="105">
        <f ca="1" t="shared" si="114"/>
        <v>-46167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202</v>
      </c>
      <c r="C800" s="70" t="s">
        <v>203</v>
      </c>
      <c r="D800" s="71" t="s">
        <v>741</v>
      </c>
      <c r="E800" s="71" t="s">
        <v>594</v>
      </c>
      <c r="F800" s="72"/>
      <c r="G800" s="73"/>
      <c r="H800" s="157"/>
      <c r="I800" s="102">
        <v>46086</v>
      </c>
      <c r="J800" s="70" t="s">
        <v>596</v>
      </c>
      <c r="K800" s="106"/>
      <c r="L800" s="104" t="e">
        <f t="shared" si="111"/>
        <v>#VALUE!</v>
      </c>
      <c r="M800" s="105" t="e">
        <f ca="1" t="shared" si="112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19" si="115">EDATE(V800,W800)</f>
        <v>0</v>
      </c>
      <c r="Z800" s="105">
        <f ca="1" t="shared" ref="Z800:Z819" si="116">Y800-TODAY()</f>
        <v>-46167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1695</v>
      </c>
      <c r="C801" s="70" t="s">
        <v>203</v>
      </c>
      <c r="D801" s="71" t="s">
        <v>741</v>
      </c>
      <c r="E801" s="71" t="s">
        <v>594</v>
      </c>
      <c r="F801" s="72"/>
      <c r="G801" s="73"/>
      <c r="H801" s="157"/>
      <c r="I801" s="102">
        <v>46086</v>
      </c>
      <c r="J801" s="70" t="s">
        <v>596</v>
      </c>
      <c r="K801" s="106"/>
      <c r="L801" s="104" t="e">
        <f t="shared" si="111"/>
        <v>#VALUE!</v>
      </c>
      <c r="M801" s="105" t="e">
        <f ca="1" t="shared" si="112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15"/>
        <v>0</v>
      </c>
      <c r="Z801" s="105">
        <f ca="1" t="shared" si="116"/>
        <v>-46167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202</v>
      </c>
      <c r="C802" s="70" t="s">
        <v>203</v>
      </c>
      <c r="D802" s="71" t="s">
        <v>593</v>
      </c>
      <c r="E802" s="71" t="s">
        <v>585</v>
      </c>
      <c r="F802" s="72"/>
      <c r="G802" s="73"/>
      <c r="H802" s="157"/>
      <c r="I802" s="102">
        <v>46086</v>
      </c>
      <c r="J802" s="70" t="s">
        <v>596</v>
      </c>
      <c r="K802" s="106"/>
      <c r="L802" s="104" t="e">
        <f t="shared" si="111"/>
        <v>#VALUE!</v>
      </c>
      <c r="M802" s="105" t="e">
        <f ca="1" t="shared" si="112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15"/>
        <v>0</v>
      </c>
      <c r="Z802" s="105">
        <f ca="1" t="shared" si="116"/>
        <v>-46167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208</v>
      </c>
      <c r="C803" s="70" t="s">
        <v>203</v>
      </c>
      <c r="D803" s="71" t="s">
        <v>2271</v>
      </c>
      <c r="E803" s="71" t="s">
        <v>2272</v>
      </c>
      <c r="F803" s="72"/>
      <c r="G803" s="73"/>
      <c r="H803" s="157"/>
      <c r="I803" s="102">
        <v>46086</v>
      </c>
      <c r="J803" s="70">
        <v>3</v>
      </c>
      <c r="K803" s="106" t="s">
        <v>2273</v>
      </c>
      <c r="L803" s="104">
        <f t="shared" si="111"/>
        <v>46178</v>
      </c>
      <c r="M803" s="105">
        <f ca="1" t="shared" si="112"/>
        <v>11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15"/>
        <v>0</v>
      </c>
      <c r="Z803" s="105">
        <f ca="1" t="shared" si="116"/>
        <v>-46167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217</v>
      </c>
      <c r="C804" s="70" t="s">
        <v>203</v>
      </c>
      <c r="D804" s="71" t="s">
        <v>2274</v>
      </c>
      <c r="E804" s="71" t="s">
        <v>2117</v>
      </c>
      <c r="F804" s="72"/>
      <c r="G804" s="73"/>
      <c r="H804" s="157"/>
      <c r="I804" s="102">
        <v>46086</v>
      </c>
      <c r="J804" s="70">
        <v>3</v>
      </c>
      <c r="K804" s="106" t="s">
        <v>2275</v>
      </c>
      <c r="L804" s="104">
        <f t="shared" si="111"/>
        <v>46178</v>
      </c>
      <c r="M804" s="105">
        <f ca="1" t="shared" si="112"/>
        <v>11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15"/>
        <v>0</v>
      </c>
      <c r="Z804" s="105">
        <f ca="1" t="shared" si="116"/>
        <v>-46167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500</v>
      </c>
      <c r="C805" s="70" t="s">
        <v>203</v>
      </c>
      <c r="D805" s="71" t="s">
        <v>2276</v>
      </c>
      <c r="E805" s="71" t="s">
        <v>2277</v>
      </c>
      <c r="F805" s="72"/>
      <c r="G805" s="73"/>
      <c r="H805" s="157"/>
      <c r="I805" s="102">
        <v>46086</v>
      </c>
      <c r="J805" s="70">
        <v>3</v>
      </c>
      <c r="K805" s="106" t="s">
        <v>2278</v>
      </c>
      <c r="L805" s="104">
        <f t="shared" si="111"/>
        <v>46178</v>
      </c>
      <c r="M805" s="105">
        <f ca="1" t="shared" si="112"/>
        <v>11</v>
      </c>
      <c r="N805" s="70"/>
      <c r="O805" s="70"/>
      <c r="P805" s="70"/>
      <c r="Q805" s="71"/>
      <c r="R805" s="71"/>
      <c r="S805" s="72"/>
      <c r="T805" s="73"/>
      <c r="U805" s="79"/>
      <c r="V805" s="102"/>
      <c r="W805" s="70"/>
      <c r="X805" s="103"/>
      <c r="Y805" s="104">
        <f t="shared" si="115"/>
        <v>0</v>
      </c>
      <c r="Z805" s="105">
        <f ca="1" t="shared" si="116"/>
        <v>-46167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958</v>
      </c>
      <c r="C806" s="70" t="s">
        <v>203</v>
      </c>
      <c r="D806" s="71" t="s">
        <v>2091</v>
      </c>
      <c r="E806" s="71" t="s">
        <v>279</v>
      </c>
      <c r="F806" s="72"/>
      <c r="G806" s="73"/>
      <c r="H806" s="157"/>
      <c r="I806" s="102">
        <v>46086</v>
      </c>
      <c r="J806" s="70" t="s">
        <v>596</v>
      </c>
      <c r="K806" s="106"/>
      <c r="L806" s="104" t="e">
        <f t="shared" si="111"/>
        <v>#VALUE!</v>
      </c>
      <c r="M806" s="105" t="e">
        <f ca="1" t="shared" si="112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15"/>
        <v>0</v>
      </c>
      <c r="Z806" s="105">
        <f ca="1" t="shared" si="116"/>
        <v>-46167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607</v>
      </c>
      <c r="C807" s="70" t="s">
        <v>287</v>
      </c>
      <c r="D807" s="71" t="s">
        <v>2279</v>
      </c>
      <c r="E807" s="71" t="s">
        <v>2280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2281</v>
      </c>
      <c r="L807" s="104">
        <f t="shared" si="111"/>
        <v>46178</v>
      </c>
      <c r="M807" s="105">
        <f ca="1" t="shared" si="112"/>
        <v>11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15"/>
        <v>0</v>
      </c>
      <c r="Z807" s="105">
        <f ca="1" t="shared" si="116"/>
        <v>-46167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102</v>
      </c>
      <c r="C808" s="70" t="s">
        <v>31</v>
      </c>
      <c r="D808" s="71" t="s">
        <v>2282</v>
      </c>
      <c r="E808" s="71" t="s">
        <v>52</v>
      </c>
      <c r="F808" s="72"/>
      <c r="G808" s="73"/>
      <c r="H808" s="75"/>
      <c r="I808" s="102">
        <v>46087</v>
      </c>
      <c r="J808" s="70">
        <v>3</v>
      </c>
      <c r="K808" s="106" t="s">
        <v>2283</v>
      </c>
      <c r="L808" s="104">
        <f t="shared" si="111"/>
        <v>46179</v>
      </c>
      <c r="M808" s="105">
        <f ca="1" t="shared" si="112"/>
        <v>12</v>
      </c>
      <c r="N808" s="70"/>
      <c r="O808" s="70"/>
      <c r="P808" s="70"/>
      <c r="Q808" s="71"/>
      <c r="R808" s="71"/>
      <c r="S808" s="72"/>
      <c r="T808" s="73"/>
      <c r="U808" s="79"/>
      <c r="V808" s="102"/>
      <c r="W808" s="70"/>
      <c r="X808" s="103"/>
      <c r="Y808" s="104">
        <f t="shared" si="115"/>
        <v>0</v>
      </c>
      <c r="Z808" s="105">
        <f ca="1" t="shared" si="116"/>
        <v>-46167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102</v>
      </c>
      <c r="C809" s="70" t="s">
        <v>31</v>
      </c>
      <c r="D809" s="71" t="s">
        <v>2284</v>
      </c>
      <c r="E809" s="71" t="s">
        <v>2285</v>
      </c>
      <c r="F809" s="72"/>
      <c r="G809" s="73"/>
      <c r="H809" s="75"/>
      <c r="I809" s="102">
        <v>46087</v>
      </c>
      <c r="J809" s="70">
        <v>3</v>
      </c>
      <c r="K809" s="106" t="s">
        <v>2286</v>
      </c>
      <c r="L809" s="104">
        <f t="shared" si="111"/>
        <v>46179</v>
      </c>
      <c r="M809" s="105">
        <f ca="1" t="shared" si="112"/>
        <v>12</v>
      </c>
      <c r="N809" s="70"/>
      <c r="O809" s="70"/>
      <c r="P809" s="70"/>
      <c r="Q809" s="71"/>
      <c r="R809" s="71"/>
      <c r="S809" s="72"/>
      <c r="T809" s="73"/>
      <c r="U809" s="79"/>
      <c r="V809" s="102"/>
      <c r="W809" s="70"/>
      <c r="X809" s="103"/>
      <c r="Y809" s="104">
        <f t="shared" si="115"/>
        <v>0</v>
      </c>
      <c r="Z809" s="105">
        <f ca="1" t="shared" si="116"/>
        <v>-46167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102</v>
      </c>
      <c r="C810" s="70" t="s">
        <v>31</v>
      </c>
      <c r="D810" s="71" t="s">
        <v>2287</v>
      </c>
      <c r="E810" s="71" t="s">
        <v>24</v>
      </c>
      <c r="F810" s="72"/>
      <c r="G810" s="73"/>
      <c r="H810" s="75"/>
      <c r="I810" s="102">
        <v>46087</v>
      </c>
      <c r="J810" s="70">
        <v>3</v>
      </c>
      <c r="K810" s="106" t="s">
        <v>2288</v>
      </c>
      <c r="L810" s="104">
        <f t="shared" si="111"/>
        <v>46179</v>
      </c>
      <c r="M810" s="105">
        <f ca="1" t="shared" si="112"/>
        <v>12</v>
      </c>
      <c r="N810" s="70"/>
      <c r="O810" s="70"/>
      <c r="P810" s="70"/>
      <c r="Q810" s="71"/>
      <c r="R810" s="71"/>
      <c r="S810" s="72"/>
      <c r="T810" s="73"/>
      <c r="U810" s="79"/>
      <c r="V810" s="102"/>
      <c r="W810" s="70"/>
      <c r="X810" s="103"/>
      <c r="Y810" s="104">
        <f t="shared" si="115"/>
        <v>0</v>
      </c>
      <c r="Z810" s="105">
        <f ca="1" t="shared" si="116"/>
        <v>-46167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102</v>
      </c>
      <c r="C811" s="70" t="s">
        <v>13</v>
      </c>
      <c r="D811" s="71" t="s">
        <v>2289</v>
      </c>
      <c r="E811" s="71" t="s">
        <v>57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2290</v>
      </c>
      <c r="L811" s="104">
        <f t="shared" si="111"/>
        <v>46179</v>
      </c>
      <c r="M811" s="105">
        <f ca="1" t="shared" si="112"/>
        <v>12</v>
      </c>
      <c r="N811" s="70"/>
      <c r="O811" s="70"/>
      <c r="P811" s="70"/>
      <c r="Q811" s="71"/>
      <c r="R811" s="71"/>
      <c r="S811" s="72"/>
      <c r="T811" s="73"/>
      <c r="U811" s="79"/>
      <c r="V811" s="102"/>
      <c r="W811" s="70"/>
      <c r="X811" s="103"/>
      <c r="Y811" s="104">
        <f t="shared" si="115"/>
        <v>0</v>
      </c>
      <c r="Z811" s="105">
        <f ca="1" t="shared" si="116"/>
        <v>-46167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102</v>
      </c>
      <c r="C812" s="70" t="s">
        <v>13</v>
      </c>
      <c r="D812" s="71" t="s">
        <v>2291</v>
      </c>
      <c r="E812" s="71" t="s">
        <v>636</v>
      </c>
      <c r="F812" s="72"/>
      <c r="G812" s="73"/>
      <c r="H812" s="75"/>
      <c r="I812" s="102">
        <v>46087</v>
      </c>
      <c r="J812" s="70">
        <v>3</v>
      </c>
      <c r="K812" s="106" t="s">
        <v>2292</v>
      </c>
      <c r="L812" s="104">
        <f t="shared" si="111"/>
        <v>46179</v>
      </c>
      <c r="M812" s="105">
        <f ca="1" t="shared" si="112"/>
        <v>12</v>
      </c>
      <c r="N812" s="70"/>
      <c r="O812" s="70"/>
      <c r="P812" s="70"/>
      <c r="Q812" s="71"/>
      <c r="R812" s="71"/>
      <c r="S812" s="72"/>
      <c r="T812" s="73"/>
      <c r="U812" s="75"/>
      <c r="V812" s="102"/>
      <c r="W812" s="70"/>
      <c r="X812" s="103"/>
      <c r="Y812" s="104">
        <f t="shared" si="115"/>
        <v>0</v>
      </c>
      <c r="Z812" s="105">
        <f ca="1" t="shared" si="116"/>
        <v>-46167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102</v>
      </c>
      <c r="C813" s="70" t="s">
        <v>13</v>
      </c>
      <c r="D813" s="71" t="s">
        <v>2293</v>
      </c>
      <c r="E813" s="71" t="s">
        <v>766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2294</v>
      </c>
      <c r="L813" s="104">
        <f t="shared" si="111"/>
        <v>46179</v>
      </c>
      <c r="M813" s="105">
        <f ca="1" t="shared" si="112"/>
        <v>12</v>
      </c>
      <c r="N813" s="70"/>
      <c r="O813" s="70"/>
      <c r="P813" s="70"/>
      <c r="Q813" s="71"/>
      <c r="R813" s="71"/>
      <c r="S813" s="72"/>
      <c r="T813" s="73"/>
      <c r="U813" s="79"/>
      <c r="V813" s="102"/>
      <c r="W813" s="70"/>
      <c r="X813" s="103"/>
      <c r="Y813" s="104">
        <f t="shared" si="115"/>
        <v>0</v>
      </c>
      <c r="Z813" s="105">
        <f ca="1" t="shared" si="116"/>
        <v>-46167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102</v>
      </c>
      <c r="C814" s="70" t="s">
        <v>13</v>
      </c>
      <c r="D814" s="71" t="s">
        <v>2295</v>
      </c>
      <c r="E814" s="71" t="s">
        <v>28</v>
      </c>
      <c r="F814" s="72"/>
      <c r="G814" s="73"/>
      <c r="H814" s="75"/>
      <c r="I814" s="102">
        <v>46087</v>
      </c>
      <c r="J814" s="70">
        <v>3</v>
      </c>
      <c r="K814" s="106" t="s">
        <v>2296</v>
      </c>
      <c r="L814" s="104">
        <f t="shared" si="111"/>
        <v>46179</v>
      </c>
      <c r="M814" s="105">
        <f ca="1" t="shared" si="112"/>
        <v>12</v>
      </c>
      <c r="N814" s="70"/>
      <c r="O814" s="70"/>
      <c r="P814" s="70"/>
      <c r="Q814" s="71"/>
      <c r="R814" s="71"/>
      <c r="S814" s="72"/>
      <c r="T814" s="73"/>
      <c r="U814" s="79"/>
      <c r="V814" s="102"/>
      <c r="W814" s="70"/>
      <c r="X814" s="103"/>
      <c r="Y814" s="104">
        <f t="shared" si="115"/>
        <v>0</v>
      </c>
      <c r="Z814" s="105">
        <f ca="1" t="shared" si="116"/>
        <v>-46167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607</v>
      </c>
      <c r="C815" s="70" t="s">
        <v>287</v>
      </c>
      <c r="D815" s="71" t="s">
        <v>2297</v>
      </c>
      <c r="E815" s="71" t="s">
        <v>2298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2299</v>
      </c>
      <c r="L815" s="104">
        <f t="shared" si="111"/>
        <v>46179</v>
      </c>
      <c r="M815" s="105">
        <f ca="1" t="shared" si="112"/>
        <v>12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15"/>
        <v>0</v>
      </c>
      <c r="Z815" s="105">
        <f ca="1" t="shared" si="116"/>
        <v>-46167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805</v>
      </c>
      <c r="C816" s="70" t="s">
        <v>287</v>
      </c>
      <c r="D816" s="71" t="s">
        <v>2300</v>
      </c>
      <c r="E816" s="71" t="s">
        <v>2301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2302</v>
      </c>
      <c r="L816" s="104">
        <f t="shared" si="111"/>
        <v>46179</v>
      </c>
      <c r="M816" s="105">
        <f ca="1" t="shared" si="112"/>
        <v>12</v>
      </c>
      <c r="N816" s="70"/>
      <c r="O816" s="70"/>
      <c r="P816" s="70"/>
      <c r="Q816" s="71"/>
      <c r="R816" s="71"/>
      <c r="S816" s="72"/>
      <c r="T816" s="73"/>
      <c r="U816" s="74"/>
      <c r="V816" s="102"/>
      <c r="W816" s="70"/>
      <c r="X816" s="103"/>
      <c r="Y816" s="104">
        <f t="shared" si="115"/>
        <v>0</v>
      </c>
      <c r="Z816" s="105">
        <f ca="1" t="shared" si="116"/>
        <v>-46167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286</v>
      </c>
      <c r="C817" s="70" t="s">
        <v>287</v>
      </c>
      <c r="D817" s="71" t="s">
        <v>2303</v>
      </c>
      <c r="E817" s="71" t="s">
        <v>289</v>
      </c>
      <c r="F817" s="72"/>
      <c r="G817" s="73"/>
      <c r="H817" s="75"/>
      <c r="I817" s="102">
        <v>46087</v>
      </c>
      <c r="J817" s="70">
        <v>3</v>
      </c>
      <c r="K817" s="106" t="s">
        <v>2304</v>
      </c>
      <c r="L817" s="104">
        <f t="shared" si="111"/>
        <v>46179</v>
      </c>
      <c r="M817" s="105">
        <f ca="1" t="shared" si="112"/>
        <v>12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15"/>
        <v>0</v>
      </c>
      <c r="Z817" s="105">
        <f ca="1" t="shared" si="116"/>
        <v>-46167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286</v>
      </c>
      <c r="C818" s="70" t="s">
        <v>287</v>
      </c>
      <c r="D818" s="71" t="s">
        <v>2305</v>
      </c>
      <c r="E818" s="71" t="s">
        <v>2306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2307</v>
      </c>
      <c r="L818" s="104">
        <f t="shared" si="111"/>
        <v>46179</v>
      </c>
      <c r="M818" s="105">
        <f ca="1" t="shared" si="112"/>
        <v>12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15"/>
        <v>0</v>
      </c>
      <c r="Z818" s="105">
        <f ca="1" t="shared" si="116"/>
        <v>-46167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102</v>
      </c>
      <c r="C819" s="70" t="s">
        <v>13</v>
      </c>
      <c r="D819" s="71" t="s">
        <v>2308</v>
      </c>
      <c r="E819" s="71" t="s">
        <v>2309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2310</v>
      </c>
      <c r="L819" s="104">
        <f t="shared" si="111"/>
        <v>46180</v>
      </c>
      <c r="M819" s="105">
        <f ca="1" t="shared" si="112"/>
        <v>13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15"/>
        <v>0</v>
      </c>
      <c r="Z819" s="105">
        <f ca="1" t="shared" si="116"/>
        <v>-46167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31</v>
      </c>
      <c r="D820" s="71" t="s">
        <v>2311</v>
      </c>
      <c r="E820" s="71" t="s">
        <v>24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2312</v>
      </c>
      <c r="L820" s="104">
        <f t="shared" si="111"/>
        <v>46180</v>
      </c>
      <c r="M820" s="105">
        <f ca="1" t="shared" si="112"/>
        <v>13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/>
      <c r="Z820" s="105"/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559</v>
      </c>
      <c r="C821" s="70" t="s">
        <v>13</v>
      </c>
      <c r="D821" s="71" t="s">
        <v>2313</v>
      </c>
      <c r="E821" s="71" t="s">
        <v>28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2314</v>
      </c>
      <c r="L821" s="104">
        <f t="shared" si="111"/>
        <v>46180</v>
      </c>
      <c r="M821" s="105">
        <f ca="1" t="shared" si="112"/>
        <v>13</v>
      </c>
      <c r="N821" s="70"/>
      <c r="O821" s="70"/>
      <c r="P821" s="70"/>
      <c r="Q821" s="71"/>
      <c r="R821" s="71"/>
      <c r="S821" s="72"/>
      <c r="T821" s="73"/>
      <c r="U821" s="79"/>
      <c r="V821" s="102"/>
      <c r="W821" s="70"/>
      <c r="X821" s="103"/>
      <c r="Y821" s="104"/>
      <c r="Z821" s="105"/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566</v>
      </c>
      <c r="C822" s="70" t="s">
        <v>13</v>
      </c>
      <c r="D822" s="71" t="s">
        <v>2315</v>
      </c>
      <c r="E822" s="71" t="s">
        <v>24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2316</v>
      </c>
      <c r="L822" s="104">
        <f t="shared" si="111"/>
        <v>46180</v>
      </c>
      <c r="M822" s="105">
        <f ca="1" t="shared" si="112"/>
        <v>13</v>
      </c>
      <c r="N822" s="70"/>
      <c r="O822" s="70"/>
      <c r="P822" s="70"/>
      <c r="Q822" s="71"/>
      <c r="R822" s="71"/>
      <c r="S822" s="72"/>
      <c r="T822" s="73"/>
      <c r="U822" s="79"/>
      <c r="V822" s="102"/>
      <c r="W822" s="70"/>
      <c r="X822" s="103"/>
      <c r="Y822" s="104"/>
      <c r="Z822" s="105"/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208</v>
      </c>
      <c r="C823" s="70" t="s">
        <v>203</v>
      </c>
      <c r="D823" s="71" t="s">
        <v>213</v>
      </c>
      <c r="E823" s="71" t="s">
        <v>214</v>
      </c>
      <c r="F823" s="72"/>
      <c r="G823" s="73"/>
      <c r="H823" s="75"/>
      <c r="I823" s="102">
        <v>46088</v>
      </c>
      <c r="J823" s="70" t="s">
        <v>596</v>
      </c>
      <c r="K823" s="106"/>
      <c r="L823" s="104" t="e">
        <f t="shared" si="111"/>
        <v>#VALUE!</v>
      </c>
      <c r="M823" s="105" t="e">
        <f ca="1" t="shared" si="112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/>
      <c r="Z823" s="105"/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208</v>
      </c>
      <c r="C824" s="70" t="s">
        <v>203</v>
      </c>
      <c r="D824" s="71" t="s">
        <v>1211</v>
      </c>
      <c r="E824" s="71" t="s">
        <v>2136</v>
      </c>
      <c r="F824" s="72"/>
      <c r="G824" s="73"/>
      <c r="H824" s="75"/>
      <c r="I824" s="102">
        <v>46088</v>
      </c>
      <c r="J824" s="70" t="s">
        <v>596</v>
      </c>
      <c r="K824" s="106"/>
      <c r="L824" s="104" t="e">
        <f t="shared" si="111"/>
        <v>#VALUE!</v>
      </c>
      <c r="M824" s="105" t="e">
        <f ca="1" t="shared" si="112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/>
      <c r="Z824" s="105"/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588</v>
      </c>
      <c r="C825" s="70" t="s">
        <v>203</v>
      </c>
      <c r="D825" s="71" t="s">
        <v>589</v>
      </c>
      <c r="E825" s="71" t="s">
        <v>2277</v>
      </c>
      <c r="F825" s="72"/>
      <c r="G825" s="73"/>
      <c r="H825" s="75"/>
      <c r="I825" s="102">
        <v>46088</v>
      </c>
      <c r="J825" s="70" t="s">
        <v>596</v>
      </c>
      <c r="K825" s="106"/>
      <c r="L825" s="104" t="e">
        <f t="shared" si="111"/>
        <v>#VALUE!</v>
      </c>
      <c r="M825" s="105" t="e">
        <f ca="1" t="shared" si="112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/>
      <c r="Z825" s="105"/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588</v>
      </c>
      <c r="C826" s="70" t="s">
        <v>203</v>
      </c>
      <c r="D826" s="71" t="s">
        <v>589</v>
      </c>
      <c r="E826" s="71" t="s">
        <v>2277</v>
      </c>
      <c r="F826" s="72"/>
      <c r="G826" s="73"/>
      <c r="H826" s="75"/>
      <c r="I826" s="102">
        <v>46088</v>
      </c>
      <c r="J826" s="70" t="s">
        <v>596</v>
      </c>
      <c r="K826" s="106"/>
      <c r="L826" s="104" t="e">
        <f t="shared" si="111"/>
        <v>#VALUE!</v>
      </c>
      <c r="M826" s="105" t="e">
        <f ca="1" t="shared" si="112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/>
      <c r="Z826" s="105"/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407</v>
      </c>
      <c r="C827" s="70" t="s">
        <v>287</v>
      </c>
      <c r="D827" s="71" t="s">
        <v>2138</v>
      </c>
      <c r="E827" s="71" t="s">
        <v>2317</v>
      </c>
      <c r="F827" s="72"/>
      <c r="G827" s="73"/>
      <c r="H827" s="75"/>
      <c r="I827" s="102">
        <v>46088</v>
      </c>
      <c r="J827" s="70" t="s">
        <v>334</v>
      </c>
      <c r="K827" s="106" t="s">
        <v>2318</v>
      </c>
      <c r="L827" s="104" t="e">
        <f t="shared" si="111"/>
        <v>#VALUE!</v>
      </c>
      <c r="M827" s="105" t="e">
        <f ca="1" t="shared" si="112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/>
      <c r="Z827" s="105"/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102</v>
      </c>
      <c r="C828" s="70" t="s">
        <v>13</v>
      </c>
      <c r="D828" s="71" t="s">
        <v>2319</v>
      </c>
      <c r="E828" s="71" t="s">
        <v>464</v>
      </c>
      <c r="F828" s="72"/>
      <c r="G828" s="73"/>
      <c r="H828" s="75"/>
      <c r="I828" s="102">
        <v>46088</v>
      </c>
      <c r="J828" s="70">
        <v>3</v>
      </c>
      <c r="K828" s="106" t="s">
        <v>2320</v>
      </c>
      <c r="L828" s="104">
        <f t="shared" si="111"/>
        <v>46180</v>
      </c>
      <c r="M828" s="105">
        <f ca="1" t="shared" si="112"/>
        <v>13</v>
      </c>
      <c r="N828" s="70"/>
      <c r="O828" s="70"/>
      <c r="P828" s="70"/>
      <c r="Q828" s="71"/>
      <c r="R828" s="71"/>
      <c r="S828" s="72"/>
      <c r="T828" s="73"/>
      <c r="U828" s="79"/>
      <c r="V828" s="102"/>
      <c r="W828" s="70"/>
      <c r="X828" s="103"/>
      <c r="Y828" s="104"/>
      <c r="Z828" s="105"/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930</v>
      </c>
      <c r="C829" s="70" t="s">
        <v>31</v>
      </c>
      <c r="D829" s="71" t="s">
        <v>2321</v>
      </c>
      <c r="E829" s="71" t="s">
        <v>148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2322</v>
      </c>
      <c r="L829" s="104">
        <f t="shared" si="111"/>
        <v>46181</v>
      </c>
      <c r="M829" s="105">
        <f ca="1" t="shared" si="112"/>
        <v>14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/>
      <c r="Z829" s="105"/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930</v>
      </c>
      <c r="C830" s="70" t="s">
        <v>13</v>
      </c>
      <c r="D830" s="71" t="s">
        <v>2323</v>
      </c>
      <c r="E830" s="71" t="s">
        <v>57</v>
      </c>
      <c r="F830" s="72"/>
      <c r="G830" s="73"/>
      <c r="H830" s="75"/>
      <c r="I830" s="102">
        <v>46089</v>
      </c>
      <c r="J830" s="70">
        <v>3</v>
      </c>
      <c r="K830" s="106" t="s">
        <v>2324</v>
      </c>
      <c r="L830" s="104">
        <f t="shared" si="111"/>
        <v>46181</v>
      </c>
      <c r="M830" s="105">
        <f ca="1" t="shared" si="112"/>
        <v>14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/>
      <c r="Z830" s="105"/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109</v>
      </c>
      <c r="C831" s="70" t="s">
        <v>31</v>
      </c>
      <c r="D831" s="71" t="s">
        <v>2325</v>
      </c>
      <c r="E831" s="71" t="s">
        <v>148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2326</v>
      </c>
      <c r="L831" s="104">
        <f t="shared" si="111"/>
        <v>46181</v>
      </c>
      <c r="M831" s="105">
        <f ca="1" t="shared" si="112"/>
        <v>14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/>
      <c r="Z831" s="105"/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217</v>
      </c>
      <c r="C832" s="70" t="s">
        <v>203</v>
      </c>
      <c r="D832" s="71" t="s">
        <v>2327</v>
      </c>
      <c r="E832" s="71" t="s">
        <v>214</v>
      </c>
      <c r="F832" s="72"/>
      <c r="G832" s="73"/>
      <c r="H832" s="75"/>
      <c r="I832" s="102">
        <v>46089</v>
      </c>
      <c r="J832" s="70">
        <v>3</v>
      </c>
      <c r="K832" s="106" t="s">
        <v>2328</v>
      </c>
      <c r="L832" s="104">
        <f t="shared" si="111"/>
        <v>46181</v>
      </c>
      <c r="M832" s="105">
        <f ca="1" t="shared" si="112"/>
        <v>14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/>
      <c r="Z832" s="105"/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217</v>
      </c>
      <c r="C833" s="70" t="s">
        <v>203</v>
      </c>
      <c r="D833" s="71" t="s">
        <v>2025</v>
      </c>
      <c r="E833" s="71" t="s">
        <v>279</v>
      </c>
      <c r="F833" s="72"/>
      <c r="G833" s="73"/>
      <c r="H833" s="75"/>
      <c r="I833" s="102">
        <v>46089</v>
      </c>
      <c r="J833" s="70" t="s">
        <v>596</v>
      </c>
      <c r="K833" s="106"/>
      <c r="L833" s="104" t="e">
        <f t="shared" ref="L833:L896" si="117">EDATE(I833,J833)</f>
        <v>#VALUE!</v>
      </c>
      <c r="M833" s="105" t="e">
        <f ca="1" t="shared" ref="M833:M896" si="118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/>
      <c r="Z833" s="105"/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230</v>
      </c>
      <c r="C834" s="70" t="s">
        <v>203</v>
      </c>
      <c r="D834" s="71" t="s">
        <v>2329</v>
      </c>
      <c r="E834" s="71" t="s">
        <v>2330</v>
      </c>
      <c r="F834" s="72"/>
      <c r="G834" s="73"/>
      <c r="H834" s="75"/>
      <c r="I834" s="102">
        <v>46089</v>
      </c>
      <c r="J834" s="70">
        <v>3</v>
      </c>
      <c r="K834" s="106" t="s">
        <v>2331</v>
      </c>
      <c r="L834" s="104">
        <f t="shared" si="117"/>
        <v>46181</v>
      </c>
      <c r="M834" s="105">
        <f ca="1" t="shared" si="118"/>
        <v>14</v>
      </c>
      <c r="N834" s="70"/>
      <c r="O834" s="70"/>
      <c r="P834" s="70"/>
      <c r="Q834" s="71"/>
      <c r="R834" s="71"/>
      <c r="S834" s="72"/>
      <c r="T834" s="73"/>
      <c r="U834" s="79"/>
      <c r="V834" s="102"/>
      <c r="W834" s="70"/>
      <c r="X834" s="103"/>
      <c r="Y834" s="104"/>
      <c r="Z834" s="105"/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230</v>
      </c>
      <c r="C835" s="70" t="s">
        <v>203</v>
      </c>
      <c r="D835" s="71" t="s">
        <v>2084</v>
      </c>
      <c r="E835" s="71" t="s">
        <v>2117</v>
      </c>
      <c r="F835" s="72"/>
      <c r="G835" s="73"/>
      <c r="H835" s="75"/>
      <c r="I835" s="102">
        <v>46089</v>
      </c>
      <c r="J835" s="70" t="s">
        <v>596</v>
      </c>
      <c r="K835" s="106"/>
      <c r="L835" s="104" t="e">
        <f t="shared" si="117"/>
        <v>#VALUE!</v>
      </c>
      <c r="M835" s="105" t="e">
        <f ca="1" t="shared" si="118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/>
      <c r="Z835" s="105"/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588</v>
      </c>
      <c r="C836" s="70" t="s">
        <v>203</v>
      </c>
      <c r="D836" s="71" t="s">
        <v>1281</v>
      </c>
      <c r="E836" s="93" t="s">
        <v>737</v>
      </c>
      <c r="F836" s="94"/>
      <c r="G836" s="95"/>
      <c r="H836" s="75"/>
      <c r="I836" s="102">
        <v>46089</v>
      </c>
      <c r="J836" s="70" t="s">
        <v>596</v>
      </c>
      <c r="K836" s="106"/>
      <c r="L836" s="104" t="e">
        <f t="shared" si="117"/>
        <v>#VALUE!</v>
      </c>
      <c r="M836" s="105" t="e">
        <f ca="1" t="shared" si="118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/>
      <c r="Z836" s="105"/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281</v>
      </c>
      <c r="C837" s="70" t="s">
        <v>203</v>
      </c>
      <c r="D837" s="71" t="s">
        <v>282</v>
      </c>
      <c r="E837" s="71" t="s">
        <v>283</v>
      </c>
      <c r="F837" s="72"/>
      <c r="G837" s="73"/>
      <c r="H837" s="75"/>
      <c r="I837" s="102">
        <v>46089</v>
      </c>
      <c r="J837" s="70" t="s">
        <v>596</v>
      </c>
      <c r="K837" s="106"/>
      <c r="L837" s="104" t="e">
        <f t="shared" si="117"/>
        <v>#VALUE!</v>
      </c>
      <c r="M837" s="105" t="e">
        <f ca="1" t="shared" si="118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/>
      <c r="Z837" s="105"/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607</v>
      </c>
      <c r="C838" s="70" t="s">
        <v>287</v>
      </c>
      <c r="D838" s="71" t="s">
        <v>2332</v>
      </c>
      <c r="E838" s="71" t="s">
        <v>2333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2334</v>
      </c>
      <c r="L838" s="104">
        <f t="shared" si="117"/>
        <v>46181</v>
      </c>
      <c r="M838" s="105">
        <f ca="1" t="shared" si="118"/>
        <v>14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/>
      <c r="Z838" s="105"/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607</v>
      </c>
      <c r="C839" s="70" t="s">
        <v>287</v>
      </c>
      <c r="D839" s="71" t="s">
        <v>2335</v>
      </c>
      <c r="E839" s="93" t="s">
        <v>2280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2336</v>
      </c>
      <c r="L839" s="104">
        <f t="shared" si="117"/>
        <v>46181</v>
      </c>
      <c r="M839" s="105">
        <f ca="1" t="shared" si="118"/>
        <v>14</v>
      </c>
      <c r="N839" s="70"/>
      <c r="O839" s="70"/>
      <c r="P839" s="70"/>
      <c r="Q839" s="71"/>
      <c r="R839" s="71"/>
      <c r="S839" s="72"/>
      <c r="T839" s="73"/>
      <c r="U839" s="79"/>
      <c r="V839" s="102"/>
      <c r="W839" s="70"/>
      <c r="X839" s="103"/>
      <c r="Y839" s="104"/>
      <c r="Z839" s="105"/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607</v>
      </c>
      <c r="C840" s="70" t="s">
        <v>287</v>
      </c>
      <c r="D840" s="71" t="s">
        <v>2337</v>
      </c>
      <c r="E840" s="71" t="s">
        <v>2338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2339</v>
      </c>
      <c r="L840" s="104">
        <f t="shared" si="117"/>
        <v>46181</v>
      </c>
      <c r="M840" s="105">
        <f ca="1" t="shared" si="118"/>
        <v>14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/>
      <c r="Z840" s="105"/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607</v>
      </c>
      <c r="C841" s="70" t="s">
        <v>287</v>
      </c>
      <c r="D841" s="71" t="s">
        <v>2340</v>
      </c>
      <c r="E841" s="71" t="s">
        <v>2280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2341</v>
      </c>
      <c r="L841" s="104">
        <f t="shared" si="117"/>
        <v>46181</v>
      </c>
      <c r="M841" s="105">
        <f ca="1" t="shared" si="118"/>
        <v>14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/>
      <c r="Z841" s="105"/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2342</v>
      </c>
      <c r="E842" s="71" t="s">
        <v>95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2343</v>
      </c>
      <c r="L842" s="104">
        <f t="shared" si="117"/>
        <v>46182</v>
      </c>
      <c r="M842" s="105">
        <f ca="1" t="shared" si="118"/>
        <v>15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/>
      <c r="Z842" s="105"/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1988</v>
      </c>
      <c r="C843" s="70" t="s">
        <v>31</v>
      </c>
      <c r="D843" s="71" t="s">
        <v>2344</v>
      </c>
      <c r="E843" s="71" t="s">
        <v>111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2345</v>
      </c>
      <c r="L843" s="104">
        <f t="shared" si="117"/>
        <v>46182</v>
      </c>
      <c r="M843" s="105">
        <f ca="1" t="shared" si="118"/>
        <v>15</v>
      </c>
      <c r="N843" s="70"/>
      <c r="O843" s="70"/>
      <c r="P843" s="70"/>
      <c r="Q843" s="71"/>
      <c r="R843" s="71"/>
      <c r="S843" s="72"/>
      <c r="T843" s="73"/>
      <c r="U843" s="79"/>
      <c r="V843" s="102"/>
      <c r="W843" s="70"/>
      <c r="X843" s="103"/>
      <c r="Y843" s="104"/>
      <c r="Z843" s="105"/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1988</v>
      </c>
      <c r="C844" s="70" t="s">
        <v>31</v>
      </c>
      <c r="D844" s="71" t="s">
        <v>2346</v>
      </c>
      <c r="E844" s="71" t="s">
        <v>24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2347</v>
      </c>
      <c r="L844" s="104">
        <f t="shared" si="117"/>
        <v>46182</v>
      </c>
      <c r="M844" s="105">
        <f ca="1" t="shared" si="118"/>
        <v>15</v>
      </c>
      <c r="N844" s="70"/>
      <c r="O844" s="70"/>
      <c r="P844" s="70"/>
      <c r="Q844" s="71"/>
      <c r="R844" s="71"/>
      <c r="S844" s="72"/>
      <c r="T844" s="73"/>
      <c r="U844" s="79"/>
      <c r="V844" s="102"/>
      <c r="W844" s="70"/>
      <c r="X844" s="103"/>
      <c r="Y844" s="104"/>
      <c r="Z844" s="105"/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1988</v>
      </c>
      <c r="C845" s="70" t="s">
        <v>31</v>
      </c>
      <c r="D845" s="71" t="s">
        <v>2348</v>
      </c>
      <c r="E845" s="71" t="s">
        <v>2349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2350</v>
      </c>
      <c r="L845" s="104">
        <f t="shared" si="117"/>
        <v>46182</v>
      </c>
      <c r="M845" s="105">
        <f ca="1" t="shared" si="118"/>
        <v>15</v>
      </c>
      <c r="N845" s="70"/>
      <c r="O845" s="70"/>
      <c r="P845" s="70"/>
      <c r="Q845" s="71"/>
      <c r="R845" s="71"/>
      <c r="S845" s="72"/>
      <c r="T845" s="73"/>
      <c r="U845" s="79"/>
      <c r="V845" s="102"/>
      <c r="W845" s="70"/>
      <c r="X845" s="103"/>
      <c r="Y845" s="104"/>
      <c r="Z845" s="105"/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1988</v>
      </c>
      <c r="C846" s="70" t="s">
        <v>31</v>
      </c>
      <c r="D846" s="71" t="s">
        <v>2351</v>
      </c>
      <c r="E846" s="71" t="s">
        <v>111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2352</v>
      </c>
      <c r="L846" s="104">
        <f t="shared" si="117"/>
        <v>46182</v>
      </c>
      <c r="M846" s="105">
        <f ca="1" t="shared" si="118"/>
        <v>15</v>
      </c>
      <c r="N846" s="70"/>
      <c r="O846" s="70"/>
      <c r="P846" s="70"/>
      <c r="Q846" s="71"/>
      <c r="R846" s="71"/>
      <c r="S846" s="72"/>
      <c r="T846" s="73"/>
      <c r="U846" s="79"/>
      <c r="V846" s="102"/>
      <c r="W846" s="70"/>
      <c r="X846" s="103"/>
      <c r="Y846" s="104"/>
      <c r="Z846" s="105"/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1988</v>
      </c>
      <c r="C847" s="70" t="s">
        <v>13</v>
      </c>
      <c r="D847" s="71" t="s">
        <v>2353</v>
      </c>
      <c r="E847" s="71" t="s">
        <v>2354</v>
      </c>
      <c r="F847" s="72"/>
      <c r="G847" s="73"/>
      <c r="H847" s="157"/>
      <c r="I847" s="102">
        <v>46090</v>
      </c>
      <c r="J847" s="70">
        <v>3</v>
      </c>
      <c r="K847" s="106" t="s">
        <v>2355</v>
      </c>
      <c r="L847" s="104">
        <f t="shared" si="117"/>
        <v>46182</v>
      </c>
      <c r="M847" s="105">
        <f ca="1" t="shared" si="118"/>
        <v>15</v>
      </c>
      <c r="N847" s="70"/>
      <c r="O847" s="70"/>
      <c r="P847" s="70"/>
      <c r="Q847" s="71"/>
      <c r="R847" s="71"/>
      <c r="S847" s="72"/>
      <c r="T847" s="73"/>
      <c r="U847" s="79"/>
      <c r="V847" s="102"/>
      <c r="W847" s="70"/>
      <c r="X847" s="103"/>
      <c r="Y847" s="104"/>
      <c r="Z847" s="105"/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1988</v>
      </c>
      <c r="C848" s="70" t="s">
        <v>13</v>
      </c>
      <c r="D848" s="71" t="s">
        <v>2356</v>
      </c>
      <c r="E848" s="71" t="s">
        <v>2357</v>
      </c>
      <c r="F848" s="72"/>
      <c r="G848" s="73"/>
      <c r="H848" s="157"/>
      <c r="I848" s="102">
        <v>46090</v>
      </c>
      <c r="J848" s="70">
        <v>3</v>
      </c>
      <c r="K848" s="106" t="s">
        <v>2358</v>
      </c>
      <c r="L848" s="104">
        <f t="shared" si="117"/>
        <v>46182</v>
      </c>
      <c r="M848" s="105">
        <f ca="1" t="shared" si="118"/>
        <v>15</v>
      </c>
      <c r="N848" s="70"/>
      <c r="O848" s="70"/>
      <c r="P848" s="70"/>
      <c r="Q848" s="71"/>
      <c r="R848" s="71"/>
      <c r="S848" s="72"/>
      <c r="T848" s="73"/>
      <c r="U848" s="79"/>
      <c r="V848" s="102"/>
      <c r="W848" s="70"/>
      <c r="X848" s="103"/>
      <c r="Y848" s="104"/>
      <c r="Z848" s="105"/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359</v>
      </c>
      <c r="C849" s="70" t="s">
        <v>13</v>
      </c>
      <c r="D849" s="71" t="s">
        <v>2359</v>
      </c>
      <c r="E849" s="71" t="s">
        <v>148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2360</v>
      </c>
      <c r="L849" s="104">
        <f t="shared" si="117"/>
        <v>46182</v>
      </c>
      <c r="M849" s="105">
        <f ca="1" t="shared" si="118"/>
        <v>15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/>
      <c r="Z849" s="105"/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359</v>
      </c>
      <c r="C850" s="70" t="s">
        <v>31</v>
      </c>
      <c r="D850" s="71" t="s">
        <v>2361</v>
      </c>
      <c r="E850" s="71" t="s">
        <v>148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2362</v>
      </c>
      <c r="L850" s="104">
        <f t="shared" si="117"/>
        <v>46182</v>
      </c>
      <c r="M850" s="105">
        <f ca="1" t="shared" si="118"/>
        <v>15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/>
      <c r="Z850" s="105"/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359</v>
      </c>
      <c r="C851" s="70" t="s">
        <v>13</v>
      </c>
      <c r="D851" s="71" t="s">
        <v>2363</v>
      </c>
      <c r="E851" s="71" t="s">
        <v>57</v>
      </c>
      <c r="F851" s="72"/>
      <c r="G851" s="73"/>
      <c r="H851" s="157"/>
      <c r="I851" s="102">
        <v>46090</v>
      </c>
      <c r="J851" s="70">
        <v>3</v>
      </c>
      <c r="K851" s="106" t="s">
        <v>2364</v>
      </c>
      <c r="L851" s="104">
        <f t="shared" si="117"/>
        <v>46182</v>
      </c>
      <c r="M851" s="105">
        <f ca="1" t="shared" si="118"/>
        <v>15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/>
      <c r="Z851" s="105"/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359</v>
      </c>
      <c r="C852" s="70" t="s">
        <v>13</v>
      </c>
      <c r="D852" s="71" t="s">
        <v>2365</v>
      </c>
      <c r="E852" s="71" t="s">
        <v>57</v>
      </c>
      <c r="F852" s="72"/>
      <c r="G852" s="73"/>
      <c r="H852" s="157"/>
      <c r="I852" s="102">
        <v>46090</v>
      </c>
      <c r="J852" s="70">
        <v>3</v>
      </c>
      <c r="K852" s="106" t="s">
        <v>2366</v>
      </c>
      <c r="L852" s="104">
        <f t="shared" si="117"/>
        <v>46182</v>
      </c>
      <c r="M852" s="105">
        <f ca="1" t="shared" si="118"/>
        <v>15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/>
      <c r="Z852" s="105"/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359</v>
      </c>
      <c r="C853" s="70" t="s">
        <v>13</v>
      </c>
      <c r="D853" s="71" t="s">
        <v>2367</v>
      </c>
      <c r="E853" s="71" t="s">
        <v>57</v>
      </c>
      <c r="F853" s="72"/>
      <c r="G853" s="73"/>
      <c r="H853" s="157"/>
      <c r="I853" s="102">
        <v>46090</v>
      </c>
      <c r="J853" s="70">
        <v>3</v>
      </c>
      <c r="K853" s="106" t="s">
        <v>2368</v>
      </c>
      <c r="L853" s="104">
        <f t="shared" si="117"/>
        <v>46182</v>
      </c>
      <c r="M853" s="105">
        <f ca="1" t="shared" si="118"/>
        <v>15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/>
      <c r="Z853" s="105"/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359</v>
      </c>
      <c r="C854" s="70" t="s">
        <v>13</v>
      </c>
      <c r="D854" s="71" t="s">
        <v>2369</v>
      </c>
      <c r="E854" s="71" t="s">
        <v>57</v>
      </c>
      <c r="F854" s="72"/>
      <c r="G854" s="73"/>
      <c r="H854" s="157"/>
      <c r="I854" s="102">
        <v>46090</v>
      </c>
      <c r="J854" s="70">
        <v>3</v>
      </c>
      <c r="K854" s="106" t="s">
        <v>2370</v>
      </c>
      <c r="L854" s="104">
        <f t="shared" si="117"/>
        <v>46182</v>
      </c>
      <c r="M854" s="105">
        <f ca="1" t="shared" si="118"/>
        <v>15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/>
      <c r="Z854" s="105"/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930</v>
      </c>
      <c r="C855" s="70" t="s">
        <v>13</v>
      </c>
      <c r="D855" s="71" t="s">
        <v>2371</v>
      </c>
      <c r="E855" s="71" t="s">
        <v>57</v>
      </c>
      <c r="F855" s="72"/>
      <c r="G855" s="73"/>
      <c r="H855" s="157"/>
      <c r="I855" s="102">
        <v>46090</v>
      </c>
      <c r="J855" s="70">
        <v>3</v>
      </c>
      <c r="K855" s="106" t="s">
        <v>2372</v>
      </c>
      <c r="L855" s="104">
        <f t="shared" si="117"/>
        <v>46182</v>
      </c>
      <c r="M855" s="105">
        <f ca="1" t="shared" si="118"/>
        <v>15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/>
      <c r="Z855" s="105"/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930</v>
      </c>
      <c r="C856" s="70" t="s">
        <v>13</v>
      </c>
      <c r="D856" s="71" t="s">
        <v>2373</v>
      </c>
      <c r="E856" s="71" t="s">
        <v>57</v>
      </c>
      <c r="F856" s="72"/>
      <c r="G856" s="73"/>
      <c r="H856" s="157"/>
      <c r="I856" s="102">
        <v>46090</v>
      </c>
      <c r="J856" s="70">
        <v>3</v>
      </c>
      <c r="K856" s="106" t="s">
        <v>2374</v>
      </c>
      <c r="L856" s="104">
        <f t="shared" si="117"/>
        <v>46182</v>
      </c>
      <c r="M856" s="105">
        <f ca="1" t="shared" si="118"/>
        <v>15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/>
      <c r="Z856" s="105"/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556</v>
      </c>
      <c r="C857" s="70" t="s">
        <v>31</v>
      </c>
      <c r="D857" s="71" t="s">
        <v>2375</v>
      </c>
      <c r="E857" s="71" t="s">
        <v>148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2376</v>
      </c>
      <c r="L857" s="104">
        <f t="shared" si="117"/>
        <v>46182</v>
      </c>
      <c r="M857" s="105">
        <f ca="1" t="shared" si="118"/>
        <v>15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/>
      <c r="Z857" s="105"/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556</v>
      </c>
      <c r="C858" s="70" t="s">
        <v>13</v>
      </c>
      <c r="D858" s="71" t="s">
        <v>2377</v>
      </c>
      <c r="E858" s="71" t="s">
        <v>2378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2379</v>
      </c>
      <c r="L858" s="104">
        <f t="shared" si="117"/>
        <v>46182</v>
      </c>
      <c r="M858" s="105">
        <f ca="1" t="shared" si="118"/>
        <v>15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/>
      <c r="Z858" s="105"/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619</v>
      </c>
      <c r="C859" s="70" t="s">
        <v>31</v>
      </c>
      <c r="D859" s="71" t="s">
        <v>2380</v>
      </c>
      <c r="E859" s="71" t="s">
        <v>148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2381</v>
      </c>
      <c r="L859" s="104">
        <f t="shared" si="117"/>
        <v>46182</v>
      </c>
      <c r="M859" s="105">
        <f ca="1" t="shared" si="118"/>
        <v>15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/>
      <c r="Z859" s="105"/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619</v>
      </c>
      <c r="C860" s="70" t="s">
        <v>13</v>
      </c>
      <c r="D860" s="71" t="s">
        <v>2382</v>
      </c>
      <c r="E860" s="71" t="s">
        <v>37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2383</v>
      </c>
      <c r="L860" s="104">
        <f t="shared" si="117"/>
        <v>46182</v>
      </c>
      <c r="M860" s="105">
        <f ca="1" t="shared" si="118"/>
        <v>15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/>
      <c r="Z860" s="105"/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1680</v>
      </c>
      <c r="C861" s="70" t="s">
        <v>31</v>
      </c>
      <c r="D861" s="71" t="s">
        <v>2384</v>
      </c>
      <c r="E861" s="71" t="s">
        <v>1475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2385</v>
      </c>
      <c r="L861" s="104">
        <f t="shared" si="117"/>
        <v>46182</v>
      </c>
      <c r="M861" s="105">
        <f ca="1" t="shared" si="118"/>
        <v>15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/>
      <c r="Z861" s="105"/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2386</v>
      </c>
      <c r="C862" s="70" t="s">
        <v>31</v>
      </c>
      <c r="D862" s="71" t="s">
        <v>2387</v>
      </c>
      <c r="E862" s="71" t="s">
        <v>2388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2389</v>
      </c>
      <c r="L862" s="104">
        <f t="shared" si="117"/>
        <v>46182</v>
      </c>
      <c r="M862" s="105">
        <f ca="1" t="shared" si="118"/>
        <v>15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/>
      <c r="Z862" s="105"/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44</v>
      </c>
      <c r="C863" s="70" t="s">
        <v>13</v>
      </c>
      <c r="D863" s="71" t="s">
        <v>2390</v>
      </c>
      <c r="E863" s="71" t="s">
        <v>95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2391</v>
      </c>
      <c r="L863" s="104">
        <f t="shared" si="117"/>
        <v>46183</v>
      </c>
      <c r="M863" s="105">
        <f ca="1" t="shared" si="118"/>
        <v>16</v>
      </c>
      <c r="N863" s="70"/>
      <c r="O863" s="70"/>
      <c r="P863" s="70"/>
      <c r="Q863" s="71"/>
      <c r="R863" s="71"/>
      <c r="S863" s="72"/>
      <c r="T863" s="73"/>
      <c r="U863" s="79"/>
      <c r="V863" s="102"/>
      <c r="W863" s="70"/>
      <c r="X863" s="103"/>
      <c r="Y863" s="104"/>
      <c r="Z863" s="105"/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128</v>
      </c>
      <c r="C864" s="70" t="s">
        <v>31</v>
      </c>
      <c r="D864" s="71" t="s">
        <v>2392</v>
      </c>
      <c r="E864" s="71" t="s">
        <v>148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2393</v>
      </c>
      <c r="L864" s="104">
        <f t="shared" si="117"/>
        <v>46183</v>
      </c>
      <c r="M864" s="105">
        <f ca="1" t="shared" si="118"/>
        <v>16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/>
      <c r="Z864" s="105"/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613</v>
      </c>
      <c r="C865" s="70" t="s">
        <v>287</v>
      </c>
      <c r="D865" s="71" t="s">
        <v>2394</v>
      </c>
      <c r="E865" s="71" t="s">
        <v>615</v>
      </c>
      <c r="F865" s="72"/>
      <c r="G865" s="73"/>
      <c r="H865" s="157"/>
      <c r="I865" s="102">
        <v>46091</v>
      </c>
      <c r="J865" s="70">
        <v>3</v>
      </c>
      <c r="K865" s="106" t="s">
        <v>2395</v>
      </c>
      <c r="L865" s="104">
        <f t="shared" si="117"/>
        <v>46183</v>
      </c>
      <c r="M865" s="105">
        <f ca="1" t="shared" si="118"/>
        <v>16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/>
      <c r="Z865" s="105"/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613</v>
      </c>
      <c r="C866" s="70" t="s">
        <v>287</v>
      </c>
      <c r="D866" s="71" t="s">
        <v>2396</v>
      </c>
      <c r="E866" s="71" t="s">
        <v>615</v>
      </c>
      <c r="F866" s="72"/>
      <c r="G866" s="73"/>
      <c r="H866" s="157"/>
      <c r="I866" s="102">
        <v>46091</v>
      </c>
      <c r="J866" s="70">
        <v>3</v>
      </c>
      <c r="K866" s="106" t="s">
        <v>2397</v>
      </c>
      <c r="L866" s="104">
        <f t="shared" si="117"/>
        <v>46183</v>
      </c>
      <c r="M866" s="105">
        <f ca="1" t="shared" si="118"/>
        <v>16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/>
      <c r="Z866" s="105"/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2398</v>
      </c>
      <c r="C867" s="70" t="s">
        <v>287</v>
      </c>
      <c r="D867" s="71" t="s">
        <v>2399</v>
      </c>
      <c r="E867" s="71" t="s">
        <v>2400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2401</v>
      </c>
      <c r="L867" s="104">
        <f t="shared" si="117"/>
        <v>46183</v>
      </c>
      <c r="M867" s="105">
        <f ca="1" t="shared" si="118"/>
        <v>16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/>
      <c r="Z867" s="105"/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500</v>
      </c>
      <c r="C868" s="70" t="s">
        <v>203</v>
      </c>
      <c r="D868" s="71" t="s">
        <v>2276</v>
      </c>
      <c r="E868" s="71" t="s">
        <v>590</v>
      </c>
      <c r="F868" s="72"/>
      <c r="G868" s="73"/>
      <c r="H868" s="157"/>
      <c r="I868" s="102">
        <v>46091</v>
      </c>
      <c r="J868" s="70" t="s">
        <v>596</v>
      </c>
      <c r="K868" s="106"/>
      <c r="L868" s="104" t="e">
        <f t="shared" si="117"/>
        <v>#VALUE!</v>
      </c>
      <c r="M868" s="105" t="e">
        <f ca="1" t="shared" si="118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/>
      <c r="Z868" s="105"/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208</v>
      </c>
      <c r="C869" s="70" t="s">
        <v>203</v>
      </c>
      <c r="D869" s="71" t="s">
        <v>2402</v>
      </c>
      <c r="E869" s="71" t="s">
        <v>214</v>
      </c>
      <c r="F869" s="72"/>
      <c r="G869" s="73"/>
      <c r="H869" s="157"/>
      <c r="I869" s="102">
        <v>46091</v>
      </c>
      <c r="J869" s="70">
        <v>3</v>
      </c>
      <c r="K869" s="106" t="s">
        <v>2403</v>
      </c>
      <c r="L869" s="104">
        <f t="shared" si="117"/>
        <v>46183</v>
      </c>
      <c r="M869" s="105">
        <f ca="1" t="shared" si="118"/>
        <v>16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/>
      <c r="Z869" s="105"/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208</v>
      </c>
      <c r="C870" s="70" t="s">
        <v>203</v>
      </c>
      <c r="D870" s="71" t="s">
        <v>2404</v>
      </c>
      <c r="E870" s="71" t="s">
        <v>214</v>
      </c>
      <c r="F870" s="72"/>
      <c r="G870" s="73"/>
      <c r="H870" s="157"/>
      <c r="I870" s="102">
        <v>46091</v>
      </c>
      <c r="J870" s="70">
        <v>3</v>
      </c>
      <c r="K870" s="106" t="s">
        <v>2405</v>
      </c>
      <c r="L870" s="104">
        <f t="shared" si="117"/>
        <v>46183</v>
      </c>
      <c r="M870" s="105">
        <f ca="1" t="shared" si="118"/>
        <v>16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/>
      <c r="Z870" s="105"/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208</v>
      </c>
      <c r="C871" s="70" t="s">
        <v>203</v>
      </c>
      <c r="D871" s="71" t="s">
        <v>2406</v>
      </c>
      <c r="E871" s="71" t="s">
        <v>214</v>
      </c>
      <c r="F871" s="72"/>
      <c r="G871" s="73"/>
      <c r="H871" s="157"/>
      <c r="I871" s="102">
        <v>46091</v>
      </c>
      <c r="J871" s="70">
        <v>3</v>
      </c>
      <c r="K871" s="106" t="s">
        <v>2407</v>
      </c>
      <c r="L871" s="104">
        <f t="shared" si="117"/>
        <v>46183</v>
      </c>
      <c r="M871" s="105">
        <f ca="1" t="shared" si="118"/>
        <v>16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/>
      <c r="Z871" s="105"/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208</v>
      </c>
      <c r="C872" s="70" t="s">
        <v>203</v>
      </c>
      <c r="D872" s="71" t="s">
        <v>2408</v>
      </c>
      <c r="E872" s="71" t="s">
        <v>214</v>
      </c>
      <c r="F872" s="72"/>
      <c r="G872" s="73"/>
      <c r="H872" s="157"/>
      <c r="I872" s="102">
        <v>46091</v>
      </c>
      <c r="J872" s="70">
        <v>3</v>
      </c>
      <c r="K872" s="106" t="s">
        <v>2409</v>
      </c>
      <c r="L872" s="104">
        <f t="shared" si="117"/>
        <v>46183</v>
      </c>
      <c r="M872" s="105">
        <f ca="1" t="shared" si="118"/>
        <v>16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/>
      <c r="Z872" s="105"/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208</v>
      </c>
      <c r="C873" s="70" t="s">
        <v>203</v>
      </c>
      <c r="D873" s="71" t="s">
        <v>2410</v>
      </c>
      <c r="E873" s="71" t="s">
        <v>214</v>
      </c>
      <c r="F873" s="72"/>
      <c r="G873" s="73"/>
      <c r="H873" s="157"/>
      <c r="I873" s="102">
        <v>46091</v>
      </c>
      <c r="J873" s="70">
        <v>3</v>
      </c>
      <c r="K873" s="106" t="s">
        <v>2411</v>
      </c>
      <c r="L873" s="104">
        <f t="shared" si="117"/>
        <v>46183</v>
      </c>
      <c r="M873" s="105">
        <f ca="1" t="shared" si="118"/>
        <v>16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/>
      <c r="Z873" s="105"/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208</v>
      </c>
      <c r="C874" s="70" t="s">
        <v>203</v>
      </c>
      <c r="D874" s="71" t="s">
        <v>2412</v>
      </c>
      <c r="E874" s="71" t="s">
        <v>214</v>
      </c>
      <c r="F874" s="72"/>
      <c r="G874" s="73"/>
      <c r="H874" s="157"/>
      <c r="I874" s="102">
        <v>46091</v>
      </c>
      <c r="J874" s="70">
        <v>3</v>
      </c>
      <c r="K874" s="106" t="s">
        <v>2413</v>
      </c>
      <c r="L874" s="104">
        <f t="shared" si="117"/>
        <v>46183</v>
      </c>
      <c r="M874" s="105">
        <f ca="1" t="shared" si="118"/>
        <v>16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ref="Y874:Y937" si="119">EDATE(V874,W874)</f>
        <v>0</v>
      </c>
      <c r="Z874" s="105">
        <f ca="1" t="shared" ref="Z874:Z937" si="120">Y874-TODAY()</f>
        <v>-46167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497</v>
      </c>
      <c r="C875" s="70" t="s">
        <v>203</v>
      </c>
      <c r="D875" s="71" t="s">
        <v>1871</v>
      </c>
      <c r="E875" s="71" t="s">
        <v>205</v>
      </c>
      <c r="F875" s="72"/>
      <c r="G875" s="73"/>
      <c r="H875" s="157"/>
      <c r="I875" s="102">
        <v>46091</v>
      </c>
      <c r="J875" s="70" t="s">
        <v>596</v>
      </c>
      <c r="K875" s="106"/>
      <c r="L875" s="104" t="e">
        <f t="shared" si="117"/>
        <v>#VALUE!</v>
      </c>
      <c r="M875" s="105" t="e">
        <f ca="1" t="shared" si="118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19"/>
        <v>0</v>
      </c>
      <c r="Z875" s="105">
        <f ca="1" t="shared" si="120"/>
        <v>-46167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102</v>
      </c>
      <c r="C876" s="70" t="s">
        <v>13</v>
      </c>
      <c r="D876" s="71" t="s">
        <v>2414</v>
      </c>
      <c r="E876" s="71" t="s">
        <v>2415</v>
      </c>
      <c r="F876" s="72"/>
      <c r="G876" s="73"/>
      <c r="H876" s="157"/>
      <c r="I876" s="102">
        <v>46092</v>
      </c>
      <c r="J876" s="70">
        <v>3</v>
      </c>
      <c r="K876" s="106" t="s">
        <v>2416</v>
      </c>
      <c r="L876" s="104">
        <f t="shared" si="117"/>
        <v>46184</v>
      </c>
      <c r="M876" s="105">
        <f ca="1" t="shared" si="118"/>
        <v>17</v>
      </c>
      <c r="N876" s="70"/>
      <c r="O876" s="70"/>
      <c r="P876" s="70"/>
      <c r="Q876" s="71"/>
      <c r="R876" s="71"/>
      <c r="S876" s="72"/>
      <c r="T876" s="73"/>
      <c r="U876" s="79"/>
      <c r="V876" s="102"/>
      <c r="W876" s="70"/>
      <c r="X876" s="103"/>
      <c r="Y876" s="104">
        <f t="shared" si="119"/>
        <v>0</v>
      </c>
      <c r="Z876" s="105">
        <f ca="1" t="shared" si="120"/>
        <v>-46167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1075</v>
      </c>
      <c r="C877" s="70" t="s">
        <v>31</v>
      </c>
      <c r="D877" s="71" t="s">
        <v>2417</v>
      </c>
      <c r="E877" s="71" t="s">
        <v>2418</v>
      </c>
      <c r="F877" s="72"/>
      <c r="G877" s="73"/>
      <c r="H877" s="157"/>
      <c r="I877" s="102">
        <v>46092</v>
      </c>
      <c r="J877" s="70">
        <v>3</v>
      </c>
      <c r="K877" s="106" t="s">
        <v>2419</v>
      </c>
      <c r="L877" s="104">
        <f t="shared" si="117"/>
        <v>46184</v>
      </c>
      <c r="M877" s="105">
        <f ca="1" t="shared" si="118"/>
        <v>17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>
        <f t="shared" si="119"/>
        <v>0</v>
      </c>
      <c r="Z877" s="105">
        <f ca="1" t="shared" si="120"/>
        <v>-46167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1075</v>
      </c>
      <c r="C878" s="70" t="s">
        <v>31</v>
      </c>
      <c r="D878" s="71" t="s">
        <v>2420</v>
      </c>
      <c r="E878" s="71" t="s">
        <v>1077</v>
      </c>
      <c r="F878" s="72"/>
      <c r="G878" s="73"/>
      <c r="H878" s="157"/>
      <c r="I878" s="102">
        <v>46092</v>
      </c>
      <c r="J878" s="70">
        <v>3</v>
      </c>
      <c r="K878" s="106" t="s">
        <v>2421</v>
      </c>
      <c r="L878" s="104">
        <f t="shared" si="117"/>
        <v>46184</v>
      </c>
      <c r="M878" s="105">
        <f ca="1" t="shared" si="118"/>
        <v>17</v>
      </c>
      <c r="N878" s="70"/>
      <c r="O878" s="70"/>
      <c r="P878" s="70"/>
      <c r="Q878" s="71"/>
      <c r="R878" s="71"/>
      <c r="S878" s="72"/>
      <c r="T878" s="73"/>
      <c r="U878" s="74"/>
      <c r="V878" s="102"/>
      <c r="W878" s="70"/>
      <c r="X878" s="103"/>
      <c r="Y878" s="104">
        <f t="shared" si="119"/>
        <v>0</v>
      </c>
      <c r="Z878" s="105">
        <f ca="1" t="shared" si="120"/>
        <v>-46167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407</v>
      </c>
      <c r="C879" s="70" t="s">
        <v>13</v>
      </c>
      <c r="D879" s="71" t="s">
        <v>2422</v>
      </c>
      <c r="E879" s="71" t="s">
        <v>2423</v>
      </c>
      <c r="F879" s="72"/>
      <c r="G879" s="73"/>
      <c r="H879" s="157"/>
      <c r="I879" s="102">
        <v>46092</v>
      </c>
      <c r="J879" s="70">
        <v>3</v>
      </c>
      <c r="K879" s="106" t="s">
        <v>2424</v>
      </c>
      <c r="L879" s="104">
        <f t="shared" si="117"/>
        <v>46184</v>
      </c>
      <c r="M879" s="105">
        <f ca="1" t="shared" si="118"/>
        <v>17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19"/>
        <v>0</v>
      </c>
      <c r="Z879" s="105">
        <f ca="1" t="shared" si="120"/>
        <v>-46167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407</v>
      </c>
      <c r="C880" s="70" t="s">
        <v>13</v>
      </c>
      <c r="D880" s="71" t="s">
        <v>2425</v>
      </c>
      <c r="E880" s="71" t="s">
        <v>409</v>
      </c>
      <c r="F880" s="72"/>
      <c r="G880" s="73"/>
      <c r="H880" s="157"/>
      <c r="I880" s="102">
        <v>46092</v>
      </c>
      <c r="J880" s="70">
        <v>3</v>
      </c>
      <c r="K880" s="106" t="s">
        <v>2426</v>
      </c>
      <c r="L880" s="104">
        <f t="shared" si="117"/>
        <v>46184</v>
      </c>
      <c r="M880" s="105">
        <f ca="1" t="shared" si="118"/>
        <v>17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19"/>
        <v>0</v>
      </c>
      <c r="Z880" s="105">
        <f ca="1" t="shared" si="120"/>
        <v>-46167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407</v>
      </c>
      <c r="C881" s="70" t="s">
        <v>13</v>
      </c>
      <c r="D881" s="71" t="s">
        <v>2427</v>
      </c>
      <c r="E881" s="71" t="s">
        <v>2428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2429</v>
      </c>
      <c r="L881" s="104">
        <f t="shared" si="117"/>
        <v>46184</v>
      </c>
      <c r="M881" s="105">
        <f ca="1" t="shared" si="118"/>
        <v>17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>
        <f t="shared" si="119"/>
        <v>0</v>
      </c>
      <c r="Z881" s="105">
        <f ca="1" t="shared" si="120"/>
        <v>-46167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407</v>
      </c>
      <c r="C882" s="70" t="s">
        <v>13</v>
      </c>
      <c r="D882" s="71" t="s">
        <v>2430</v>
      </c>
      <c r="E882" s="71" t="s">
        <v>2431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2432</v>
      </c>
      <c r="L882" s="104">
        <f t="shared" si="117"/>
        <v>46184</v>
      </c>
      <c r="M882" s="105">
        <f ca="1" t="shared" si="118"/>
        <v>17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19"/>
        <v>0</v>
      </c>
      <c r="Z882" s="105">
        <f ca="1" t="shared" si="120"/>
        <v>-46167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429</v>
      </c>
      <c r="C883" s="70" t="s">
        <v>287</v>
      </c>
      <c r="D883" s="71" t="s">
        <v>2433</v>
      </c>
      <c r="E883" s="71" t="s">
        <v>435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2434</v>
      </c>
      <c r="L883" s="104">
        <f t="shared" si="117"/>
        <v>46184</v>
      </c>
      <c r="M883" s="105">
        <f ca="1" t="shared" si="118"/>
        <v>17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>
        <f t="shared" si="119"/>
        <v>0</v>
      </c>
      <c r="Z883" s="105">
        <f ca="1" t="shared" si="120"/>
        <v>-46167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500</v>
      </c>
      <c r="C884" s="70" t="s">
        <v>203</v>
      </c>
      <c r="D884" s="71" t="s">
        <v>501</v>
      </c>
      <c r="E884" s="71" t="s">
        <v>2435</v>
      </c>
      <c r="F884" s="72"/>
      <c r="G884" s="73"/>
      <c r="H884" s="75"/>
      <c r="I884" s="102">
        <v>46092</v>
      </c>
      <c r="J884" s="70" t="s">
        <v>596</v>
      </c>
      <c r="K884" s="106"/>
      <c r="L884" s="104" t="e">
        <f t="shared" si="117"/>
        <v>#VALUE!</v>
      </c>
      <c r="M884" s="105" t="e">
        <f ca="1" t="shared" si="118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19"/>
        <v>0</v>
      </c>
      <c r="Z884" s="105">
        <f ca="1" t="shared" si="120"/>
        <v>-46167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500</v>
      </c>
      <c r="C885" s="70" t="s">
        <v>203</v>
      </c>
      <c r="D885" s="71" t="s">
        <v>2088</v>
      </c>
      <c r="E885" s="71" t="s">
        <v>2089</v>
      </c>
      <c r="F885" s="72"/>
      <c r="G885" s="73"/>
      <c r="H885" s="75"/>
      <c r="I885" s="102">
        <v>46092</v>
      </c>
      <c r="J885" s="70" t="s">
        <v>596</v>
      </c>
      <c r="K885" s="106"/>
      <c r="L885" s="104" t="e">
        <f t="shared" si="117"/>
        <v>#VALUE!</v>
      </c>
      <c r="M885" s="105" t="e">
        <f ca="1" t="shared" si="118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19"/>
        <v>0</v>
      </c>
      <c r="Z885" s="105">
        <f ca="1" t="shared" si="120"/>
        <v>-46167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500</v>
      </c>
      <c r="C886" s="70" t="s">
        <v>203</v>
      </c>
      <c r="D886" s="71" t="s">
        <v>2436</v>
      </c>
      <c r="E886" s="71" t="s">
        <v>2437</v>
      </c>
      <c r="F886" s="72"/>
      <c r="G886" s="73"/>
      <c r="H886" s="75"/>
      <c r="I886" s="102">
        <v>46092</v>
      </c>
      <c r="J886" s="70">
        <v>3</v>
      </c>
      <c r="K886" s="106" t="s">
        <v>2438</v>
      </c>
      <c r="L886" s="104">
        <f t="shared" si="117"/>
        <v>46184</v>
      </c>
      <c r="M886" s="105">
        <f ca="1" t="shared" si="118"/>
        <v>17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19"/>
        <v>0</v>
      </c>
      <c r="Z886" s="105">
        <f ca="1" t="shared" si="120"/>
        <v>-46167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102</v>
      </c>
      <c r="C887" s="70" t="s">
        <v>13</v>
      </c>
      <c r="D887" s="71" t="s">
        <v>2439</v>
      </c>
      <c r="E887" s="71" t="s">
        <v>95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2440</v>
      </c>
      <c r="L887" s="104">
        <f t="shared" si="117"/>
        <v>46185</v>
      </c>
      <c r="M887" s="105">
        <f ca="1" t="shared" si="118"/>
        <v>18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19"/>
        <v>0</v>
      </c>
      <c r="Z887" s="105">
        <f ca="1" t="shared" si="120"/>
        <v>-46167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583</v>
      </c>
      <c r="C888" s="70" t="s">
        <v>31</v>
      </c>
      <c r="D888" s="71" t="s">
        <v>2441</v>
      </c>
      <c r="E888" s="71" t="s">
        <v>148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2442</v>
      </c>
      <c r="L888" s="104">
        <f t="shared" si="117"/>
        <v>46185</v>
      </c>
      <c r="M888" s="105">
        <f ca="1" t="shared" si="118"/>
        <v>18</v>
      </c>
      <c r="N888" s="70"/>
      <c r="O888" s="70" t="s">
        <v>583</v>
      </c>
      <c r="P888" s="70" t="s">
        <v>31</v>
      </c>
      <c r="Q888" s="71" t="s">
        <v>2441</v>
      </c>
      <c r="R888" s="71" t="s">
        <v>148</v>
      </c>
      <c r="S888" s="72"/>
      <c r="T888" s="73"/>
      <c r="U888" s="114" t="s">
        <v>16</v>
      </c>
      <c r="V888" s="102">
        <v>46164</v>
      </c>
      <c r="W888" s="70">
        <v>3</v>
      </c>
      <c r="X888" s="103"/>
      <c r="Y888" s="104">
        <f t="shared" si="119"/>
        <v>46256</v>
      </c>
      <c r="Z888" s="105">
        <f ca="1" t="shared" si="120"/>
        <v>89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583</v>
      </c>
      <c r="C889" s="70" t="s">
        <v>13</v>
      </c>
      <c r="D889" s="71" t="s">
        <v>2443</v>
      </c>
      <c r="E889" s="71" t="s">
        <v>95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2444</v>
      </c>
      <c r="L889" s="104">
        <f t="shared" si="117"/>
        <v>46185</v>
      </c>
      <c r="M889" s="105">
        <f ca="1" t="shared" si="118"/>
        <v>18</v>
      </c>
      <c r="N889" s="70"/>
      <c r="O889" s="70"/>
      <c r="P889" s="70"/>
      <c r="Q889" s="71"/>
      <c r="R889" s="71"/>
      <c r="S889" s="72"/>
      <c r="T889" s="73"/>
      <c r="U889" s="114"/>
      <c r="V889" s="102"/>
      <c r="W889" s="70"/>
      <c r="X889" s="103"/>
      <c r="Y889" s="104">
        <f t="shared" si="119"/>
        <v>0</v>
      </c>
      <c r="Z889" s="105">
        <f ca="1" t="shared" si="120"/>
        <v>-46167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583</v>
      </c>
      <c r="C890" s="70" t="s">
        <v>13</v>
      </c>
      <c r="D890" s="71" t="s">
        <v>2445</v>
      </c>
      <c r="E890" s="71" t="s">
        <v>95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2446</v>
      </c>
      <c r="L890" s="104">
        <f t="shared" si="117"/>
        <v>46185</v>
      </c>
      <c r="M890" s="105">
        <f ca="1" t="shared" si="118"/>
        <v>18</v>
      </c>
      <c r="N890" s="70"/>
      <c r="O890" s="70"/>
      <c r="P890" s="70"/>
      <c r="Q890" s="71"/>
      <c r="R890" s="71"/>
      <c r="S890" s="72"/>
      <c r="T890" s="73"/>
      <c r="U890" s="114"/>
      <c r="V890" s="102"/>
      <c r="W890" s="70"/>
      <c r="X890" s="103"/>
      <c r="Y890" s="104">
        <f t="shared" si="119"/>
        <v>0</v>
      </c>
      <c r="Z890" s="105">
        <f ca="1" t="shared" si="120"/>
        <v>-46167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583</v>
      </c>
      <c r="C891" s="70" t="s">
        <v>13</v>
      </c>
      <c r="D891" s="71" t="s">
        <v>2447</v>
      </c>
      <c r="E891" s="71" t="s">
        <v>1290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2448</v>
      </c>
      <c r="L891" s="104">
        <f t="shared" si="117"/>
        <v>46185</v>
      </c>
      <c r="M891" s="105">
        <f ca="1" t="shared" si="118"/>
        <v>18</v>
      </c>
      <c r="N891" s="70"/>
      <c r="O891" s="70"/>
      <c r="P891" s="70"/>
      <c r="Q891" s="71"/>
      <c r="R891" s="71"/>
      <c r="S891" s="72"/>
      <c r="T891" s="73"/>
      <c r="U891" s="74"/>
      <c r="V891" s="102"/>
      <c r="W891" s="70"/>
      <c r="X891" s="103"/>
      <c r="Y891" s="104">
        <f t="shared" si="119"/>
        <v>0</v>
      </c>
      <c r="Z891" s="105">
        <f ca="1" t="shared" si="120"/>
        <v>-46167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583</v>
      </c>
      <c r="C892" s="70" t="s">
        <v>13</v>
      </c>
      <c r="D892" s="71" t="s">
        <v>2449</v>
      </c>
      <c r="E892" s="71" t="s">
        <v>95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2450</v>
      </c>
      <c r="L892" s="104">
        <f t="shared" si="117"/>
        <v>46185</v>
      </c>
      <c r="M892" s="105">
        <f ca="1" t="shared" si="118"/>
        <v>18</v>
      </c>
      <c r="N892" s="70"/>
      <c r="O892" s="70"/>
      <c r="P892" s="70"/>
      <c r="Q892" s="71"/>
      <c r="R892" s="71"/>
      <c r="S892" s="72"/>
      <c r="T892" s="73"/>
      <c r="U892" s="74"/>
      <c r="V892" s="102"/>
      <c r="W892" s="70"/>
      <c r="X892" s="103"/>
      <c r="Y892" s="104">
        <f t="shared" si="119"/>
        <v>0</v>
      </c>
      <c r="Z892" s="105">
        <f ca="1" t="shared" si="120"/>
        <v>-46167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583</v>
      </c>
      <c r="C893" s="70" t="s">
        <v>203</v>
      </c>
      <c r="D893" s="71" t="s">
        <v>2451</v>
      </c>
      <c r="E893" s="71" t="s">
        <v>2117</v>
      </c>
      <c r="F893" s="72"/>
      <c r="G893" s="73"/>
      <c r="H893" s="75"/>
      <c r="I893" s="102">
        <v>46093</v>
      </c>
      <c r="J893" s="70">
        <v>3</v>
      </c>
      <c r="K893" s="106" t="s">
        <v>2452</v>
      </c>
      <c r="L893" s="104">
        <f t="shared" si="117"/>
        <v>46185</v>
      </c>
      <c r="M893" s="105">
        <f ca="1" t="shared" si="118"/>
        <v>18</v>
      </c>
      <c r="N893" s="70"/>
      <c r="O893" s="70"/>
      <c r="P893" s="70"/>
      <c r="Q893" s="71"/>
      <c r="R893" s="71"/>
      <c r="S893" s="72"/>
      <c r="T893" s="73"/>
      <c r="U893" s="79"/>
      <c r="V893" s="102"/>
      <c r="W893" s="70"/>
      <c r="X893" s="103"/>
      <c r="Y893" s="104">
        <f t="shared" si="119"/>
        <v>0</v>
      </c>
      <c r="Z893" s="105">
        <f ca="1" t="shared" si="120"/>
        <v>-46167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583</v>
      </c>
      <c r="C894" s="70" t="s">
        <v>203</v>
      </c>
      <c r="D894" s="71" t="s">
        <v>2453</v>
      </c>
      <c r="E894" s="71" t="s">
        <v>2127</v>
      </c>
      <c r="F894" s="72"/>
      <c r="G894" s="73"/>
      <c r="H894" s="75"/>
      <c r="I894" s="102">
        <v>46093</v>
      </c>
      <c r="J894" s="70">
        <v>3</v>
      </c>
      <c r="K894" s="106" t="s">
        <v>2454</v>
      </c>
      <c r="L894" s="104">
        <f t="shared" si="117"/>
        <v>46185</v>
      </c>
      <c r="M894" s="105">
        <f ca="1" t="shared" si="118"/>
        <v>18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19"/>
        <v>0</v>
      </c>
      <c r="Z894" s="105">
        <f ca="1" t="shared" si="120"/>
        <v>-46167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583</v>
      </c>
      <c r="C895" s="70" t="s">
        <v>203</v>
      </c>
      <c r="D895" s="71" t="s">
        <v>2455</v>
      </c>
      <c r="E895" s="71" t="s">
        <v>2456</v>
      </c>
      <c r="F895" s="72"/>
      <c r="G895" s="73"/>
      <c r="H895" s="75"/>
      <c r="I895" s="102">
        <v>46093</v>
      </c>
      <c r="J895" s="70">
        <v>3</v>
      </c>
      <c r="K895" s="106" t="s">
        <v>2457</v>
      </c>
      <c r="L895" s="104">
        <f t="shared" si="117"/>
        <v>46185</v>
      </c>
      <c r="M895" s="105">
        <f ca="1" t="shared" si="118"/>
        <v>18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19"/>
        <v>0</v>
      </c>
      <c r="Z895" s="105">
        <f ca="1" t="shared" si="120"/>
        <v>-46167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583</v>
      </c>
      <c r="C896" s="70" t="s">
        <v>203</v>
      </c>
      <c r="D896" s="71" t="s">
        <v>2458</v>
      </c>
      <c r="E896" s="71" t="s">
        <v>2117</v>
      </c>
      <c r="F896" s="72"/>
      <c r="G896" s="73"/>
      <c r="H896" s="75"/>
      <c r="I896" s="102">
        <v>46093</v>
      </c>
      <c r="J896" s="70">
        <v>3</v>
      </c>
      <c r="K896" s="106" t="s">
        <v>2459</v>
      </c>
      <c r="L896" s="104">
        <f t="shared" si="117"/>
        <v>46185</v>
      </c>
      <c r="M896" s="105">
        <f ca="1" t="shared" si="118"/>
        <v>18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19"/>
        <v>0</v>
      </c>
      <c r="Z896" s="105">
        <f ca="1" t="shared" si="120"/>
        <v>-46167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583</v>
      </c>
      <c r="C897" s="70" t="s">
        <v>203</v>
      </c>
      <c r="D897" s="71" t="s">
        <v>2460</v>
      </c>
      <c r="E897" s="71" t="s">
        <v>2461</v>
      </c>
      <c r="F897" s="72"/>
      <c r="G897" s="73"/>
      <c r="H897" s="75"/>
      <c r="I897" s="102">
        <v>46093</v>
      </c>
      <c r="J897" s="70">
        <v>3</v>
      </c>
      <c r="K897" s="106" t="s">
        <v>2462</v>
      </c>
      <c r="L897" s="104">
        <f t="shared" ref="L897:L926" si="121">EDATE(I897,J897)</f>
        <v>46185</v>
      </c>
      <c r="M897" s="105">
        <f ca="1" t="shared" ref="M897:M926" si="122">L897-TODAY()</f>
        <v>18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19"/>
        <v>0</v>
      </c>
      <c r="Z897" s="105">
        <f ca="1" t="shared" si="120"/>
        <v>-46167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500</v>
      </c>
      <c r="C898" s="70" t="s">
        <v>13</v>
      </c>
      <c r="D898" s="71" t="s">
        <v>2463</v>
      </c>
      <c r="E898" s="71" t="s">
        <v>2464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2465</v>
      </c>
      <c r="L898" s="104">
        <f t="shared" si="121"/>
        <v>46185</v>
      </c>
      <c r="M898" s="105">
        <f ca="1" t="shared" si="122"/>
        <v>18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19"/>
        <v>0</v>
      </c>
      <c r="Z898" s="105">
        <f ca="1" t="shared" si="120"/>
        <v>-46167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31</v>
      </c>
      <c r="D899" s="71" t="s">
        <v>2466</v>
      </c>
      <c r="E899" s="71" t="s">
        <v>148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2467</v>
      </c>
      <c r="L899" s="104">
        <f t="shared" si="121"/>
        <v>46186</v>
      </c>
      <c r="M899" s="105">
        <f ca="1" t="shared" si="122"/>
        <v>19</v>
      </c>
      <c r="N899" s="70"/>
      <c r="O899" s="70"/>
      <c r="P899" s="70"/>
      <c r="Q899" s="71"/>
      <c r="R899" s="71"/>
      <c r="S899" s="72"/>
      <c r="T899" s="73"/>
      <c r="U899" s="79"/>
      <c r="V899" s="102"/>
      <c r="W899" s="70"/>
      <c r="X899" s="103"/>
      <c r="Y899" s="104">
        <f t="shared" si="119"/>
        <v>0</v>
      </c>
      <c r="Z899" s="105">
        <f ca="1" t="shared" si="120"/>
        <v>-46167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55</v>
      </c>
      <c r="C900" s="70" t="s">
        <v>13</v>
      </c>
      <c r="D900" s="71" t="s">
        <v>2468</v>
      </c>
      <c r="E900" s="71" t="s">
        <v>57</v>
      </c>
      <c r="F900" s="72"/>
      <c r="G900" s="73"/>
      <c r="H900" s="75"/>
      <c r="I900" s="102">
        <v>46094</v>
      </c>
      <c r="J900" s="70">
        <v>3</v>
      </c>
      <c r="K900" s="106" t="s">
        <v>2469</v>
      </c>
      <c r="L900" s="104">
        <f t="shared" si="121"/>
        <v>46186</v>
      </c>
      <c r="M900" s="105">
        <f ca="1" t="shared" si="122"/>
        <v>19</v>
      </c>
      <c r="N900" s="70"/>
      <c r="O900" s="70"/>
      <c r="P900" s="70"/>
      <c r="Q900" s="71"/>
      <c r="R900" s="71"/>
      <c r="S900" s="72"/>
      <c r="T900" s="73"/>
      <c r="U900" s="79"/>
      <c r="V900" s="102"/>
      <c r="W900" s="70"/>
      <c r="X900" s="103"/>
      <c r="Y900" s="104">
        <f t="shared" si="119"/>
        <v>0</v>
      </c>
      <c r="Z900" s="105">
        <f ca="1" t="shared" si="120"/>
        <v>-46167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102</v>
      </c>
      <c r="C901" s="70" t="s">
        <v>13</v>
      </c>
      <c r="D901" s="71" t="s">
        <v>2470</v>
      </c>
      <c r="E901" s="71" t="s">
        <v>57</v>
      </c>
      <c r="F901" s="72"/>
      <c r="G901" s="73"/>
      <c r="H901" s="75"/>
      <c r="I901" s="102">
        <v>46094</v>
      </c>
      <c r="J901" s="70">
        <v>3</v>
      </c>
      <c r="K901" s="106" t="s">
        <v>2471</v>
      </c>
      <c r="L901" s="104">
        <f t="shared" si="121"/>
        <v>46186</v>
      </c>
      <c r="M901" s="105">
        <f ca="1" t="shared" si="122"/>
        <v>19</v>
      </c>
      <c r="N901" s="70"/>
      <c r="O901" s="70"/>
      <c r="P901" s="70"/>
      <c r="Q901" s="71"/>
      <c r="R901" s="71"/>
      <c r="S901" s="72"/>
      <c r="T901" s="73"/>
      <c r="U901" s="114"/>
      <c r="V901" s="102"/>
      <c r="W901" s="70"/>
      <c r="X901" s="103"/>
      <c r="Y901" s="104">
        <f t="shared" si="119"/>
        <v>0</v>
      </c>
      <c r="Z901" s="105">
        <f ca="1" t="shared" si="120"/>
        <v>-46167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102</v>
      </c>
      <c r="C902" s="70" t="s">
        <v>13</v>
      </c>
      <c r="D902" s="71" t="s">
        <v>2472</v>
      </c>
      <c r="E902" s="71" t="s">
        <v>95</v>
      </c>
      <c r="F902" s="72"/>
      <c r="G902" s="73"/>
      <c r="H902" s="75"/>
      <c r="I902" s="102">
        <v>46094</v>
      </c>
      <c r="J902" s="70">
        <v>3</v>
      </c>
      <c r="K902" s="106" t="s">
        <v>2473</v>
      </c>
      <c r="L902" s="104">
        <f t="shared" si="121"/>
        <v>46186</v>
      </c>
      <c r="M902" s="105">
        <f ca="1" t="shared" si="122"/>
        <v>19</v>
      </c>
      <c r="N902" s="70"/>
      <c r="O902" s="70"/>
      <c r="P902" s="70"/>
      <c r="Q902" s="71"/>
      <c r="R902" s="71"/>
      <c r="S902" s="72"/>
      <c r="T902" s="73"/>
      <c r="U902" s="79"/>
      <c r="V902" s="102"/>
      <c r="W902" s="70"/>
      <c r="X902" s="103"/>
      <c r="Y902" s="104">
        <f t="shared" si="119"/>
        <v>0</v>
      </c>
      <c r="Z902" s="105">
        <f ca="1" t="shared" si="120"/>
        <v>-46167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102</v>
      </c>
      <c r="C903" s="70" t="s">
        <v>13</v>
      </c>
      <c r="D903" s="71" t="s">
        <v>2474</v>
      </c>
      <c r="E903" s="71" t="s">
        <v>28</v>
      </c>
      <c r="F903" s="72"/>
      <c r="G903" s="73"/>
      <c r="H903" s="75"/>
      <c r="I903" s="102">
        <v>46094</v>
      </c>
      <c r="J903" s="70">
        <v>3</v>
      </c>
      <c r="K903" s="106" t="s">
        <v>2475</v>
      </c>
      <c r="L903" s="104">
        <f t="shared" si="121"/>
        <v>46186</v>
      </c>
      <c r="M903" s="105">
        <f ca="1" t="shared" si="122"/>
        <v>19</v>
      </c>
      <c r="N903" s="70"/>
      <c r="O903" s="70"/>
      <c r="P903" s="70"/>
      <c r="Q903" s="71"/>
      <c r="R903" s="71"/>
      <c r="S903" s="72"/>
      <c r="T903" s="73"/>
      <c r="U903" s="79"/>
      <c r="V903" s="102"/>
      <c r="W903" s="70"/>
      <c r="X903" s="103"/>
      <c r="Y903" s="104">
        <f t="shared" si="119"/>
        <v>0</v>
      </c>
      <c r="Z903" s="105">
        <f ca="1" t="shared" si="120"/>
        <v>-46167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583</v>
      </c>
      <c r="C904" s="70" t="s">
        <v>13</v>
      </c>
      <c r="D904" s="71" t="s">
        <v>2476</v>
      </c>
      <c r="E904" s="71" t="s">
        <v>95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2477</v>
      </c>
      <c r="L904" s="104">
        <f t="shared" si="121"/>
        <v>46186</v>
      </c>
      <c r="M904" s="105">
        <f ca="1" t="shared" si="122"/>
        <v>19</v>
      </c>
      <c r="N904" s="70"/>
      <c r="O904" s="70"/>
      <c r="P904" s="70"/>
      <c r="Q904" s="71"/>
      <c r="R904" s="71"/>
      <c r="S904" s="72"/>
      <c r="T904" s="73"/>
      <c r="U904" s="79"/>
      <c r="V904" s="102"/>
      <c r="W904" s="70"/>
      <c r="X904" s="103"/>
      <c r="Y904" s="104">
        <f t="shared" si="119"/>
        <v>0</v>
      </c>
      <c r="Z904" s="105">
        <f ca="1" t="shared" si="120"/>
        <v>-46167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930</v>
      </c>
      <c r="C905" s="70" t="s">
        <v>13</v>
      </c>
      <c r="D905" s="71" t="s">
        <v>2478</v>
      </c>
      <c r="E905" s="71" t="s">
        <v>57</v>
      </c>
      <c r="F905" s="72"/>
      <c r="G905" s="73"/>
      <c r="H905" s="75"/>
      <c r="I905" s="102">
        <v>46094</v>
      </c>
      <c r="J905" s="70">
        <v>3</v>
      </c>
      <c r="K905" s="106" t="s">
        <v>2479</v>
      </c>
      <c r="L905" s="104">
        <f t="shared" si="121"/>
        <v>46186</v>
      </c>
      <c r="M905" s="105">
        <f ca="1" t="shared" si="122"/>
        <v>19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19"/>
        <v>0</v>
      </c>
      <c r="Z905" s="105">
        <f ca="1" t="shared" si="120"/>
        <v>-46167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985</v>
      </c>
      <c r="C906" s="70" t="s">
        <v>13</v>
      </c>
      <c r="D906" s="71" t="s">
        <v>2480</v>
      </c>
      <c r="E906" s="71" t="s">
        <v>61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2481</v>
      </c>
      <c r="L906" s="104">
        <f t="shared" si="121"/>
        <v>46186</v>
      </c>
      <c r="M906" s="105">
        <f ca="1" t="shared" si="122"/>
        <v>19</v>
      </c>
      <c r="N906" s="70"/>
      <c r="O906" s="70"/>
      <c r="P906" s="70"/>
      <c r="Q906" s="71"/>
      <c r="R906" s="71"/>
      <c r="S906" s="72"/>
      <c r="T906" s="73"/>
      <c r="U906" s="191"/>
      <c r="V906" s="132"/>
      <c r="W906" s="70"/>
      <c r="X906" s="103"/>
      <c r="Y906" s="104">
        <f t="shared" si="119"/>
        <v>0</v>
      </c>
      <c r="Z906" s="105">
        <f ca="1" t="shared" si="120"/>
        <v>-46167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985</v>
      </c>
      <c r="C907" s="70" t="s">
        <v>13</v>
      </c>
      <c r="D907" s="71" t="s">
        <v>2482</v>
      </c>
      <c r="E907" s="71" t="s">
        <v>264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2483</v>
      </c>
      <c r="L907" s="104">
        <f t="shared" si="121"/>
        <v>46186</v>
      </c>
      <c r="M907" s="105">
        <f ca="1" t="shared" si="122"/>
        <v>19</v>
      </c>
      <c r="N907" s="70"/>
      <c r="O907" s="70"/>
      <c r="P907" s="70"/>
      <c r="Q907" s="71"/>
      <c r="R907" s="71"/>
      <c r="S907" s="72"/>
      <c r="T907" s="73"/>
      <c r="U907" s="79"/>
      <c r="V907" s="102"/>
      <c r="W907" s="70"/>
      <c r="X907" s="103"/>
      <c r="Y907" s="104">
        <f t="shared" si="119"/>
        <v>0</v>
      </c>
      <c r="Z907" s="105">
        <f ca="1" t="shared" si="120"/>
        <v>-46167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985</v>
      </c>
      <c r="C908" s="70" t="s">
        <v>31</v>
      </c>
      <c r="D908" s="71" t="s">
        <v>2484</v>
      </c>
      <c r="E908" s="71" t="s">
        <v>148</v>
      </c>
      <c r="F908" s="72"/>
      <c r="G908" s="73"/>
      <c r="H908" s="75"/>
      <c r="I908" s="102">
        <v>46094</v>
      </c>
      <c r="J908" s="70">
        <v>3</v>
      </c>
      <c r="K908" s="106" t="s">
        <v>2485</v>
      </c>
      <c r="L908" s="104">
        <f t="shared" si="121"/>
        <v>46186</v>
      </c>
      <c r="M908" s="105">
        <f ca="1" t="shared" si="122"/>
        <v>19</v>
      </c>
      <c r="N908" s="70"/>
      <c r="O908" s="70"/>
      <c r="P908" s="70"/>
      <c r="Q908" s="71"/>
      <c r="R908" s="71"/>
      <c r="S908" s="72"/>
      <c r="T908" s="73"/>
      <c r="U908" s="79"/>
      <c r="V908" s="102"/>
      <c r="W908" s="70"/>
      <c r="X908" s="103"/>
      <c r="Y908" s="104">
        <f t="shared" si="119"/>
        <v>0</v>
      </c>
      <c r="Z908" s="105">
        <f ca="1" t="shared" si="120"/>
        <v>-46167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407</v>
      </c>
      <c r="C909" s="70" t="s">
        <v>13</v>
      </c>
      <c r="D909" s="71" t="s">
        <v>2486</v>
      </c>
      <c r="E909" s="71" t="s">
        <v>2487</v>
      </c>
      <c r="F909" s="72"/>
      <c r="G909" s="73"/>
      <c r="H909" s="75"/>
      <c r="I909" s="102">
        <v>46094</v>
      </c>
      <c r="J909" s="70">
        <v>3</v>
      </c>
      <c r="K909" s="106" t="s">
        <v>2488</v>
      </c>
      <c r="L909" s="104">
        <f t="shared" si="121"/>
        <v>46186</v>
      </c>
      <c r="M909" s="105">
        <f ca="1" t="shared" si="122"/>
        <v>19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19"/>
        <v>0</v>
      </c>
      <c r="Z909" s="105">
        <f ca="1" t="shared" si="120"/>
        <v>-46167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132</v>
      </c>
      <c r="C910" s="70" t="s">
        <v>31</v>
      </c>
      <c r="D910" s="71" t="s">
        <v>2489</v>
      </c>
      <c r="E910" s="71" t="s">
        <v>2490</v>
      </c>
      <c r="F910" s="72"/>
      <c r="G910" s="73"/>
      <c r="H910" s="75"/>
      <c r="I910" s="102">
        <v>46094</v>
      </c>
      <c r="J910" s="70">
        <v>3</v>
      </c>
      <c r="K910" s="106" t="s">
        <v>2491</v>
      </c>
      <c r="L910" s="104">
        <f t="shared" si="121"/>
        <v>46186</v>
      </c>
      <c r="M910" s="105">
        <f ca="1" t="shared" si="122"/>
        <v>19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19"/>
        <v>0</v>
      </c>
      <c r="Z910" s="105">
        <f ca="1" t="shared" si="120"/>
        <v>-46167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583</v>
      </c>
      <c r="C911" s="70" t="s">
        <v>203</v>
      </c>
      <c r="D911" s="71" t="s">
        <v>2492</v>
      </c>
      <c r="E911" s="71" t="s">
        <v>2124</v>
      </c>
      <c r="F911" s="72"/>
      <c r="G911" s="73"/>
      <c r="H911" s="75"/>
      <c r="I911" s="102">
        <v>46094</v>
      </c>
      <c r="J911" s="70">
        <v>3</v>
      </c>
      <c r="K911" s="106" t="s">
        <v>2493</v>
      </c>
      <c r="L911" s="104">
        <f t="shared" si="121"/>
        <v>46186</v>
      </c>
      <c r="M911" s="105">
        <f ca="1" t="shared" si="122"/>
        <v>19</v>
      </c>
      <c r="N911" s="70"/>
      <c r="O911" s="70"/>
      <c r="P911" s="70"/>
      <c r="Q911" s="71"/>
      <c r="R911" s="71"/>
      <c r="S911" s="72"/>
      <c r="T911" s="73"/>
      <c r="U911" s="74"/>
      <c r="V911" s="102"/>
      <c r="W911" s="70"/>
      <c r="X911" s="103"/>
      <c r="Y911" s="104">
        <f t="shared" si="119"/>
        <v>0</v>
      </c>
      <c r="Z911" s="105">
        <f ca="1" t="shared" si="120"/>
        <v>-46167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583</v>
      </c>
      <c r="C912" s="70" t="s">
        <v>203</v>
      </c>
      <c r="D912" s="71" t="s">
        <v>2494</v>
      </c>
      <c r="E912" s="71" t="s">
        <v>2121</v>
      </c>
      <c r="F912" s="72"/>
      <c r="G912" s="73"/>
      <c r="H912" s="75"/>
      <c r="I912" s="102">
        <v>46094</v>
      </c>
      <c r="J912" s="70">
        <v>3</v>
      </c>
      <c r="K912" s="106" t="s">
        <v>2495</v>
      </c>
      <c r="L912" s="104">
        <f t="shared" si="121"/>
        <v>46186</v>
      </c>
      <c r="M912" s="105">
        <f ca="1" t="shared" si="122"/>
        <v>19</v>
      </c>
      <c r="N912" s="70"/>
      <c r="O912" s="70"/>
      <c r="P912" s="70"/>
      <c r="Q912" s="71"/>
      <c r="R912" s="71"/>
      <c r="S912" s="72"/>
      <c r="T912" s="73"/>
      <c r="U912" s="79"/>
      <c r="V912" s="102"/>
      <c r="W912" s="70"/>
      <c r="X912" s="103"/>
      <c r="Y912" s="104">
        <f t="shared" si="119"/>
        <v>0</v>
      </c>
      <c r="Z912" s="105">
        <f ca="1" t="shared" si="120"/>
        <v>-46167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583</v>
      </c>
      <c r="C913" s="70" t="s">
        <v>203</v>
      </c>
      <c r="D913" s="71" t="s">
        <v>2496</v>
      </c>
      <c r="E913" s="71" t="s">
        <v>2497</v>
      </c>
      <c r="F913" s="72"/>
      <c r="G913" s="73"/>
      <c r="H913" s="75"/>
      <c r="I913" s="102">
        <v>46094</v>
      </c>
      <c r="J913" s="70">
        <v>3</v>
      </c>
      <c r="K913" s="106" t="s">
        <v>2498</v>
      </c>
      <c r="L913" s="104">
        <f t="shared" si="121"/>
        <v>46186</v>
      </c>
      <c r="M913" s="105">
        <f ca="1" t="shared" si="122"/>
        <v>19</v>
      </c>
      <c r="N913" s="70"/>
      <c r="O913" s="70"/>
      <c r="P913" s="70"/>
      <c r="Q913" s="71"/>
      <c r="R913" s="71"/>
      <c r="S913" s="72"/>
      <c r="T913" s="73"/>
      <c r="U913" s="74"/>
      <c r="V913" s="102"/>
      <c r="W913" s="70"/>
      <c r="X913" s="103"/>
      <c r="Y913" s="104">
        <f t="shared" si="119"/>
        <v>0</v>
      </c>
      <c r="Z913" s="105">
        <f ca="1" t="shared" si="120"/>
        <v>-46167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2499</v>
      </c>
      <c r="C914" s="70" t="s">
        <v>287</v>
      </c>
      <c r="D914" s="71" t="s">
        <v>2500</v>
      </c>
      <c r="E914" s="71" t="s">
        <v>2501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2502</v>
      </c>
      <c r="L914" s="104">
        <f t="shared" si="121"/>
        <v>46186</v>
      </c>
      <c r="M914" s="105">
        <f ca="1" t="shared" si="122"/>
        <v>19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19"/>
        <v>0</v>
      </c>
      <c r="Z914" s="105">
        <f ca="1" t="shared" si="120"/>
        <v>-46167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2503</v>
      </c>
      <c r="C915" s="70" t="s">
        <v>287</v>
      </c>
      <c r="D915" s="71" t="s">
        <v>2504</v>
      </c>
      <c r="E915" s="71" t="s">
        <v>2505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2506</v>
      </c>
      <c r="L915" s="104">
        <f t="shared" si="121"/>
        <v>46186</v>
      </c>
      <c r="M915" s="105">
        <f ca="1" t="shared" si="122"/>
        <v>19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19"/>
        <v>0</v>
      </c>
      <c r="Z915" s="105">
        <f ca="1" t="shared" si="120"/>
        <v>-46167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2503</v>
      </c>
      <c r="C916" s="70" t="s">
        <v>287</v>
      </c>
      <c r="D916" s="71" t="s">
        <v>2507</v>
      </c>
      <c r="E916" s="71" t="s">
        <v>2508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2509</v>
      </c>
      <c r="L916" s="104">
        <f t="shared" si="121"/>
        <v>46186</v>
      </c>
      <c r="M916" s="105">
        <f ca="1" t="shared" si="122"/>
        <v>19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19"/>
        <v>0</v>
      </c>
      <c r="Z916" s="105">
        <f ca="1" t="shared" si="120"/>
        <v>-46167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942</v>
      </c>
      <c r="C917" s="70" t="s">
        <v>31</v>
      </c>
      <c r="D917" s="71" t="s">
        <v>2510</v>
      </c>
      <c r="E917" s="71" t="s">
        <v>570</v>
      </c>
      <c r="F917" s="72"/>
      <c r="G917" s="73"/>
      <c r="H917" s="75"/>
      <c r="I917" s="102">
        <v>46095</v>
      </c>
      <c r="J917" s="70">
        <v>3</v>
      </c>
      <c r="K917" s="106" t="s">
        <v>2511</v>
      </c>
      <c r="L917" s="104">
        <f t="shared" si="121"/>
        <v>46187</v>
      </c>
      <c r="M917" s="105">
        <f ca="1" t="shared" si="122"/>
        <v>20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19"/>
        <v>0</v>
      </c>
      <c r="Z917" s="105">
        <f ca="1" t="shared" si="120"/>
        <v>-46167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178</v>
      </c>
      <c r="C918" s="70" t="s">
        <v>13</v>
      </c>
      <c r="D918" s="71" t="s">
        <v>2512</v>
      </c>
      <c r="E918" s="71" t="s">
        <v>104</v>
      </c>
      <c r="F918" s="72"/>
      <c r="G918" s="73"/>
      <c r="H918" s="75"/>
      <c r="I918" s="102">
        <v>46095</v>
      </c>
      <c r="J918" s="70">
        <v>3</v>
      </c>
      <c r="K918" s="106" t="s">
        <v>2513</v>
      </c>
      <c r="L918" s="104">
        <f t="shared" si="121"/>
        <v>46187</v>
      </c>
      <c r="M918" s="105">
        <f ca="1" t="shared" si="122"/>
        <v>20</v>
      </c>
      <c r="N918" s="70"/>
      <c r="O918" s="70"/>
      <c r="P918" s="70"/>
      <c r="Q918" s="71"/>
      <c r="R918" s="71"/>
      <c r="S918" s="72"/>
      <c r="T918" s="73"/>
      <c r="U918" s="79"/>
      <c r="V918" s="102"/>
      <c r="W918" s="70"/>
      <c r="X918" s="103"/>
      <c r="Y918" s="104">
        <f t="shared" si="119"/>
        <v>0</v>
      </c>
      <c r="Z918" s="105">
        <f ca="1" t="shared" si="120"/>
        <v>-46167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985</v>
      </c>
      <c r="C919" s="70" t="s">
        <v>13</v>
      </c>
      <c r="D919" s="71" t="s">
        <v>2514</v>
      </c>
      <c r="E919" s="71" t="s">
        <v>57</v>
      </c>
      <c r="F919" s="72"/>
      <c r="G919" s="73"/>
      <c r="H919" s="75"/>
      <c r="I919" s="102">
        <v>46095</v>
      </c>
      <c r="J919" s="70">
        <v>3</v>
      </c>
      <c r="K919" s="106" t="s">
        <v>2515</v>
      </c>
      <c r="L919" s="104">
        <f t="shared" si="121"/>
        <v>46187</v>
      </c>
      <c r="M919" s="105">
        <f ca="1" t="shared" si="122"/>
        <v>20</v>
      </c>
      <c r="N919" s="70"/>
      <c r="O919" s="70"/>
      <c r="P919" s="70"/>
      <c r="Q919" s="71"/>
      <c r="R919" s="71"/>
      <c r="S919" s="72"/>
      <c r="T919" s="73"/>
      <c r="U919" s="79"/>
      <c r="V919" s="102"/>
      <c r="W919" s="70"/>
      <c r="X919" s="103"/>
      <c r="Y919" s="104">
        <f t="shared" si="119"/>
        <v>0</v>
      </c>
      <c r="Z919" s="105">
        <f ca="1" t="shared" si="120"/>
        <v>-46167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2516</v>
      </c>
      <c r="C920" s="70" t="s">
        <v>31</v>
      </c>
      <c r="D920" s="71" t="s">
        <v>2517</v>
      </c>
      <c r="E920" s="71" t="s">
        <v>2518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2519</v>
      </c>
      <c r="L920" s="104">
        <f t="shared" si="121"/>
        <v>46187</v>
      </c>
      <c r="M920" s="105">
        <f ca="1" t="shared" si="122"/>
        <v>20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19"/>
        <v>0</v>
      </c>
      <c r="Z920" s="105">
        <f ca="1" t="shared" si="120"/>
        <v>-46167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2260</v>
      </c>
      <c r="C921" s="70" t="s">
        <v>31</v>
      </c>
      <c r="D921" s="71" t="s">
        <v>2520</v>
      </c>
      <c r="E921" s="71" t="s">
        <v>1475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2521</v>
      </c>
      <c r="L921" s="104">
        <f t="shared" si="121"/>
        <v>46187</v>
      </c>
      <c r="M921" s="105">
        <f ca="1" t="shared" si="122"/>
        <v>20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19"/>
        <v>0</v>
      </c>
      <c r="Z921" s="105">
        <f ca="1" t="shared" si="120"/>
        <v>-46167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55</v>
      </c>
      <c r="C922" s="70" t="s">
        <v>287</v>
      </c>
      <c r="D922" s="71" t="s">
        <v>2522</v>
      </c>
      <c r="E922" s="71" t="s">
        <v>2523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2524</v>
      </c>
      <c r="L922" s="104">
        <f t="shared" si="121"/>
        <v>46187</v>
      </c>
      <c r="M922" s="105">
        <f ca="1" t="shared" si="122"/>
        <v>20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19"/>
        <v>0</v>
      </c>
      <c r="Z922" s="105">
        <f ca="1" t="shared" si="120"/>
        <v>-46167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2525</v>
      </c>
      <c r="C923" s="70" t="s">
        <v>287</v>
      </c>
      <c r="D923" s="71" t="s">
        <v>2526</v>
      </c>
      <c r="E923" s="71" t="s">
        <v>2527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2528</v>
      </c>
      <c r="L923" s="104">
        <f t="shared" si="121"/>
        <v>46187</v>
      </c>
      <c r="M923" s="105">
        <f ca="1" t="shared" si="122"/>
        <v>20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19"/>
        <v>0</v>
      </c>
      <c r="Z923" s="105">
        <f ca="1" t="shared" si="120"/>
        <v>-46167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2529</v>
      </c>
      <c r="C924" s="70" t="s">
        <v>287</v>
      </c>
      <c r="D924" s="71" t="s">
        <v>2530</v>
      </c>
      <c r="E924" s="71" t="s">
        <v>2531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2532</v>
      </c>
      <c r="L924" s="104">
        <f t="shared" si="121"/>
        <v>46187</v>
      </c>
      <c r="M924" s="105">
        <f ca="1" t="shared" si="122"/>
        <v>20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19"/>
        <v>0</v>
      </c>
      <c r="Z924" s="105">
        <f ca="1" t="shared" si="120"/>
        <v>-46167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208</v>
      </c>
      <c r="C925" s="70" t="s">
        <v>203</v>
      </c>
      <c r="D925" s="71" t="s">
        <v>1211</v>
      </c>
      <c r="E925" s="71" t="s">
        <v>2533</v>
      </c>
      <c r="F925" s="72"/>
      <c r="G925" s="73"/>
      <c r="H925" s="75"/>
      <c r="I925" s="102">
        <v>46095</v>
      </c>
      <c r="J925" s="70" t="s">
        <v>596</v>
      </c>
      <c r="K925" s="106"/>
      <c r="L925" s="104" t="e">
        <f t="shared" si="121"/>
        <v>#VALUE!</v>
      </c>
      <c r="M925" s="105" t="e">
        <f ca="1" t="shared" si="122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19"/>
        <v>0</v>
      </c>
      <c r="Z925" s="105">
        <f ca="1" t="shared" si="120"/>
        <v>-46167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985</v>
      </c>
      <c r="C926" s="70" t="s">
        <v>31</v>
      </c>
      <c r="D926" s="71" t="s">
        <v>2534</v>
      </c>
      <c r="E926" s="71" t="s">
        <v>148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2535</v>
      </c>
      <c r="L926" s="104">
        <f t="shared" si="121"/>
        <v>46187</v>
      </c>
      <c r="M926" s="105">
        <f ca="1" t="shared" si="122"/>
        <v>20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19"/>
        <v>0</v>
      </c>
      <c r="Z926" s="105">
        <f ca="1" t="shared" si="120"/>
        <v>-46167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208</v>
      </c>
      <c r="C927" s="70" t="s">
        <v>203</v>
      </c>
      <c r="D927" s="71" t="s">
        <v>209</v>
      </c>
      <c r="E927" s="93" t="s">
        <v>210</v>
      </c>
      <c r="F927" s="94"/>
      <c r="G927" s="95"/>
      <c r="H927" s="75"/>
      <c r="I927" s="102">
        <v>46096</v>
      </c>
      <c r="J927" s="70" t="s">
        <v>596</v>
      </c>
      <c r="K927" s="106" t="s">
        <v>2536</v>
      </c>
      <c r="L927" s="104" t="e">
        <f t="shared" ref="L927:L983" si="123">EDATE(I927,J927)</f>
        <v>#VALUE!</v>
      </c>
      <c r="M927" s="105" t="e">
        <f ca="1" t="shared" ref="M927:M983" si="124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19"/>
        <v>0</v>
      </c>
      <c r="Z927" s="105">
        <f ca="1" t="shared" si="120"/>
        <v>-46167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281</v>
      </c>
      <c r="C928" s="70" t="s">
        <v>203</v>
      </c>
      <c r="D928" s="71" t="s">
        <v>282</v>
      </c>
      <c r="E928" s="71" t="s">
        <v>283</v>
      </c>
      <c r="F928" s="72"/>
      <c r="G928" s="73"/>
      <c r="H928" s="75"/>
      <c r="I928" s="102">
        <v>46096</v>
      </c>
      <c r="J928" s="70" t="s">
        <v>596</v>
      </c>
      <c r="K928" s="106" t="s">
        <v>2537</v>
      </c>
      <c r="L928" s="104" t="e">
        <f t="shared" si="123"/>
        <v>#VALUE!</v>
      </c>
      <c r="M928" s="105" t="e">
        <f ca="1" t="shared" si="124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19"/>
        <v>0</v>
      </c>
      <c r="Z928" s="105">
        <f ca="1" t="shared" si="120"/>
        <v>-46167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102</v>
      </c>
      <c r="C929" s="70" t="s">
        <v>31</v>
      </c>
      <c r="D929" s="71" t="s">
        <v>2538</v>
      </c>
      <c r="E929" s="71" t="s">
        <v>33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2539</v>
      </c>
      <c r="L929" s="104">
        <f t="shared" si="123"/>
        <v>46188</v>
      </c>
      <c r="M929" s="105">
        <f ca="1" t="shared" si="124"/>
        <v>21</v>
      </c>
      <c r="N929" s="70"/>
      <c r="O929" s="70"/>
      <c r="P929" s="70"/>
      <c r="Q929" s="71"/>
      <c r="R929" s="71"/>
      <c r="S929" s="72"/>
      <c r="T929" s="73"/>
      <c r="U929" s="79"/>
      <c r="V929" s="102"/>
      <c r="W929" s="70"/>
      <c r="X929" s="103"/>
      <c r="Y929" s="104">
        <f t="shared" si="119"/>
        <v>0</v>
      </c>
      <c r="Z929" s="105">
        <f ca="1" t="shared" si="120"/>
        <v>-46167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1048</v>
      </c>
      <c r="C930" s="70" t="s">
        <v>13</v>
      </c>
      <c r="D930" s="71" t="s">
        <v>2540</v>
      </c>
      <c r="E930" s="71" t="s">
        <v>243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2541</v>
      </c>
      <c r="L930" s="104">
        <f t="shared" si="123"/>
        <v>46189</v>
      </c>
      <c r="M930" s="105">
        <f ca="1" t="shared" si="124"/>
        <v>22</v>
      </c>
      <c r="N930" s="70"/>
      <c r="O930" s="70"/>
      <c r="P930" s="70"/>
      <c r="Q930" s="71"/>
      <c r="R930" s="71"/>
      <c r="S930" s="72"/>
      <c r="T930" s="73"/>
      <c r="U930" s="74"/>
      <c r="V930" s="102"/>
      <c r="W930" s="70"/>
      <c r="X930" s="103"/>
      <c r="Y930" s="104">
        <f t="shared" si="119"/>
        <v>0</v>
      </c>
      <c r="Z930" s="105">
        <f ca="1" t="shared" si="120"/>
        <v>-46167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1048</v>
      </c>
      <c r="C931" s="70" t="s">
        <v>13</v>
      </c>
      <c r="D931" s="71" t="s">
        <v>2542</v>
      </c>
      <c r="E931" s="71" t="s">
        <v>2543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2544</v>
      </c>
      <c r="L931" s="104">
        <f t="shared" si="123"/>
        <v>46189</v>
      </c>
      <c r="M931" s="105">
        <f ca="1" t="shared" si="124"/>
        <v>22</v>
      </c>
      <c r="N931" s="70"/>
      <c r="O931" s="70"/>
      <c r="P931" s="70"/>
      <c r="Q931" s="71"/>
      <c r="R931" s="71"/>
      <c r="S931" s="72"/>
      <c r="T931" s="73"/>
      <c r="U931" s="74"/>
      <c r="V931" s="102"/>
      <c r="W931" s="70"/>
      <c r="X931" s="103"/>
      <c r="Y931" s="104">
        <f t="shared" si="119"/>
        <v>0</v>
      </c>
      <c r="Z931" s="105">
        <f ca="1" t="shared" si="120"/>
        <v>-46167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1048</v>
      </c>
      <c r="C932" s="70" t="s">
        <v>13</v>
      </c>
      <c r="D932" s="71" t="s">
        <v>2545</v>
      </c>
      <c r="E932" s="71" t="s">
        <v>2546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2547</v>
      </c>
      <c r="L932" s="104">
        <f t="shared" si="123"/>
        <v>46189</v>
      </c>
      <c r="M932" s="105">
        <f ca="1" t="shared" si="124"/>
        <v>22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19"/>
        <v>0</v>
      </c>
      <c r="Z932" s="105">
        <f ca="1" t="shared" si="120"/>
        <v>-46167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2548</v>
      </c>
      <c r="C933" s="70" t="s">
        <v>31</v>
      </c>
      <c r="D933" s="71" t="s">
        <v>2549</v>
      </c>
      <c r="E933" s="71" t="s">
        <v>258</v>
      </c>
      <c r="F933" s="72"/>
      <c r="G933" s="73"/>
      <c r="H933" s="75"/>
      <c r="I933" s="102">
        <v>46097</v>
      </c>
      <c r="J933" s="70">
        <v>3</v>
      </c>
      <c r="K933" s="106" t="s">
        <v>2550</v>
      </c>
      <c r="L933" s="104">
        <f t="shared" si="123"/>
        <v>46189</v>
      </c>
      <c r="M933" s="105">
        <f ca="1" t="shared" si="124"/>
        <v>22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19"/>
        <v>0</v>
      </c>
      <c r="Z933" s="105">
        <f ca="1" t="shared" si="120"/>
        <v>-46167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202</v>
      </c>
      <c r="C934" s="70" t="s">
        <v>203</v>
      </c>
      <c r="D934" s="71" t="s">
        <v>204</v>
      </c>
      <c r="E934" s="71" t="s">
        <v>205</v>
      </c>
      <c r="F934" s="72"/>
      <c r="G934" s="73"/>
      <c r="H934" s="75"/>
      <c r="I934" s="102">
        <v>46097</v>
      </c>
      <c r="J934" s="70" t="s">
        <v>596</v>
      </c>
      <c r="K934" s="106"/>
      <c r="L934" s="104" t="e">
        <f t="shared" si="123"/>
        <v>#VALUE!</v>
      </c>
      <c r="M934" s="105" t="e">
        <f ca="1" t="shared" si="124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19"/>
        <v>0</v>
      </c>
      <c r="Z934" s="105">
        <f ca="1" t="shared" si="120"/>
        <v>-46167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1969</v>
      </c>
      <c r="C935" s="70" t="s">
        <v>203</v>
      </c>
      <c r="D935" s="71" t="s">
        <v>2551</v>
      </c>
      <c r="E935" s="71" t="s">
        <v>214</v>
      </c>
      <c r="F935" s="72"/>
      <c r="G935" s="73"/>
      <c r="H935" s="75"/>
      <c r="I935" s="102">
        <v>46097</v>
      </c>
      <c r="J935" s="70">
        <v>3</v>
      </c>
      <c r="K935" s="106" t="s">
        <v>2552</v>
      </c>
      <c r="L935" s="104">
        <f t="shared" si="123"/>
        <v>46189</v>
      </c>
      <c r="M935" s="105">
        <f ca="1" t="shared" si="124"/>
        <v>22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19"/>
        <v>0</v>
      </c>
      <c r="Z935" s="105">
        <f ca="1" t="shared" si="120"/>
        <v>-46167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1079</v>
      </c>
      <c r="C936" s="70" t="s">
        <v>287</v>
      </c>
      <c r="D936" s="208" t="s">
        <v>2553</v>
      </c>
      <c r="E936" s="71" t="s">
        <v>687</v>
      </c>
      <c r="F936" s="72"/>
      <c r="G936" s="73"/>
      <c r="H936" s="75"/>
      <c r="I936" s="102">
        <v>46097</v>
      </c>
      <c r="J936" s="70">
        <v>3</v>
      </c>
      <c r="K936" s="106" t="s">
        <v>2554</v>
      </c>
      <c r="L936" s="104">
        <f t="shared" si="123"/>
        <v>46189</v>
      </c>
      <c r="M936" s="105">
        <f ca="1" t="shared" si="124"/>
        <v>22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19"/>
        <v>0</v>
      </c>
      <c r="Z936" s="105">
        <f ca="1" t="shared" si="120"/>
        <v>-46167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1079</v>
      </c>
      <c r="C937" s="70" t="s">
        <v>287</v>
      </c>
      <c r="D937" s="208" t="s">
        <v>2555</v>
      </c>
      <c r="E937" s="71" t="s">
        <v>687</v>
      </c>
      <c r="F937" s="72"/>
      <c r="G937" s="73"/>
      <c r="H937" s="75"/>
      <c r="I937" s="102">
        <v>46097</v>
      </c>
      <c r="J937" s="70">
        <v>3</v>
      </c>
      <c r="K937" s="106" t="s">
        <v>2556</v>
      </c>
      <c r="L937" s="104">
        <f t="shared" si="123"/>
        <v>46189</v>
      </c>
      <c r="M937" s="105">
        <f ca="1" t="shared" si="124"/>
        <v>22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19"/>
        <v>0</v>
      </c>
      <c r="Z937" s="105">
        <f ca="1" t="shared" si="120"/>
        <v>-46167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1079</v>
      </c>
      <c r="C938" s="70" t="s">
        <v>287</v>
      </c>
      <c r="D938" s="208" t="s">
        <v>2557</v>
      </c>
      <c r="E938" s="71" t="s">
        <v>687</v>
      </c>
      <c r="F938" s="72"/>
      <c r="G938" s="73"/>
      <c r="H938" s="75"/>
      <c r="I938" s="102">
        <v>46097</v>
      </c>
      <c r="J938" s="70">
        <v>3</v>
      </c>
      <c r="K938" s="106" t="s">
        <v>2558</v>
      </c>
      <c r="L938" s="104">
        <f t="shared" si="123"/>
        <v>46189</v>
      </c>
      <c r="M938" s="105">
        <f ca="1" t="shared" si="124"/>
        <v>22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25">EDATE(V938,W938)</f>
        <v>0</v>
      </c>
      <c r="Z938" s="105">
        <f ca="1" t="shared" ref="Z938:Z1001" si="126">Y938-TODAY()</f>
        <v>-46167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1079</v>
      </c>
      <c r="C939" s="70" t="s">
        <v>287</v>
      </c>
      <c r="D939" s="208" t="s">
        <v>2559</v>
      </c>
      <c r="E939" s="71" t="s">
        <v>687</v>
      </c>
      <c r="F939" s="72"/>
      <c r="G939" s="73"/>
      <c r="H939" s="75"/>
      <c r="I939" s="102">
        <v>46097</v>
      </c>
      <c r="J939" s="70">
        <v>3</v>
      </c>
      <c r="K939" s="106" t="s">
        <v>2560</v>
      </c>
      <c r="L939" s="104">
        <f t="shared" si="123"/>
        <v>46189</v>
      </c>
      <c r="M939" s="105">
        <f ca="1" t="shared" si="124"/>
        <v>22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25"/>
        <v>0</v>
      </c>
      <c r="Z939" s="105">
        <f ca="1" t="shared" si="126"/>
        <v>-46167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1079</v>
      </c>
      <c r="C940" s="70" t="s">
        <v>287</v>
      </c>
      <c r="D940" s="208" t="s">
        <v>2561</v>
      </c>
      <c r="E940" s="71" t="s">
        <v>687</v>
      </c>
      <c r="F940" s="72"/>
      <c r="G940" s="73"/>
      <c r="H940" s="75"/>
      <c r="I940" s="102">
        <v>46097</v>
      </c>
      <c r="J940" s="70">
        <v>3</v>
      </c>
      <c r="K940" s="106" t="s">
        <v>2562</v>
      </c>
      <c r="L940" s="104">
        <f t="shared" si="123"/>
        <v>46189</v>
      </c>
      <c r="M940" s="105">
        <f ca="1" t="shared" si="124"/>
        <v>22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25"/>
        <v>0</v>
      </c>
      <c r="Z940" s="105">
        <f ca="1" t="shared" si="126"/>
        <v>-46167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1079</v>
      </c>
      <c r="C941" s="70" t="s">
        <v>287</v>
      </c>
      <c r="D941" s="208" t="s">
        <v>2563</v>
      </c>
      <c r="E941" s="71" t="s">
        <v>687</v>
      </c>
      <c r="F941" s="72"/>
      <c r="G941" s="73"/>
      <c r="H941" s="75"/>
      <c r="I941" s="102">
        <v>46097</v>
      </c>
      <c r="J941" s="70">
        <v>3</v>
      </c>
      <c r="K941" s="106" t="s">
        <v>2564</v>
      </c>
      <c r="L941" s="104">
        <f t="shared" si="123"/>
        <v>46189</v>
      </c>
      <c r="M941" s="105">
        <f ca="1" t="shared" si="124"/>
        <v>22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25"/>
        <v>0</v>
      </c>
      <c r="Z941" s="105">
        <f ca="1" t="shared" si="126"/>
        <v>-46167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1079</v>
      </c>
      <c r="C942" s="70" t="s">
        <v>287</v>
      </c>
      <c r="D942" s="208" t="s">
        <v>2565</v>
      </c>
      <c r="E942" s="71" t="s">
        <v>687</v>
      </c>
      <c r="F942" s="72"/>
      <c r="G942" s="73"/>
      <c r="H942" s="75"/>
      <c r="I942" s="102">
        <v>46097</v>
      </c>
      <c r="J942" s="70">
        <v>3</v>
      </c>
      <c r="K942" s="106" t="s">
        <v>2566</v>
      </c>
      <c r="L942" s="104">
        <f t="shared" si="123"/>
        <v>46189</v>
      </c>
      <c r="M942" s="105">
        <f ca="1" t="shared" si="124"/>
        <v>22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25"/>
        <v>0</v>
      </c>
      <c r="Z942" s="105">
        <f ca="1" t="shared" si="126"/>
        <v>-46167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1079</v>
      </c>
      <c r="C943" s="70" t="s">
        <v>287</v>
      </c>
      <c r="D943" s="208" t="s">
        <v>2567</v>
      </c>
      <c r="E943" s="71" t="s">
        <v>687</v>
      </c>
      <c r="F943" s="72"/>
      <c r="G943" s="73"/>
      <c r="H943" s="75"/>
      <c r="I943" s="102">
        <v>46097</v>
      </c>
      <c r="J943" s="70">
        <v>3</v>
      </c>
      <c r="K943" s="106" t="s">
        <v>2568</v>
      </c>
      <c r="L943" s="104">
        <f t="shared" si="123"/>
        <v>46189</v>
      </c>
      <c r="M943" s="105">
        <f ca="1" t="shared" si="124"/>
        <v>22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25"/>
        <v>0</v>
      </c>
      <c r="Z943" s="105">
        <f ca="1" t="shared" si="126"/>
        <v>-46167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1079</v>
      </c>
      <c r="C944" s="70" t="s">
        <v>287</v>
      </c>
      <c r="D944" s="208" t="s">
        <v>2569</v>
      </c>
      <c r="E944" s="71" t="s">
        <v>687</v>
      </c>
      <c r="F944" s="72"/>
      <c r="G944" s="73"/>
      <c r="H944" s="75"/>
      <c r="I944" s="102">
        <v>46097</v>
      </c>
      <c r="J944" s="70">
        <v>3</v>
      </c>
      <c r="K944" s="106" t="s">
        <v>2570</v>
      </c>
      <c r="L944" s="104">
        <f t="shared" si="123"/>
        <v>46189</v>
      </c>
      <c r="M944" s="105">
        <f ca="1" t="shared" si="124"/>
        <v>22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25"/>
        <v>0</v>
      </c>
      <c r="Z944" s="105">
        <f ca="1" t="shared" si="126"/>
        <v>-46167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1079</v>
      </c>
      <c r="C945" s="70" t="s">
        <v>287</v>
      </c>
      <c r="D945" s="208" t="s">
        <v>2571</v>
      </c>
      <c r="E945" s="71" t="s">
        <v>687</v>
      </c>
      <c r="F945" s="72"/>
      <c r="G945" s="73"/>
      <c r="H945" s="75"/>
      <c r="I945" s="102">
        <v>46097</v>
      </c>
      <c r="J945" s="70">
        <v>3</v>
      </c>
      <c r="K945" s="106" t="s">
        <v>2572</v>
      </c>
      <c r="L945" s="104">
        <f t="shared" si="123"/>
        <v>46189</v>
      </c>
      <c r="M945" s="105">
        <f ca="1" t="shared" si="124"/>
        <v>22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25"/>
        <v>0</v>
      </c>
      <c r="Z945" s="105">
        <f ca="1" t="shared" si="126"/>
        <v>-46167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1079</v>
      </c>
      <c r="C946" s="70" t="s">
        <v>287</v>
      </c>
      <c r="D946" s="208" t="s">
        <v>2573</v>
      </c>
      <c r="E946" s="71" t="s">
        <v>687</v>
      </c>
      <c r="F946" s="72"/>
      <c r="G946" s="73"/>
      <c r="H946" s="75"/>
      <c r="I946" s="102">
        <v>46097</v>
      </c>
      <c r="J946" s="70">
        <v>3</v>
      </c>
      <c r="K946" s="106" t="s">
        <v>2574</v>
      </c>
      <c r="L946" s="104">
        <f t="shared" si="123"/>
        <v>46189</v>
      </c>
      <c r="M946" s="105">
        <f ca="1" t="shared" si="124"/>
        <v>22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25"/>
        <v>0</v>
      </c>
      <c r="Z946" s="105">
        <f ca="1" t="shared" si="126"/>
        <v>-46167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1079</v>
      </c>
      <c r="C947" s="70" t="s">
        <v>287</v>
      </c>
      <c r="D947" s="208" t="s">
        <v>2575</v>
      </c>
      <c r="E947" s="71" t="s">
        <v>687</v>
      </c>
      <c r="F947" s="72"/>
      <c r="G947" s="73"/>
      <c r="H947" s="75"/>
      <c r="I947" s="102">
        <v>46097</v>
      </c>
      <c r="J947" s="70">
        <v>3</v>
      </c>
      <c r="K947" s="106" t="s">
        <v>2576</v>
      </c>
      <c r="L947" s="104">
        <f t="shared" si="123"/>
        <v>46189</v>
      </c>
      <c r="M947" s="105">
        <f ca="1" t="shared" si="124"/>
        <v>22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25"/>
        <v>0</v>
      </c>
      <c r="Z947" s="105">
        <f ca="1" t="shared" si="126"/>
        <v>-46167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1079</v>
      </c>
      <c r="C948" s="70" t="s">
        <v>287</v>
      </c>
      <c r="D948" s="208" t="s">
        <v>2577</v>
      </c>
      <c r="E948" s="71" t="s">
        <v>687</v>
      </c>
      <c r="F948" s="72"/>
      <c r="G948" s="73"/>
      <c r="H948" s="75"/>
      <c r="I948" s="102">
        <v>46097</v>
      </c>
      <c r="J948" s="70">
        <v>3</v>
      </c>
      <c r="K948" s="106" t="s">
        <v>2578</v>
      </c>
      <c r="L948" s="104">
        <f t="shared" si="123"/>
        <v>46189</v>
      </c>
      <c r="M948" s="105">
        <f ca="1" t="shared" si="124"/>
        <v>22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25"/>
        <v>0</v>
      </c>
      <c r="Z948" s="105">
        <f ca="1" t="shared" si="126"/>
        <v>-46167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1079</v>
      </c>
      <c r="C949" s="70" t="s">
        <v>287</v>
      </c>
      <c r="D949" s="208" t="s">
        <v>2579</v>
      </c>
      <c r="E949" s="71" t="s">
        <v>687</v>
      </c>
      <c r="F949" s="72"/>
      <c r="G949" s="73"/>
      <c r="H949" s="75"/>
      <c r="I949" s="102">
        <v>46097</v>
      </c>
      <c r="J949" s="70">
        <v>3</v>
      </c>
      <c r="K949" s="106" t="s">
        <v>2580</v>
      </c>
      <c r="L949" s="104">
        <f t="shared" si="123"/>
        <v>46189</v>
      </c>
      <c r="M949" s="105">
        <f ca="1" t="shared" si="124"/>
        <v>22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25"/>
        <v>0</v>
      </c>
      <c r="Z949" s="105">
        <f ca="1" t="shared" si="126"/>
        <v>-46167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1079</v>
      </c>
      <c r="C950" s="70" t="s">
        <v>287</v>
      </c>
      <c r="D950" s="208" t="s">
        <v>2581</v>
      </c>
      <c r="E950" s="71" t="s">
        <v>687</v>
      </c>
      <c r="F950" s="72"/>
      <c r="G950" s="73"/>
      <c r="H950" s="75"/>
      <c r="I950" s="102">
        <v>46097</v>
      </c>
      <c r="J950" s="70">
        <v>3</v>
      </c>
      <c r="K950" s="106" t="s">
        <v>2582</v>
      </c>
      <c r="L950" s="104">
        <f t="shared" si="123"/>
        <v>46189</v>
      </c>
      <c r="M950" s="105">
        <f ca="1" t="shared" si="124"/>
        <v>22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25"/>
        <v>0</v>
      </c>
      <c r="Z950" s="105">
        <f ca="1" t="shared" si="126"/>
        <v>-46167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1079</v>
      </c>
      <c r="C951" s="70" t="s">
        <v>287</v>
      </c>
      <c r="D951" s="208" t="s">
        <v>2583</v>
      </c>
      <c r="E951" s="71" t="s">
        <v>687</v>
      </c>
      <c r="F951" s="72"/>
      <c r="G951" s="73"/>
      <c r="H951" s="75"/>
      <c r="I951" s="102">
        <v>46097</v>
      </c>
      <c r="J951" s="70">
        <v>3</v>
      </c>
      <c r="K951" s="106" t="s">
        <v>2584</v>
      </c>
      <c r="L951" s="104">
        <f t="shared" si="123"/>
        <v>46189</v>
      </c>
      <c r="M951" s="105">
        <f ca="1" t="shared" si="124"/>
        <v>22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25"/>
        <v>0</v>
      </c>
      <c r="Z951" s="105">
        <f ca="1" t="shared" si="126"/>
        <v>-46167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1079</v>
      </c>
      <c r="C952" s="70" t="s">
        <v>287</v>
      </c>
      <c r="D952" s="208" t="s">
        <v>2585</v>
      </c>
      <c r="E952" s="71" t="s">
        <v>687</v>
      </c>
      <c r="F952" s="72"/>
      <c r="G952" s="73"/>
      <c r="H952" s="75"/>
      <c r="I952" s="102">
        <v>46097</v>
      </c>
      <c r="J952" s="70">
        <v>3</v>
      </c>
      <c r="K952" s="106" t="s">
        <v>2586</v>
      </c>
      <c r="L952" s="104">
        <f t="shared" si="123"/>
        <v>46189</v>
      </c>
      <c r="M952" s="105">
        <f ca="1" t="shared" si="124"/>
        <v>22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25"/>
        <v>0</v>
      </c>
      <c r="Z952" s="105">
        <f ca="1" t="shared" si="126"/>
        <v>-46167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1079</v>
      </c>
      <c r="C953" s="70" t="s">
        <v>287</v>
      </c>
      <c r="D953" s="208" t="s">
        <v>2587</v>
      </c>
      <c r="E953" s="71" t="s">
        <v>687</v>
      </c>
      <c r="F953" s="72"/>
      <c r="G953" s="73"/>
      <c r="H953" s="75"/>
      <c r="I953" s="102">
        <v>46097</v>
      </c>
      <c r="J953" s="70">
        <v>3</v>
      </c>
      <c r="K953" s="106" t="s">
        <v>2588</v>
      </c>
      <c r="L953" s="104">
        <f t="shared" si="123"/>
        <v>46189</v>
      </c>
      <c r="M953" s="105">
        <f ca="1" t="shared" si="124"/>
        <v>22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25"/>
        <v>0</v>
      </c>
      <c r="Z953" s="105">
        <f ca="1" t="shared" si="126"/>
        <v>-46167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1079</v>
      </c>
      <c r="C954" s="70" t="s">
        <v>287</v>
      </c>
      <c r="D954" s="208" t="s">
        <v>2589</v>
      </c>
      <c r="E954" s="71" t="s">
        <v>687</v>
      </c>
      <c r="F954" s="72"/>
      <c r="G954" s="73"/>
      <c r="H954" s="75"/>
      <c r="I954" s="102">
        <v>46097</v>
      </c>
      <c r="J954" s="70">
        <v>3</v>
      </c>
      <c r="K954" s="106" t="s">
        <v>2590</v>
      </c>
      <c r="L954" s="104">
        <f t="shared" si="123"/>
        <v>46189</v>
      </c>
      <c r="M954" s="105">
        <f ca="1" t="shared" si="124"/>
        <v>22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25"/>
        <v>0</v>
      </c>
      <c r="Z954" s="105">
        <f ca="1" t="shared" si="126"/>
        <v>-46167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1079</v>
      </c>
      <c r="C955" s="70" t="s">
        <v>287</v>
      </c>
      <c r="D955" s="208" t="s">
        <v>2591</v>
      </c>
      <c r="E955" s="71" t="s">
        <v>687</v>
      </c>
      <c r="F955" s="72"/>
      <c r="G955" s="73"/>
      <c r="H955" s="75"/>
      <c r="I955" s="102">
        <v>46097</v>
      </c>
      <c r="J955" s="70">
        <v>3</v>
      </c>
      <c r="K955" s="106" t="s">
        <v>2592</v>
      </c>
      <c r="L955" s="104">
        <f t="shared" si="123"/>
        <v>46189</v>
      </c>
      <c r="M955" s="105">
        <f ca="1" t="shared" si="124"/>
        <v>22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25"/>
        <v>0</v>
      </c>
      <c r="Z955" s="105">
        <f ca="1" t="shared" si="126"/>
        <v>-46167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1079</v>
      </c>
      <c r="C956" s="70" t="s">
        <v>287</v>
      </c>
      <c r="D956" s="208" t="s">
        <v>2593</v>
      </c>
      <c r="E956" s="71" t="s">
        <v>687</v>
      </c>
      <c r="F956" s="72"/>
      <c r="G956" s="73"/>
      <c r="H956" s="75"/>
      <c r="I956" s="102">
        <v>46097</v>
      </c>
      <c r="J956" s="70">
        <v>3</v>
      </c>
      <c r="K956" s="106" t="s">
        <v>2594</v>
      </c>
      <c r="L956" s="104">
        <f t="shared" si="123"/>
        <v>46189</v>
      </c>
      <c r="M956" s="105">
        <f ca="1" t="shared" si="124"/>
        <v>22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25"/>
        <v>0</v>
      </c>
      <c r="Z956" s="105">
        <f ca="1" t="shared" si="126"/>
        <v>-46167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1079</v>
      </c>
      <c r="C957" s="70" t="s">
        <v>287</v>
      </c>
      <c r="D957" s="208" t="s">
        <v>2595</v>
      </c>
      <c r="E957" s="71" t="s">
        <v>687</v>
      </c>
      <c r="F957" s="72"/>
      <c r="G957" s="73"/>
      <c r="H957" s="75"/>
      <c r="I957" s="102">
        <v>46097</v>
      </c>
      <c r="J957" s="70">
        <v>3</v>
      </c>
      <c r="K957" s="106" t="s">
        <v>2596</v>
      </c>
      <c r="L957" s="104">
        <f t="shared" si="123"/>
        <v>46189</v>
      </c>
      <c r="M957" s="105">
        <f ca="1" t="shared" si="124"/>
        <v>22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25"/>
        <v>0</v>
      </c>
      <c r="Z957" s="105">
        <f ca="1" t="shared" si="126"/>
        <v>-46167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1079</v>
      </c>
      <c r="C958" s="70" t="s">
        <v>287</v>
      </c>
      <c r="D958" s="208" t="s">
        <v>2597</v>
      </c>
      <c r="E958" s="71" t="s">
        <v>687</v>
      </c>
      <c r="F958" s="72"/>
      <c r="G958" s="73"/>
      <c r="H958" s="75"/>
      <c r="I958" s="102">
        <v>46097</v>
      </c>
      <c r="J958" s="70">
        <v>3</v>
      </c>
      <c r="K958" s="106" t="s">
        <v>2598</v>
      </c>
      <c r="L958" s="104">
        <f t="shared" si="123"/>
        <v>46189</v>
      </c>
      <c r="M958" s="105">
        <f ca="1" t="shared" si="124"/>
        <v>22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25"/>
        <v>0</v>
      </c>
      <c r="Z958" s="105">
        <f ca="1" t="shared" si="126"/>
        <v>-46167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1079</v>
      </c>
      <c r="C959" s="70" t="s">
        <v>287</v>
      </c>
      <c r="D959" s="208" t="s">
        <v>2599</v>
      </c>
      <c r="E959" s="71" t="s">
        <v>687</v>
      </c>
      <c r="F959" s="72"/>
      <c r="G959" s="73"/>
      <c r="H959" s="75"/>
      <c r="I959" s="102">
        <v>46097</v>
      </c>
      <c r="J959" s="70">
        <v>3</v>
      </c>
      <c r="K959" s="106" t="s">
        <v>2600</v>
      </c>
      <c r="L959" s="104">
        <f t="shared" si="123"/>
        <v>46189</v>
      </c>
      <c r="M959" s="105">
        <f ca="1" t="shared" si="124"/>
        <v>22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25"/>
        <v>0</v>
      </c>
      <c r="Z959" s="105">
        <f ca="1" t="shared" si="126"/>
        <v>-46167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1079</v>
      </c>
      <c r="C960" s="70" t="s">
        <v>287</v>
      </c>
      <c r="D960" s="208" t="s">
        <v>2601</v>
      </c>
      <c r="E960" s="71" t="s">
        <v>687</v>
      </c>
      <c r="F960" s="72"/>
      <c r="G960" s="73"/>
      <c r="H960" s="75"/>
      <c r="I960" s="102">
        <v>46097</v>
      </c>
      <c r="J960" s="70">
        <v>3</v>
      </c>
      <c r="K960" s="106" t="s">
        <v>2602</v>
      </c>
      <c r="L960" s="104">
        <f t="shared" si="123"/>
        <v>46189</v>
      </c>
      <c r="M960" s="105">
        <f ca="1" t="shared" si="124"/>
        <v>22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25"/>
        <v>0</v>
      </c>
      <c r="Z960" s="105">
        <f ca="1" t="shared" si="126"/>
        <v>-46167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1079</v>
      </c>
      <c r="C961" s="70" t="s">
        <v>287</v>
      </c>
      <c r="D961" s="208" t="s">
        <v>2603</v>
      </c>
      <c r="E961" s="71" t="s">
        <v>687</v>
      </c>
      <c r="F961" s="72"/>
      <c r="G961" s="73"/>
      <c r="H961" s="75"/>
      <c r="I961" s="102">
        <v>46097</v>
      </c>
      <c r="J961" s="70">
        <v>3</v>
      </c>
      <c r="K961" s="106" t="s">
        <v>2604</v>
      </c>
      <c r="L961" s="104">
        <f t="shared" si="123"/>
        <v>46189</v>
      </c>
      <c r="M961" s="105">
        <f ca="1" t="shared" si="124"/>
        <v>22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25"/>
        <v>0</v>
      </c>
      <c r="Z961" s="105">
        <f ca="1" t="shared" si="126"/>
        <v>-46167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1079</v>
      </c>
      <c r="C962" s="70" t="s">
        <v>287</v>
      </c>
      <c r="D962" s="208" t="s">
        <v>2605</v>
      </c>
      <c r="E962" s="71" t="s">
        <v>687</v>
      </c>
      <c r="F962" s="72"/>
      <c r="G962" s="73"/>
      <c r="H962" s="75"/>
      <c r="I962" s="102">
        <v>46097</v>
      </c>
      <c r="J962" s="70">
        <v>3</v>
      </c>
      <c r="K962" s="106" t="s">
        <v>2606</v>
      </c>
      <c r="L962" s="104">
        <f t="shared" si="123"/>
        <v>46189</v>
      </c>
      <c r="M962" s="105">
        <f ca="1" t="shared" si="124"/>
        <v>22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25"/>
        <v>0</v>
      </c>
      <c r="Z962" s="105">
        <f ca="1" t="shared" si="126"/>
        <v>-46167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1079</v>
      </c>
      <c r="C963" s="70" t="s">
        <v>287</v>
      </c>
      <c r="D963" s="71" t="s">
        <v>2607</v>
      </c>
      <c r="E963" s="71" t="s">
        <v>687</v>
      </c>
      <c r="F963" s="72"/>
      <c r="G963" s="73"/>
      <c r="H963" s="75"/>
      <c r="I963" s="102">
        <v>46097</v>
      </c>
      <c r="J963" s="70">
        <v>3</v>
      </c>
      <c r="K963" s="106" t="s">
        <v>2608</v>
      </c>
      <c r="L963" s="104">
        <f t="shared" si="123"/>
        <v>46189</v>
      </c>
      <c r="M963" s="105">
        <f ca="1" t="shared" si="124"/>
        <v>22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25"/>
        <v>0</v>
      </c>
      <c r="Z963" s="105">
        <f ca="1" t="shared" si="126"/>
        <v>-46167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1079</v>
      </c>
      <c r="C964" s="70" t="s">
        <v>287</v>
      </c>
      <c r="D964" s="71" t="s">
        <v>2609</v>
      </c>
      <c r="E964" s="71" t="s">
        <v>687</v>
      </c>
      <c r="F964" s="72"/>
      <c r="G964" s="73"/>
      <c r="H964" s="75"/>
      <c r="I964" s="102">
        <v>46097</v>
      </c>
      <c r="J964" s="70">
        <v>3</v>
      </c>
      <c r="K964" s="106" t="s">
        <v>2610</v>
      </c>
      <c r="L964" s="104">
        <f t="shared" si="123"/>
        <v>46189</v>
      </c>
      <c r="M964" s="105">
        <f ca="1" t="shared" si="124"/>
        <v>22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25"/>
        <v>0</v>
      </c>
      <c r="Z964" s="105">
        <f ca="1" t="shared" si="126"/>
        <v>-46167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1079</v>
      </c>
      <c r="C965" s="70" t="s">
        <v>287</v>
      </c>
      <c r="D965" s="71" t="s">
        <v>2611</v>
      </c>
      <c r="E965" s="71" t="s">
        <v>687</v>
      </c>
      <c r="F965" s="72"/>
      <c r="G965" s="73"/>
      <c r="H965" s="75"/>
      <c r="I965" s="102">
        <v>46097</v>
      </c>
      <c r="J965" s="70">
        <v>3</v>
      </c>
      <c r="K965" s="106" t="s">
        <v>2612</v>
      </c>
      <c r="L965" s="104">
        <f t="shared" si="123"/>
        <v>46189</v>
      </c>
      <c r="M965" s="105">
        <f ca="1" t="shared" si="124"/>
        <v>22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25"/>
        <v>0</v>
      </c>
      <c r="Z965" s="105">
        <f ca="1" t="shared" si="126"/>
        <v>-46167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1988</v>
      </c>
      <c r="C966" s="70" t="s">
        <v>13</v>
      </c>
      <c r="D966" s="71" t="s">
        <v>2613</v>
      </c>
      <c r="E966" s="71" t="s">
        <v>2180</v>
      </c>
      <c r="F966" s="72"/>
      <c r="G966" s="73"/>
      <c r="H966" s="75"/>
      <c r="I966" s="102">
        <v>46098</v>
      </c>
      <c r="J966" s="70">
        <v>3</v>
      </c>
      <c r="K966" s="106" t="s">
        <v>2614</v>
      </c>
      <c r="L966" s="104">
        <f t="shared" si="123"/>
        <v>46190</v>
      </c>
      <c r="M966" s="105">
        <f ca="1" t="shared" si="124"/>
        <v>23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25"/>
        <v>0</v>
      </c>
      <c r="Z966" s="105">
        <f ca="1" t="shared" si="126"/>
        <v>-46167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1577</v>
      </c>
      <c r="C967" s="70" t="s">
        <v>203</v>
      </c>
      <c r="D967" s="71" t="s">
        <v>1578</v>
      </c>
      <c r="E967" s="71" t="s">
        <v>2615</v>
      </c>
      <c r="F967" s="72"/>
      <c r="G967" s="73"/>
      <c r="H967" s="75"/>
      <c r="I967" s="102">
        <v>46098</v>
      </c>
      <c r="J967" s="70" t="s">
        <v>596</v>
      </c>
      <c r="K967" s="106"/>
      <c r="L967" s="104" t="e">
        <f t="shared" si="123"/>
        <v>#VALUE!</v>
      </c>
      <c r="M967" s="105" t="e">
        <f ca="1" t="shared" si="124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25"/>
        <v>0</v>
      </c>
      <c r="Z967" s="105">
        <f ca="1" t="shared" si="126"/>
        <v>-46167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217</v>
      </c>
      <c r="C968" s="70" t="s">
        <v>203</v>
      </c>
      <c r="D968" s="71" t="s">
        <v>2616</v>
      </c>
      <c r="E968" s="71" t="s">
        <v>279</v>
      </c>
      <c r="F968" s="72"/>
      <c r="G968" s="73"/>
      <c r="H968" s="75"/>
      <c r="I968" s="102">
        <v>46098</v>
      </c>
      <c r="J968" s="70">
        <v>3</v>
      </c>
      <c r="K968" s="106" t="s">
        <v>2617</v>
      </c>
      <c r="L968" s="104">
        <f t="shared" si="123"/>
        <v>46190</v>
      </c>
      <c r="M968" s="105">
        <f ca="1" t="shared" si="124"/>
        <v>23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25"/>
        <v>0</v>
      </c>
      <c r="Z968" s="105">
        <f ca="1" t="shared" si="126"/>
        <v>-46167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217</v>
      </c>
      <c r="C969" s="70" t="s">
        <v>203</v>
      </c>
      <c r="D969" s="71" t="s">
        <v>2618</v>
      </c>
      <c r="E969" s="71" t="s">
        <v>279</v>
      </c>
      <c r="F969" s="72"/>
      <c r="G969" s="73"/>
      <c r="H969" s="75"/>
      <c r="I969" s="102">
        <v>46098</v>
      </c>
      <c r="J969" s="70">
        <v>3</v>
      </c>
      <c r="K969" s="106" t="s">
        <v>2619</v>
      </c>
      <c r="L969" s="104">
        <f t="shared" si="123"/>
        <v>46190</v>
      </c>
      <c r="M969" s="105">
        <f ca="1" t="shared" si="124"/>
        <v>23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25"/>
        <v>0</v>
      </c>
      <c r="Z969" s="105">
        <f ca="1" t="shared" si="126"/>
        <v>-46167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2620</v>
      </c>
      <c r="C970" s="70" t="s">
        <v>31</v>
      </c>
      <c r="D970" s="71" t="s">
        <v>2621</v>
      </c>
      <c r="E970" s="71" t="s">
        <v>2622</v>
      </c>
      <c r="F970" s="72"/>
      <c r="G970" s="73"/>
      <c r="H970" s="75"/>
      <c r="I970" s="102">
        <v>46098</v>
      </c>
      <c r="J970" s="70">
        <v>3</v>
      </c>
      <c r="K970" s="106" t="s">
        <v>2623</v>
      </c>
      <c r="L970" s="104">
        <f t="shared" si="123"/>
        <v>46190</v>
      </c>
      <c r="M970" s="105">
        <f ca="1" t="shared" si="124"/>
        <v>23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>
        <f t="shared" si="125"/>
        <v>0</v>
      </c>
      <c r="Z970" s="105">
        <f ca="1" t="shared" si="126"/>
        <v>-46167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500</v>
      </c>
      <c r="C971" s="70" t="s">
        <v>13</v>
      </c>
      <c r="D971" s="71" t="s">
        <v>2624</v>
      </c>
      <c r="E971" s="71" t="s">
        <v>2625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2626</v>
      </c>
      <c r="L971" s="104">
        <f t="shared" si="123"/>
        <v>46190</v>
      </c>
      <c r="M971" s="105">
        <f ca="1" t="shared" si="124"/>
        <v>23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25"/>
        <v>0</v>
      </c>
      <c r="Z971" s="105">
        <f ca="1" t="shared" si="126"/>
        <v>-46167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407</v>
      </c>
      <c r="C972" s="70" t="s">
        <v>13</v>
      </c>
      <c r="D972" s="71" t="s">
        <v>2627</v>
      </c>
      <c r="E972" s="71" t="s">
        <v>2628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2629</v>
      </c>
      <c r="L972" s="104">
        <f t="shared" si="123"/>
        <v>46190</v>
      </c>
      <c r="M972" s="105">
        <f ca="1" t="shared" si="124"/>
        <v>23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25"/>
        <v>0</v>
      </c>
      <c r="Z972" s="105">
        <f ca="1" t="shared" si="126"/>
        <v>-46167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1341</v>
      </c>
      <c r="C973" s="70" t="s">
        <v>287</v>
      </c>
      <c r="D973" s="71" t="s">
        <v>2630</v>
      </c>
      <c r="E973" s="71" t="s">
        <v>2631</v>
      </c>
      <c r="F973" s="72"/>
      <c r="G973" s="73"/>
      <c r="H973" s="75"/>
      <c r="I973" s="102">
        <v>46098</v>
      </c>
      <c r="J973" s="70">
        <v>3</v>
      </c>
      <c r="K973" s="106" t="s">
        <v>2632</v>
      </c>
      <c r="L973" s="104">
        <f t="shared" si="123"/>
        <v>46190</v>
      </c>
      <c r="M973" s="105">
        <f ca="1" t="shared" si="124"/>
        <v>23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>
        <f t="shared" si="125"/>
        <v>0</v>
      </c>
      <c r="Z973" s="105">
        <f ca="1" t="shared" si="126"/>
        <v>-46167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1341</v>
      </c>
      <c r="C974" s="70" t="s">
        <v>287</v>
      </c>
      <c r="D974" s="71" t="s">
        <v>2633</v>
      </c>
      <c r="E974" s="71" t="s">
        <v>2634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2635</v>
      </c>
      <c r="L974" s="104">
        <f t="shared" si="123"/>
        <v>46190</v>
      </c>
      <c r="M974" s="105">
        <f ca="1" t="shared" si="124"/>
        <v>23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>
        <f t="shared" si="125"/>
        <v>0</v>
      </c>
      <c r="Z974" s="105">
        <f ca="1" t="shared" si="126"/>
        <v>-46167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1341</v>
      </c>
      <c r="C975" s="70" t="s">
        <v>287</v>
      </c>
      <c r="D975" s="71" t="s">
        <v>2636</v>
      </c>
      <c r="E975" s="71" t="s">
        <v>2637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2638</v>
      </c>
      <c r="L975" s="104">
        <f t="shared" si="123"/>
        <v>46190</v>
      </c>
      <c r="M975" s="105">
        <f ca="1" t="shared" si="124"/>
        <v>23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>
        <f t="shared" si="125"/>
        <v>0</v>
      </c>
      <c r="Z975" s="105">
        <f ca="1" t="shared" si="126"/>
        <v>-46167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1341</v>
      </c>
      <c r="C976" s="70" t="s">
        <v>287</v>
      </c>
      <c r="D976" s="71" t="s">
        <v>2639</v>
      </c>
      <c r="E976" s="71" t="s">
        <v>2640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2641</v>
      </c>
      <c r="L976" s="104">
        <f t="shared" si="123"/>
        <v>46190</v>
      </c>
      <c r="M976" s="105">
        <f ca="1" t="shared" si="124"/>
        <v>23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>
        <f t="shared" si="125"/>
        <v>0</v>
      </c>
      <c r="Z976" s="105">
        <f ca="1" t="shared" si="126"/>
        <v>-46167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1088</v>
      </c>
      <c r="C977" s="70" t="s">
        <v>287</v>
      </c>
      <c r="D977" s="71" t="s">
        <v>2642</v>
      </c>
      <c r="E977" s="71" t="s">
        <v>418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2643</v>
      </c>
      <c r="L977" s="104">
        <f t="shared" si="123"/>
        <v>46190</v>
      </c>
      <c r="M977" s="105">
        <f ca="1" t="shared" si="124"/>
        <v>23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25"/>
        <v>0</v>
      </c>
      <c r="Z977" s="105">
        <f ca="1" t="shared" si="126"/>
        <v>-46167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424</v>
      </c>
      <c r="C978" s="70" t="s">
        <v>287</v>
      </c>
      <c r="D978" s="71" t="s">
        <v>2644</v>
      </c>
      <c r="E978" s="71" t="s">
        <v>510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2645</v>
      </c>
      <c r="L978" s="104">
        <f t="shared" si="123"/>
        <v>46190</v>
      </c>
      <c r="M978" s="105">
        <f ca="1" t="shared" si="124"/>
        <v>23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25"/>
        <v>0</v>
      </c>
      <c r="Z978" s="105">
        <f ca="1" t="shared" si="126"/>
        <v>-46167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424</v>
      </c>
      <c r="C979" s="70" t="s">
        <v>287</v>
      </c>
      <c r="D979" s="71" t="s">
        <v>2646</v>
      </c>
      <c r="E979" s="71" t="s">
        <v>514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2647</v>
      </c>
      <c r="L979" s="104">
        <f t="shared" si="123"/>
        <v>46190</v>
      </c>
      <c r="M979" s="105">
        <f ca="1" t="shared" si="124"/>
        <v>23</v>
      </c>
      <c r="N979" s="70"/>
      <c r="O979" s="70"/>
      <c r="P979" s="70"/>
      <c r="Q979" s="71"/>
      <c r="R979" s="210"/>
      <c r="S979" s="72"/>
      <c r="T979" s="73"/>
      <c r="U979" s="79"/>
      <c r="V979" s="102"/>
      <c r="W979" s="70"/>
      <c r="X979" s="103"/>
      <c r="Y979" s="104">
        <f t="shared" si="125"/>
        <v>0</v>
      </c>
      <c r="Z979" s="105">
        <f ca="1" t="shared" si="126"/>
        <v>-46167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1079</v>
      </c>
      <c r="C980" s="70" t="s">
        <v>287</v>
      </c>
      <c r="D980" s="71" t="s">
        <v>2648</v>
      </c>
      <c r="E980" s="71" t="s">
        <v>687</v>
      </c>
      <c r="F980" s="72"/>
      <c r="G980" s="73"/>
      <c r="H980" s="157"/>
      <c r="I980" s="102">
        <v>46098</v>
      </c>
      <c r="J980" s="70">
        <v>3</v>
      </c>
      <c r="K980" s="106" t="s">
        <v>2649</v>
      </c>
      <c r="L980" s="104">
        <f t="shared" si="123"/>
        <v>46190</v>
      </c>
      <c r="M980" s="105">
        <f ca="1" t="shared" si="124"/>
        <v>23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>
        <f t="shared" si="125"/>
        <v>0</v>
      </c>
      <c r="Z980" s="105">
        <f ca="1" t="shared" si="126"/>
        <v>-46167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1079</v>
      </c>
      <c r="C981" s="70" t="s">
        <v>287</v>
      </c>
      <c r="D981" s="209" t="s">
        <v>2650</v>
      </c>
      <c r="E981" s="71" t="s">
        <v>687</v>
      </c>
      <c r="F981" s="72"/>
      <c r="G981" s="73"/>
      <c r="H981" s="157"/>
      <c r="I981" s="102">
        <v>46098</v>
      </c>
      <c r="J981" s="70">
        <v>3</v>
      </c>
      <c r="K981" s="106" t="s">
        <v>2651</v>
      </c>
      <c r="L981" s="104">
        <f t="shared" si="123"/>
        <v>46190</v>
      </c>
      <c r="M981" s="105">
        <f ca="1" t="shared" si="124"/>
        <v>23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25"/>
        <v>0</v>
      </c>
      <c r="Z981" s="105">
        <f ca="1" t="shared" si="126"/>
        <v>-46167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1079</v>
      </c>
      <c r="C982" s="70" t="s">
        <v>287</v>
      </c>
      <c r="D982" s="209" t="s">
        <v>2652</v>
      </c>
      <c r="E982" s="71" t="s">
        <v>687</v>
      </c>
      <c r="F982" s="72"/>
      <c r="G982" s="73"/>
      <c r="H982" s="157"/>
      <c r="I982" s="102">
        <v>46098</v>
      </c>
      <c r="J982" s="70">
        <v>3</v>
      </c>
      <c r="K982" s="106" t="s">
        <v>2653</v>
      </c>
      <c r="L982" s="104">
        <f t="shared" si="123"/>
        <v>46190</v>
      </c>
      <c r="M982" s="105">
        <f ca="1" t="shared" si="124"/>
        <v>23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25"/>
        <v>0</v>
      </c>
      <c r="Z982" s="105">
        <f ca="1" t="shared" si="126"/>
        <v>-46167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178</v>
      </c>
      <c r="C983" s="70" t="s">
        <v>13</v>
      </c>
      <c r="D983" s="71" t="s">
        <v>2654</v>
      </c>
      <c r="E983" s="71" t="s">
        <v>95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2655</v>
      </c>
      <c r="L983" s="104">
        <f t="shared" ref="L983:L1025" si="127">EDATE(I983,J983)</f>
        <v>46191</v>
      </c>
      <c r="M983" s="105">
        <f ca="1" t="shared" ref="M983:M1025" si="128">L983-TODAY()</f>
        <v>24</v>
      </c>
      <c r="N983" s="70"/>
      <c r="O983" s="70"/>
      <c r="P983" s="70"/>
      <c r="Q983" s="71"/>
      <c r="R983" s="71"/>
      <c r="S983" s="72"/>
      <c r="T983" s="73"/>
      <c r="U983" s="79"/>
      <c r="V983" s="102"/>
      <c r="W983" s="70"/>
      <c r="X983" s="103"/>
      <c r="Y983" s="104">
        <f t="shared" si="125"/>
        <v>0</v>
      </c>
      <c r="Z983" s="105">
        <f ca="1" t="shared" si="126"/>
        <v>-46167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395</v>
      </c>
      <c r="C984" s="70" t="s">
        <v>13</v>
      </c>
      <c r="D984" s="71" t="s">
        <v>239</v>
      </c>
      <c r="E984" s="71" t="s">
        <v>57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2656</v>
      </c>
      <c r="L984" s="104">
        <f t="shared" si="127"/>
        <v>46191</v>
      </c>
      <c r="M984" s="105">
        <f ca="1" t="shared" si="128"/>
        <v>24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25"/>
        <v>0</v>
      </c>
      <c r="Z984" s="105">
        <f ca="1" t="shared" si="126"/>
        <v>-46167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395</v>
      </c>
      <c r="C985" s="70" t="s">
        <v>31</v>
      </c>
      <c r="D985" s="71" t="s">
        <v>237</v>
      </c>
      <c r="E985" s="71" t="s">
        <v>41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2657</v>
      </c>
      <c r="L985" s="104">
        <f t="shared" si="127"/>
        <v>46191</v>
      </c>
      <c r="M985" s="105">
        <f ca="1" t="shared" si="128"/>
        <v>24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25"/>
        <v>0</v>
      </c>
      <c r="Z985" s="105">
        <f ca="1" t="shared" si="126"/>
        <v>-46167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102</v>
      </c>
      <c r="C986" s="70" t="s">
        <v>13</v>
      </c>
      <c r="D986" s="71" t="s">
        <v>2658</v>
      </c>
      <c r="E986" s="71" t="s">
        <v>57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2659</v>
      </c>
      <c r="L986" s="104">
        <f t="shared" si="127"/>
        <v>46191</v>
      </c>
      <c r="M986" s="105">
        <f ca="1" t="shared" si="128"/>
        <v>24</v>
      </c>
      <c r="N986" s="70"/>
      <c r="O986" s="70"/>
      <c r="P986" s="70"/>
      <c r="Q986" s="71"/>
      <c r="R986" s="71"/>
      <c r="S986" s="72"/>
      <c r="T986" s="73"/>
      <c r="U986" s="79"/>
      <c r="V986" s="102"/>
      <c r="W986" s="70"/>
      <c r="X986" s="103"/>
      <c r="Y986" s="104">
        <f t="shared" si="125"/>
        <v>0</v>
      </c>
      <c r="Z986" s="105">
        <f ca="1" t="shared" si="126"/>
        <v>-46167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2660</v>
      </c>
      <c r="C987" s="70" t="s">
        <v>31</v>
      </c>
      <c r="D987" s="71" t="s">
        <v>2661</v>
      </c>
      <c r="E987" s="71" t="s">
        <v>2662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2663</v>
      </c>
      <c r="L987" s="104">
        <f t="shared" si="127"/>
        <v>46191</v>
      </c>
      <c r="M987" s="105">
        <f ca="1" t="shared" si="128"/>
        <v>24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25"/>
        <v>0</v>
      </c>
      <c r="Z987" s="105">
        <f ca="1" t="shared" si="126"/>
        <v>-46167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2660</v>
      </c>
      <c r="C988" s="70" t="s">
        <v>31</v>
      </c>
      <c r="D988" s="71" t="s">
        <v>2664</v>
      </c>
      <c r="E988" s="71" t="s">
        <v>2662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2665</v>
      </c>
      <c r="L988" s="104">
        <f t="shared" si="127"/>
        <v>46191</v>
      </c>
      <c r="M988" s="105">
        <f ca="1" t="shared" si="128"/>
        <v>24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25"/>
        <v>0</v>
      </c>
      <c r="Z988" s="105">
        <f ca="1" t="shared" si="126"/>
        <v>-46167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2134</v>
      </c>
      <c r="C989" s="70" t="s">
        <v>203</v>
      </c>
      <c r="D989" s="71" t="s">
        <v>2666</v>
      </c>
      <c r="E989" s="71" t="s">
        <v>203</v>
      </c>
      <c r="F989" s="72"/>
      <c r="G989" s="73"/>
      <c r="H989" s="75"/>
      <c r="I989" s="102">
        <v>46099</v>
      </c>
      <c r="J989" s="70">
        <v>3</v>
      </c>
      <c r="K989" s="106" t="s">
        <v>2667</v>
      </c>
      <c r="L989" s="104">
        <f t="shared" si="127"/>
        <v>46191</v>
      </c>
      <c r="M989" s="105">
        <f ca="1" t="shared" si="128"/>
        <v>24</v>
      </c>
      <c r="N989" s="70"/>
      <c r="O989" s="70"/>
      <c r="P989" s="70"/>
      <c r="Q989" s="71"/>
      <c r="R989" s="71"/>
      <c r="S989" s="72"/>
      <c r="T989" s="73"/>
      <c r="U989" s="79"/>
      <c r="V989" s="102"/>
      <c r="W989" s="70"/>
      <c r="X989" s="103"/>
      <c r="Y989" s="104">
        <f t="shared" si="125"/>
        <v>0</v>
      </c>
      <c r="Z989" s="105">
        <f ca="1" t="shared" si="126"/>
        <v>-46167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497</v>
      </c>
      <c r="C990" s="70" t="s">
        <v>203</v>
      </c>
      <c r="D990" s="71" t="s">
        <v>1470</v>
      </c>
      <c r="E990" s="71" t="s">
        <v>205</v>
      </c>
      <c r="F990" s="72"/>
      <c r="G990" s="73"/>
      <c r="H990" s="75"/>
      <c r="I990" s="102">
        <v>46099</v>
      </c>
      <c r="J990" s="70" t="s">
        <v>596</v>
      </c>
      <c r="K990" s="106"/>
      <c r="L990" s="104" t="e">
        <f t="shared" si="127"/>
        <v>#VALUE!</v>
      </c>
      <c r="M990" s="105" t="e">
        <f ca="1" t="shared" si="128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25"/>
        <v>0</v>
      </c>
      <c r="Z990" s="105">
        <f ca="1" t="shared" si="126"/>
        <v>-46167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497</v>
      </c>
      <c r="C991" s="70" t="s">
        <v>203</v>
      </c>
      <c r="D991" s="71" t="s">
        <v>204</v>
      </c>
      <c r="E991" s="71" t="s">
        <v>205</v>
      </c>
      <c r="F991" s="72"/>
      <c r="G991" s="73"/>
      <c r="H991" s="75"/>
      <c r="I991" s="102">
        <v>46099</v>
      </c>
      <c r="J991" s="70" t="s">
        <v>596</v>
      </c>
      <c r="K991" s="106"/>
      <c r="L991" s="104" t="e">
        <f t="shared" si="127"/>
        <v>#VALUE!</v>
      </c>
      <c r="M991" s="105" t="e">
        <f ca="1" t="shared" si="128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25"/>
        <v>0</v>
      </c>
      <c r="Z991" s="105">
        <f ca="1" t="shared" si="126"/>
        <v>-46167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958</v>
      </c>
      <c r="C992" s="70" t="s">
        <v>203</v>
      </c>
      <c r="D992" s="71" t="s">
        <v>959</v>
      </c>
      <c r="E992" s="71" t="s">
        <v>279</v>
      </c>
      <c r="F992" s="72"/>
      <c r="G992" s="73"/>
      <c r="H992" s="75"/>
      <c r="I992" s="102">
        <v>46099</v>
      </c>
      <c r="J992" s="70" t="s">
        <v>596</v>
      </c>
      <c r="K992" s="106"/>
      <c r="L992" s="104" t="e">
        <f t="shared" si="127"/>
        <v>#VALUE!</v>
      </c>
      <c r="M992" s="105" t="e">
        <f ca="1" t="shared" si="128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25"/>
        <v>0</v>
      </c>
      <c r="Z992" s="105">
        <f ca="1" t="shared" si="126"/>
        <v>-46167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583</v>
      </c>
      <c r="C993" s="70" t="s">
        <v>13</v>
      </c>
      <c r="D993" s="71" t="s">
        <v>2668</v>
      </c>
      <c r="E993" s="71" t="s">
        <v>95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2669</v>
      </c>
      <c r="L993" s="104">
        <f t="shared" si="127"/>
        <v>46192</v>
      </c>
      <c r="M993" s="105">
        <f ca="1" t="shared" si="128"/>
        <v>25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25"/>
        <v>0</v>
      </c>
      <c r="Z993" s="105">
        <f ca="1" t="shared" si="126"/>
        <v>-46167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44</v>
      </c>
      <c r="C994" s="70" t="s">
        <v>31</v>
      </c>
      <c r="D994" s="71" t="s">
        <v>2670</v>
      </c>
      <c r="E994" s="71" t="s">
        <v>148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2671</v>
      </c>
      <c r="L994" s="104">
        <f t="shared" si="127"/>
        <v>46192</v>
      </c>
      <c r="M994" s="105">
        <f ca="1" t="shared" si="128"/>
        <v>25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25"/>
        <v>0</v>
      </c>
      <c r="Z994" s="105">
        <f ca="1" t="shared" si="126"/>
        <v>-46167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930</v>
      </c>
      <c r="C995" s="70" t="s">
        <v>31</v>
      </c>
      <c r="D995" s="71" t="s">
        <v>2672</v>
      </c>
      <c r="E995" s="71" t="s">
        <v>148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2673</v>
      </c>
      <c r="L995" s="104">
        <f t="shared" si="127"/>
        <v>46192</v>
      </c>
      <c r="M995" s="105">
        <f ca="1" t="shared" si="128"/>
        <v>25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25"/>
        <v>0</v>
      </c>
      <c r="Z995" s="105">
        <f ca="1" t="shared" si="126"/>
        <v>-46167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202</v>
      </c>
      <c r="C996" s="70" t="s">
        <v>203</v>
      </c>
      <c r="D996" s="71" t="s">
        <v>1397</v>
      </c>
      <c r="E996" s="71" t="s">
        <v>1398</v>
      </c>
      <c r="F996" s="72"/>
      <c r="G996" s="73"/>
      <c r="H996" s="75"/>
      <c r="I996" s="102">
        <v>46100</v>
      </c>
      <c r="J996" s="70" t="s">
        <v>596</v>
      </c>
      <c r="K996" s="106"/>
      <c r="L996" s="104" t="e">
        <f t="shared" si="127"/>
        <v>#VALUE!</v>
      </c>
      <c r="M996" s="105" t="e">
        <f ca="1" t="shared" si="128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25"/>
        <v>0</v>
      </c>
      <c r="Z996" s="105">
        <f ca="1" t="shared" si="126"/>
        <v>-46167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208</v>
      </c>
      <c r="C997" s="70" t="s">
        <v>203</v>
      </c>
      <c r="D997" s="71" t="s">
        <v>736</v>
      </c>
      <c r="E997" s="71" t="s">
        <v>737</v>
      </c>
      <c r="F997" s="72"/>
      <c r="G997" s="73"/>
      <c r="H997" s="75"/>
      <c r="I997" s="102">
        <v>46100</v>
      </c>
      <c r="J997" s="70" t="s">
        <v>596</v>
      </c>
      <c r="K997" s="106"/>
      <c r="L997" s="104" t="e">
        <f t="shared" si="127"/>
        <v>#VALUE!</v>
      </c>
      <c r="M997" s="105" t="e">
        <f ca="1" t="shared" si="128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25"/>
        <v>0</v>
      </c>
      <c r="Z997" s="105">
        <f ca="1" t="shared" si="126"/>
        <v>-46167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2258</v>
      </c>
      <c r="C998" s="70" t="s">
        <v>203</v>
      </c>
      <c r="D998" s="71" t="s">
        <v>955</v>
      </c>
      <c r="E998" s="71" t="s">
        <v>203</v>
      </c>
      <c r="F998" s="72"/>
      <c r="G998" s="73"/>
      <c r="H998" s="75"/>
      <c r="I998" s="102">
        <v>46100</v>
      </c>
      <c r="J998" s="70" t="s">
        <v>596</v>
      </c>
      <c r="K998" s="106"/>
      <c r="L998" s="104" t="e">
        <f t="shared" si="127"/>
        <v>#VALUE!</v>
      </c>
      <c r="M998" s="105" t="e">
        <f ca="1" t="shared" si="128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25"/>
        <v>0</v>
      </c>
      <c r="Z998" s="105">
        <f ca="1" t="shared" si="126"/>
        <v>-46167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217</v>
      </c>
      <c r="C999" s="70" t="s">
        <v>203</v>
      </c>
      <c r="D999" s="71" t="s">
        <v>2674</v>
      </c>
      <c r="E999" s="71" t="s">
        <v>279</v>
      </c>
      <c r="F999" s="72"/>
      <c r="G999" s="73"/>
      <c r="H999" s="75"/>
      <c r="I999" s="102">
        <v>46100</v>
      </c>
      <c r="J999" s="70">
        <v>3</v>
      </c>
      <c r="K999" s="106" t="s">
        <v>2675</v>
      </c>
      <c r="L999" s="104">
        <f t="shared" si="127"/>
        <v>46192</v>
      </c>
      <c r="M999" s="105">
        <f ca="1" t="shared" si="128"/>
        <v>25</v>
      </c>
      <c r="N999" s="70"/>
      <c r="O999" s="70"/>
      <c r="P999" s="70"/>
      <c r="Q999" s="71"/>
      <c r="R999" s="71"/>
      <c r="S999" s="72"/>
      <c r="T999" s="73"/>
      <c r="U999" s="74"/>
      <c r="V999" s="102"/>
      <c r="W999" s="70"/>
      <c r="X999" s="103"/>
      <c r="Y999" s="104">
        <f t="shared" si="125"/>
        <v>0</v>
      </c>
      <c r="Z999" s="105">
        <f ca="1" t="shared" si="126"/>
        <v>-46167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2260</v>
      </c>
      <c r="C1000" s="70" t="s">
        <v>31</v>
      </c>
      <c r="D1000" s="71" t="s">
        <v>2676</v>
      </c>
      <c r="E1000" s="71" t="s">
        <v>1475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2677</v>
      </c>
      <c r="L1000" s="104">
        <f t="shared" si="127"/>
        <v>46192</v>
      </c>
      <c r="M1000" s="105">
        <f ca="1" t="shared" si="128"/>
        <v>25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25"/>
        <v>0</v>
      </c>
      <c r="Z1000" s="105">
        <f ca="1" t="shared" si="126"/>
        <v>-46167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44</v>
      </c>
      <c r="C1001" s="70" t="s">
        <v>13</v>
      </c>
      <c r="D1001" s="71" t="s">
        <v>2678</v>
      </c>
      <c r="E1001" s="71" t="s">
        <v>2679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2680</v>
      </c>
      <c r="L1001" s="104">
        <f t="shared" si="127"/>
        <v>46193</v>
      </c>
      <c r="M1001" s="105">
        <f ca="1" t="shared" si="128"/>
        <v>26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25"/>
        <v>0</v>
      </c>
      <c r="Z1001" s="105">
        <f ca="1" t="shared" si="126"/>
        <v>-46167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44</v>
      </c>
      <c r="C1002" s="70" t="s">
        <v>13</v>
      </c>
      <c r="D1002" s="71" t="s">
        <v>2681</v>
      </c>
      <c r="E1002" s="71" t="s">
        <v>2682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2683</v>
      </c>
      <c r="L1002" s="104">
        <f t="shared" si="127"/>
        <v>46193</v>
      </c>
      <c r="M1002" s="105">
        <f ca="1" t="shared" si="128"/>
        <v>26</v>
      </c>
      <c r="N1002" s="70"/>
      <c r="O1002" s="70"/>
      <c r="P1002" s="70"/>
      <c r="Q1002" s="71"/>
      <c r="R1002" s="71"/>
      <c r="S1002" s="72"/>
      <c r="T1002" s="73"/>
      <c r="U1002" s="79"/>
      <c r="V1002" s="102"/>
      <c r="W1002" s="70"/>
      <c r="X1002" s="103"/>
      <c r="Y1002" s="104">
        <f t="shared" ref="Y1002:Y1017" si="129">EDATE(V1002,W1002)</f>
        <v>0</v>
      </c>
      <c r="Z1002" s="105">
        <f ca="1" t="shared" ref="Z1002:Z1017" si="130">Y1002-TODAY()</f>
        <v>-46167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530</v>
      </c>
      <c r="C1003" s="70" t="s">
        <v>13</v>
      </c>
      <c r="D1003" s="71" t="s">
        <v>2684</v>
      </c>
      <c r="E1003" s="71" t="s">
        <v>1387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2685</v>
      </c>
      <c r="L1003" s="104">
        <f t="shared" si="127"/>
        <v>46193</v>
      </c>
      <c r="M1003" s="105">
        <f ca="1" t="shared" si="128"/>
        <v>26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29"/>
        <v>0</v>
      </c>
      <c r="Z1003" s="105">
        <f ca="1" t="shared" si="130"/>
        <v>-46167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530</v>
      </c>
      <c r="C1004" s="70" t="s">
        <v>31</v>
      </c>
      <c r="D1004" s="71" t="s">
        <v>2686</v>
      </c>
      <c r="E1004" s="71" t="s">
        <v>453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2687</v>
      </c>
      <c r="L1004" s="104">
        <f t="shared" si="127"/>
        <v>46194</v>
      </c>
      <c r="M1004" s="105">
        <f ca="1" t="shared" si="128"/>
        <v>27</v>
      </c>
      <c r="N1004" s="70"/>
      <c r="O1004" s="70"/>
      <c r="P1004" s="70"/>
      <c r="Q1004" s="71"/>
      <c r="R1004" s="71"/>
      <c r="S1004" s="72"/>
      <c r="T1004" s="73"/>
      <c r="U1004" s="79"/>
      <c r="V1004" s="102"/>
      <c r="W1004" s="70"/>
      <c r="X1004" s="103"/>
      <c r="Y1004" s="104">
        <f t="shared" si="129"/>
        <v>0</v>
      </c>
      <c r="Z1004" s="105">
        <f ca="1" t="shared" si="130"/>
        <v>-46167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2688</v>
      </c>
      <c r="C1005" s="70" t="s">
        <v>13</v>
      </c>
      <c r="D1005" s="71" t="s">
        <v>2689</v>
      </c>
      <c r="E1005" s="71" t="s">
        <v>2690</v>
      </c>
      <c r="F1005" s="72"/>
      <c r="G1005" s="73"/>
      <c r="H1005" s="157"/>
      <c r="I1005" s="102">
        <v>46102</v>
      </c>
      <c r="J1005" s="70">
        <v>3</v>
      </c>
      <c r="K1005" s="106" t="s">
        <v>2691</v>
      </c>
      <c r="L1005" s="104">
        <f t="shared" si="127"/>
        <v>46194</v>
      </c>
      <c r="M1005" s="105">
        <f ca="1" t="shared" si="128"/>
        <v>27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29"/>
        <v>0</v>
      </c>
      <c r="Z1005" s="105">
        <f ca="1" t="shared" si="130"/>
        <v>-46167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217</v>
      </c>
      <c r="C1006" s="70" t="s">
        <v>203</v>
      </c>
      <c r="D1006" s="209" t="s">
        <v>2692</v>
      </c>
      <c r="E1006" s="71" t="s">
        <v>2693</v>
      </c>
      <c r="F1006" s="72"/>
      <c r="G1006" s="73"/>
      <c r="H1006" s="157"/>
      <c r="I1006" s="102">
        <v>46102</v>
      </c>
      <c r="J1006" s="70">
        <v>3</v>
      </c>
      <c r="K1006" s="106" t="s">
        <v>2694</v>
      </c>
      <c r="L1006" s="104">
        <f t="shared" si="127"/>
        <v>46194</v>
      </c>
      <c r="M1006" s="105">
        <f ca="1" t="shared" si="128"/>
        <v>27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29"/>
        <v>0</v>
      </c>
      <c r="Z1006" s="105">
        <f ca="1" t="shared" si="130"/>
        <v>-46167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217</v>
      </c>
      <c r="C1007" s="70" t="s">
        <v>203</v>
      </c>
      <c r="D1007" s="209" t="s">
        <v>2695</v>
      </c>
      <c r="E1007" s="71" t="s">
        <v>2696</v>
      </c>
      <c r="F1007" s="72"/>
      <c r="G1007" s="73"/>
      <c r="H1007" s="157"/>
      <c r="I1007" s="102">
        <v>46102</v>
      </c>
      <c r="J1007" s="70">
        <v>3</v>
      </c>
      <c r="K1007" s="106" t="s">
        <v>2697</v>
      </c>
      <c r="L1007" s="104">
        <f t="shared" si="127"/>
        <v>46194</v>
      </c>
      <c r="M1007" s="105">
        <f ca="1" t="shared" si="128"/>
        <v>27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29"/>
        <v>0</v>
      </c>
      <c r="Z1007" s="105">
        <f ca="1" t="shared" si="130"/>
        <v>-46167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217</v>
      </c>
      <c r="C1008" s="70" t="s">
        <v>203</v>
      </c>
      <c r="D1008" s="209" t="s">
        <v>2698</v>
      </c>
      <c r="E1008" s="71" t="s">
        <v>2699</v>
      </c>
      <c r="F1008" s="72"/>
      <c r="G1008" s="73"/>
      <c r="H1008" s="157"/>
      <c r="I1008" s="102">
        <v>46102</v>
      </c>
      <c r="J1008" s="70">
        <v>3</v>
      </c>
      <c r="K1008" s="106" t="s">
        <v>2700</v>
      </c>
      <c r="L1008" s="104">
        <f t="shared" si="127"/>
        <v>46194</v>
      </c>
      <c r="M1008" s="105">
        <f ca="1" t="shared" si="128"/>
        <v>27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29"/>
        <v>0</v>
      </c>
      <c r="Z1008" s="105">
        <f ca="1" t="shared" si="130"/>
        <v>-46167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217</v>
      </c>
      <c r="C1009" s="70" t="s">
        <v>203</v>
      </c>
      <c r="D1009" s="209" t="s">
        <v>2701</v>
      </c>
      <c r="E1009" s="71" t="s">
        <v>2702</v>
      </c>
      <c r="F1009" s="72"/>
      <c r="G1009" s="73"/>
      <c r="H1009" s="157"/>
      <c r="I1009" s="102">
        <v>46102</v>
      </c>
      <c r="J1009" s="70">
        <v>3</v>
      </c>
      <c r="K1009" s="106" t="s">
        <v>2703</v>
      </c>
      <c r="L1009" s="104">
        <f t="shared" si="127"/>
        <v>46194</v>
      </c>
      <c r="M1009" s="105">
        <f ca="1" t="shared" si="128"/>
        <v>27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29"/>
        <v>0</v>
      </c>
      <c r="Z1009" s="105">
        <f ca="1" t="shared" si="130"/>
        <v>-46167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217</v>
      </c>
      <c r="C1010" s="70" t="s">
        <v>203</v>
      </c>
      <c r="D1010" s="209" t="s">
        <v>2704</v>
      </c>
      <c r="E1010" s="71" t="s">
        <v>2705</v>
      </c>
      <c r="F1010" s="72"/>
      <c r="G1010" s="73"/>
      <c r="H1010" s="157"/>
      <c r="I1010" s="102">
        <v>46102</v>
      </c>
      <c r="J1010" s="70">
        <v>3</v>
      </c>
      <c r="K1010" s="106" t="s">
        <v>2706</v>
      </c>
      <c r="L1010" s="104">
        <f t="shared" si="127"/>
        <v>46194</v>
      </c>
      <c r="M1010" s="105">
        <f ca="1" t="shared" si="128"/>
        <v>27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29"/>
        <v>0</v>
      </c>
      <c r="Z1010" s="105">
        <f ca="1" t="shared" si="130"/>
        <v>-46167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217</v>
      </c>
      <c r="C1011" s="70" t="s">
        <v>203</v>
      </c>
      <c r="D1011" s="209" t="s">
        <v>2707</v>
      </c>
      <c r="E1011" s="71" t="s">
        <v>2708</v>
      </c>
      <c r="F1011" s="72"/>
      <c r="G1011" s="73"/>
      <c r="H1011" s="157"/>
      <c r="I1011" s="102">
        <v>46102</v>
      </c>
      <c r="J1011" s="70">
        <v>3</v>
      </c>
      <c r="K1011" s="106" t="s">
        <v>2709</v>
      </c>
      <c r="L1011" s="104">
        <f t="shared" si="127"/>
        <v>46194</v>
      </c>
      <c r="M1011" s="105">
        <f ca="1" t="shared" si="128"/>
        <v>27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29"/>
        <v>0</v>
      </c>
      <c r="Z1011" s="105">
        <f ca="1" t="shared" si="130"/>
        <v>-46167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500</v>
      </c>
      <c r="C1012" s="70" t="s">
        <v>203</v>
      </c>
      <c r="D1012" s="71" t="s">
        <v>2088</v>
      </c>
      <c r="E1012" s="71" t="s">
        <v>2089</v>
      </c>
      <c r="F1012" s="72"/>
      <c r="G1012" s="73"/>
      <c r="H1012" s="157"/>
      <c r="I1012" s="102">
        <v>46102</v>
      </c>
      <c r="J1012" s="70" t="s">
        <v>596</v>
      </c>
      <c r="K1012" s="106"/>
      <c r="L1012" s="104" t="e">
        <f t="shared" si="127"/>
        <v>#VALUE!</v>
      </c>
      <c r="M1012" s="105" t="e">
        <f ca="1" t="shared" si="128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29"/>
        <v>0</v>
      </c>
      <c r="Z1012" s="105">
        <f ca="1" t="shared" si="130"/>
        <v>-46167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395</v>
      </c>
      <c r="C1013" s="70" t="s">
        <v>31</v>
      </c>
      <c r="D1013" s="209" t="s">
        <v>2710</v>
      </c>
      <c r="E1013" s="71" t="s">
        <v>400</v>
      </c>
      <c r="F1013" s="72"/>
      <c r="G1013" s="73"/>
      <c r="H1013" s="157"/>
      <c r="I1013" s="102">
        <v>46103</v>
      </c>
      <c r="J1013" s="70">
        <v>3</v>
      </c>
      <c r="K1013" s="106" t="s">
        <v>2711</v>
      </c>
      <c r="L1013" s="104">
        <f t="shared" si="127"/>
        <v>46195</v>
      </c>
      <c r="M1013" s="105">
        <f ca="1" t="shared" si="128"/>
        <v>28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>
        <f t="shared" si="129"/>
        <v>0</v>
      </c>
      <c r="Z1013" s="105">
        <f ca="1" t="shared" si="130"/>
        <v>-46167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395</v>
      </c>
      <c r="C1014" s="70" t="s">
        <v>31</v>
      </c>
      <c r="D1014" s="209" t="s">
        <v>2712</v>
      </c>
      <c r="E1014" s="71" t="s">
        <v>148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2713</v>
      </c>
      <c r="L1014" s="104">
        <f t="shared" si="127"/>
        <v>46195</v>
      </c>
      <c r="M1014" s="105">
        <f ca="1" t="shared" si="128"/>
        <v>28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29"/>
        <v>0</v>
      </c>
      <c r="Z1014" s="105">
        <f ca="1" t="shared" si="130"/>
        <v>-46167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395</v>
      </c>
      <c r="C1015" s="70" t="s">
        <v>31</v>
      </c>
      <c r="D1015" s="209" t="s">
        <v>2714</v>
      </c>
      <c r="E1015" s="71" t="s">
        <v>33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2715</v>
      </c>
      <c r="L1015" s="104">
        <f t="shared" si="127"/>
        <v>46195</v>
      </c>
      <c r="M1015" s="105">
        <f ca="1" t="shared" si="128"/>
        <v>28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29"/>
        <v>0</v>
      </c>
      <c r="Z1015" s="105">
        <f ca="1" t="shared" si="130"/>
        <v>-46167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395</v>
      </c>
      <c r="C1016" s="70" t="s">
        <v>13</v>
      </c>
      <c r="D1016" s="209" t="s">
        <v>2716</v>
      </c>
      <c r="E1016" s="71" t="s">
        <v>104</v>
      </c>
      <c r="F1016" s="72"/>
      <c r="G1016" s="73"/>
      <c r="H1016" s="75"/>
      <c r="I1016" s="102">
        <v>46103</v>
      </c>
      <c r="J1016" s="70">
        <v>3</v>
      </c>
      <c r="K1016" s="106" t="s">
        <v>2717</v>
      </c>
      <c r="L1016" s="104">
        <f t="shared" si="127"/>
        <v>46195</v>
      </c>
      <c r="M1016" s="105">
        <f ca="1" t="shared" si="128"/>
        <v>28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29"/>
        <v>0</v>
      </c>
      <c r="Z1016" s="105">
        <f ca="1" t="shared" si="130"/>
        <v>-46167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797</v>
      </c>
      <c r="C1017" s="70" t="s">
        <v>287</v>
      </c>
      <c r="D1017" s="209" t="s">
        <v>2718</v>
      </c>
      <c r="E1017" s="71" t="s">
        <v>799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2719</v>
      </c>
      <c r="L1017" s="104">
        <f t="shared" si="127"/>
        <v>46195</v>
      </c>
      <c r="M1017" s="105">
        <f ca="1" t="shared" si="128"/>
        <v>28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>
        <f t="shared" si="129"/>
        <v>0</v>
      </c>
      <c r="Z1017" s="105">
        <f ca="1" t="shared" si="130"/>
        <v>-46167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1079</v>
      </c>
      <c r="C1018" s="70" t="s">
        <v>287</v>
      </c>
      <c r="D1018" s="209" t="s">
        <v>2720</v>
      </c>
      <c r="E1018" s="71" t="s">
        <v>687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2721</v>
      </c>
      <c r="L1018" s="104">
        <f t="shared" si="127"/>
        <v>46195</v>
      </c>
      <c r="M1018" s="105">
        <f ca="1" t="shared" si="128"/>
        <v>28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/>
      <c r="Z1018" s="105"/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1079</v>
      </c>
      <c r="C1019" s="70" t="s">
        <v>287</v>
      </c>
      <c r="D1019" s="209" t="s">
        <v>2722</v>
      </c>
      <c r="E1019" s="71" t="s">
        <v>687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2723</v>
      </c>
      <c r="L1019" s="104">
        <f t="shared" si="127"/>
        <v>46195</v>
      </c>
      <c r="M1019" s="105">
        <f ca="1" t="shared" si="128"/>
        <v>28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/>
      <c r="Z1019" s="105"/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1079</v>
      </c>
      <c r="C1020" s="70" t="s">
        <v>287</v>
      </c>
      <c r="D1020" s="209" t="s">
        <v>2724</v>
      </c>
      <c r="E1020" s="71" t="s">
        <v>687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2725</v>
      </c>
      <c r="L1020" s="104">
        <f t="shared" si="127"/>
        <v>46195</v>
      </c>
      <c r="M1020" s="105">
        <f ca="1" t="shared" si="128"/>
        <v>28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/>
      <c r="Z1020" s="105"/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173</v>
      </c>
      <c r="C1021" s="70" t="s">
        <v>31</v>
      </c>
      <c r="D1021" s="209" t="s">
        <v>2726</v>
      </c>
      <c r="E1021" s="71" t="s">
        <v>247</v>
      </c>
      <c r="F1021" s="72"/>
      <c r="G1021" s="73"/>
      <c r="H1021" s="75"/>
      <c r="I1021" s="102">
        <v>46103</v>
      </c>
      <c r="J1021" s="70">
        <v>3</v>
      </c>
      <c r="K1021" s="106" t="s">
        <v>2727</v>
      </c>
      <c r="L1021" s="104">
        <f t="shared" si="127"/>
        <v>46195</v>
      </c>
      <c r="M1021" s="105">
        <f ca="1" t="shared" si="128"/>
        <v>28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/>
      <c r="Z1021" s="105"/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128</v>
      </c>
      <c r="C1022" s="70" t="s">
        <v>13</v>
      </c>
      <c r="D1022" s="71" t="s">
        <v>2728</v>
      </c>
      <c r="E1022" s="71" t="s">
        <v>37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2729</v>
      </c>
      <c r="L1022" s="104">
        <f t="shared" si="127"/>
        <v>46196</v>
      </c>
      <c r="M1022" s="105">
        <f ca="1" t="shared" si="128"/>
        <v>29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/>
      <c r="Z1022" s="105"/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128</v>
      </c>
      <c r="C1023" s="70" t="s">
        <v>31</v>
      </c>
      <c r="D1023" s="71" t="s">
        <v>2730</v>
      </c>
      <c r="E1023" s="93" t="s">
        <v>148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2731</v>
      </c>
      <c r="L1023" s="104">
        <f t="shared" si="127"/>
        <v>46196</v>
      </c>
      <c r="M1023" s="105">
        <f ca="1" t="shared" si="128"/>
        <v>29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/>
      <c r="Z1023" s="105"/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930</v>
      </c>
      <c r="C1024" s="70" t="s">
        <v>13</v>
      </c>
      <c r="D1024" s="71" t="s">
        <v>2732</v>
      </c>
      <c r="E1024" s="71" t="s">
        <v>95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2733</v>
      </c>
      <c r="L1024" s="104">
        <f t="shared" si="127"/>
        <v>46196</v>
      </c>
      <c r="M1024" s="105">
        <f ca="1" t="shared" si="128"/>
        <v>29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/>
      <c r="Z1024" s="105"/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1075</v>
      </c>
      <c r="C1025" s="70" t="s">
        <v>31</v>
      </c>
      <c r="D1025" s="71" t="s">
        <v>2734</v>
      </c>
      <c r="E1025" s="71" t="s">
        <v>2735</v>
      </c>
      <c r="F1025" s="72"/>
      <c r="G1025" s="73"/>
      <c r="H1025" s="157"/>
      <c r="I1025" s="102">
        <v>46104</v>
      </c>
      <c r="J1025" s="70">
        <v>3</v>
      </c>
      <c r="K1025" s="106" t="s">
        <v>2736</v>
      </c>
      <c r="L1025" s="104">
        <f t="shared" si="127"/>
        <v>46196</v>
      </c>
      <c r="M1025" s="105">
        <f ca="1" t="shared" si="128"/>
        <v>29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/>
      <c r="Z1025" s="105"/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11" t="s">
        <v>109</v>
      </c>
      <c r="C1026" s="70" t="s">
        <v>13</v>
      </c>
      <c r="D1026" s="209" t="s">
        <v>2737</v>
      </c>
      <c r="E1026" s="71" t="s">
        <v>2738</v>
      </c>
      <c r="F1026" s="72"/>
      <c r="G1026" s="73"/>
      <c r="H1026" s="157"/>
      <c r="I1026" s="102">
        <v>46104</v>
      </c>
      <c r="J1026" s="70">
        <v>3</v>
      </c>
      <c r="K1026" s="106" t="s">
        <v>2739</v>
      </c>
      <c r="L1026" s="104">
        <f t="shared" ref="L1026:L1091" si="131">EDATE(I1026,J1026)</f>
        <v>46196</v>
      </c>
      <c r="M1026" s="105">
        <f ca="1" t="shared" ref="M1026:M1089" si="132">L1026-TODAY()</f>
        <v>29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/>
      <c r="Z1026" s="105"/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11" t="s">
        <v>109</v>
      </c>
      <c r="C1027" s="70" t="s">
        <v>13</v>
      </c>
      <c r="D1027" s="209" t="s">
        <v>2740</v>
      </c>
      <c r="E1027" s="71" t="s">
        <v>2741</v>
      </c>
      <c r="F1027" s="72"/>
      <c r="G1027" s="73"/>
      <c r="H1027" s="157"/>
      <c r="I1027" s="102">
        <v>46104</v>
      </c>
      <c r="J1027" s="70">
        <v>3</v>
      </c>
      <c r="K1027" s="106" t="s">
        <v>2742</v>
      </c>
      <c r="L1027" s="104">
        <f t="shared" si="131"/>
        <v>46196</v>
      </c>
      <c r="M1027" s="105">
        <f ca="1" t="shared" si="132"/>
        <v>29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/>
      <c r="Z1027" s="105"/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11" t="s">
        <v>109</v>
      </c>
      <c r="C1028" s="70" t="s">
        <v>31</v>
      </c>
      <c r="D1028" s="209" t="s">
        <v>2743</v>
      </c>
      <c r="E1028" s="71" t="s">
        <v>111</v>
      </c>
      <c r="F1028" s="72"/>
      <c r="G1028" s="73"/>
      <c r="H1028" s="157"/>
      <c r="I1028" s="102">
        <v>46104</v>
      </c>
      <c r="J1028" s="70">
        <v>3</v>
      </c>
      <c r="K1028" s="106" t="s">
        <v>2744</v>
      </c>
      <c r="L1028" s="104">
        <f t="shared" si="131"/>
        <v>46196</v>
      </c>
      <c r="M1028" s="105">
        <f ca="1" t="shared" si="132"/>
        <v>29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11" t="s">
        <v>109</v>
      </c>
      <c r="C1029" s="70" t="s">
        <v>13</v>
      </c>
      <c r="D1029" s="209" t="s">
        <v>2745</v>
      </c>
      <c r="E1029" s="71" t="s">
        <v>2746</v>
      </c>
      <c r="F1029" s="72"/>
      <c r="G1029" s="73"/>
      <c r="H1029" s="157"/>
      <c r="I1029" s="102">
        <v>46104</v>
      </c>
      <c r="J1029" s="70">
        <v>3</v>
      </c>
      <c r="K1029" s="106" t="s">
        <v>2747</v>
      </c>
      <c r="L1029" s="104">
        <f t="shared" si="131"/>
        <v>46196</v>
      </c>
      <c r="M1029" s="105">
        <f ca="1" t="shared" si="132"/>
        <v>29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/>
      <c r="Z1029" s="105"/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11" t="s">
        <v>1988</v>
      </c>
      <c r="C1030" s="70" t="s">
        <v>13</v>
      </c>
      <c r="D1030" s="212" t="s">
        <v>2748</v>
      </c>
      <c r="E1030" s="71" t="s">
        <v>327</v>
      </c>
      <c r="F1030" s="72"/>
      <c r="G1030" s="73"/>
      <c r="H1030" s="157"/>
      <c r="I1030" s="102">
        <v>46104</v>
      </c>
      <c r="J1030" s="70">
        <v>3</v>
      </c>
      <c r="K1030" s="106" t="s">
        <v>2749</v>
      </c>
      <c r="L1030" s="104">
        <f t="shared" si="131"/>
        <v>46196</v>
      </c>
      <c r="M1030" s="105">
        <f ca="1" t="shared" si="132"/>
        <v>29</v>
      </c>
      <c r="N1030" s="70"/>
      <c r="O1030" s="70"/>
      <c r="P1030" s="70"/>
      <c r="Q1030" s="71"/>
      <c r="R1030" s="71"/>
      <c r="S1030" s="72"/>
      <c r="T1030" s="73"/>
      <c r="U1030" s="79"/>
      <c r="V1030" s="102"/>
      <c r="W1030" s="70"/>
      <c r="X1030" s="103"/>
      <c r="Y1030" s="104"/>
      <c r="Z1030" s="105"/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208</v>
      </c>
      <c r="C1031" s="70" t="s">
        <v>203</v>
      </c>
      <c r="D1031" s="71" t="s">
        <v>282</v>
      </c>
      <c r="E1031" s="71" t="s">
        <v>283</v>
      </c>
      <c r="F1031" s="72"/>
      <c r="G1031" s="73"/>
      <c r="H1031" s="157"/>
      <c r="I1031" s="102">
        <v>46104</v>
      </c>
      <c r="J1031" s="70" t="s">
        <v>596</v>
      </c>
      <c r="K1031" s="106"/>
      <c r="L1031" s="104" t="e">
        <f t="shared" si="131"/>
        <v>#VALUE!</v>
      </c>
      <c r="M1031" s="105" t="e">
        <f ca="1" t="shared" si="132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/>
      <c r="Z1031" s="105"/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208</v>
      </c>
      <c r="C1032" s="70" t="s">
        <v>203</v>
      </c>
      <c r="D1032" s="71" t="s">
        <v>1211</v>
      </c>
      <c r="E1032" s="71" t="s">
        <v>2533</v>
      </c>
      <c r="F1032" s="72"/>
      <c r="G1032" s="73"/>
      <c r="H1032" s="157"/>
      <c r="I1032" s="102">
        <v>46104</v>
      </c>
      <c r="J1032" s="70" t="s">
        <v>596</v>
      </c>
      <c r="K1032" s="106"/>
      <c r="L1032" s="104" t="e">
        <f t="shared" si="131"/>
        <v>#VALUE!</v>
      </c>
      <c r="M1032" s="105" t="e">
        <f ca="1" t="shared" si="132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/>
      <c r="Z1032" s="105"/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588</v>
      </c>
      <c r="C1033" s="70" t="s">
        <v>203</v>
      </c>
      <c r="D1033" s="71" t="s">
        <v>589</v>
      </c>
      <c r="E1033" s="71" t="s">
        <v>2277</v>
      </c>
      <c r="F1033" s="72"/>
      <c r="G1033" s="73"/>
      <c r="H1033" s="157"/>
      <c r="I1033" s="102">
        <v>46104</v>
      </c>
      <c r="J1033" s="70" t="s">
        <v>596</v>
      </c>
      <c r="K1033" s="106"/>
      <c r="L1033" s="104" t="e">
        <f t="shared" si="131"/>
        <v>#VALUE!</v>
      </c>
      <c r="M1033" s="105" t="e">
        <f ca="1" t="shared" si="132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/>
      <c r="Z1033" s="105"/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1969</v>
      </c>
      <c r="C1034" s="70" t="s">
        <v>203</v>
      </c>
      <c r="D1034" s="71" t="s">
        <v>2750</v>
      </c>
      <c r="E1034" s="71" t="s">
        <v>214</v>
      </c>
      <c r="F1034" s="72"/>
      <c r="G1034" s="73"/>
      <c r="H1034" s="157"/>
      <c r="I1034" s="102">
        <v>46104</v>
      </c>
      <c r="J1034" s="70">
        <v>3</v>
      </c>
      <c r="K1034" s="106" t="s">
        <v>2751</v>
      </c>
      <c r="L1034" s="104">
        <f t="shared" si="131"/>
        <v>46196</v>
      </c>
      <c r="M1034" s="105">
        <f ca="1" t="shared" si="132"/>
        <v>29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/>
      <c r="Z1034" s="105"/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132</v>
      </c>
      <c r="C1035" s="70" t="s">
        <v>31</v>
      </c>
      <c r="D1035" s="71" t="s">
        <v>133</v>
      </c>
      <c r="E1035" s="71" t="s">
        <v>2490</v>
      </c>
      <c r="F1035" s="72"/>
      <c r="G1035" s="73"/>
      <c r="H1035" s="157"/>
      <c r="I1035" s="102">
        <v>46104</v>
      </c>
      <c r="J1035" s="70" t="s">
        <v>596</v>
      </c>
      <c r="K1035" s="106"/>
      <c r="L1035" s="104" t="e">
        <f t="shared" si="131"/>
        <v>#VALUE!</v>
      </c>
      <c r="M1035" s="105" t="e">
        <f ca="1" t="shared" si="132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/>
      <c r="Z1035" s="105"/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102</v>
      </c>
      <c r="C1036" s="70" t="s">
        <v>31</v>
      </c>
      <c r="D1036" s="209" t="s">
        <v>2752</v>
      </c>
      <c r="E1036" s="71" t="s">
        <v>400</v>
      </c>
      <c r="F1036" s="72"/>
      <c r="G1036" s="73"/>
      <c r="H1036" s="157"/>
      <c r="I1036" s="102">
        <v>46105</v>
      </c>
      <c r="J1036" s="70">
        <v>3</v>
      </c>
      <c r="K1036" s="106" t="s">
        <v>2753</v>
      </c>
      <c r="L1036" s="104">
        <f t="shared" si="131"/>
        <v>46197</v>
      </c>
      <c r="M1036" s="105">
        <f ca="1" t="shared" si="132"/>
        <v>30</v>
      </c>
      <c r="N1036" s="70"/>
      <c r="O1036" s="70"/>
      <c r="P1036" s="70"/>
      <c r="Q1036" s="71"/>
      <c r="R1036" s="71"/>
      <c r="S1036" s="72"/>
      <c r="T1036" s="73"/>
      <c r="U1036" s="79"/>
      <c r="V1036" s="102"/>
      <c r="W1036" s="70"/>
      <c r="X1036" s="103"/>
      <c r="Y1036" s="104"/>
      <c r="Z1036" s="105"/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11" t="s">
        <v>2754</v>
      </c>
      <c r="C1037" s="70" t="s">
        <v>31</v>
      </c>
      <c r="D1037" s="209" t="s">
        <v>2755</v>
      </c>
      <c r="E1037" s="71" t="s">
        <v>148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2756</v>
      </c>
      <c r="L1037" s="104">
        <f t="shared" si="131"/>
        <v>46197</v>
      </c>
      <c r="M1037" s="105">
        <f ca="1" t="shared" si="132"/>
        <v>30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/>
      <c r="Z1037" s="105"/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500</v>
      </c>
      <c r="C1038" s="70" t="s">
        <v>13</v>
      </c>
      <c r="D1038" s="71" t="s">
        <v>2757</v>
      </c>
      <c r="E1038" s="71" t="s">
        <v>2758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2759</v>
      </c>
      <c r="L1038" s="104">
        <f t="shared" si="131"/>
        <v>46197</v>
      </c>
      <c r="M1038" s="105">
        <f ca="1" t="shared" si="132"/>
        <v>30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/>
      <c r="Z1038" s="105"/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178</v>
      </c>
      <c r="C1039" s="70" t="s">
        <v>13</v>
      </c>
      <c r="D1039" s="71" t="s">
        <v>2760</v>
      </c>
      <c r="E1039" s="71" t="s">
        <v>95</v>
      </c>
      <c r="F1039" s="72"/>
      <c r="G1039" s="73"/>
      <c r="H1039" s="157"/>
      <c r="I1039" s="102">
        <v>46105</v>
      </c>
      <c r="J1039" s="70">
        <v>3</v>
      </c>
      <c r="K1039" s="106" t="s">
        <v>2761</v>
      </c>
      <c r="L1039" s="104">
        <f t="shared" si="131"/>
        <v>46197</v>
      </c>
      <c r="M1039" s="105">
        <f ca="1" t="shared" si="132"/>
        <v>30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/>
      <c r="Z1039" s="105"/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497</v>
      </c>
      <c r="C1040" s="70" t="s">
        <v>203</v>
      </c>
      <c r="D1040" s="71" t="s">
        <v>204</v>
      </c>
      <c r="E1040" s="71" t="s">
        <v>205</v>
      </c>
      <c r="F1040" s="72"/>
      <c r="G1040" s="73"/>
      <c r="H1040" s="157"/>
      <c r="I1040" s="102">
        <v>46105</v>
      </c>
      <c r="J1040" s="70" t="s">
        <v>596</v>
      </c>
      <c r="K1040" s="106"/>
      <c r="L1040" s="104" t="e">
        <f t="shared" si="131"/>
        <v>#VALUE!</v>
      </c>
      <c r="M1040" s="105" t="e">
        <f ca="1" t="shared" si="132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/>
      <c r="Z1040" s="105"/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497</v>
      </c>
      <c r="C1041" s="70" t="s">
        <v>203</v>
      </c>
      <c r="D1041" s="71" t="s">
        <v>580</v>
      </c>
      <c r="E1041" s="71" t="s">
        <v>581</v>
      </c>
      <c r="F1041" s="72"/>
      <c r="G1041" s="73"/>
      <c r="H1041" s="157"/>
      <c r="I1041" s="102">
        <v>46105</v>
      </c>
      <c r="J1041" s="70" t="s">
        <v>596</v>
      </c>
      <c r="K1041" s="106"/>
      <c r="L1041" s="104" t="e">
        <f t="shared" si="131"/>
        <v>#VALUE!</v>
      </c>
      <c r="M1041" s="105" t="e">
        <f ca="1" t="shared" si="132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/>
      <c r="Z1041" s="105"/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588</v>
      </c>
      <c r="C1042" s="70" t="s">
        <v>203</v>
      </c>
      <c r="D1042" s="71" t="s">
        <v>589</v>
      </c>
      <c r="E1042" s="71" t="s">
        <v>2277</v>
      </c>
      <c r="F1042" s="72"/>
      <c r="G1042" s="73"/>
      <c r="H1042" s="157"/>
      <c r="I1042" s="102">
        <v>46105</v>
      </c>
      <c r="J1042" s="70" t="s">
        <v>596</v>
      </c>
      <c r="K1042" s="106"/>
      <c r="L1042" s="104" t="e">
        <f>EDATE(I1043,J1042)</f>
        <v>#VALUE!</v>
      </c>
      <c r="M1042" s="105" t="e">
        <f ca="1" t="shared" si="132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/>
      <c r="Z1042" s="105"/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11" t="s">
        <v>217</v>
      </c>
      <c r="C1043" s="70" t="s">
        <v>203</v>
      </c>
      <c r="D1043" s="209" t="s">
        <v>2762</v>
      </c>
      <c r="E1043" s="71" t="s">
        <v>279</v>
      </c>
      <c r="F1043" s="72"/>
      <c r="G1043" s="73"/>
      <c r="H1043" s="157"/>
      <c r="I1043" s="102">
        <v>46106</v>
      </c>
      <c r="J1043" s="70">
        <v>3</v>
      </c>
      <c r="K1043" s="106" t="s">
        <v>2763</v>
      </c>
      <c r="L1043" s="104">
        <f>EDATE(I1044,J1043)</f>
        <v>46198</v>
      </c>
      <c r="M1043" s="105">
        <f ca="1" t="shared" si="132"/>
        <v>31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/>
      <c r="Z1043" s="105"/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11" t="s">
        <v>217</v>
      </c>
      <c r="C1044" s="70" t="s">
        <v>203</v>
      </c>
      <c r="D1044" s="71" t="s">
        <v>2025</v>
      </c>
      <c r="E1044" s="71" t="s">
        <v>279</v>
      </c>
      <c r="F1044" s="72"/>
      <c r="G1044" s="73"/>
      <c r="H1044" s="157"/>
      <c r="I1044" s="102">
        <v>46106</v>
      </c>
      <c r="J1044" s="70" t="s">
        <v>596</v>
      </c>
      <c r="K1044" s="106"/>
      <c r="L1044" s="104" t="e">
        <f t="shared" si="131"/>
        <v>#VALUE!</v>
      </c>
      <c r="M1044" s="105" t="e">
        <f ca="1" t="shared" si="132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/>
      <c r="Z1044" s="105"/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202</v>
      </c>
      <c r="C1045" s="70" t="s">
        <v>203</v>
      </c>
      <c r="D1045" s="71" t="s">
        <v>204</v>
      </c>
      <c r="E1045" s="71" t="s">
        <v>205</v>
      </c>
      <c r="F1045" s="72"/>
      <c r="G1045" s="73"/>
      <c r="H1045" s="157"/>
      <c r="I1045" s="102">
        <v>46106</v>
      </c>
      <c r="J1045" s="70" t="s">
        <v>596</v>
      </c>
      <c r="K1045" s="106"/>
      <c r="L1045" s="104" t="e">
        <f t="shared" si="131"/>
        <v>#VALUE!</v>
      </c>
      <c r="M1045" s="105" t="e">
        <f ca="1" t="shared" si="132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/>
      <c r="Z1045" s="105"/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208</v>
      </c>
      <c r="C1046" s="70" t="s">
        <v>203</v>
      </c>
      <c r="D1046" s="71" t="s">
        <v>743</v>
      </c>
      <c r="E1046" s="71" t="s">
        <v>283</v>
      </c>
      <c r="F1046" s="72"/>
      <c r="G1046" s="73"/>
      <c r="H1046" s="157"/>
      <c r="I1046" s="102">
        <v>46106</v>
      </c>
      <c r="J1046" s="70" t="s">
        <v>596</v>
      </c>
      <c r="K1046" s="106"/>
      <c r="L1046" s="104" t="e">
        <f t="shared" si="131"/>
        <v>#VALUE!</v>
      </c>
      <c r="M1046" s="105" t="e">
        <f ca="1" t="shared" si="132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/>
      <c r="Z1046" s="105"/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281</v>
      </c>
      <c r="C1047" s="70" t="s">
        <v>203</v>
      </c>
      <c r="D1047" s="71" t="s">
        <v>282</v>
      </c>
      <c r="E1047" s="71" t="s">
        <v>283</v>
      </c>
      <c r="F1047" s="72"/>
      <c r="G1047" s="73"/>
      <c r="H1047" s="157"/>
      <c r="I1047" s="102">
        <v>46106</v>
      </c>
      <c r="J1047" s="70" t="s">
        <v>596</v>
      </c>
      <c r="K1047" s="106"/>
      <c r="L1047" s="104" t="e">
        <f t="shared" si="131"/>
        <v>#VALUE!</v>
      </c>
      <c r="M1047" s="105" t="e">
        <f ca="1" t="shared" si="132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/>
      <c r="Z1047" s="105"/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2764</v>
      </c>
      <c r="C1048" s="70" t="s">
        <v>203</v>
      </c>
      <c r="D1048" s="71" t="s">
        <v>674</v>
      </c>
      <c r="E1048" s="71" t="s">
        <v>675</v>
      </c>
      <c r="F1048" s="72"/>
      <c r="G1048" s="73"/>
      <c r="H1048" s="157"/>
      <c r="I1048" s="102">
        <v>46106</v>
      </c>
      <c r="J1048" s="70">
        <v>3</v>
      </c>
      <c r="K1048" s="106" t="s">
        <v>2765</v>
      </c>
      <c r="L1048" s="104">
        <f t="shared" si="131"/>
        <v>46198</v>
      </c>
      <c r="M1048" s="105">
        <f ca="1" t="shared" si="132"/>
        <v>31</v>
      </c>
      <c r="N1048" s="70"/>
      <c r="O1048" s="70"/>
      <c r="P1048" s="70"/>
      <c r="Q1048" s="71"/>
      <c r="R1048" s="71"/>
      <c r="S1048" s="72"/>
      <c r="T1048" s="73"/>
      <c r="U1048" s="79"/>
      <c r="V1048" s="102"/>
      <c r="W1048" s="70"/>
      <c r="X1048" s="103"/>
      <c r="Y1048" s="104"/>
      <c r="Z1048" s="105"/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286</v>
      </c>
      <c r="C1049" s="70" t="s">
        <v>287</v>
      </c>
      <c r="D1049" s="71" t="s">
        <v>2766</v>
      </c>
      <c r="E1049" s="71" t="s">
        <v>289</v>
      </c>
      <c r="F1049" s="72"/>
      <c r="G1049" s="73"/>
      <c r="H1049" s="157"/>
      <c r="I1049" s="102">
        <v>46106</v>
      </c>
      <c r="J1049" s="70">
        <v>3</v>
      </c>
      <c r="K1049" s="106" t="s">
        <v>2767</v>
      </c>
      <c r="L1049" s="104">
        <f t="shared" si="131"/>
        <v>46198</v>
      </c>
      <c r="M1049" s="105">
        <f ca="1" t="shared" si="132"/>
        <v>31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/>
      <c r="Z1049" s="105"/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286</v>
      </c>
      <c r="C1050" s="70" t="s">
        <v>287</v>
      </c>
      <c r="D1050" s="71" t="s">
        <v>2768</v>
      </c>
      <c r="E1050" s="71" t="s">
        <v>289</v>
      </c>
      <c r="F1050" s="72"/>
      <c r="G1050" s="73"/>
      <c r="H1050" s="157"/>
      <c r="I1050" s="102">
        <v>46106</v>
      </c>
      <c r="J1050" s="70">
        <v>3</v>
      </c>
      <c r="K1050" s="106" t="s">
        <v>2769</v>
      </c>
      <c r="L1050" s="104">
        <f t="shared" si="131"/>
        <v>46198</v>
      </c>
      <c r="M1050" s="105">
        <f ca="1" t="shared" si="132"/>
        <v>31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/>
      <c r="Z1050" s="105"/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286</v>
      </c>
      <c r="C1051" s="70" t="s">
        <v>287</v>
      </c>
      <c r="D1051" s="71" t="s">
        <v>2770</v>
      </c>
      <c r="E1051" s="71" t="s">
        <v>293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2771</v>
      </c>
      <c r="L1051" s="104">
        <f t="shared" si="131"/>
        <v>46198</v>
      </c>
      <c r="M1051" s="105">
        <f ca="1" t="shared" si="132"/>
        <v>31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/>
      <c r="Z1051" s="105"/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286</v>
      </c>
      <c r="C1052" s="70" t="s">
        <v>287</v>
      </c>
      <c r="D1052" s="71" t="s">
        <v>2772</v>
      </c>
      <c r="E1052" s="71" t="s">
        <v>293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2773</v>
      </c>
      <c r="L1052" s="104">
        <f t="shared" si="131"/>
        <v>46198</v>
      </c>
      <c r="M1052" s="105">
        <f ca="1" t="shared" si="132"/>
        <v>31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/>
      <c r="Z1052" s="105"/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1684</v>
      </c>
      <c r="C1053" s="70" t="s">
        <v>31</v>
      </c>
      <c r="D1053" s="71" t="s">
        <v>2774</v>
      </c>
      <c r="E1053" s="71" t="s">
        <v>148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2775</v>
      </c>
      <c r="L1053" s="104">
        <f t="shared" si="131"/>
        <v>46199</v>
      </c>
      <c r="M1053" s="105">
        <f ca="1" t="shared" si="132"/>
        <v>32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/>
      <c r="Z1053" s="105"/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102</v>
      </c>
      <c r="C1054" s="70" t="s">
        <v>31</v>
      </c>
      <c r="D1054" s="71" t="s">
        <v>2776</v>
      </c>
      <c r="E1054" s="71" t="s">
        <v>2777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2778</v>
      </c>
      <c r="L1054" s="104">
        <f t="shared" si="131"/>
        <v>46199</v>
      </c>
      <c r="M1054" s="105">
        <f ca="1" t="shared" si="132"/>
        <v>32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/>
      <c r="Z1054" s="105"/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102</v>
      </c>
      <c r="C1055" s="70" t="s">
        <v>31</v>
      </c>
      <c r="D1055" s="71" t="s">
        <v>2779</v>
      </c>
      <c r="E1055" s="71" t="s">
        <v>41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2780</v>
      </c>
      <c r="L1055" s="104">
        <f t="shared" si="131"/>
        <v>46199</v>
      </c>
      <c r="M1055" s="105">
        <f ca="1" t="shared" si="132"/>
        <v>32</v>
      </c>
      <c r="N1055" s="70"/>
      <c r="O1055" s="70"/>
      <c r="P1055" s="70"/>
      <c r="Q1055" s="71"/>
      <c r="R1055" s="71"/>
      <c r="S1055" s="72"/>
      <c r="T1055" s="73"/>
      <c r="U1055" s="79"/>
      <c r="V1055" s="102"/>
      <c r="W1055" s="70"/>
      <c r="X1055" s="103"/>
      <c r="Y1055" s="104"/>
      <c r="Z1055" s="105"/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1988</v>
      </c>
      <c r="C1056" s="70" t="s">
        <v>13</v>
      </c>
      <c r="D1056" s="71" t="s">
        <v>2781</v>
      </c>
      <c r="E1056" s="71" t="s">
        <v>95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2782</v>
      </c>
      <c r="L1056" s="104">
        <f t="shared" si="131"/>
        <v>46199</v>
      </c>
      <c r="M1056" s="105">
        <f ca="1" t="shared" si="132"/>
        <v>32</v>
      </c>
      <c r="N1056" s="70"/>
      <c r="O1056" s="70"/>
      <c r="P1056" s="70"/>
      <c r="Q1056" s="71"/>
      <c r="R1056" s="71"/>
      <c r="S1056" s="72"/>
      <c r="T1056" s="73"/>
      <c r="U1056" s="196"/>
      <c r="V1056" s="102"/>
      <c r="W1056" s="70"/>
      <c r="X1056" s="103"/>
      <c r="Y1056" s="104"/>
      <c r="Z1056" s="105"/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359</v>
      </c>
      <c r="C1057" s="70" t="s">
        <v>13</v>
      </c>
      <c r="D1057" s="71" t="s">
        <v>2783</v>
      </c>
      <c r="E1057" s="71" t="s">
        <v>57</v>
      </c>
      <c r="F1057" s="72"/>
      <c r="G1057" s="73"/>
      <c r="H1057" s="213"/>
      <c r="I1057" s="102">
        <v>46107</v>
      </c>
      <c r="J1057" s="70">
        <v>3</v>
      </c>
      <c r="K1057" s="106" t="s">
        <v>2784</v>
      </c>
      <c r="L1057" s="104">
        <f t="shared" si="131"/>
        <v>46199</v>
      </c>
      <c r="M1057" s="105">
        <f ca="1" t="shared" si="132"/>
        <v>32</v>
      </c>
      <c r="N1057" s="70"/>
      <c r="O1057" s="70"/>
      <c r="P1057" s="70"/>
      <c r="Q1057" s="71"/>
      <c r="R1057" s="71"/>
      <c r="S1057" s="72"/>
      <c r="T1057" s="73"/>
      <c r="U1057" s="196"/>
      <c r="V1057" s="102"/>
      <c r="W1057" s="70"/>
      <c r="X1057" s="103"/>
      <c r="Y1057" s="104"/>
      <c r="Z1057" s="105"/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1458</v>
      </c>
      <c r="C1058" s="70" t="s">
        <v>13</v>
      </c>
      <c r="D1058" s="71" t="s">
        <v>2201</v>
      </c>
      <c r="E1058" s="71" t="s">
        <v>2202</v>
      </c>
      <c r="F1058" s="72"/>
      <c r="G1058" s="73"/>
      <c r="H1058" s="213"/>
      <c r="I1058" s="102">
        <v>46107</v>
      </c>
      <c r="J1058" s="70" t="s">
        <v>596</v>
      </c>
      <c r="K1058" s="106"/>
      <c r="L1058" s="104" t="e">
        <f t="shared" si="131"/>
        <v>#VALUE!</v>
      </c>
      <c r="M1058" s="105" t="e">
        <f ca="1" t="shared" si="132"/>
        <v>#VALUE!</v>
      </c>
      <c r="N1058" s="70"/>
      <c r="O1058" s="70"/>
      <c r="P1058" s="70"/>
      <c r="Q1058" s="71"/>
      <c r="R1058" s="71"/>
      <c r="S1058" s="72"/>
      <c r="T1058" s="73"/>
      <c r="U1058" s="196"/>
      <c r="V1058" s="102"/>
      <c r="W1058" s="70"/>
      <c r="X1058" s="103"/>
      <c r="Y1058" s="104"/>
      <c r="Z1058" s="105"/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132</v>
      </c>
      <c r="C1059" s="70" t="s">
        <v>31</v>
      </c>
      <c r="D1059" s="209" t="s">
        <v>133</v>
      </c>
      <c r="E1059" s="71" t="s">
        <v>2490</v>
      </c>
      <c r="F1059" s="72"/>
      <c r="G1059" s="73"/>
      <c r="H1059" s="213"/>
      <c r="I1059" s="102">
        <v>46107</v>
      </c>
      <c r="J1059" s="70" t="s">
        <v>596</v>
      </c>
      <c r="K1059" s="106"/>
      <c r="L1059" s="104" t="e">
        <f t="shared" si="131"/>
        <v>#VALUE!</v>
      </c>
      <c r="M1059" s="105" t="e">
        <f ca="1" t="shared" si="132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/>
      <c r="Z1059" s="105"/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132</v>
      </c>
      <c r="C1060" s="70" t="s">
        <v>31</v>
      </c>
      <c r="D1060" s="209" t="s">
        <v>2489</v>
      </c>
      <c r="E1060" s="71" t="s">
        <v>2490</v>
      </c>
      <c r="F1060" s="72"/>
      <c r="G1060" s="73"/>
      <c r="H1060" s="213"/>
      <c r="I1060" s="102">
        <v>46107</v>
      </c>
      <c r="J1060" s="70" t="s">
        <v>596</v>
      </c>
      <c r="K1060" s="106"/>
      <c r="L1060" s="104" t="e">
        <f t="shared" si="131"/>
        <v>#VALUE!</v>
      </c>
      <c r="M1060" s="105" t="e">
        <f ca="1" t="shared" si="132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/>
      <c r="Z1060" s="105"/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607</v>
      </c>
      <c r="C1061" s="70" t="s">
        <v>287</v>
      </c>
      <c r="D1061" s="209" t="s">
        <v>2785</v>
      </c>
      <c r="E1061" s="71" t="s">
        <v>418</v>
      </c>
      <c r="F1061" s="72"/>
      <c r="G1061" s="73"/>
      <c r="H1061" s="196" t="s">
        <v>16</v>
      </c>
      <c r="I1061" s="102">
        <v>46107</v>
      </c>
      <c r="J1061" s="70">
        <v>3</v>
      </c>
      <c r="K1061" s="106" t="s">
        <v>2786</v>
      </c>
      <c r="L1061" s="104">
        <f t="shared" si="131"/>
        <v>46199</v>
      </c>
      <c r="M1061" s="105">
        <f ca="1" t="shared" si="132"/>
        <v>32</v>
      </c>
      <c r="N1061" s="70"/>
      <c r="O1061" s="70"/>
      <c r="P1061" s="70"/>
      <c r="Q1061" s="71"/>
      <c r="R1061" s="71"/>
      <c r="S1061" s="72"/>
      <c r="T1061" s="73"/>
      <c r="U1061" s="196"/>
      <c r="V1061" s="102"/>
      <c r="W1061" s="70"/>
      <c r="X1061" s="103"/>
      <c r="Y1061" s="104"/>
      <c r="Z1061" s="105"/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4" t="s">
        <v>359</v>
      </c>
      <c r="C1062" s="70" t="s">
        <v>13</v>
      </c>
      <c r="D1062" s="209" t="s">
        <v>2787</v>
      </c>
      <c r="E1062" s="93" t="s">
        <v>37</v>
      </c>
      <c r="F1062" s="94"/>
      <c r="G1062" s="95"/>
      <c r="H1062" s="75"/>
      <c r="I1062" s="102">
        <v>46108</v>
      </c>
      <c r="J1062" s="70">
        <v>3</v>
      </c>
      <c r="K1062" s="106" t="s">
        <v>2788</v>
      </c>
      <c r="L1062" s="104">
        <f t="shared" si="131"/>
        <v>46200</v>
      </c>
      <c r="M1062" s="105">
        <f ca="1" t="shared" si="132"/>
        <v>33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/>
      <c r="Z1062" s="105"/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619</v>
      </c>
      <c r="C1063" s="70" t="s">
        <v>13</v>
      </c>
      <c r="D1063" s="209" t="s">
        <v>2789</v>
      </c>
      <c r="E1063" s="93" t="s">
        <v>37</v>
      </c>
      <c r="F1063" s="94"/>
      <c r="G1063" s="95"/>
      <c r="H1063" s="75"/>
      <c r="I1063" s="102">
        <v>46108</v>
      </c>
      <c r="J1063" s="70">
        <v>3</v>
      </c>
      <c r="K1063" s="106" t="s">
        <v>2790</v>
      </c>
      <c r="L1063" s="104">
        <f t="shared" si="131"/>
        <v>46200</v>
      </c>
      <c r="M1063" s="105">
        <f ca="1" t="shared" si="132"/>
        <v>33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/>
      <c r="Z1063" s="105"/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619</v>
      </c>
      <c r="C1064" s="70" t="s">
        <v>13</v>
      </c>
      <c r="D1064" s="209" t="s">
        <v>2791</v>
      </c>
      <c r="E1064" s="93" t="s">
        <v>37</v>
      </c>
      <c r="F1064" s="94"/>
      <c r="G1064" s="95"/>
      <c r="H1064" s="75"/>
      <c r="I1064" s="102">
        <v>46108</v>
      </c>
      <c r="J1064" s="70">
        <v>3</v>
      </c>
      <c r="K1064" s="106" t="s">
        <v>2792</v>
      </c>
      <c r="L1064" s="104">
        <f t="shared" si="131"/>
        <v>46200</v>
      </c>
      <c r="M1064" s="105">
        <f ca="1" t="shared" si="132"/>
        <v>33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/>
      <c r="Z1064" s="105"/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619</v>
      </c>
      <c r="C1065" s="70" t="s">
        <v>31</v>
      </c>
      <c r="D1065" s="209" t="s">
        <v>2793</v>
      </c>
      <c r="E1065" s="71" t="s">
        <v>148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2794</v>
      </c>
      <c r="L1065" s="104">
        <f t="shared" si="131"/>
        <v>46200</v>
      </c>
      <c r="M1065" s="105">
        <f ca="1" t="shared" si="132"/>
        <v>33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/>
      <c r="Z1065" s="105"/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1458</v>
      </c>
      <c r="C1066" s="70" t="s">
        <v>13</v>
      </c>
      <c r="D1066" s="209" t="s">
        <v>2201</v>
      </c>
      <c r="E1066" s="71" t="s">
        <v>2202</v>
      </c>
      <c r="F1066" s="72"/>
      <c r="G1066" s="73"/>
      <c r="H1066" s="75"/>
      <c r="I1066" s="102">
        <v>46108</v>
      </c>
      <c r="J1066" s="70" t="s">
        <v>596</v>
      </c>
      <c r="K1066" s="106"/>
      <c r="L1066" s="104" t="e">
        <f t="shared" si="131"/>
        <v>#VALUE!</v>
      </c>
      <c r="M1066" s="105" t="e">
        <f ca="1" t="shared" si="132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/>
      <c r="Z1066" s="105"/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2214</v>
      </c>
      <c r="C1067" s="70" t="s">
        <v>13</v>
      </c>
      <c r="D1067" s="209" t="s">
        <v>2215</v>
      </c>
      <c r="E1067" s="71" t="s">
        <v>687</v>
      </c>
      <c r="F1067" s="72"/>
      <c r="G1067" s="73"/>
      <c r="H1067" s="75"/>
      <c r="I1067" s="102">
        <v>46108</v>
      </c>
      <c r="J1067" s="70" t="s">
        <v>596</v>
      </c>
      <c r="K1067" s="106"/>
      <c r="L1067" s="104" t="e">
        <f t="shared" si="131"/>
        <v>#VALUE!</v>
      </c>
      <c r="M1067" s="105" t="e">
        <f ca="1" t="shared" si="132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/>
      <c r="Z1067" s="105"/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2214</v>
      </c>
      <c r="C1068" s="70" t="s">
        <v>287</v>
      </c>
      <c r="D1068" s="209" t="s">
        <v>2795</v>
      </c>
      <c r="E1068" s="71" t="s">
        <v>1013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2796</v>
      </c>
      <c r="L1068" s="104">
        <f t="shared" si="131"/>
        <v>46200</v>
      </c>
      <c r="M1068" s="105">
        <f ca="1" t="shared" si="132"/>
        <v>33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/>
      <c r="Z1068" s="105"/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2214</v>
      </c>
      <c r="C1069" s="70" t="s">
        <v>287</v>
      </c>
      <c r="D1069" s="215" t="s">
        <v>2797</v>
      </c>
      <c r="E1069" s="71" t="s">
        <v>522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2798</v>
      </c>
      <c r="L1069" s="104">
        <f t="shared" si="131"/>
        <v>46200</v>
      </c>
      <c r="M1069" s="105">
        <f ca="1" t="shared" si="132"/>
        <v>33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208</v>
      </c>
      <c r="C1070" s="70" t="s">
        <v>203</v>
      </c>
      <c r="D1070" s="71" t="s">
        <v>2799</v>
      </c>
      <c r="E1070" s="71" t="s">
        <v>214</v>
      </c>
      <c r="F1070" s="72"/>
      <c r="G1070" s="73"/>
      <c r="H1070" s="75"/>
      <c r="I1070" s="102">
        <v>46108</v>
      </c>
      <c r="J1070" s="70">
        <v>3</v>
      </c>
      <c r="K1070" s="106" t="s">
        <v>2800</v>
      </c>
      <c r="L1070" s="104">
        <f t="shared" si="131"/>
        <v>46200</v>
      </c>
      <c r="M1070" s="105">
        <f ca="1" t="shared" si="132"/>
        <v>33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500</v>
      </c>
      <c r="C1071" s="70" t="s">
        <v>203</v>
      </c>
      <c r="D1071" s="209" t="s">
        <v>2801</v>
      </c>
      <c r="E1071" s="71" t="s">
        <v>279</v>
      </c>
      <c r="F1071" s="72"/>
      <c r="G1071" s="73"/>
      <c r="H1071" s="75"/>
      <c r="I1071" s="102">
        <v>46108</v>
      </c>
      <c r="J1071" s="70">
        <v>3</v>
      </c>
      <c r="K1071" s="106" t="s">
        <v>2802</v>
      </c>
      <c r="L1071" s="104">
        <f t="shared" si="131"/>
        <v>46200</v>
      </c>
      <c r="M1071" s="105">
        <f ca="1" t="shared" si="132"/>
        <v>33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217</v>
      </c>
      <c r="C1072" s="70" t="s">
        <v>203</v>
      </c>
      <c r="D1072" s="209" t="s">
        <v>2803</v>
      </c>
      <c r="E1072" s="71" t="s">
        <v>214</v>
      </c>
      <c r="F1072" s="72"/>
      <c r="G1072" s="73"/>
      <c r="H1072" s="75"/>
      <c r="I1072" s="102">
        <v>46108</v>
      </c>
      <c r="J1072" s="70">
        <v>3</v>
      </c>
      <c r="K1072" s="106" t="s">
        <v>2804</v>
      </c>
      <c r="L1072" s="104">
        <f t="shared" si="131"/>
        <v>46200</v>
      </c>
      <c r="M1072" s="105">
        <f ca="1" t="shared" si="132"/>
        <v>33</v>
      </c>
      <c r="N1072" s="70"/>
      <c r="O1072" s="70"/>
      <c r="P1072" s="70"/>
      <c r="Q1072" s="71"/>
      <c r="R1072" s="71"/>
      <c r="S1072" s="72"/>
      <c r="T1072" s="73"/>
      <c r="U1072" s="79"/>
      <c r="V1072" s="102"/>
      <c r="W1072" s="70"/>
      <c r="X1072" s="103"/>
      <c r="Y1072" s="104"/>
      <c r="Z1072" s="105"/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217</v>
      </c>
      <c r="C1073" s="70" t="s">
        <v>203</v>
      </c>
      <c r="D1073" s="209" t="s">
        <v>2805</v>
      </c>
      <c r="E1073" s="71" t="s">
        <v>2806</v>
      </c>
      <c r="F1073" s="72"/>
      <c r="G1073" s="73"/>
      <c r="H1073" s="75"/>
      <c r="I1073" s="102">
        <v>46108</v>
      </c>
      <c r="J1073" s="70">
        <v>3</v>
      </c>
      <c r="K1073" s="106" t="s">
        <v>2807</v>
      </c>
      <c r="L1073" s="104">
        <f t="shared" si="131"/>
        <v>46200</v>
      </c>
      <c r="M1073" s="105">
        <f ca="1" t="shared" si="132"/>
        <v>33</v>
      </c>
      <c r="N1073" s="70"/>
      <c r="O1073" s="70"/>
      <c r="P1073" s="70"/>
      <c r="Q1073" s="71"/>
      <c r="R1073" s="71"/>
      <c r="S1073" s="72"/>
      <c r="T1073" s="73"/>
      <c r="U1073" s="75"/>
      <c r="V1073" s="102"/>
      <c r="W1073" s="70"/>
      <c r="X1073" s="103"/>
      <c r="Y1073" s="104"/>
      <c r="Z1073" s="105"/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217</v>
      </c>
      <c r="C1074" s="70" t="s">
        <v>203</v>
      </c>
      <c r="D1074" s="71" t="s">
        <v>2025</v>
      </c>
      <c r="E1074" s="71" t="s">
        <v>279</v>
      </c>
      <c r="F1074" s="72"/>
      <c r="G1074" s="73"/>
      <c r="H1074" s="75"/>
      <c r="I1074" s="102">
        <v>46108</v>
      </c>
      <c r="J1074" s="70" t="s">
        <v>596</v>
      </c>
      <c r="K1074" s="106"/>
      <c r="L1074" s="104" t="e">
        <f t="shared" si="131"/>
        <v>#VALUE!</v>
      </c>
      <c r="M1074" s="105" t="e">
        <f ca="1" t="shared" si="132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/>
      <c r="Z1074" s="105"/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202</v>
      </c>
      <c r="C1075" s="70" t="s">
        <v>203</v>
      </c>
      <c r="D1075" s="209" t="s">
        <v>593</v>
      </c>
      <c r="E1075" s="71" t="s">
        <v>594</v>
      </c>
      <c r="F1075" s="72"/>
      <c r="G1075" s="73"/>
      <c r="H1075" s="75"/>
      <c r="I1075" s="102">
        <v>46108</v>
      </c>
      <c r="J1075" s="70" t="s">
        <v>596</v>
      </c>
      <c r="K1075" s="106"/>
      <c r="L1075" s="104" t="e">
        <f t="shared" si="131"/>
        <v>#VALUE!</v>
      </c>
      <c r="M1075" s="105" t="e">
        <f ca="1" t="shared" si="132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/>
      <c r="Z1075" s="105"/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954</v>
      </c>
      <c r="C1076" s="70" t="s">
        <v>203</v>
      </c>
      <c r="D1076" s="209" t="s">
        <v>955</v>
      </c>
      <c r="E1076" s="71" t="s">
        <v>203</v>
      </c>
      <c r="F1076" s="72"/>
      <c r="G1076" s="73"/>
      <c r="H1076" s="75"/>
      <c r="I1076" s="102">
        <v>46108</v>
      </c>
      <c r="J1076" s="70" t="s">
        <v>596</v>
      </c>
      <c r="K1076" s="106"/>
      <c r="L1076" s="104" t="e">
        <f t="shared" si="131"/>
        <v>#VALUE!</v>
      </c>
      <c r="M1076" s="105" t="e">
        <f ca="1" t="shared" si="132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/>
      <c r="Z1076" s="105"/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985</v>
      </c>
      <c r="C1077" s="70" t="s">
        <v>31</v>
      </c>
      <c r="D1077" s="209" t="s">
        <v>2808</v>
      </c>
      <c r="E1077" s="71" t="s">
        <v>148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2809</v>
      </c>
      <c r="L1077" s="104">
        <f t="shared" si="131"/>
        <v>46201</v>
      </c>
      <c r="M1077" s="105">
        <f ca="1" t="shared" si="132"/>
        <v>34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/>
      <c r="Z1077" s="105"/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178</v>
      </c>
      <c r="C1078" s="70" t="s">
        <v>13</v>
      </c>
      <c r="D1078" s="215" t="s">
        <v>2810</v>
      </c>
      <c r="E1078" s="71" t="s">
        <v>95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2811</v>
      </c>
      <c r="L1078" s="104">
        <f t="shared" si="131"/>
        <v>46201</v>
      </c>
      <c r="M1078" s="105">
        <f ca="1" t="shared" si="132"/>
        <v>34</v>
      </c>
      <c r="N1078" s="70"/>
      <c r="O1078" s="70"/>
      <c r="P1078" s="70"/>
      <c r="Q1078" s="71"/>
      <c r="R1078" s="71"/>
      <c r="S1078" s="72"/>
      <c r="T1078" s="73"/>
      <c r="U1078" s="79"/>
      <c r="V1078" s="102"/>
      <c r="W1078" s="70"/>
      <c r="X1078" s="103"/>
      <c r="Y1078" s="104"/>
      <c r="Z1078" s="105"/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178</v>
      </c>
      <c r="C1079" s="70" t="s">
        <v>13</v>
      </c>
      <c r="D1079" s="209" t="s">
        <v>2812</v>
      </c>
      <c r="E1079" s="71" t="s">
        <v>2029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2813</v>
      </c>
      <c r="L1079" s="104">
        <f t="shared" si="131"/>
        <v>46201</v>
      </c>
      <c r="M1079" s="105">
        <f ca="1" t="shared" si="132"/>
        <v>34</v>
      </c>
      <c r="N1079" s="70"/>
      <c r="O1079" s="70"/>
      <c r="P1079" s="70"/>
      <c r="Q1079" s="71"/>
      <c r="R1079" s="71"/>
      <c r="S1079" s="72"/>
      <c r="T1079" s="73"/>
      <c r="U1079" s="79"/>
      <c r="V1079" s="102"/>
      <c r="W1079" s="70"/>
      <c r="X1079" s="103"/>
      <c r="Y1079" s="104"/>
      <c r="Z1079" s="105"/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178</v>
      </c>
      <c r="C1080" s="70" t="s">
        <v>31</v>
      </c>
      <c r="D1080" s="108" t="s">
        <v>2814</v>
      </c>
      <c r="E1080" s="71" t="s">
        <v>24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2815</v>
      </c>
      <c r="L1080" s="104">
        <f t="shared" si="131"/>
        <v>46201</v>
      </c>
      <c r="M1080" s="105">
        <f ca="1" t="shared" si="132"/>
        <v>34</v>
      </c>
      <c r="N1080" s="70"/>
      <c r="O1080" s="70"/>
      <c r="P1080" s="70"/>
      <c r="Q1080" s="71"/>
      <c r="R1080" s="71"/>
      <c r="S1080" s="72"/>
      <c r="T1080" s="73"/>
      <c r="U1080" s="79"/>
      <c r="V1080" s="102"/>
      <c r="W1080" s="70"/>
      <c r="X1080" s="103"/>
      <c r="Y1080" s="104"/>
      <c r="Z1080" s="105"/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178</v>
      </c>
      <c r="C1081" s="70" t="s">
        <v>31</v>
      </c>
      <c r="D1081" s="215" t="s">
        <v>2816</v>
      </c>
      <c r="E1081" s="71" t="s">
        <v>148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2817</v>
      </c>
      <c r="L1081" s="104">
        <f t="shared" si="131"/>
        <v>46201</v>
      </c>
      <c r="M1081" s="105">
        <f ca="1" t="shared" si="132"/>
        <v>34</v>
      </c>
      <c r="N1081" s="70"/>
      <c r="O1081" s="70"/>
      <c r="P1081" s="70"/>
      <c r="Q1081" s="71"/>
      <c r="R1081" s="71"/>
      <c r="S1081" s="72"/>
      <c r="T1081" s="73"/>
      <c r="U1081" s="79"/>
      <c r="V1081" s="102"/>
      <c r="W1081" s="70"/>
      <c r="X1081" s="103"/>
      <c r="Y1081" s="104"/>
      <c r="Z1081" s="105"/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178</v>
      </c>
      <c r="C1082" s="70" t="s">
        <v>13</v>
      </c>
      <c r="D1082" s="209" t="s">
        <v>2818</v>
      </c>
      <c r="E1082" s="71" t="s">
        <v>95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2819</v>
      </c>
      <c r="L1082" s="104">
        <f t="shared" si="131"/>
        <v>46201</v>
      </c>
      <c r="M1082" s="105">
        <f ca="1" t="shared" si="132"/>
        <v>34</v>
      </c>
      <c r="N1082" s="70"/>
      <c r="O1082" s="70"/>
      <c r="P1082" s="70"/>
      <c r="Q1082" s="71"/>
      <c r="R1082" s="71"/>
      <c r="S1082" s="72"/>
      <c r="T1082" s="73"/>
      <c r="U1082" s="79"/>
      <c r="V1082" s="102"/>
      <c r="W1082" s="70"/>
      <c r="X1082" s="103"/>
      <c r="Y1082" s="104"/>
      <c r="Z1082" s="105"/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178</v>
      </c>
      <c r="C1083" s="70" t="s">
        <v>31</v>
      </c>
      <c r="D1083" s="108" t="s">
        <v>2820</v>
      </c>
      <c r="E1083" s="71" t="s">
        <v>148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2821</v>
      </c>
      <c r="L1083" s="104">
        <f t="shared" si="131"/>
        <v>46201</v>
      </c>
      <c r="M1083" s="105">
        <f ca="1" t="shared" si="132"/>
        <v>34</v>
      </c>
      <c r="N1083" s="70"/>
      <c r="O1083" s="70"/>
      <c r="P1083" s="70"/>
      <c r="Q1083" s="71"/>
      <c r="R1083" s="71"/>
      <c r="S1083" s="72"/>
      <c r="T1083" s="73"/>
      <c r="U1083" s="75"/>
      <c r="V1083" s="102"/>
      <c r="W1083" s="70"/>
      <c r="X1083" s="103"/>
      <c r="Y1083" s="104"/>
      <c r="Z1083" s="105"/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178</v>
      </c>
      <c r="C1084" s="70" t="s">
        <v>31</v>
      </c>
      <c r="D1084" s="209" t="s">
        <v>2822</v>
      </c>
      <c r="E1084" s="71" t="s">
        <v>111</v>
      </c>
      <c r="F1084" s="72"/>
      <c r="G1084" s="73"/>
      <c r="H1084" s="75"/>
      <c r="I1084" s="102">
        <v>46109</v>
      </c>
      <c r="J1084" s="70">
        <v>3</v>
      </c>
      <c r="K1084" s="106" t="s">
        <v>2823</v>
      </c>
      <c r="L1084" s="104">
        <f t="shared" si="131"/>
        <v>46201</v>
      </c>
      <c r="M1084" s="105">
        <f ca="1" t="shared" si="132"/>
        <v>34</v>
      </c>
      <c r="N1084" s="70"/>
      <c r="O1084" s="70"/>
      <c r="P1084" s="70"/>
      <c r="Q1084" s="71"/>
      <c r="R1084" s="71"/>
      <c r="S1084" s="72"/>
      <c r="T1084" s="73"/>
      <c r="U1084" s="79"/>
      <c r="V1084" s="102"/>
      <c r="W1084" s="70"/>
      <c r="X1084" s="103"/>
      <c r="Y1084" s="104"/>
      <c r="Z1084" s="105"/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16" t="s">
        <v>2824</v>
      </c>
      <c r="C1085" s="70" t="s">
        <v>31</v>
      </c>
      <c r="D1085" s="209" t="s">
        <v>2825</v>
      </c>
      <c r="E1085" s="71" t="s">
        <v>148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2826</v>
      </c>
      <c r="L1085" s="104">
        <f t="shared" si="131"/>
        <v>46201</v>
      </c>
      <c r="M1085" s="105">
        <f ca="1" t="shared" si="132"/>
        <v>34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/>
      <c r="Z1085" s="105"/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16" t="s">
        <v>2824</v>
      </c>
      <c r="C1086" s="70" t="s">
        <v>13</v>
      </c>
      <c r="D1086" s="209" t="s">
        <v>2827</v>
      </c>
      <c r="E1086" s="71" t="s">
        <v>37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2828</v>
      </c>
      <c r="L1086" s="104">
        <f t="shared" si="131"/>
        <v>46201</v>
      </c>
      <c r="M1086" s="105">
        <f ca="1" t="shared" si="132"/>
        <v>34</v>
      </c>
      <c r="N1086" s="70"/>
      <c r="O1086" s="70"/>
      <c r="P1086" s="70"/>
      <c r="Q1086" s="71"/>
      <c r="R1086" s="71"/>
      <c r="S1086" s="72"/>
      <c r="T1086" s="73"/>
      <c r="U1086" s="79"/>
      <c r="V1086" s="102"/>
      <c r="W1086" s="70"/>
      <c r="X1086" s="103"/>
      <c r="Y1086" s="104"/>
      <c r="Z1086" s="105"/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217</v>
      </c>
      <c r="C1087" s="70" t="s">
        <v>203</v>
      </c>
      <c r="D1087" s="209" t="s">
        <v>2829</v>
      </c>
      <c r="E1087" s="71" t="s">
        <v>2830</v>
      </c>
      <c r="F1087" s="72"/>
      <c r="G1087" s="73"/>
      <c r="H1087" s="75"/>
      <c r="I1087" s="102">
        <v>46109</v>
      </c>
      <c r="J1087" s="70">
        <v>3</v>
      </c>
      <c r="K1087" s="106" t="s">
        <v>2831</v>
      </c>
      <c r="L1087" s="104">
        <f t="shared" si="131"/>
        <v>46201</v>
      </c>
      <c r="M1087" s="105">
        <f ca="1" t="shared" si="132"/>
        <v>34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/>
      <c r="Z1087" s="105"/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217</v>
      </c>
      <c r="C1088" s="70" t="s">
        <v>203</v>
      </c>
      <c r="D1088" s="214" t="s">
        <v>2762</v>
      </c>
      <c r="E1088" s="71" t="s">
        <v>279</v>
      </c>
      <c r="F1088" s="72"/>
      <c r="G1088" s="73"/>
      <c r="H1088" s="75"/>
      <c r="I1088" s="102">
        <v>46109</v>
      </c>
      <c r="J1088" s="70" t="s">
        <v>596</v>
      </c>
      <c r="K1088" s="106"/>
      <c r="L1088" s="104" t="e">
        <f t="shared" si="131"/>
        <v>#VALUE!</v>
      </c>
      <c r="M1088" s="105" t="e">
        <f ca="1" t="shared" si="132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/>
      <c r="Z1088" s="105"/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217</v>
      </c>
      <c r="C1089" s="70" t="s">
        <v>203</v>
      </c>
      <c r="D1089" s="209" t="s">
        <v>2832</v>
      </c>
      <c r="E1089" s="71" t="s">
        <v>2833</v>
      </c>
      <c r="F1089" s="72"/>
      <c r="G1089" s="73"/>
      <c r="H1089" s="75"/>
      <c r="I1089" s="102">
        <v>46109</v>
      </c>
      <c r="J1089" s="70">
        <v>3</v>
      </c>
      <c r="K1089" s="106" t="s">
        <v>2834</v>
      </c>
      <c r="L1089" s="104">
        <f t="shared" si="131"/>
        <v>46201</v>
      </c>
      <c r="M1089" s="105">
        <f ca="1" t="shared" si="132"/>
        <v>34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/>
      <c r="Z1089" s="105"/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217</v>
      </c>
      <c r="C1090" s="70" t="s">
        <v>203</v>
      </c>
      <c r="D1090" s="209" t="s">
        <v>2835</v>
      </c>
      <c r="E1090" s="71" t="s">
        <v>2836</v>
      </c>
      <c r="F1090" s="72"/>
      <c r="G1090" s="73"/>
      <c r="H1090" s="75"/>
      <c r="I1090" s="102">
        <v>46109</v>
      </c>
      <c r="J1090" s="70">
        <v>3</v>
      </c>
      <c r="K1090" s="106" t="s">
        <v>2837</v>
      </c>
      <c r="L1090" s="104">
        <f t="shared" si="131"/>
        <v>46201</v>
      </c>
      <c r="M1090" s="105">
        <f ca="1">L1090-TODAY()</f>
        <v>34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/>
      <c r="Z1090" s="105"/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217</v>
      </c>
      <c r="C1091" s="70" t="s">
        <v>203</v>
      </c>
      <c r="D1091" s="215" t="s">
        <v>2838</v>
      </c>
      <c r="E1091" s="71" t="s">
        <v>2839</v>
      </c>
      <c r="F1091" s="72"/>
      <c r="G1091" s="73"/>
      <c r="H1091" s="75"/>
      <c r="I1091" s="102">
        <v>46109</v>
      </c>
      <c r="J1091" s="70">
        <v>3</v>
      </c>
      <c r="K1091" s="106" t="s">
        <v>2840</v>
      </c>
      <c r="L1091" s="104">
        <f t="shared" si="131"/>
        <v>46201</v>
      </c>
      <c r="M1091" s="105">
        <f ca="1">L1091-TODAY()</f>
        <v>34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/>
      <c r="Z1091" s="105"/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230</v>
      </c>
      <c r="C1092" s="70" t="s">
        <v>203</v>
      </c>
      <c r="D1092" s="209" t="s">
        <v>2841</v>
      </c>
      <c r="E1092" s="71" t="s">
        <v>2842</v>
      </c>
      <c r="F1092" s="72"/>
      <c r="G1092" s="73"/>
      <c r="H1092" s="75"/>
      <c r="I1092" s="102">
        <v>46109</v>
      </c>
      <c r="J1092" s="70">
        <v>3</v>
      </c>
      <c r="K1092" s="106" t="s">
        <v>2843</v>
      </c>
      <c r="L1092" s="104">
        <f t="shared" ref="L1092:L1104" si="133">EDATE(I1092,J1092)</f>
        <v>46201</v>
      </c>
      <c r="M1092" s="105">
        <f ca="1" t="shared" ref="M1092:M1104" si="134">L1092-TODAY()</f>
        <v>34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/>
      <c r="Z1092" s="105"/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230</v>
      </c>
      <c r="C1093" s="70" t="s">
        <v>203</v>
      </c>
      <c r="D1093" s="209" t="s">
        <v>2329</v>
      </c>
      <c r="E1093" s="71" t="s">
        <v>2844</v>
      </c>
      <c r="F1093" s="72"/>
      <c r="G1093" s="73"/>
      <c r="H1093" s="75"/>
      <c r="I1093" s="102">
        <v>46109</v>
      </c>
      <c r="J1093" s="70" t="s">
        <v>596</v>
      </c>
      <c r="K1093" s="106"/>
      <c r="L1093" s="104" t="e">
        <f t="shared" si="133"/>
        <v>#VALUE!</v>
      </c>
      <c r="M1093" s="105" t="e">
        <f ca="1" t="shared" si="134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/>
      <c r="Z1093" s="105"/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530</v>
      </c>
      <c r="C1094" s="70" t="s">
        <v>13</v>
      </c>
      <c r="D1094" s="108" t="s">
        <v>2845</v>
      </c>
      <c r="E1094" s="93" t="s">
        <v>2846</v>
      </c>
      <c r="F1094" s="94"/>
      <c r="G1094" s="95"/>
      <c r="H1094" s="75"/>
      <c r="I1094" s="102">
        <v>46109</v>
      </c>
      <c r="J1094" s="70">
        <v>3</v>
      </c>
      <c r="K1094" s="106" t="s">
        <v>2847</v>
      </c>
      <c r="L1094" s="104">
        <f t="shared" si="133"/>
        <v>46201</v>
      </c>
      <c r="M1094" s="105">
        <f ca="1" t="shared" si="134"/>
        <v>34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/>
      <c r="Z1094" s="105"/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132</v>
      </c>
      <c r="C1095" s="70" t="s">
        <v>31</v>
      </c>
      <c r="D1095" s="209" t="s">
        <v>133</v>
      </c>
      <c r="E1095" s="71" t="s">
        <v>2490</v>
      </c>
      <c r="F1095" s="72"/>
      <c r="G1095" s="73"/>
      <c r="H1095" s="75"/>
      <c r="I1095" s="102">
        <v>46109</v>
      </c>
      <c r="J1095" s="70" t="s">
        <v>596</v>
      </c>
      <c r="K1095" s="106"/>
      <c r="L1095" s="104" t="e">
        <f t="shared" si="133"/>
        <v>#VALUE!</v>
      </c>
      <c r="M1095" s="105" t="e">
        <f ca="1" t="shared" si="134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/>
      <c r="Z1095" s="105"/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1048</v>
      </c>
      <c r="C1096" s="70" t="s">
        <v>13</v>
      </c>
      <c r="D1096" s="215" t="s">
        <v>2028</v>
      </c>
      <c r="E1096" s="71" t="s">
        <v>2180</v>
      </c>
      <c r="F1096" s="72"/>
      <c r="G1096" s="73"/>
      <c r="H1096" s="75"/>
      <c r="I1096" s="102">
        <v>46109</v>
      </c>
      <c r="J1096" s="70" t="s">
        <v>596</v>
      </c>
      <c r="K1096" s="106"/>
      <c r="L1096" s="104" t="e">
        <f t="shared" si="133"/>
        <v>#VALUE!</v>
      </c>
      <c r="M1096" s="105" t="e">
        <f ca="1" t="shared" si="134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/>
      <c r="Z1096" s="105"/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1048</v>
      </c>
      <c r="C1097" s="70" t="s">
        <v>13</v>
      </c>
      <c r="D1097" s="215" t="s">
        <v>2105</v>
      </c>
      <c r="E1097" s="71" t="s">
        <v>2106</v>
      </c>
      <c r="F1097" s="72"/>
      <c r="G1097" s="73"/>
      <c r="H1097" s="75"/>
      <c r="I1097" s="102">
        <v>46109</v>
      </c>
      <c r="J1097" s="70" t="s">
        <v>596</v>
      </c>
      <c r="K1097" s="106"/>
      <c r="L1097" s="104" t="e">
        <f t="shared" si="133"/>
        <v>#VALUE!</v>
      </c>
      <c r="M1097" s="105" t="e">
        <f ca="1" t="shared" si="134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/>
      <c r="Z1097" s="105"/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1048</v>
      </c>
      <c r="C1098" s="70" t="s">
        <v>13</v>
      </c>
      <c r="D1098" s="215" t="s">
        <v>2031</v>
      </c>
      <c r="E1098" s="71" t="s">
        <v>1837</v>
      </c>
      <c r="F1098" s="72"/>
      <c r="G1098" s="73"/>
      <c r="H1098" s="75"/>
      <c r="I1098" s="102">
        <v>46109</v>
      </c>
      <c r="J1098" s="70" t="s">
        <v>596</v>
      </c>
      <c r="K1098" s="106"/>
      <c r="L1098" s="104" t="e">
        <f t="shared" si="133"/>
        <v>#VALUE!</v>
      </c>
      <c r="M1098" s="105" t="e">
        <f ca="1" t="shared" si="134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1048</v>
      </c>
      <c r="C1099" s="70" t="s">
        <v>13</v>
      </c>
      <c r="D1099" s="215" t="s">
        <v>2101</v>
      </c>
      <c r="E1099" s="71" t="s">
        <v>2102</v>
      </c>
      <c r="F1099" s="72"/>
      <c r="G1099" s="73"/>
      <c r="H1099" s="75"/>
      <c r="I1099" s="102">
        <v>46109</v>
      </c>
      <c r="J1099" s="70" t="s">
        <v>596</v>
      </c>
      <c r="K1099" s="106"/>
      <c r="L1099" s="104" t="e">
        <f t="shared" si="133"/>
        <v>#VALUE!</v>
      </c>
      <c r="M1099" s="105" t="e">
        <f ca="1" t="shared" si="134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178</v>
      </c>
      <c r="C1100" s="70" t="s">
        <v>31</v>
      </c>
      <c r="D1100" s="217" t="s">
        <v>2848</v>
      </c>
      <c r="E1100" s="71" t="s">
        <v>258</v>
      </c>
      <c r="F1100" s="72"/>
      <c r="G1100" s="73"/>
      <c r="H1100" s="75"/>
      <c r="I1100" s="102">
        <v>46109</v>
      </c>
      <c r="J1100" s="70">
        <v>3</v>
      </c>
      <c r="K1100" s="106" t="s">
        <v>2849</v>
      </c>
      <c r="L1100" s="104">
        <f t="shared" si="133"/>
        <v>46201</v>
      </c>
      <c r="M1100" s="105">
        <f ca="1" t="shared" si="134"/>
        <v>34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11" t="s">
        <v>102</v>
      </c>
      <c r="C1101" s="70" t="s">
        <v>13</v>
      </c>
      <c r="D1101" s="71" t="s">
        <v>2850</v>
      </c>
      <c r="E1101" s="71" t="s">
        <v>95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2851</v>
      </c>
      <c r="L1101" s="104">
        <f t="shared" si="133"/>
        <v>46202</v>
      </c>
      <c r="M1101" s="105">
        <f ca="1" t="shared" si="134"/>
        <v>35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11" t="s">
        <v>132</v>
      </c>
      <c r="C1102" s="70" t="s">
        <v>31</v>
      </c>
      <c r="D1102" s="218" t="s">
        <v>133</v>
      </c>
      <c r="E1102" s="71" t="s">
        <v>2490</v>
      </c>
      <c r="F1102" s="72"/>
      <c r="G1102" s="73"/>
      <c r="H1102" s="75"/>
      <c r="I1102" s="102">
        <v>46110</v>
      </c>
      <c r="J1102" s="70" t="s">
        <v>596</v>
      </c>
      <c r="K1102" s="106"/>
      <c r="L1102" s="104" t="e">
        <f t="shared" si="133"/>
        <v>#VALUE!</v>
      </c>
      <c r="M1102" s="105" t="e">
        <f ca="1" t="shared" si="134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985</v>
      </c>
      <c r="C1103" s="70" t="s">
        <v>31</v>
      </c>
      <c r="D1103" s="209" t="s">
        <v>2852</v>
      </c>
      <c r="E1103" s="71" t="s">
        <v>148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2853</v>
      </c>
      <c r="L1103" s="104">
        <f t="shared" si="133"/>
        <v>46203</v>
      </c>
      <c r="M1103" s="105">
        <f ca="1" t="shared" si="134"/>
        <v>36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985</v>
      </c>
      <c r="C1104" s="70" t="s">
        <v>31</v>
      </c>
      <c r="D1104" s="209" t="s">
        <v>2854</v>
      </c>
      <c r="E1104" s="71" t="s">
        <v>148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2855</v>
      </c>
      <c r="L1104" s="104">
        <f t="shared" si="133"/>
        <v>46203</v>
      </c>
      <c r="M1104" s="105">
        <f ca="1" t="shared" si="134"/>
        <v>36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9" t="s">
        <v>2856</v>
      </c>
      <c r="E1105" s="71" t="s">
        <v>28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2857</v>
      </c>
      <c r="L1105" s="104">
        <f t="shared" ref="L1105:L1124" si="135">EDATE(I1105,J1105)</f>
        <v>46203</v>
      </c>
      <c r="M1105" s="105">
        <f ca="1" t="shared" ref="M1105:M1124" si="136">L1105-TODAY()</f>
        <v>36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9" t="s">
        <v>2858</v>
      </c>
      <c r="E1106" s="71" t="s">
        <v>28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2859</v>
      </c>
      <c r="L1106" s="104">
        <f t="shared" si="135"/>
        <v>46203</v>
      </c>
      <c r="M1106" s="105">
        <f ca="1" t="shared" si="136"/>
        <v>36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/>
      <c r="Z1106" s="105"/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1048</v>
      </c>
      <c r="C1107" s="70" t="s">
        <v>13</v>
      </c>
      <c r="D1107" s="209" t="s">
        <v>2028</v>
      </c>
      <c r="E1107" s="71" t="s">
        <v>2180</v>
      </c>
      <c r="F1107" s="72"/>
      <c r="G1107" s="73"/>
      <c r="H1107" s="75"/>
      <c r="I1107" s="102">
        <v>46112</v>
      </c>
      <c r="J1107" s="70" t="s">
        <v>596</v>
      </c>
      <c r="K1107" s="106"/>
      <c r="L1107" s="104" t="e">
        <f t="shared" si="135"/>
        <v>#VALUE!</v>
      </c>
      <c r="M1107" s="105" t="e">
        <f ca="1" t="shared" si="136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/>
      <c r="Z1107" s="105"/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1048</v>
      </c>
      <c r="C1108" s="70" t="s">
        <v>13</v>
      </c>
      <c r="D1108" s="209" t="s">
        <v>2152</v>
      </c>
      <c r="E1108" s="71" t="s">
        <v>2153</v>
      </c>
      <c r="F1108" s="72"/>
      <c r="G1108" s="73"/>
      <c r="H1108" s="75"/>
      <c r="I1108" s="102">
        <v>46112</v>
      </c>
      <c r="J1108" s="70" t="s">
        <v>596</v>
      </c>
      <c r="K1108" s="106"/>
      <c r="L1108" s="104" t="e">
        <f t="shared" si="135"/>
        <v>#VALUE!</v>
      </c>
      <c r="M1108" s="105" t="e">
        <f ca="1" t="shared" si="136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/>
      <c r="Z1108" s="105"/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1048</v>
      </c>
      <c r="C1109" s="70" t="s">
        <v>13</v>
      </c>
      <c r="D1109" s="209" t="s">
        <v>2155</v>
      </c>
      <c r="E1109" s="71" t="s">
        <v>2156</v>
      </c>
      <c r="F1109" s="72"/>
      <c r="G1109" s="73"/>
      <c r="H1109" s="75"/>
      <c r="I1109" s="102">
        <v>46112</v>
      </c>
      <c r="J1109" s="70" t="s">
        <v>596</v>
      </c>
      <c r="K1109" s="106"/>
      <c r="L1109" s="104" t="e">
        <f t="shared" si="135"/>
        <v>#VALUE!</v>
      </c>
      <c r="M1109" s="105" t="e">
        <f ca="1" t="shared" si="136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/>
      <c r="Z1109" s="105"/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202</v>
      </c>
      <c r="C1110" s="70" t="s">
        <v>203</v>
      </c>
      <c r="D1110" s="71" t="s">
        <v>204</v>
      </c>
      <c r="E1110" s="71" t="s">
        <v>205</v>
      </c>
      <c r="F1110" s="72"/>
      <c r="G1110" s="73"/>
      <c r="H1110" s="75"/>
      <c r="I1110" s="102">
        <v>46112</v>
      </c>
      <c r="J1110" s="70" t="s">
        <v>596</v>
      </c>
      <c r="K1110" s="106"/>
      <c r="L1110" s="104" t="e">
        <f t="shared" si="135"/>
        <v>#VALUE!</v>
      </c>
      <c r="M1110" s="105" t="e">
        <f ca="1" t="shared" si="136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/>
      <c r="Z1110" s="105"/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11" t="s">
        <v>109</v>
      </c>
      <c r="C1111" s="70" t="s">
        <v>31</v>
      </c>
      <c r="D1111" s="208" t="s">
        <v>2860</v>
      </c>
      <c r="E1111" s="71" t="s">
        <v>148</v>
      </c>
      <c r="F1111" s="72"/>
      <c r="G1111" s="73"/>
      <c r="H1111" s="75"/>
      <c r="I1111" s="102">
        <v>46113</v>
      </c>
      <c r="J1111" s="70">
        <v>3</v>
      </c>
      <c r="K1111" s="106" t="s">
        <v>2861</v>
      </c>
      <c r="L1111" s="104">
        <f t="shared" si="135"/>
        <v>46204</v>
      </c>
      <c r="M1111" s="105">
        <f ca="1" t="shared" si="136"/>
        <v>37</v>
      </c>
      <c r="N1111" s="70"/>
      <c r="O1111" s="70"/>
      <c r="P1111" s="70"/>
      <c r="Q1111" s="208"/>
      <c r="R1111" s="71"/>
      <c r="S1111" s="72"/>
      <c r="T1111" s="73"/>
      <c r="U1111" s="79"/>
      <c r="V1111" s="102"/>
      <c r="W1111" s="70"/>
      <c r="X1111" s="103"/>
      <c r="Y1111" s="104"/>
      <c r="Z1111" s="105"/>
      <c r="AA1111" s="70"/>
      <c r="AB1111" s="70"/>
      <c r="AC1111" s="70"/>
      <c r="AD1111" s="208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11" t="s">
        <v>102</v>
      </c>
      <c r="C1112" s="70" t="s">
        <v>13</v>
      </c>
      <c r="D1112" s="208" t="s">
        <v>2862</v>
      </c>
      <c r="E1112" s="71" t="s">
        <v>37</v>
      </c>
      <c r="F1112" s="72"/>
      <c r="G1112" s="73"/>
      <c r="H1112" s="75"/>
      <c r="I1112" s="102">
        <v>46113</v>
      </c>
      <c r="J1112" s="70">
        <v>3</v>
      </c>
      <c r="K1112" s="106" t="s">
        <v>2863</v>
      </c>
      <c r="L1112" s="104">
        <f t="shared" si="135"/>
        <v>46204</v>
      </c>
      <c r="M1112" s="105">
        <f ca="1" t="shared" si="136"/>
        <v>37</v>
      </c>
      <c r="N1112" s="70"/>
      <c r="O1112" s="70"/>
      <c r="P1112" s="70"/>
      <c r="Q1112" s="71"/>
      <c r="R1112" s="71"/>
      <c r="S1112" s="72"/>
      <c r="T1112" s="73"/>
      <c r="U1112" s="79"/>
      <c r="V1112" s="102"/>
      <c r="W1112" s="70"/>
      <c r="X1112" s="103"/>
      <c r="Y1112" s="104"/>
      <c r="Z1112" s="105"/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11" t="s">
        <v>1048</v>
      </c>
      <c r="C1113" s="70" t="s">
        <v>13</v>
      </c>
      <c r="D1113" s="209" t="s">
        <v>2211</v>
      </c>
      <c r="E1113" s="71" t="s">
        <v>2212</v>
      </c>
      <c r="F1113" s="72"/>
      <c r="G1113" s="73"/>
      <c r="H1113" s="75"/>
      <c r="I1113" s="102">
        <v>46113</v>
      </c>
      <c r="J1113" s="70" t="s">
        <v>596</v>
      </c>
      <c r="K1113" s="106"/>
      <c r="L1113" s="104" t="e">
        <f t="shared" si="135"/>
        <v>#VALUE!</v>
      </c>
      <c r="M1113" s="105" t="e">
        <f ca="1" t="shared" si="136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/>
      <c r="Z1113" s="105"/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11" t="s">
        <v>1048</v>
      </c>
      <c r="C1114" s="70" t="s">
        <v>13</v>
      </c>
      <c r="D1114" s="209" t="s">
        <v>2101</v>
      </c>
      <c r="E1114" s="71" t="s">
        <v>2102</v>
      </c>
      <c r="F1114" s="72"/>
      <c r="G1114" s="73"/>
      <c r="H1114" s="75"/>
      <c r="I1114" s="102">
        <v>46113</v>
      </c>
      <c r="J1114" s="70" t="s">
        <v>596</v>
      </c>
      <c r="K1114" s="106"/>
      <c r="L1114" s="104" t="e">
        <f t="shared" si="135"/>
        <v>#VALUE!</v>
      </c>
      <c r="M1114" s="105" t="e">
        <f ca="1" t="shared" si="136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/>
      <c r="Z1114" s="105"/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11" t="s">
        <v>1048</v>
      </c>
      <c r="C1115" s="70" t="s">
        <v>13</v>
      </c>
      <c r="D1115" s="209" t="s">
        <v>2031</v>
      </c>
      <c r="E1115" s="71" t="s">
        <v>1837</v>
      </c>
      <c r="F1115" s="72"/>
      <c r="G1115" s="73"/>
      <c r="H1115" s="75"/>
      <c r="I1115" s="102">
        <v>46113</v>
      </c>
      <c r="J1115" s="70" t="s">
        <v>596</v>
      </c>
      <c r="K1115" s="106"/>
      <c r="L1115" s="104" t="e">
        <f t="shared" si="135"/>
        <v>#VALUE!</v>
      </c>
      <c r="M1115" s="105" t="e">
        <f ca="1" t="shared" si="136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/>
      <c r="Z1115" s="105"/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685</v>
      </c>
      <c r="C1116" s="70" t="s">
        <v>287</v>
      </c>
      <c r="D1116" s="208" t="s">
        <v>2864</v>
      </c>
      <c r="E1116" s="71" t="s">
        <v>506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2865</v>
      </c>
      <c r="L1116" s="104">
        <f t="shared" si="135"/>
        <v>46204</v>
      </c>
      <c r="M1116" s="105">
        <f ca="1" t="shared" si="136"/>
        <v>37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/>
      <c r="Z1116" s="105"/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44</v>
      </c>
      <c r="C1117" s="70" t="s">
        <v>13</v>
      </c>
      <c r="D1117" s="208" t="s">
        <v>2866</v>
      </c>
      <c r="E1117" s="71" t="s">
        <v>464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2867</v>
      </c>
      <c r="L1117" s="104">
        <f t="shared" si="135"/>
        <v>46205</v>
      </c>
      <c r="M1117" s="105">
        <f ca="1" t="shared" si="136"/>
        <v>38</v>
      </c>
      <c r="N1117" s="70"/>
      <c r="O1117" s="70"/>
      <c r="P1117" s="70"/>
      <c r="Q1117" s="71"/>
      <c r="R1117" s="71"/>
      <c r="S1117" s="72"/>
      <c r="T1117" s="73"/>
      <c r="U1117" s="79"/>
      <c r="V1117" s="102"/>
      <c r="W1117" s="70"/>
      <c r="X1117" s="103"/>
      <c r="Y1117" s="104"/>
      <c r="Z1117" s="105"/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2868</v>
      </c>
      <c r="C1118" s="70" t="s">
        <v>31</v>
      </c>
      <c r="D1118" s="208" t="s">
        <v>2869</v>
      </c>
      <c r="E1118" s="71" t="s">
        <v>2870</v>
      </c>
      <c r="F1118" s="72"/>
      <c r="G1118" s="73"/>
      <c r="H1118" s="75"/>
      <c r="I1118" s="102">
        <v>46114</v>
      </c>
      <c r="J1118" s="70">
        <v>3</v>
      </c>
      <c r="K1118" s="106" t="s">
        <v>2871</v>
      </c>
      <c r="L1118" s="104">
        <f t="shared" si="135"/>
        <v>46205</v>
      </c>
      <c r="M1118" s="105">
        <f ca="1" t="shared" si="136"/>
        <v>38</v>
      </c>
      <c r="N1118" s="70"/>
      <c r="O1118" s="70"/>
      <c r="P1118" s="70"/>
      <c r="Q1118" s="208"/>
      <c r="R1118" s="71"/>
      <c r="S1118" s="72"/>
      <c r="T1118" s="73"/>
      <c r="U1118" s="79"/>
      <c r="V1118" s="102"/>
      <c r="W1118" s="70"/>
      <c r="X1118" s="103"/>
      <c r="Y1118" s="104"/>
      <c r="Z1118" s="105"/>
      <c r="AA1118" s="70"/>
      <c r="AB1118" s="70"/>
      <c r="AC1118" s="70"/>
      <c r="AD1118" s="208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2872</v>
      </c>
      <c r="C1119" s="70" t="s">
        <v>31</v>
      </c>
      <c r="D1119" s="71" t="s">
        <v>2873</v>
      </c>
      <c r="E1119" s="71" t="s">
        <v>148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2874</v>
      </c>
      <c r="L1119" s="104">
        <f t="shared" si="135"/>
        <v>46205</v>
      </c>
      <c r="M1119" s="105">
        <f ca="1" t="shared" si="136"/>
        <v>38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/>
      <c r="Z1119" s="105"/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2872</v>
      </c>
      <c r="C1120" s="70" t="s">
        <v>13</v>
      </c>
      <c r="D1120" s="71" t="s">
        <v>2875</v>
      </c>
      <c r="E1120" s="71" t="s">
        <v>95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2876</v>
      </c>
      <c r="L1120" s="104">
        <f t="shared" si="135"/>
        <v>46205</v>
      </c>
      <c r="M1120" s="105">
        <f ca="1" t="shared" si="136"/>
        <v>38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/>
      <c r="Z1120" s="105"/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11" t="s">
        <v>1048</v>
      </c>
      <c r="C1121" s="70" t="s">
        <v>13</v>
      </c>
      <c r="D1121" s="209" t="s">
        <v>2101</v>
      </c>
      <c r="E1121" s="71" t="s">
        <v>2102</v>
      </c>
      <c r="F1121" s="72"/>
      <c r="G1121" s="73"/>
      <c r="H1121" s="75"/>
      <c r="I1121" s="102">
        <v>46114</v>
      </c>
      <c r="J1121" s="70" t="s">
        <v>596</v>
      </c>
      <c r="K1121" s="106"/>
      <c r="L1121" s="104" t="e">
        <f t="shared" ref="L1121:L1138" si="137">EDATE(I1121,J1121)</f>
        <v>#VALUE!</v>
      </c>
      <c r="M1121" s="105" t="e">
        <f ca="1" t="shared" ref="M1121:M1138" si="138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/>
      <c r="Z1121" s="105"/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11" t="s">
        <v>1048</v>
      </c>
      <c r="C1122" s="70" t="s">
        <v>13</v>
      </c>
      <c r="D1122" s="209" t="s">
        <v>2211</v>
      </c>
      <c r="E1122" s="71" t="s">
        <v>2212</v>
      </c>
      <c r="F1122" s="72"/>
      <c r="G1122" s="73"/>
      <c r="H1122" s="75"/>
      <c r="I1122" s="102">
        <v>46114</v>
      </c>
      <c r="J1122" s="70" t="s">
        <v>596</v>
      </c>
      <c r="K1122" s="106"/>
      <c r="L1122" s="104" t="e">
        <f t="shared" si="137"/>
        <v>#VALUE!</v>
      </c>
      <c r="M1122" s="105" t="e">
        <f ca="1" t="shared" si="138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/>
      <c r="Z1122" s="105"/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11" t="s">
        <v>1048</v>
      </c>
      <c r="C1123" s="70" t="s">
        <v>13</v>
      </c>
      <c r="D1123" s="209" t="s">
        <v>2204</v>
      </c>
      <c r="E1123" s="71" t="s">
        <v>2205</v>
      </c>
      <c r="F1123" s="72"/>
      <c r="G1123" s="73"/>
      <c r="H1123" s="75"/>
      <c r="I1123" s="102">
        <v>46114</v>
      </c>
      <c r="J1123" s="70" t="s">
        <v>596</v>
      </c>
      <c r="K1123" s="106"/>
      <c r="L1123" s="104" t="e">
        <f t="shared" si="137"/>
        <v>#VALUE!</v>
      </c>
      <c r="M1123" s="105" t="e">
        <f ca="1" t="shared" si="138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/>
      <c r="Z1123" s="105"/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497</v>
      </c>
      <c r="C1124" s="70" t="s">
        <v>203</v>
      </c>
      <c r="D1124" s="71" t="s">
        <v>1871</v>
      </c>
      <c r="E1124" s="71" t="s">
        <v>205</v>
      </c>
      <c r="F1124" s="72"/>
      <c r="G1124" s="73"/>
      <c r="H1124" s="75"/>
      <c r="I1124" s="102">
        <v>46114</v>
      </c>
      <c r="J1124" s="70" t="s">
        <v>596</v>
      </c>
      <c r="K1124" s="106"/>
      <c r="L1124" s="104" t="e">
        <f t="shared" si="137"/>
        <v>#VALUE!</v>
      </c>
      <c r="M1124" s="105" t="e">
        <f ca="1" t="shared" si="138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/>
      <c r="Z1124" s="105"/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55</v>
      </c>
      <c r="C1125" s="70" t="s">
        <v>13</v>
      </c>
      <c r="D1125" s="209" t="s">
        <v>2877</v>
      </c>
      <c r="E1125" s="71" t="s">
        <v>28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2878</v>
      </c>
      <c r="L1125" s="104">
        <f t="shared" si="137"/>
        <v>46206</v>
      </c>
      <c r="M1125" s="105">
        <f ca="1" t="shared" si="138"/>
        <v>39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/>
      <c r="Z1125" s="105"/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437</v>
      </c>
      <c r="C1126" s="70" t="s">
        <v>13</v>
      </c>
      <c r="D1126" s="212" t="s">
        <v>2879</v>
      </c>
      <c r="E1126" s="71" t="s">
        <v>95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2880</v>
      </c>
      <c r="L1126" s="104">
        <f t="shared" si="137"/>
        <v>46206</v>
      </c>
      <c r="M1126" s="105">
        <f ca="1" t="shared" si="138"/>
        <v>39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/>
      <c r="Z1126" s="105"/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2881</v>
      </c>
      <c r="C1127" s="70" t="s">
        <v>13</v>
      </c>
      <c r="D1127" s="209" t="s">
        <v>2882</v>
      </c>
      <c r="E1127" s="71" t="s">
        <v>57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2883</v>
      </c>
      <c r="L1127" s="104">
        <f t="shared" si="137"/>
        <v>46206</v>
      </c>
      <c r="M1127" s="105">
        <f ca="1" t="shared" si="138"/>
        <v>39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/>
      <c r="Z1127" s="105"/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241</v>
      </c>
      <c r="C1128" s="70" t="s">
        <v>13</v>
      </c>
      <c r="D1128" s="71" t="s">
        <v>2884</v>
      </c>
      <c r="E1128" s="71" t="s">
        <v>979</v>
      </c>
      <c r="F1128" s="72"/>
      <c r="G1128" s="73"/>
      <c r="H1128" s="75"/>
      <c r="I1128" s="102">
        <v>46115</v>
      </c>
      <c r="J1128" s="70">
        <v>3</v>
      </c>
      <c r="K1128" s="106" t="s">
        <v>2885</v>
      </c>
      <c r="L1128" s="104">
        <f t="shared" si="137"/>
        <v>46206</v>
      </c>
      <c r="M1128" s="105">
        <f ca="1" t="shared" si="138"/>
        <v>39</v>
      </c>
      <c r="N1128" s="70"/>
      <c r="O1128" s="70"/>
      <c r="P1128" s="70"/>
      <c r="Q1128" s="71"/>
      <c r="R1128" s="71"/>
      <c r="S1128" s="72"/>
      <c r="T1128" s="73"/>
      <c r="U1128" s="79"/>
      <c r="V1128" s="102"/>
      <c r="W1128" s="70"/>
      <c r="X1128" s="103"/>
      <c r="Y1128" s="104"/>
      <c r="Z1128" s="105"/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1577</v>
      </c>
      <c r="C1129" s="70" t="s">
        <v>203</v>
      </c>
      <c r="D1129" s="71" t="s">
        <v>2886</v>
      </c>
      <c r="E1129" s="71" t="s">
        <v>203</v>
      </c>
      <c r="F1129" s="72"/>
      <c r="G1129" s="73"/>
      <c r="H1129" s="75"/>
      <c r="I1129" s="102">
        <v>46115</v>
      </c>
      <c r="J1129" s="70">
        <v>3</v>
      </c>
      <c r="K1129" s="106" t="s">
        <v>2887</v>
      </c>
      <c r="L1129" s="104">
        <f t="shared" si="137"/>
        <v>46206</v>
      </c>
      <c r="M1129" s="105">
        <f ca="1" t="shared" si="138"/>
        <v>39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/>
      <c r="Z1129" s="105"/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1048</v>
      </c>
      <c r="C1130" s="70" t="s">
        <v>13</v>
      </c>
      <c r="D1130" s="71" t="s">
        <v>2204</v>
      </c>
      <c r="E1130" s="71" t="s">
        <v>2205</v>
      </c>
      <c r="F1130" s="72"/>
      <c r="G1130" s="73"/>
      <c r="H1130" s="75"/>
      <c r="I1130" s="102">
        <v>46115</v>
      </c>
      <c r="J1130" s="70" t="s">
        <v>596</v>
      </c>
      <c r="K1130" s="106"/>
      <c r="L1130" s="104" t="e">
        <f t="shared" si="137"/>
        <v>#VALUE!</v>
      </c>
      <c r="M1130" s="105" t="e">
        <f ca="1" t="shared" si="138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/>
      <c r="Z1130" s="105"/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559</v>
      </c>
      <c r="C1131" s="70" t="s">
        <v>31</v>
      </c>
      <c r="D1131" s="209" t="s">
        <v>2888</v>
      </c>
      <c r="E1131" s="71" t="s">
        <v>33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2889</v>
      </c>
      <c r="L1131" s="104">
        <f t="shared" si="137"/>
        <v>46206</v>
      </c>
      <c r="M1131" s="105">
        <f ca="1" t="shared" si="138"/>
        <v>39</v>
      </c>
      <c r="N1131" s="70"/>
      <c r="O1131" s="70"/>
      <c r="P1131" s="70"/>
      <c r="Q1131" s="71"/>
      <c r="R1131" s="71"/>
      <c r="S1131" s="72"/>
      <c r="T1131" s="73"/>
      <c r="U1131" s="79"/>
      <c r="V1131" s="102"/>
      <c r="W1131" s="70"/>
      <c r="X1131" s="103"/>
      <c r="Y1131" s="104"/>
      <c r="Z1131" s="105"/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178</v>
      </c>
      <c r="C1132" s="70" t="s">
        <v>13</v>
      </c>
      <c r="D1132" s="71" t="s">
        <v>2890</v>
      </c>
      <c r="E1132" s="71" t="s">
        <v>104</v>
      </c>
      <c r="F1132" s="72"/>
      <c r="G1132" s="73"/>
      <c r="H1132" s="75"/>
      <c r="I1132" s="102">
        <v>46116</v>
      </c>
      <c r="J1132" s="70">
        <v>3</v>
      </c>
      <c r="K1132" s="106" t="s">
        <v>2891</v>
      </c>
      <c r="L1132" s="104">
        <f t="shared" si="137"/>
        <v>46207</v>
      </c>
      <c r="M1132" s="105">
        <f ca="1" t="shared" si="138"/>
        <v>40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/>
      <c r="Z1132" s="105"/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44</v>
      </c>
      <c r="C1133" s="70" t="s">
        <v>31</v>
      </c>
      <c r="D1133" s="71" t="s">
        <v>2892</v>
      </c>
      <c r="E1133" s="71" t="s">
        <v>148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2893</v>
      </c>
      <c r="L1133" s="104">
        <f t="shared" si="137"/>
        <v>46207</v>
      </c>
      <c r="M1133" s="105">
        <f ca="1" t="shared" si="138"/>
        <v>40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/>
      <c r="Z1133" s="105"/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44</v>
      </c>
      <c r="C1134" s="70" t="s">
        <v>31</v>
      </c>
      <c r="D1134" s="71" t="s">
        <v>2894</v>
      </c>
      <c r="E1134" s="71" t="s">
        <v>24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2895</v>
      </c>
      <c r="L1134" s="104">
        <f t="shared" si="137"/>
        <v>46207</v>
      </c>
      <c r="M1134" s="105">
        <f ca="1" t="shared" si="138"/>
        <v>40</v>
      </c>
      <c r="N1134" s="70"/>
      <c r="O1134" s="70"/>
      <c r="P1134" s="70"/>
      <c r="Q1134" s="71"/>
      <c r="R1134" s="71"/>
      <c r="S1134" s="72"/>
      <c r="T1134" s="73"/>
      <c r="U1134" s="79"/>
      <c r="V1134" s="102"/>
      <c r="W1134" s="70"/>
      <c r="X1134" s="103"/>
      <c r="Y1134" s="104"/>
      <c r="Z1134" s="105"/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2896</v>
      </c>
      <c r="C1135" s="70" t="s">
        <v>31</v>
      </c>
      <c r="D1135" s="209" t="s">
        <v>2897</v>
      </c>
      <c r="E1135" s="71" t="s">
        <v>2622</v>
      </c>
      <c r="F1135" s="72"/>
      <c r="G1135" s="73"/>
      <c r="H1135" s="220"/>
      <c r="I1135" s="102">
        <v>46119</v>
      </c>
      <c r="J1135" s="70">
        <v>3</v>
      </c>
      <c r="K1135" s="106" t="s">
        <v>2898</v>
      </c>
      <c r="L1135" s="104">
        <f t="shared" si="137"/>
        <v>46210</v>
      </c>
      <c r="M1135" s="105">
        <f ca="1" t="shared" si="138"/>
        <v>43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/>
      <c r="Z1135" s="105"/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2896</v>
      </c>
      <c r="C1136" s="70" t="s">
        <v>31</v>
      </c>
      <c r="D1136" s="209" t="s">
        <v>2899</v>
      </c>
      <c r="E1136" s="71" t="s">
        <v>2622</v>
      </c>
      <c r="F1136" s="72"/>
      <c r="G1136" s="73"/>
      <c r="H1136" s="220"/>
      <c r="I1136" s="102">
        <v>46119</v>
      </c>
      <c r="J1136" s="70">
        <v>3</v>
      </c>
      <c r="K1136" s="106" t="s">
        <v>2900</v>
      </c>
      <c r="L1136" s="104">
        <f t="shared" si="137"/>
        <v>46210</v>
      </c>
      <c r="M1136" s="105">
        <f ca="1" t="shared" si="138"/>
        <v>43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/>
      <c r="Z1136" s="105"/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619</v>
      </c>
      <c r="C1137" s="70" t="s">
        <v>31</v>
      </c>
      <c r="D1137" s="108" t="s">
        <v>2901</v>
      </c>
      <c r="E1137" s="71" t="s">
        <v>258</v>
      </c>
      <c r="F1137" s="72"/>
      <c r="G1137" s="73"/>
      <c r="H1137" s="220"/>
      <c r="I1137" s="102">
        <v>46119</v>
      </c>
      <c r="J1137" s="70">
        <v>3</v>
      </c>
      <c r="K1137" s="106" t="s">
        <v>2902</v>
      </c>
      <c r="L1137" s="104">
        <f t="shared" si="137"/>
        <v>46210</v>
      </c>
      <c r="M1137" s="105">
        <f ca="1" t="shared" si="138"/>
        <v>43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/>
      <c r="Z1137" s="105"/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1088</v>
      </c>
      <c r="C1138" s="70" t="s">
        <v>287</v>
      </c>
      <c r="D1138" s="209" t="s">
        <v>2903</v>
      </c>
      <c r="E1138" s="71" t="s">
        <v>418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2904</v>
      </c>
      <c r="L1138" s="104">
        <f t="shared" si="137"/>
        <v>46210</v>
      </c>
      <c r="M1138" s="105">
        <f ca="1" t="shared" si="138"/>
        <v>43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/>
      <c r="Z1138" s="105"/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1088</v>
      </c>
      <c r="C1139" s="70" t="s">
        <v>287</v>
      </c>
      <c r="D1139" s="209" t="s">
        <v>2905</v>
      </c>
      <c r="E1139" s="71" t="s">
        <v>418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2906</v>
      </c>
      <c r="L1139" s="104">
        <f t="shared" ref="L1139:L1162" si="139">EDATE(I1139,J1139)</f>
        <v>46210</v>
      </c>
      <c r="M1139" s="105">
        <f ca="1" t="shared" ref="M1139:M1162" si="140">L1139-TODAY()</f>
        <v>43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/>
      <c r="Z1139" s="105"/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1088</v>
      </c>
      <c r="C1140" s="70" t="s">
        <v>287</v>
      </c>
      <c r="D1140" s="209" t="s">
        <v>2907</v>
      </c>
      <c r="E1140" s="71" t="s">
        <v>418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2908</v>
      </c>
      <c r="L1140" s="104">
        <f t="shared" si="139"/>
        <v>46210</v>
      </c>
      <c r="M1140" s="105">
        <f ca="1" t="shared" si="140"/>
        <v>43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/>
      <c r="Z1140" s="105"/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1088</v>
      </c>
      <c r="C1141" s="70" t="s">
        <v>287</v>
      </c>
      <c r="D1141" s="209" t="s">
        <v>2909</v>
      </c>
      <c r="E1141" s="71" t="s">
        <v>418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2910</v>
      </c>
      <c r="L1141" s="104">
        <f t="shared" si="139"/>
        <v>46210</v>
      </c>
      <c r="M1141" s="105">
        <f ca="1" t="shared" si="140"/>
        <v>43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/>
      <c r="Z1141" s="105"/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1088</v>
      </c>
      <c r="C1142" s="70" t="s">
        <v>287</v>
      </c>
      <c r="D1142" s="209" t="s">
        <v>2911</v>
      </c>
      <c r="E1142" s="71" t="s">
        <v>418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2912</v>
      </c>
      <c r="L1142" s="104">
        <f t="shared" si="139"/>
        <v>46210</v>
      </c>
      <c r="M1142" s="105">
        <f ca="1" t="shared" si="140"/>
        <v>43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/>
      <c r="Z1142" s="105"/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1088</v>
      </c>
      <c r="C1143" s="70" t="s">
        <v>287</v>
      </c>
      <c r="D1143" s="209" t="s">
        <v>2913</v>
      </c>
      <c r="E1143" s="71" t="s">
        <v>418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2914</v>
      </c>
      <c r="L1143" s="104">
        <f t="shared" si="139"/>
        <v>46210</v>
      </c>
      <c r="M1143" s="105">
        <f ca="1" t="shared" si="140"/>
        <v>43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/>
      <c r="Z1143" s="105"/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1088</v>
      </c>
      <c r="C1144" s="70" t="s">
        <v>287</v>
      </c>
      <c r="D1144" s="209" t="s">
        <v>2915</v>
      </c>
      <c r="E1144" s="71" t="s">
        <v>418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2916</v>
      </c>
      <c r="L1144" s="104">
        <f t="shared" si="139"/>
        <v>46210</v>
      </c>
      <c r="M1144" s="105">
        <f ca="1" t="shared" si="140"/>
        <v>43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/>
      <c r="Z1144" s="105"/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1088</v>
      </c>
      <c r="C1145" s="70" t="s">
        <v>287</v>
      </c>
      <c r="D1145" s="209" t="s">
        <v>2917</v>
      </c>
      <c r="E1145" s="71" t="s">
        <v>418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2918</v>
      </c>
      <c r="L1145" s="104">
        <f t="shared" si="139"/>
        <v>46210</v>
      </c>
      <c r="M1145" s="105">
        <f ca="1" t="shared" si="140"/>
        <v>43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/>
      <c r="Z1145" s="105"/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1088</v>
      </c>
      <c r="C1146" s="70" t="s">
        <v>287</v>
      </c>
      <c r="D1146" s="209" t="s">
        <v>2919</v>
      </c>
      <c r="E1146" s="71" t="s">
        <v>418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2920</v>
      </c>
      <c r="L1146" s="104">
        <f t="shared" si="139"/>
        <v>46210</v>
      </c>
      <c r="M1146" s="105">
        <f ca="1" t="shared" si="140"/>
        <v>43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/>
      <c r="Z1146" s="105"/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1088</v>
      </c>
      <c r="C1147" s="70" t="s">
        <v>287</v>
      </c>
      <c r="D1147" s="209" t="s">
        <v>2921</v>
      </c>
      <c r="E1147" s="71" t="s">
        <v>418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2922</v>
      </c>
      <c r="L1147" s="104">
        <f t="shared" si="139"/>
        <v>46210</v>
      </c>
      <c r="M1147" s="105">
        <f ca="1" t="shared" si="140"/>
        <v>43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/>
      <c r="Z1147" s="105"/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1088</v>
      </c>
      <c r="C1148" s="70" t="s">
        <v>287</v>
      </c>
      <c r="D1148" s="209" t="s">
        <v>2923</v>
      </c>
      <c r="E1148" s="71" t="s">
        <v>418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2924</v>
      </c>
      <c r="L1148" s="104">
        <f t="shared" si="139"/>
        <v>46210</v>
      </c>
      <c r="M1148" s="105">
        <f ca="1" t="shared" si="140"/>
        <v>43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/>
      <c r="Z1148" s="105"/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1088</v>
      </c>
      <c r="C1149" s="70" t="s">
        <v>287</v>
      </c>
      <c r="D1149" s="209" t="s">
        <v>2925</v>
      </c>
      <c r="E1149" s="71" t="s">
        <v>418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2926</v>
      </c>
      <c r="L1149" s="104">
        <f t="shared" si="139"/>
        <v>46210</v>
      </c>
      <c r="M1149" s="105">
        <f ca="1" t="shared" si="140"/>
        <v>43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/>
      <c r="Z1149" s="105"/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1088</v>
      </c>
      <c r="C1150" s="70" t="s">
        <v>287</v>
      </c>
      <c r="D1150" s="209" t="s">
        <v>2927</v>
      </c>
      <c r="E1150" s="71" t="s">
        <v>418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2928</v>
      </c>
      <c r="L1150" s="104">
        <f t="shared" si="139"/>
        <v>46210</v>
      </c>
      <c r="M1150" s="105">
        <f ca="1" t="shared" si="140"/>
        <v>43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/>
      <c r="Z1150" s="105"/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1088</v>
      </c>
      <c r="C1151" s="70" t="s">
        <v>287</v>
      </c>
      <c r="D1151" s="209" t="s">
        <v>2929</v>
      </c>
      <c r="E1151" s="71" t="s">
        <v>418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2930</v>
      </c>
      <c r="L1151" s="104">
        <f t="shared" si="139"/>
        <v>46210</v>
      </c>
      <c r="M1151" s="105">
        <f ca="1" t="shared" si="140"/>
        <v>43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/>
      <c r="Z1151" s="105"/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525</v>
      </c>
      <c r="C1152" s="70" t="s">
        <v>287</v>
      </c>
      <c r="D1152" s="209" t="s">
        <v>2931</v>
      </c>
      <c r="E1152" s="71" t="s">
        <v>527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2932</v>
      </c>
      <c r="L1152" s="104">
        <f t="shared" si="139"/>
        <v>46210</v>
      </c>
      <c r="M1152" s="105">
        <f ca="1" t="shared" si="140"/>
        <v>43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/>
      <c r="Z1152" s="105"/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525</v>
      </c>
      <c r="C1153" s="70" t="s">
        <v>287</v>
      </c>
      <c r="D1153" s="209" t="s">
        <v>2933</v>
      </c>
      <c r="E1153" s="71" t="s">
        <v>527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2934</v>
      </c>
      <c r="L1153" s="104">
        <f t="shared" si="139"/>
        <v>46210</v>
      </c>
      <c r="M1153" s="105">
        <f ca="1" t="shared" si="140"/>
        <v>43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/>
      <c r="Z1153" s="105"/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16" t="s">
        <v>2214</v>
      </c>
      <c r="C1154" s="70" t="s">
        <v>287</v>
      </c>
      <c r="D1154" s="209" t="s">
        <v>2935</v>
      </c>
      <c r="E1154" s="71" t="s">
        <v>687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2936</v>
      </c>
      <c r="L1154" s="104">
        <f t="shared" si="139"/>
        <v>46210</v>
      </c>
      <c r="M1154" s="105">
        <f ca="1" t="shared" si="140"/>
        <v>43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/>
      <c r="Z1154" s="105"/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217</v>
      </c>
      <c r="C1155" s="70" t="s">
        <v>203</v>
      </c>
      <c r="D1155" s="209" t="s">
        <v>2937</v>
      </c>
      <c r="E1155" s="71" t="s">
        <v>2938</v>
      </c>
      <c r="F1155" s="72"/>
      <c r="G1155" s="73"/>
      <c r="H1155" s="75"/>
      <c r="I1155" s="102">
        <v>46119</v>
      </c>
      <c r="J1155" s="70">
        <v>3</v>
      </c>
      <c r="K1155" s="106" t="s">
        <v>2939</v>
      </c>
      <c r="L1155" s="104">
        <f t="shared" si="139"/>
        <v>46210</v>
      </c>
      <c r="M1155" s="105">
        <f ca="1" t="shared" si="140"/>
        <v>43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/>
      <c r="Z1155" s="105"/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958</v>
      </c>
      <c r="C1156" s="70" t="s">
        <v>203</v>
      </c>
      <c r="D1156" s="221" t="s">
        <v>2940</v>
      </c>
      <c r="E1156" s="71" t="s">
        <v>2127</v>
      </c>
      <c r="F1156" s="72"/>
      <c r="G1156" s="73"/>
      <c r="H1156" s="75"/>
      <c r="I1156" s="102">
        <v>46119</v>
      </c>
      <c r="J1156" s="70">
        <v>3</v>
      </c>
      <c r="K1156" s="106" t="s">
        <v>2941</v>
      </c>
      <c r="L1156" s="104">
        <f t="shared" si="139"/>
        <v>46210</v>
      </c>
      <c r="M1156" s="105">
        <f ca="1" t="shared" si="140"/>
        <v>43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/>
      <c r="Z1156" s="105"/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958</v>
      </c>
      <c r="C1157" s="70" t="s">
        <v>203</v>
      </c>
      <c r="D1157" s="209" t="s">
        <v>2942</v>
      </c>
      <c r="E1157" s="71" t="s">
        <v>2124</v>
      </c>
      <c r="F1157" s="72"/>
      <c r="G1157" s="73"/>
      <c r="H1157" s="75"/>
      <c r="I1157" s="102">
        <v>46119</v>
      </c>
      <c r="J1157" s="70">
        <v>3</v>
      </c>
      <c r="K1157" s="106" t="s">
        <v>2943</v>
      </c>
      <c r="L1157" s="104">
        <f t="shared" si="139"/>
        <v>46210</v>
      </c>
      <c r="M1157" s="105">
        <f ca="1" t="shared" si="140"/>
        <v>43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/>
      <c r="Z1157" s="105"/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2944</v>
      </c>
      <c r="C1158" s="70" t="s">
        <v>203</v>
      </c>
      <c r="D1158" s="209" t="s">
        <v>741</v>
      </c>
      <c r="E1158" s="71" t="s">
        <v>594</v>
      </c>
      <c r="F1158" s="72"/>
      <c r="G1158" s="73"/>
      <c r="H1158" s="75"/>
      <c r="I1158" s="102">
        <v>46119</v>
      </c>
      <c r="J1158" s="70" t="s">
        <v>596</v>
      </c>
      <c r="K1158" s="106"/>
      <c r="L1158" s="104" t="e">
        <f t="shared" si="139"/>
        <v>#VALUE!</v>
      </c>
      <c r="M1158" s="105" t="e">
        <f ca="1" t="shared" si="140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/>
      <c r="Z1158" s="105"/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500</v>
      </c>
      <c r="C1159" s="70" t="s">
        <v>203</v>
      </c>
      <c r="D1159" s="209" t="s">
        <v>2088</v>
      </c>
      <c r="E1159" s="71" t="s">
        <v>2089</v>
      </c>
      <c r="F1159" s="72"/>
      <c r="G1159" s="73"/>
      <c r="H1159" s="75"/>
      <c r="I1159" s="102">
        <v>46119</v>
      </c>
      <c r="J1159" s="70" t="s">
        <v>596</v>
      </c>
      <c r="K1159" s="106"/>
      <c r="L1159" s="104" t="e">
        <f t="shared" si="139"/>
        <v>#VALUE!</v>
      </c>
      <c r="M1159" s="105" t="e">
        <f ca="1" t="shared" si="140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/>
      <c r="Z1159" s="105"/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2945</v>
      </c>
      <c r="E1160" s="71" t="s">
        <v>95</v>
      </c>
      <c r="F1160" s="72"/>
      <c r="G1160" s="73"/>
      <c r="H1160" s="196" t="s">
        <v>16</v>
      </c>
      <c r="I1160" s="102">
        <v>46120</v>
      </c>
      <c r="J1160" s="70">
        <v>3</v>
      </c>
      <c r="K1160" s="106" t="s">
        <v>2946</v>
      </c>
      <c r="L1160" s="104">
        <f t="shared" si="139"/>
        <v>46211</v>
      </c>
      <c r="M1160" s="105">
        <f ca="1" t="shared" si="140"/>
        <v>44</v>
      </c>
      <c r="N1160" s="70"/>
      <c r="O1160" s="70"/>
      <c r="P1160" s="70"/>
      <c r="Q1160" s="71"/>
      <c r="R1160" s="71"/>
      <c r="S1160" s="72"/>
      <c r="T1160" s="73"/>
      <c r="U1160" s="79"/>
      <c r="V1160" s="102"/>
      <c r="W1160" s="70"/>
      <c r="X1160" s="103"/>
      <c r="Y1160" s="104"/>
      <c r="Z1160" s="105"/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1206</v>
      </c>
      <c r="C1161" s="70" t="s">
        <v>31</v>
      </c>
      <c r="D1161" s="71" t="s">
        <v>2947</v>
      </c>
      <c r="E1161" s="71" t="s">
        <v>2948</v>
      </c>
      <c r="F1161" s="72"/>
      <c r="G1161" s="73"/>
      <c r="H1161" s="75"/>
      <c r="I1161" s="102">
        <v>46120</v>
      </c>
      <c r="J1161" s="70">
        <v>3</v>
      </c>
      <c r="K1161" s="106" t="s">
        <v>2949</v>
      </c>
      <c r="L1161" s="104">
        <f t="shared" si="139"/>
        <v>46211</v>
      </c>
      <c r="M1161" s="105">
        <f ca="1" t="shared" si="140"/>
        <v>44</v>
      </c>
      <c r="N1161" s="70"/>
      <c r="O1161" s="70"/>
      <c r="P1161" s="70"/>
      <c r="Q1161" s="71"/>
      <c r="R1161" s="71"/>
      <c r="S1161" s="72"/>
      <c r="T1161" s="73"/>
      <c r="U1161" s="79"/>
      <c r="V1161" s="102"/>
      <c r="W1161" s="70"/>
      <c r="X1161" s="103"/>
      <c r="Y1161" s="104"/>
      <c r="Z1161" s="105"/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2950</v>
      </c>
      <c r="C1162" s="70" t="s">
        <v>203</v>
      </c>
      <c r="D1162" s="71" t="s">
        <v>282</v>
      </c>
      <c r="E1162" s="71" t="s">
        <v>283</v>
      </c>
      <c r="F1162" s="72"/>
      <c r="G1162" s="73"/>
      <c r="H1162" s="75"/>
      <c r="I1162" s="102">
        <v>46120</v>
      </c>
      <c r="J1162" s="70">
        <v>3</v>
      </c>
      <c r="K1162" s="106" t="s">
        <v>2951</v>
      </c>
      <c r="L1162" s="104">
        <f t="shared" si="139"/>
        <v>46211</v>
      </c>
      <c r="M1162" s="105">
        <f ca="1" t="shared" si="140"/>
        <v>44</v>
      </c>
      <c r="N1162" s="70"/>
      <c r="O1162" s="70"/>
      <c r="P1162" s="70"/>
      <c r="Q1162" s="71"/>
      <c r="R1162" s="71"/>
      <c r="S1162" s="72"/>
      <c r="T1162" s="73"/>
      <c r="U1162" s="155"/>
      <c r="V1162" s="102"/>
      <c r="W1162" s="70"/>
      <c r="X1162" s="103"/>
      <c r="Y1162" s="104"/>
      <c r="Z1162" s="105"/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2944</v>
      </c>
      <c r="C1163" s="70" t="s">
        <v>203</v>
      </c>
      <c r="D1163" s="209" t="s">
        <v>741</v>
      </c>
      <c r="E1163" s="71" t="s">
        <v>594</v>
      </c>
      <c r="F1163" s="72"/>
      <c r="G1163" s="73"/>
      <c r="H1163" s="75"/>
      <c r="I1163" s="102">
        <v>46120</v>
      </c>
      <c r="J1163" s="70" t="s">
        <v>596</v>
      </c>
      <c r="K1163" s="106"/>
      <c r="L1163" s="104" t="e">
        <f t="shared" ref="L1163:L1177" si="141">EDATE(I1163,J1163)</f>
        <v>#VALUE!</v>
      </c>
      <c r="M1163" s="105" t="e">
        <f ca="1" t="shared" ref="M1163:M1177" si="142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/>
      <c r="Z1163" s="105"/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217</v>
      </c>
      <c r="C1164" s="70" t="s">
        <v>203</v>
      </c>
      <c r="D1164" s="209" t="s">
        <v>2025</v>
      </c>
      <c r="E1164" s="71" t="s">
        <v>279</v>
      </c>
      <c r="F1164" s="72"/>
      <c r="G1164" s="73"/>
      <c r="H1164" s="75"/>
      <c r="I1164" s="102">
        <v>46120</v>
      </c>
      <c r="J1164" s="70" t="s">
        <v>596</v>
      </c>
      <c r="K1164" s="106"/>
      <c r="L1164" s="104" t="e">
        <f t="shared" si="141"/>
        <v>#VALUE!</v>
      </c>
      <c r="M1164" s="105" t="e">
        <f ca="1" t="shared" si="142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/>
      <c r="Z1164" s="105"/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11" t="s">
        <v>1048</v>
      </c>
      <c r="C1165" s="70" t="s">
        <v>13</v>
      </c>
      <c r="D1165" s="209" t="s">
        <v>2155</v>
      </c>
      <c r="E1165" s="71" t="s">
        <v>2156</v>
      </c>
      <c r="F1165" s="72"/>
      <c r="G1165" s="73"/>
      <c r="H1165" s="75"/>
      <c r="I1165" s="102">
        <v>46120</v>
      </c>
      <c r="J1165" s="70" t="s">
        <v>596</v>
      </c>
      <c r="K1165" s="106"/>
      <c r="L1165" s="104" t="e">
        <f t="shared" si="141"/>
        <v>#VALUE!</v>
      </c>
      <c r="M1165" s="105" t="e">
        <f ca="1" t="shared" si="142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/>
      <c r="Z1165" s="105"/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11" t="s">
        <v>1048</v>
      </c>
      <c r="C1166" s="70" t="s">
        <v>13</v>
      </c>
      <c r="D1166" s="209" t="s">
        <v>2152</v>
      </c>
      <c r="E1166" s="71" t="s">
        <v>2153</v>
      </c>
      <c r="F1166" s="72"/>
      <c r="G1166" s="73"/>
      <c r="H1166" s="75"/>
      <c r="I1166" s="102">
        <v>46120</v>
      </c>
      <c r="J1166" s="70" t="s">
        <v>596</v>
      </c>
      <c r="K1166" s="106"/>
      <c r="L1166" s="104" t="e">
        <f t="shared" si="141"/>
        <v>#VALUE!</v>
      </c>
      <c r="M1166" s="105" t="e">
        <f ca="1" t="shared" si="142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/>
      <c r="Z1166" s="105"/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11" t="s">
        <v>1048</v>
      </c>
      <c r="C1167" s="70" t="s">
        <v>13</v>
      </c>
      <c r="D1167" s="209" t="s">
        <v>2204</v>
      </c>
      <c r="E1167" s="71" t="s">
        <v>2212</v>
      </c>
      <c r="F1167" s="72"/>
      <c r="G1167" s="73"/>
      <c r="H1167" s="75"/>
      <c r="I1167" s="102">
        <v>46120</v>
      </c>
      <c r="J1167" s="70" t="s">
        <v>596</v>
      </c>
      <c r="K1167" s="106"/>
      <c r="L1167" s="104" t="e">
        <f t="shared" si="141"/>
        <v>#VALUE!</v>
      </c>
      <c r="M1167" s="105" t="e">
        <f ca="1" t="shared" si="142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/>
      <c r="Z1167" s="105"/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11" t="s">
        <v>1048</v>
      </c>
      <c r="C1168" s="70" t="s">
        <v>13</v>
      </c>
      <c r="D1168" s="209" t="s">
        <v>2211</v>
      </c>
      <c r="E1168" s="71" t="s">
        <v>2205</v>
      </c>
      <c r="F1168" s="72"/>
      <c r="G1168" s="73"/>
      <c r="H1168" s="75"/>
      <c r="I1168" s="102">
        <v>46120</v>
      </c>
      <c r="J1168" s="70" t="s">
        <v>596</v>
      </c>
      <c r="K1168" s="106"/>
      <c r="L1168" s="104" t="e">
        <f t="shared" si="141"/>
        <v>#VALUE!</v>
      </c>
      <c r="M1168" s="105" t="e">
        <f ca="1" t="shared" si="142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/>
      <c r="Z1168" s="105"/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497</v>
      </c>
      <c r="C1169" s="70" t="s">
        <v>203</v>
      </c>
      <c r="D1169" s="71" t="s">
        <v>204</v>
      </c>
      <c r="E1169" s="71" t="s">
        <v>205</v>
      </c>
      <c r="F1169" s="72"/>
      <c r="G1169" s="73"/>
      <c r="H1169" s="75"/>
      <c r="I1169" s="102">
        <v>46120</v>
      </c>
      <c r="J1169" s="70" t="s">
        <v>596</v>
      </c>
      <c r="K1169" s="106"/>
      <c r="L1169" s="104" t="e">
        <f t="shared" si="141"/>
        <v>#VALUE!</v>
      </c>
      <c r="M1169" s="105" t="e">
        <f ca="1" t="shared" si="142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/>
      <c r="Z1169" s="105"/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2952</v>
      </c>
      <c r="C1170" s="70" t="s">
        <v>31</v>
      </c>
      <c r="D1170" s="209" t="s">
        <v>2953</v>
      </c>
      <c r="E1170" s="71" t="s">
        <v>2954</v>
      </c>
      <c r="F1170" s="72"/>
      <c r="G1170" s="73"/>
      <c r="H1170" s="75"/>
      <c r="I1170" s="102">
        <v>46121</v>
      </c>
      <c r="J1170" s="70">
        <v>3</v>
      </c>
      <c r="K1170" s="106" t="s">
        <v>2955</v>
      </c>
      <c r="L1170" s="104">
        <f t="shared" si="141"/>
        <v>46212</v>
      </c>
      <c r="M1170" s="105">
        <f ca="1" t="shared" si="142"/>
        <v>45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/>
      <c r="Z1170" s="105"/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11" t="s">
        <v>429</v>
      </c>
      <c r="C1171" s="70" t="s">
        <v>287</v>
      </c>
      <c r="D1171" s="71" t="s">
        <v>2956</v>
      </c>
      <c r="E1171" s="71" t="s">
        <v>435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2957</v>
      </c>
      <c r="L1171" s="104">
        <f t="shared" si="141"/>
        <v>46212</v>
      </c>
      <c r="M1171" s="105">
        <f ca="1" t="shared" si="142"/>
        <v>45</v>
      </c>
      <c r="N1171" s="70"/>
      <c r="O1171" s="70"/>
      <c r="P1171" s="70"/>
      <c r="Q1171" s="71"/>
      <c r="R1171" s="71"/>
      <c r="S1171" s="72"/>
      <c r="T1171" s="73"/>
      <c r="U1171" s="79"/>
      <c r="V1171" s="102"/>
      <c r="W1171" s="70"/>
      <c r="X1171" s="103"/>
      <c r="Y1171" s="104"/>
      <c r="Z1171" s="105"/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11" t="s">
        <v>1048</v>
      </c>
      <c r="C1172" s="70" t="s">
        <v>13</v>
      </c>
      <c r="D1172" s="209" t="s">
        <v>2028</v>
      </c>
      <c r="E1172" s="71" t="s">
        <v>2029</v>
      </c>
      <c r="F1172" s="72"/>
      <c r="G1172" s="73"/>
      <c r="H1172" s="157"/>
      <c r="I1172" s="102">
        <v>46121</v>
      </c>
      <c r="J1172" s="70" t="s">
        <v>596</v>
      </c>
      <c r="K1172" s="106"/>
      <c r="L1172" s="104" t="e">
        <f t="shared" si="141"/>
        <v>#VALUE!</v>
      </c>
      <c r="M1172" s="105" t="e">
        <f ca="1" t="shared" si="142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/>
      <c r="Z1172" s="105"/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11" t="s">
        <v>1048</v>
      </c>
      <c r="C1173" s="70" t="s">
        <v>13</v>
      </c>
      <c r="D1173" s="209" t="s">
        <v>2101</v>
      </c>
      <c r="E1173" s="71" t="s">
        <v>2958</v>
      </c>
      <c r="F1173" s="72"/>
      <c r="G1173" s="73"/>
      <c r="H1173" s="157"/>
      <c r="I1173" s="102">
        <v>46121</v>
      </c>
      <c r="J1173" s="70" t="s">
        <v>596</v>
      </c>
      <c r="K1173" s="106"/>
      <c r="L1173" s="104" t="e">
        <f t="shared" si="141"/>
        <v>#VALUE!</v>
      </c>
      <c r="M1173" s="105" t="e">
        <f ca="1" t="shared" si="142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/>
      <c r="Z1173" s="105"/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673</v>
      </c>
      <c r="C1174" s="70" t="s">
        <v>203</v>
      </c>
      <c r="D1174" s="215" t="s">
        <v>2132</v>
      </c>
      <c r="E1174" s="71" t="s">
        <v>2117</v>
      </c>
      <c r="F1174" s="72"/>
      <c r="G1174" s="73"/>
      <c r="H1174" s="157"/>
      <c r="I1174" s="102">
        <v>46121</v>
      </c>
      <c r="J1174" s="70" t="s">
        <v>596</v>
      </c>
      <c r="K1174" s="106"/>
      <c r="L1174" s="104" t="e">
        <f t="shared" si="141"/>
        <v>#VALUE!</v>
      </c>
      <c r="M1174" s="105" t="e">
        <f ca="1" t="shared" si="142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/>
      <c r="Z1174" s="105"/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673</v>
      </c>
      <c r="C1175" s="70" t="s">
        <v>203</v>
      </c>
      <c r="D1175" s="209" t="s">
        <v>2123</v>
      </c>
      <c r="E1175" s="71" t="s">
        <v>2124</v>
      </c>
      <c r="F1175" s="72"/>
      <c r="G1175" s="73"/>
      <c r="H1175" s="157"/>
      <c r="I1175" s="102">
        <v>46121</v>
      </c>
      <c r="J1175" s="70" t="s">
        <v>596</v>
      </c>
      <c r="K1175" s="106"/>
      <c r="L1175" s="104" t="e">
        <f t="shared" si="141"/>
        <v>#VALUE!</v>
      </c>
      <c r="M1175" s="105" t="e">
        <f ca="1" t="shared" si="142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/>
      <c r="Z1175" s="105"/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673</v>
      </c>
      <c r="C1176" s="70" t="s">
        <v>203</v>
      </c>
      <c r="D1176" s="209" t="s">
        <v>2129</v>
      </c>
      <c r="E1176" s="71" t="s">
        <v>2130</v>
      </c>
      <c r="F1176" s="72"/>
      <c r="G1176" s="73"/>
      <c r="H1176" s="157"/>
      <c r="I1176" s="102">
        <v>46121</v>
      </c>
      <c r="J1176" s="70" t="s">
        <v>596</v>
      </c>
      <c r="K1176" s="106"/>
      <c r="L1176" s="104" t="e">
        <f t="shared" si="141"/>
        <v>#VALUE!</v>
      </c>
      <c r="M1176" s="105" t="e">
        <f ca="1" t="shared" si="142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/>
      <c r="Z1176" s="105"/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178</v>
      </c>
      <c r="C1177" s="70" t="s">
        <v>13</v>
      </c>
      <c r="D1177" s="71" t="s">
        <v>2959</v>
      </c>
      <c r="E1177" s="71" t="s">
        <v>2960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2961</v>
      </c>
      <c r="L1177" s="104">
        <f t="shared" si="141"/>
        <v>46213</v>
      </c>
      <c r="M1177" s="105">
        <f ca="1" t="shared" si="142"/>
        <v>46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/>
      <c r="Z1177" s="105"/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11" t="s">
        <v>202</v>
      </c>
      <c r="C1178" s="70" t="s">
        <v>203</v>
      </c>
      <c r="D1178" s="209" t="s">
        <v>204</v>
      </c>
      <c r="E1178" s="71" t="s">
        <v>205</v>
      </c>
      <c r="F1178" s="72"/>
      <c r="G1178" s="73"/>
      <c r="H1178" s="75"/>
      <c r="I1178" s="102">
        <v>46122</v>
      </c>
      <c r="J1178" s="70" t="s">
        <v>596</v>
      </c>
      <c r="K1178" s="106"/>
      <c r="L1178" s="104" t="e">
        <f t="shared" ref="L1178:L1188" si="143">EDATE(I1178,J1178)</f>
        <v>#VALUE!</v>
      </c>
      <c r="M1178" s="105" t="e">
        <f ca="1" t="shared" ref="M1178:M1188" si="144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/>
      <c r="Z1178" s="105"/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497</v>
      </c>
      <c r="C1179" s="70" t="s">
        <v>203</v>
      </c>
      <c r="D1179" s="71" t="s">
        <v>1871</v>
      </c>
      <c r="E1179" s="71" t="s">
        <v>205</v>
      </c>
      <c r="F1179" s="72"/>
      <c r="G1179" s="73"/>
      <c r="H1179" s="75"/>
      <c r="I1179" s="102">
        <v>46122</v>
      </c>
      <c r="J1179" s="70" t="s">
        <v>596</v>
      </c>
      <c r="K1179" s="106"/>
      <c r="L1179" s="104" t="e">
        <f t="shared" si="143"/>
        <v>#VALUE!</v>
      </c>
      <c r="M1179" s="105" t="e">
        <f ca="1" t="shared" si="144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/>
      <c r="Z1179" s="105"/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566</v>
      </c>
      <c r="C1180" s="70" t="s">
        <v>31</v>
      </c>
      <c r="D1180" s="71" t="s">
        <v>2962</v>
      </c>
      <c r="E1180" s="71" t="s">
        <v>570</v>
      </c>
      <c r="F1180" s="72"/>
      <c r="G1180" s="73"/>
      <c r="H1180" s="75"/>
      <c r="I1180" s="102">
        <v>46123</v>
      </c>
      <c r="J1180" s="70">
        <v>3</v>
      </c>
      <c r="K1180" s="106" t="s">
        <v>2963</v>
      </c>
      <c r="L1180" s="104">
        <f t="shared" si="143"/>
        <v>46214</v>
      </c>
      <c r="M1180" s="105">
        <f ca="1" t="shared" si="144"/>
        <v>47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/>
      <c r="Z1180" s="105"/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1988</v>
      </c>
      <c r="C1181" s="70" t="s">
        <v>13</v>
      </c>
      <c r="D1181" s="71" t="s">
        <v>2964</v>
      </c>
      <c r="E1181" s="71" t="s">
        <v>95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2965</v>
      </c>
      <c r="L1181" s="104">
        <f t="shared" si="143"/>
        <v>46214</v>
      </c>
      <c r="M1181" s="105">
        <f ca="1" t="shared" si="144"/>
        <v>47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/>
      <c r="Z1181" s="105"/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559</v>
      </c>
      <c r="C1182" s="70" t="s">
        <v>31</v>
      </c>
      <c r="D1182" s="71" t="s">
        <v>2966</v>
      </c>
      <c r="E1182" s="71" t="s">
        <v>33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2967</v>
      </c>
      <c r="L1182" s="104">
        <f t="shared" si="143"/>
        <v>46214</v>
      </c>
      <c r="M1182" s="105">
        <f ca="1" t="shared" si="144"/>
        <v>47</v>
      </c>
      <c r="N1182" s="70"/>
      <c r="O1182" s="70"/>
      <c r="P1182" s="70"/>
      <c r="Q1182" s="71"/>
      <c r="R1182" s="71"/>
      <c r="S1182" s="72"/>
      <c r="T1182" s="73"/>
      <c r="U1182" s="79"/>
      <c r="V1182" s="102"/>
      <c r="W1182" s="70"/>
      <c r="X1182" s="103"/>
      <c r="Y1182" s="104"/>
      <c r="Z1182" s="105"/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2968</v>
      </c>
      <c r="C1183" s="70" t="s">
        <v>203</v>
      </c>
      <c r="D1183" s="71" t="s">
        <v>2969</v>
      </c>
      <c r="E1183" s="71" t="s">
        <v>2970</v>
      </c>
      <c r="F1183" s="72"/>
      <c r="G1183" s="73"/>
      <c r="H1183" s="222"/>
      <c r="I1183" s="102">
        <v>46123</v>
      </c>
      <c r="J1183" s="70">
        <v>3</v>
      </c>
      <c r="K1183" s="106" t="s">
        <v>2971</v>
      </c>
      <c r="L1183" s="104">
        <f t="shared" si="143"/>
        <v>46214</v>
      </c>
      <c r="M1183" s="105">
        <f ca="1" t="shared" si="144"/>
        <v>47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/>
      <c r="Z1183" s="105"/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11" t="s">
        <v>673</v>
      </c>
      <c r="C1184" s="70" t="s">
        <v>203</v>
      </c>
      <c r="D1184" s="209" t="s">
        <v>2972</v>
      </c>
      <c r="E1184" s="71" t="s">
        <v>2127</v>
      </c>
      <c r="F1184" s="72"/>
      <c r="G1184" s="73"/>
      <c r="H1184" s="222"/>
      <c r="I1184" s="102">
        <v>46123</v>
      </c>
      <c r="J1184" s="70" t="s">
        <v>596</v>
      </c>
      <c r="K1184" s="106"/>
      <c r="L1184" s="104" t="e">
        <f t="shared" si="143"/>
        <v>#VALUE!</v>
      </c>
      <c r="M1184" s="105" t="e">
        <f ca="1" t="shared" si="144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/>
      <c r="Z1184" s="105"/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11" t="s">
        <v>673</v>
      </c>
      <c r="C1185" s="70" t="s">
        <v>203</v>
      </c>
      <c r="D1185" s="209" t="s">
        <v>2129</v>
      </c>
      <c r="E1185" s="71" t="s">
        <v>2130</v>
      </c>
      <c r="F1185" s="72"/>
      <c r="G1185" s="73"/>
      <c r="H1185" s="222"/>
      <c r="I1185" s="102">
        <v>46123</v>
      </c>
      <c r="J1185" s="70" t="s">
        <v>596</v>
      </c>
      <c r="K1185" s="106"/>
      <c r="L1185" s="104" t="e">
        <f t="shared" si="143"/>
        <v>#VALUE!</v>
      </c>
      <c r="M1185" s="105" t="e">
        <f ca="1" t="shared" si="144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/>
      <c r="Z1185" s="105"/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11" t="s">
        <v>673</v>
      </c>
      <c r="C1186" s="70" t="s">
        <v>203</v>
      </c>
      <c r="D1186" s="209" t="s">
        <v>2120</v>
      </c>
      <c r="E1186" s="71" t="s">
        <v>2121</v>
      </c>
      <c r="F1186" s="72"/>
      <c r="G1186" s="73"/>
      <c r="H1186" s="222"/>
      <c r="I1186" s="102">
        <v>46123</v>
      </c>
      <c r="J1186" s="70" t="s">
        <v>596</v>
      </c>
      <c r="K1186" s="106"/>
      <c r="L1186" s="104" t="e">
        <f t="shared" si="143"/>
        <v>#VALUE!</v>
      </c>
      <c r="M1186" s="105" t="e">
        <f ca="1" t="shared" si="144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/>
      <c r="Z1186" s="105"/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132</v>
      </c>
      <c r="C1187" s="70" t="s">
        <v>31</v>
      </c>
      <c r="D1187" s="209" t="s">
        <v>133</v>
      </c>
      <c r="E1187" s="71" t="s">
        <v>2490</v>
      </c>
      <c r="F1187" s="72"/>
      <c r="G1187" s="73"/>
      <c r="H1187" s="222"/>
      <c r="I1187" s="102">
        <v>46123</v>
      </c>
      <c r="J1187" s="70" t="s">
        <v>596</v>
      </c>
      <c r="K1187" s="106"/>
      <c r="L1187" s="104" t="e">
        <f t="shared" si="143"/>
        <v>#VALUE!</v>
      </c>
      <c r="M1187" s="105" t="e">
        <f ca="1" t="shared" si="144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/>
      <c r="Z1187" s="105"/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132</v>
      </c>
      <c r="C1188" s="70" t="s">
        <v>31</v>
      </c>
      <c r="D1188" s="209" t="s">
        <v>2489</v>
      </c>
      <c r="E1188" s="71" t="s">
        <v>2490</v>
      </c>
      <c r="F1188" s="72"/>
      <c r="G1188" s="73"/>
      <c r="H1188" s="222"/>
      <c r="I1188" s="102">
        <v>46123</v>
      </c>
      <c r="J1188" s="70" t="s">
        <v>596</v>
      </c>
      <c r="K1188" s="106"/>
      <c r="L1188" s="104" t="e">
        <f t="shared" si="143"/>
        <v>#VALUE!</v>
      </c>
      <c r="M1188" s="105" t="e">
        <f ca="1" t="shared" si="144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/>
      <c r="Z1188" s="105"/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102</v>
      </c>
      <c r="C1189" s="70" t="s">
        <v>13</v>
      </c>
      <c r="D1189" s="71" t="s">
        <v>2973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2974</v>
      </c>
      <c r="L1189" s="104">
        <f t="shared" ref="L1189:L1195" si="145">EDATE(I1189,J1189)</f>
        <v>46215</v>
      </c>
      <c r="M1189" s="105">
        <f ca="1" t="shared" ref="M1189:M1195" si="146">L1189-TODAY()</f>
        <v>48</v>
      </c>
      <c r="N1189" s="70"/>
      <c r="O1189" s="70"/>
      <c r="P1189" s="70"/>
      <c r="Q1189" s="71"/>
      <c r="R1189" s="71"/>
      <c r="S1189" s="72"/>
      <c r="T1189" s="73"/>
      <c r="U1189" s="79"/>
      <c r="V1189" s="102"/>
      <c r="W1189" s="70"/>
      <c r="X1189" s="103"/>
      <c r="Y1189" s="104"/>
      <c r="Z1189" s="105"/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11" t="s">
        <v>217</v>
      </c>
      <c r="C1190" s="70" t="s">
        <v>203</v>
      </c>
      <c r="D1190" s="209" t="s">
        <v>2025</v>
      </c>
      <c r="E1190" s="71" t="s">
        <v>279</v>
      </c>
      <c r="F1190" s="72"/>
      <c r="G1190" s="73"/>
      <c r="H1190" s="75"/>
      <c r="I1190" s="102">
        <v>46124</v>
      </c>
      <c r="J1190" s="70" t="s">
        <v>596</v>
      </c>
      <c r="K1190" s="106"/>
      <c r="L1190" s="104" t="e">
        <f t="shared" si="145"/>
        <v>#VALUE!</v>
      </c>
      <c r="M1190" s="105" t="e">
        <f ca="1" t="shared" si="146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/>
      <c r="Z1190" s="105"/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11" t="s">
        <v>217</v>
      </c>
      <c r="C1191" s="70" t="s">
        <v>203</v>
      </c>
      <c r="D1191" s="209" t="s">
        <v>1939</v>
      </c>
      <c r="E1191" s="71" t="s">
        <v>2975</v>
      </c>
      <c r="F1191" s="72"/>
      <c r="G1191" s="73"/>
      <c r="H1191" s="75"/>
      <c r="I1191" s="102">
        <v>46124</v>
      </c>
      <c r="J1191" s="70" t="s">
        <v>596</v>
      </c>
      <c r="K1191" s="106"/>
      <c r="L1191" s="104" t="e">
        <f t="shared" si="145"/>
        <v>#VALUE!</v>
      </c>
      <c r="M1191" s="105" t="e">
        <f ca="1" t="shared" si="146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/>
      <c r="Z1191" s="105"/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11" t="s">
        <v>217</v>
      </c>
      <c r="C1192" s="70" t="s">
        <v>203</v>
      </c>
      <c r="D1192" s="209" t="s">
        <v>1934</v>
      </c>
      <c r="E1192" s="71" t="s">
        <v>2976</v>
      </c>
      <c r="F1192" s="72"/>
      <c r="G1192" s="73"/>
      <c r="H1192" s="75"/>
      <c r="I1192" s="102">
        <v>46124</v>
      </c>
      <c r="J1192" s="70" t="s">
        <v>596</v>
      </c>
      <c r="K1192" s="106"/>
      <c r="L1192" s="104" t="e">
        <f t="shared" si="145"/>
        <v>#VALUE!</v>
      </c>
      <c r="M1192" s="105" t="e">
        <f ca="1" t="shared" si="146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/>
      <c r="Z1192" s="105"/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11" t="s">
        <v>217</v>
      </c>
      <c r="C1193" s="70" t="s">
        <v>203</v>
      </c>
      <c r="D1193" s="209" t="s">
        <v>1931</v>
      </c>
      <c r="E1193" s="71" t="s">
        <v>2977</v>
      </c>
      <c r="F1193" s="72"/>
      <c r="G1193" s="73"/>
      <c r="H1193" s="75"/>
      <c r="I1193" s="102">
        <v>46124</v>
      </c>
      <c r="J1193" s="70" t="s">
        <v>596</v>
      </c>
      <c r="K1193" s="106"/>
      <c r="L1193" s="104" t="e">
        <f t="shared" si="145"/>
        <v>#VALUE!</v>
      </c>
      <c r="M1193" s="105" t="e">
        <f ca="1" t="shared" si="146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/>
      <c r="Z1193" s="105"/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11" t="s">
        <v>217</v>
      </c>
      <c r="C1194" s="70" t="s">
        <v>203</v>
      </c>
      <c r="D1194" s="209" t="s">
        <v>1858</v>
      </c>
      <c r="E1194" s="71" t="s">
        <v>2978</v>
      </c>
      <c r="F1194" s="72"/>
      <c r="G1194" s="73"/>
      <c r="H1194" s="75"/>
      <c r="I1194" s="102">
        <v>46124</v>
      </c>
      <c r="J1194" s="70" t="s">
        <v>596</v>
      </c>
      <c r="K1194" s="106"/>
      <c r="L1194" s="104" t="e">
        <f t="shared" si="145"/>
        <v>#VALUE!</v>
      </c>
      <c r="M1194" s="105" t="e">
        <f ca="1" t="shared" si="146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/>
      <c r="Z1194" s="105"/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11" t="s">
        <v>217</v>
      </c>
      <c r="C1195" s="70" t="s">
        <v>203</v>
      </c>
      <c r="D1195" s="209" t="s">
        <v>1862</v>
      </c>
      <c r="E1195" s="71" t="s">
        <v>2979</v>
      </c>
      <c r="F1195" s="72"/>
      <c r="G1195" s="73"/>
      <c r="H1195" s="75"/>
      <c r="I1195" s="102">
        <v>46124</v>
      </c>
      <c r="J1195" s="70" t="s">
        <v>596</v>
      </c>
      <c r="K1195" s="106"/>
      <c r="L1195" s="104" t="e">
        <f t="shared" si="145"/>
        <v>#VALUE!</v>
      </c>
      <c r="M1195" s="105" t="e">
        <f ca="1" t="shared" si="146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/>
      <c r="Z1195" s="105"/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11" t="s">
        <v>12</v>
      </c>
      <c r="C1196" s="70" t="s">
        <v>31</v>
      </c>
      <c r="D1196" s="209" t="s">
        <v>2980</v>
      </c>
      <c r="E1196" s="71" t="s">
        <v>24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2981</v>
      </c>
      <c r="L1196" s="104">
        <f t="shared" ref="L1196:L1205" si="147">EDATE(I1196,J1196)</f>
        <v>46216</v>
      </c>
      <c r="M1196" s="105">
        <f ca="1" t="shared" ref="M1196:M1205" si="148">L1196-TODAY()</f>
        <v>49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/>
      <c r="Z1196" s="105"/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11" t="s">
        <v>12</v>
      </c>
      <c r="C1197" s="70" t="s">
        <v>31</v>
      </c>
      <c r="D1197" s="209" t="s">
        <v>2982</v>
      </c>
      <c r="E1197" s="71" t="s">
        <v>24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2983</v>
      </c>
      <c r="L1197" s="104">
        <f t="shared" si="147"/>
        <v>46216</v>
      </c>
      <c r="M1197" s="105">
        <f ca="1" t="shared" si="148"/>
        <v>49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/>
      <c r="Z1197" s="105"/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31</v>
      </c>
      <c r="D1198" s="209" t="s">
        <v>2984</v>
      </c>
      <c r="E1198" s="71" t="s">
        <v>24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2985</v>
      </c>
      <c r="L1198" s="104">
        <f t="shared" si="147"/>
        <v>46216</v>
      </c>
      <c r="M1198" s="105">
        <f ca="1" t="shared" si="148"/>
        <v>49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/>
      <c r="Z1198" s="105"/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11" t="s">
        <v>985</v>
      </c>
      <c r="C1199" s="70" t="s">
        <v>31</v>
      </c>
      <c r="D1199" s="209" t="s">
        <v>2986</v>
      </c>
      <c r="E1199" s="71" t="s">
        <v>24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2987</v>
      </c>
      <c r="L1199" s="104">
        <f t="shared" si="147"/>
        <v>46216</v>
      </c>
      <c r="M1199" s="105">
        <f ca="1" t="shared" si="148"/>
        <v>49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/>
      <c r="Z1199" s="105"/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11" t="s">
        <v>44</v>
      </c>
      <c r="C1200" s="70" t="s">
        <v>13</v>
      </c>
      <c r="D1200" s="209" t="s">
        <v>2988</v>
      </c>
      <c r="E1200" s="71" t="s">
        <v>57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2989</v>
      </c>
      <c r="L1200" s="104">
        <f t="shared" si="147"/>
        <v>46216</v>
      </c>
      <c r="M1200" s="105">
        <f ca="1" t="shared" si="148"/>
        <v>49</v>
      </c>
      <c r="N1200" s="70"/>
      <c r="O1200" s="70"/>
      <c r="P1200" s="70"/>
      <c r="Q1200" s="71"/>
      <c r="R1200" s="71"/>
      <c r="S1200" s="72"/>
      <c r="T1200" s="73"/>
      <c r="U1200" s="79"/>
      <c r="V1200" s="102"/>
      <c r="W1200" s="70"/>
      <c r="X1200" s="103"/>
      <c r="Y1200" s="104"/>
      <c r="Z1200" s="105"/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11" t="s">
        <v>44</v>
      </c>
      <c r="C1201" s="70" t="s">
        <v>13</v>
      </c>
      <c r="D1201" s="209" t="s">
        <v>2990</v>
      </c>
      <c r="E1201" s="71" t="s">
        <v>104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2991</v>
      </c>
      <c r="L1201" s="104">
        <f t="shared" si="147"/>
        <v>46216</v>
      </c>
      <c r="M1201" s="105">
        <f ca="1" t="shared" si="148"/>
        <v>49</v>
      </c>
      <c r="N1201" s="70"/>
      <c r="O1201" s="70"/>
      <c r="P1201" s="70"/>
      <c r="Q1201" s="71"/>
      <c r="R1201" s="71"/>
      <c r="S1201" s="72"/>
      <c r="T1201" s="73"/>
      <c r="U1201" s="79"/>
      <c r="V1201" s="102"/>
      <c r="W1201" s="70"/>
      <c r="X1201" s="103"/>
      <c r="Y1201" s="104"/>
      <c r="Z1201" s="105"/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11" t="s">
        <v>1458</v>
      </c>
      <c r="C1202" s="70" t="s">
        <v>13</v>
      </c>
      <c r="D1202" s="209" t="s">
        <v>2992</v>
      </c>
      <c r="E1202" s="71" t="s">
        <v>95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147"/>
        <v>46216</v>
      </c>
      <c r="M1202" s="105">
        <f ca="1" t="shared" si="148"/>
        <v>49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/>
      <c r="Z1202" s="105"/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11" t="s">
        <v>1458</v>
      </c>
      <c r="C1203" s="70" t="s">
        <v>13</v>
      </c>
      <c r="D1203" s="209" t="s">
        <v>2993</v>
      </c>
      <c r="E1203" s="71" t="s">
        <v>2180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147"/>
        <v>46216</v>
      </c>
      <c r="M1203" s="105">
        <f ca="1" t="shared" si="148"/>
        <v>49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/>
      <c r="Z1203" s="105"/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11" t="s">
        <v>102</v>
      </c>
      <c r="C1204" s="70" t="s">
        <v>31</v>
      </c>
      <c r="D1204" s="209" t="s">
        <v>2994</v>
      </c>
      <c r="E1204" s="71" t="s">
        <v>2995</v>
      </c>
      <c r="F1204" s="72"/>
      <c r="G1204" s="73"/>
      <c r="H1204" s="75"/>
      <c r="I1204" s="102">
        <v>46125</v>
      </c>
      <c r="J1204" s="70" t="s">
        <v>596</v>
      </c>
      <c r="K1204" s="106"/>
      <c r="L1204" s="104" t="e">
        <f t="shared" ref="L1204:L1213" si="149">EDATE(I1204,J1204)</f>
        <v>#VALUE!</v>
      </c>
      <c r="M1204" s="105" t="e">
        <f ca="1" t="shared" ref="M1204:M1213" si="150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/>
      <c r="Z1204" s="105"/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11" t="s">
        <v>208</v>
      </c>
      <c r="C1205" s="70" t="s">
        <v>203</v>
      </c>
      <c r="D1205" s="223" t="s">
        <v>2996</v>
      </c>
      <c r="E1205" s="71" t="s">
        <v>675</v>
      </c>
      <c r="F1205" s="72"/>
      <c r="G1205" s="73"/>
      <c r="H1205" s="75"/>
      <c r="I1205" s="102">
        <v>46126</v>
      </c>
      <c r="J1205" s="70">
        <v>3</v>
      </c>
      <c r="K1205" s="106" t="s">
        <v>2997</v>
      </c>
      <c r="L1205" s="104">
        <f t="shared" si="149"/>
        <v>46217</v>
      </c>
      <c r="M1205" s="105">
        <f ca="1" t="shared" si="150"/>
        <v>50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/>
      <c r="Z1205" s="105"/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173</v>
      </c>
      <c r="C1206" s="70" t="s">
        <v>31</v>
      </c>
      <c r="D1206" s="71" t="s">
        <v>2998</v>
      </c>
      <c r="E1206" s="71" t="s">
        <v>2999</v>
      </c>
      <c r="F1206" s="72"/>
      <c r="G1206" s="73"/>
      <c r="H1206" s="75"/>
      <c r="I1206" s="102">
        <v>46126</v>
      </c>
      <c r="J1206" s="70">
        <v>3</v>
      </c>
      <c r="K1206" s="106" t="s">
        <v>3000</v>
      </c>
      <c r="L1206" s="104">
        <f t="shared" si="149"/>
        <v>46217</v>
      </c>
      <c r="M1206" s="105">
        <f ca="1" t="shared" si="150"/>
        <v>50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/>
      <c r="Z1206" s="105"/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11" t="s">
        <v>1458</v>
      </c>
      <c r="C1207" s="70" t="s">
        <v>13</v>
      </c>
      <c r="D1207" s="209" t="s">
        <v>3001</v>
      </c>
      <c r="E1207" s="71" t="s">
        <v>243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149"/>
        <v>46217</v>
      </c>
      <c r="M1207" s="105">
        <f ca="1" t="shared" si="150"/>
        <v>50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/>
      <c r="Z1207" s="105"/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11" t="s">
        <v>1458</v>
      </c>
      <c r="C1208" s="70" t="s">
        <v>13</v>
      </c>
      <c r="D1208" s="209" t="s">
        <v>3002</v>
      </c>
      <c r="E1208" s="71" t="s">
        <v>3003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149"/>
        <v>46217</v>
      </c>
      <c r="M1208" s="105">
        <f ca="1" t="shared" si="150"/>
        <v>50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/>
      <c r="Z1208" s="105"/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11" t="s">
        <v>1458</v>
      </c>
      <c r="C1209" s="70" t="s">
        <v>13</v>
      </c>
      <c r="D1209" s="209" t="s">
        <v>3004</v>
      </c>
      <c r="E1209" s="71" t="s">
        <v>979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149"/>
        <v>46217</v>
      </c>
      <c r="M1209" s="105">
        <f ca="1" t="shared" si="150"/>
        <v>50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/>
      <c r="Z1209" s="105"/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11" t="s">
        <v>1458</v>
      </c>
      <c r="C1210" s="70" t="s">
        <v>13</v>
      </c>
      <c r="D1210" s="209" t="s">
        <v>3005</v>
      </c>
      <c r="E1210" s="71" t="s">
        <v>1837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149"/>
        <v>46217</v>
      </c>
      <c r="M1210" s="105">
        <f ca="1" t="shared" si="150"/>
        <v>50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/>
      <c r="Z1210" s="105"/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11" t="s">
        <v>1048</v>
      </c>
      <c r="C1211" s="70" t="s">
        <v>13</v>
      </c>
      <c r="D1211" s="209" t="s">
        <v>2211</v>
      </c>
      <c r="E1211" s="71" t="s">
        <v>2212</v>
      </c>
      <c r="F1211" s="72"/>
      <c r="G1211" s="73"/>
      <c r="H1211" s="75"/>
      <c r="I1211" s="102">
        <v>46126</v>
      </c>
      <c r="J1211" s="70" t="s">
        <v>596</v>
      </c>
      <c r="K1211" s="106"/>
      <c r="L1211" s="104" t="e">
        <f t="shared" ref="L1211:L1224" si="151">EDATE(I1211,J1211)</f>
        <v>#VALUE!</v>
      </c>
      <c r="M1211" s="105" t="e">
        <f ca="1" t="shared" ref="M1211:M1224" si="152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/>
      <c r="Z1211" s="105"/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11" t="s">
        <v>1048</v>
      </c>
      <c r="C1212" s="70" t="s">
        <v>13</v>
      </c>
      <c r="D1212" s="209" t="s">
        <v>2101</v>
      </c>
      <c r="E1212" s="71" t="s">
        <v>2958</v>
      </c>
      <c r="F1212" s="72"/>
      <c r="G1212" s="73"/>
      <c r="H1212" s="75"/>
      <c r="I1212" s="102">
        <v>46126</v>
      </c>
      <c r="J1212" s="70" t="s">
        <v>596</v>
      </c>
      <c r="K1212" s="106"/>
      <c r="L1212" s="104" t="e">
        <f t="shared" si="151"/>
        <v>#VALUE!</v>
      </c>
      <c r="M1212" s="105" t="e">
        <f ca="1" t="shared" si="152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/>
      <c r="Z1212" s="105"/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11" t="s">
        <v>178</v>
      </c>
      <c r="C1213" s="70" t="s">
        <v>31</v>
      </c>
      <c r="D1213" s="209" t="s">
        <v>3006</v>
      </c>
      <c r="E1213" s="71" t="s">
        <v>41</v>
      </c>
      <c r="F1213" s="72"/>
      <c r="G1213" s="73"/>
      <c r="H1213" s="75"/>
      <c r="I1213" s="102">
        <v>46127</v>
      </c>
      <c r="J1213" s="70">
        <v>3</v>
      </c>
      <c r="K1213" s="106" t="s">
        <v>3007</v>
      </c>
      <c r="L1213" s="104">
        <f t="shared" si="151"/>
        <v>46218</v>
      </c>
      <c r="M1213" s="105">
        <f ca="1" t="shared" si="152"/>
        <v>51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/>
      <c r="Z1213" s="105"/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59</v>
      </c>
      <c r="C1214" s="70" t="s">
        <v>13</v>
      </c>
      <c r="D1214" s="71" t="s">
        <v>1115</v>
      </c>
      <c r="E1214" s="71" t="s">
        <v>95</v>
      </c>
      <c r="F1214" s="72"/>
      <c r="G1214" s="73"/>
      <c r="H1214" s="75"/>
      <c r="I1214" s="102">
        <v>46127</v>
      </c>
      <c r="J1214" s="70">
        <v>3</v>
      </c>
      <c r="K1214" s="106" t="s">
        <v>3008</v>
      </c>
      <c r="L1214" s="104">
        <f t="shared" si="151"/>
        <v>46218</v>
      </c>
      <c r="M1214" s="105">
        <f ca="1" t="shared" si="152"/>
        <v>51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/>
      <c r="Z1214" s="105"/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102</v>
      </c>
      <c r="C1215" s="70" t="s">
        <v>13</v>
      </c>
      <c r="D1215" s="209" t="s">
        <v>3009</v>
      </c>
      <c r="E1215" s="71" t="s">
        <v>37</v>
      </c>
      <c r="F1215" s="72"/>
      <c r="G1215" s="73"/>
      <c r="H1215" s="75"/>
      <c r="I1215" s="102">
        <v>46127</v>
      </c>
      <c r="J1215" s="70">
        <v>3</v>
      </c>
      <c r="K1215" s="106" t="s">
        <v>3010</v>
      </c>
      <c r="L1215" s="104">
        <f t="shared" si="151"/>
        <v>46218</v>
      </c>
      <c r="M1215" s="105">
        <f ca="1" t="shared" si="152"/>
        <v>51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/>
      <c r="Z1215" s="105"/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102</v>
      </c>
      <c r="C1216" s="70" t="s">
        <v>13</v>
      </c>
      <c r="D1216" s="209" t="s">
        <v>3011</v>
      </c>
      <c r="E1216" s="71" t="s">
        <v>2180</v>
      </c>
      <c r="F1216" s="72"/>
      <c r="G1216" s="73"/>
      <c r="H1216" s="75"/>
      <c r="I1216" s="102">
        <v>46127</v>
      </c>
      <c r="J1216" s="70">
        <v>3</v>
      </c>
      <c r="K1216" s="106" t="s">
        <v>3012</v>
      </c>
      <c r="L1216" s="104">
        <f t="shared" si="151"/>
        <v>46218</v>
      </c>
      <c r="M1216" s="105">
        <f ca="1" t="shared" si="152"/>
        <v>51</v>
      </c>
      <c r="N1216" s="70"/>
      <c r="O1216" s="70"/>
      <c r="P1216" s="70"/>
      <c r="Q1216" s="71"/>
      <c r="R1216" s="71"/>
      <c r="S1216" s="72"/>
      <c r="T1216" s="73"/>
      <c r="U1216" s="74"/>
      <c r="V1216" s="102"/>
      <c r="W1216" s="70"/>
      <c r="X1216" s="103"/>
      <c r="Y1216" s="104"/>
      <c r="Z1216" s="105"/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11" t="s">
        <v>619</v>
      </c>
      <c r="C1217" s="70" t="s">
        <v>31</v>
      </c>
      <c r="D1217" s="209" t="s">
        <v>3013</v>
      </c>
      <c r="E1217" s="71" t="s">
        <v>111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3014</v>
      </c>
      <c r="L1217" s="104">
        <f t="shared" si="151"/>
        <v>46218</v>
      </c>
      <c r="M1217" s="105">
        <f ca="1" t="shared" si="152"/>
        <v>51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/>
      <c r="Z1217" s="105"/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11" t="s">
        <v>619</v>
      </c>
      <c r="C1218" s="70" t="s">
        <v>31</v>
      </c>
      <c r="D1218" s="209" t="s">
        <v>3015</v>
      </c>
      <c r="E1218" s="71" t="s">
        <v>111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3016</v>
      </c>
      <c r="L1218" s="104">
        <f t="shared" si="151"/>
        <v>46218</v>
      </c>
      <c r="M1218" s="105">
        <f ca="1" t="shared" si="152"/>
        <v>51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/>
      <c r="Z1218" s="105"/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689</v>
      </c>
      <c r="C1219" s="70" t="s">
        <v>287</v>
      </c>
      <c r="D1219" s="209" t="s">
        <v>3017</v>
      </c>
      <c r="E1219" s="71" t="s">
        <v>435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3018</v>
      </c>
      <c r="L1219" s="104">
        <f t="shared" si="151"/>
        <v>46218</v>
      </c>
      <c r="M1219" s="105">
        <f ca="1" t="shared" si="152"/>
        <v>51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/>
      <c r="Z1219" s="105"/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2950</v>
      </c>
      <c r="C1220" s="70" t="s">
        <v>203</v>
      </c>
      <c r="D1220" s="209" t="s">
        <v>282</v>
      </c>
      <c r="E1220" s="71" t="s">
        <v>283</v>
      </c>
      <c r="F1220" s="72"/>
      <c r="G1220" s="73"/>
      <c r="H1220" s="75"/>
      <c r="I1220" s="102">
        <v>46127</v>
      </c>
      <c r="J1220" s="70" t="s">
        <v>596</v>
      </c>
      <c r="K1220" s="106"/>
      <c r="L1220" s="104" t="e">
        <f t="shared" si="151"/>
        <v>#VALUE!</v>
      </c>
      <c r="M1220" s="105" t="e">
        <f ca="1" t="shared" si="152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/>
      <c r="Z1220" s="105"/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16" t="s">
        <v>102</v>
      </c>
      <c r="C1221" s="70" t="s">
        <v>203</v>
      </c>
      <c r="D1221" s="209" t="s">
        <v>2994</v>
      </c>
      <c r="E1221" s="71" t="s">
        <v>2995</v>
      </c>
      <c r="F1221" s="72"/>
      <c r="G1221" s="73"/>
      <c r="H1221" s="75"/>
      <c r="I1221" s="102">
        <v>46127</v>
      </c>
      <c r="J1221" s="70" t="s">
        <v>596</v>
      </c>
      <c r="K1221" s="106"/>
      <c r="L1221" s="104" t="e">
        <f t="shared" si="151"/>
        <v>#VALUE!</v>
      </c>
      <c r="M1221" s="105" t="e">
        <f ca="1" t="shared" si="152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/>
      <c r="Z1221" s="105"/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16" t="s">
        <v>102</v>
      </c>
      <c r="C1222" s="70" t="s">
        <v>203</v>
      </c>
      <c r="D1222" s="209" t="s">
        <v>3019</v>
      </c>
      <c r="E1222" s="71" t="s">
        <v>2995</v>
      </c>
      <c r="F1222" s="72"/>
      <c r="G1222" s="73"/>
      <c r="H1222" s="75"/>
      <c r="I1222" s="102">
        <v>46127</v>
      </c>
      <c r="J1222" s="70" t="s">
        <v>596</v>
      </c>
      <c r="K1222" s="106"/>
      <c r="L1222" s="104" t="e">
        <f t="shared" si="151"/>
        <v>#VALUE!</v>
      </c>
      <c r="M1222" s="105" t="e">
        <f ca="1" t="shared" si="152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/>
      <c r="Z1222" s="105"/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16" t="s">
        <v>102</v>
      </c>
      <c r="C1223" s="70" t="s">
        <v>13</v>
      </c>
      <c r="D1223" s="209" t="s">
        <v>3020</v>
      </c>
      <c r="E1223" s="71" t="s">
        <v>3021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3022</v>
      </c>
      <c r="L1223" s="104">
        <f t="shared" si="151"/>
        <v>46219</v>
      </c>
      <c r="M1223" s="105">
        <f ca="1" t="shared" si="152"/>
        <v>52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/>
      <c r="Z1223" s="105"/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16" t="s">
        <v>102</v>
      </c>
      <c r="C1224" s="70" t="s">
        <v>13</v>
      </c>
      <c r="D1224" s="209" t="s">
        <v>3023</v>
      </c>
      <c r="E1224" s="71" t="s">
        <v>3024</v>
      </c>
      <c r="F1224" s="72"/>
      <c r="G1224" s="73"/>
      <c r="H1224" s="75" t="s">
        <v>334</v>
      </c>
      <c r="I1224" s="102">
        <v>46128</v>
      </c>
      <c r="J1224" s="70">
        <v>3</v>
      </c>
      <c r="K1224" s="106" t="s">
        <v>3025</v>
      </c>
      <c r="L1224" s="104">
        <f t="shared" ref="L1224:L1231" si="153">EDATE(I1224,J1224)</f>
        <v>46219</v>
      </c>
      <c r="M1224" s="105">
        <f ca="1" t="shared" ref="M1224:M1231" si="154">L1224-TODAY()</f>
        <v>52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/>
      <c r="Z1224" s="105"/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16" t="s">
        <v>102</v>
      </c>
      <c r="C1225" s="70" t="s">
        <v>13</v>
      </c>
      <c r="D1225" s="209" t="s">
        <v>3026</v>
      </c>
      <c r="E1225" s="71" t="s">
        <v>3027</v>
      </c>
      <c r="F1225" s="72"/>
      <c r="G1225" s="73"/>
      <c r="H1225" s="75"/>
      <c r="I1225" s="102">
        <v>46128</v>
      </c>
      <c r="J1225" s="70">
        <v>3</v>
      </c>
      <c r="K1225" s="106" t="s">
        <v>3028</v>
      </c>
      <c r="L1225" s="104">
        <f t="shared" si="153"/>
        <v>46219</v>
      </c>
      <c r="M1225" s="105">
        <f ca="1" t="shared" si="154"/>
        <v>52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/>
      <c r="Z1225" s="105"/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16" t="s">
        <v>102</v>
      </c>
      <c r="C1226" s="70" t="s">
        <v>13</v>
      </c>
      <c r="D1226" s="71" t="s">
        <v>3029</v>
      </c>
      <c r="E1226" s="71" t="s">
        <v>28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3030</v>
      </c>
      <c r="L1226" s="104">
        <f t="shared" si="153"/>
        <v>46219</v>
      </c>
      <c r="M1226" s="105">
        <f ca="1" t="shared" si="154"/>
        <v>52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/>
      <c r="Z1226" s="105"/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3031</v>
      </c>
      <c r="C1227" s="70" t="s">
        <v>31</v>
      </c>
      <c r="D1227" s="209" t="s">
        <v>3032</v>
      </c>
      <c r="E1227" s="71" t="s">
        <v>3033</v>
      </c>
      <c r="F1227" s="72"/>
      <c r="G1227" s="73"/>
      <c r="H1227" s="75"/>
      <c r="I1227" s="102">
        <v>46128</v>
      </c>
      <c r="J1227" s="70">
        <v>3</v>
      </c>
      <c r="K1227" s="106" t="s">
        <v>3034</v>
      </c>
      <c r="L1227" s="104">
        <f t="shared" si="153"/>
        <v>46219</v>
      </c>
      <c r="M1227" s="105">
        <f ca="1" t="shared" si="154"/>
        <v>52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/>
      <c r="Z1227" s="105"/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3031</v>
      </c>
      <c r="C1228" s="70" t="s">
        <v>31</v>
      </c>
      <c r="D1228" s="209" t="s">
        <v>3035</v>
      </c>
      <c r="E1228" s="71" t="s">
        <v>3036</v>
      </c>
      <c r="F1228" s="72"/>
      <c r="G1228" s="73"/>
      <c r="H1228" s="75"/>
      <c r="I1228" s="102">
        <v>46128</v>
      </c>
      <c r="J1228" s="70">
        <v>3</v>
      </c>
      <c r="K1228" s="106" t="s">
        <v>3037</v>
      </c>
      <c r="L1228" s="104">
        <f t="shared" si="153"/>
        <v>46219</v>
      </c>
      <c r="M1228" s="105">
        <f ca="1" t="shared" si="154"/>
        <v>52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/>
      <c r="Z1228" s="105"/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11" t="s">
        <v>44</v>
      </c>
      <c r="C1229" s="70" t="s">
        <v>13</v>
      </c>
      <c r="D1229" s="209" t="s">
        <v>3038</v>
      </c>
      <c r="E1229" s="71" t="s">
        <v>57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3039</v>
      </c>
      <c r="L1229" s="104">
        <f t="shared" si="153"/>
        <v>46219</v>
      </c>
      <c r="M1229" s="105">
        <f ca="1" t="shared" si="154"/>
        <v>52</v>
      </c>
      <c r="N1229" s="70"/>
      <c r="O1229" s="70"/>
      <c r="P1229" s="70"/>
      <c r="Q1229" s="71"/>
      <c r="R1229" s="71"/>
      <c r="S1229" s="72"/>
      <c r="T1229" s="73"/>
      <c r="U1229" s="79"/>
      <c r="V1229" s="102"/>
      <c r="W1229" s="70"/>
      <c r="X1229" s="103"/>
      <c r="Y1229" s="104"/>
      <c r="Z1229" s="105"/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2055</v>
      </c>
      <c r="C1230" s="70" t="s">
        <v>287</v>
      </c>
      <c r="D1230" s="209" t="s">
        <v>3040</v>
      </c>
      <c r="E1230" s="71" t="s">
        <v>3041</v>
      </c>
      <c r="F1230" s="72"/>
      <c r="G1230" s="73"/>
      <c r="H1230" s="75"/>
      <c r="I1230" s="102">
        <v>46128</v>
      </c>
      <c r="J1230" s="70">
        <v>3</v>
      </c>
      <c r="K1230" s="106" t="s">
        <v>3042</v>
      </c>
      <c r="L1230" s="104">
        <f t="shared" si="153"/>
        <v>46219</v>
      </c>
      <c r="M1230" s="105">
        <f ca="1" t="shared" si="154"/>
        <v>52</v>
      </c>
      <c r="N1230" s="70"/>
      <c r="O1230" s="70"/>
      <c r="P1230" s="70"/>
      <c r="Q1230" s="71"/>
      <c r="R1230" s="71"/>
      <c r="S1230" s="72"/>
      <c r="T1230" s="73"/>
      <c r="U1230" s="75"/>
      <c r="V1230" s="102"/>
      <c r="W1230" s="70"/>
      <c r="X1230" s="103"/>
      <c r="Y1230" s="104"/>
      <c r="Z1230" s="105"/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497</v>
      </c>
      <c r="C1231" s="70" t="s">
        <v>203</v>
      </c>
      <c r="D1231" s="209" t="s">
        <v>1871</v>
      </c>
      <c r="E1231" s="71" t="s">
        <v>205</v>
      </c>
      <c r="F1231" s="72"/>
      <c r="G1231" s="73"/>
      <c r="H1231" s="75"/>
      <c r="I1231" s="102">
        <v>46128</v>
      </c>
      <c r="J1231" s="70" t="s">
        <v>596</v>
      </c>
      <c r="K1231" s="106"/>
      <c r="L1231" s="104" t="e">
        <f t="shared" ref="L1231:L1243" si="155">EDATE(I1231,J1231)</f>
        <v>#VALUE!</v>
      </c>
      <c r="M1231" s="105" t="e">
        <f ca="1" t="shared" ref="M1231:M1243" si="156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/>
      <c r="Z1231" s="105"/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178</v>
      </c>
      <c r="C1232" s="70" t="s">
        <v>31</v>
      </c>
      <c r="D1232" s="209" t="s">
        <v>3043</v>
      </c>
      <c r="E1232" s="71" t="s">
        <v>3044</v>
      </c>
      <c r="F1232" s="72"/>
      <c r="G1232" s="73"/>
      <c r="H1232" s="75"/>
      <c r="I1232" s="102">
        <v>46129</v>
      </c>
      <c r="J1232" s="70">
        <v>3</v>
      </c>
      <c r="K1232" s="106" t="s">
        <v>3045</v>
      </c>
      <c r="L1232" s="104">
        <f t="shared" si="155"/>
        <v>46220</v>
      </c>
      <c r="M1232" s="105">
        <f ca="1" t="shared" si="156"/>
        <v>53</v>
      </c>
      <c r="N1232" s="70"/>
      <c r="O1232" s="70"/>
      <c r="P1232" s="70"/>
      <c r="Q1232" s="71"/>
      <c r="R1232" s="71"/>
      <c r="S1232" s="72"/>
      <c r="T1232" s="73"/>
      <c r="U1232" s="79"/>
      <c r="V1232" s="102"/>
      <c r="W1232" s="70"/>
      <c r="X1232" s="103"/>
      <c r="Y1232" s="104"/>
      <c r="Z1232" s="105"/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31</v>
      </c>
      <c r="D1233" s="219" t="s">
        <v>3046</v>
      </c>
      <c r="E1233" s="71" t="s">
        <v>148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3047</v>
      </c>
      <c r="L1233" s="104">
        <f t="shared" si="155"/>
        <v>46220</v>
      </c>
      <c r="M1233" s="105">
        <f ca="1" t="shared" si="156"/>
        <v>53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/>
      <c r="Z1233" s="105"/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31</v>
      </c>
      <c r="D1234" s="209" t="s">
        <v>3048</v>
      </c>
      <c r="E1234" s="71" t="s">
        <v>148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3049</v>
      </c>
      <c r="L1234" s="104">
        <f t="shared" si="155"/>
        <v>46220</v>
      </c>
      <c r="M1234" s="105">
        <f ca="1" t="shared" si="156"/>
        <v>53</v>
      </c>
      <c r="N1234" s="70"/>
      <c r="O1234" s="70"/>
      <c r="P1234" s="70"/>
      <c r="Q1234" s="71"/>
      <c r="R1234" s="71"/>
      <c r="S1234" s="72"/>
      <c r="T1234" s="73"/>
      <c r="U1234" s="75"/>
      <c r="V1234" s="102"/>
      <c r="W1234" s="70"/>
      <c r="X1234" s="103"/>
      <c r="Y1234" s="104"/>
      <c r="Z1234" s="105"/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3050</v>
      </c>
      <c r="C1235" s="70" t="s">
        <v>31</v>
      </c>
      <c r="D1235" s="108" t="s">
        <v>3051</v>
      </c>
      <c r="E1235" s="71" t="s">
        <v>3052</v>
      </c>
      <c r="F1235" s="72"/>
      <c r="G1235" s="73"/>
      <c r="H1235" s="75"/>
      <c r="I1235" s="102">
        <v>46129</v>
      </c>
      <c r="J1235" s="70">
        <v>3</v>
      </c>
      <c r="K1235" s="106" t="s">
        <v>3053</v>
      </c>
      <c r="L1235" s="104">
        <f t="shared" si="155"/>
        <v>46220</v>
      </c>
      <c r="M1235" s="105">
        <f ca="1" t="shared" si="156"/>
        <v>53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/>
      <c r="Z1235" s="105"/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3050</v>
      </c>
      <c r="C1236" s="70" t="s">
        <v>31</v>
      </c>
      <c r="D1236" s="219" t="s">
        <v>3054</v>
      </c>
      <c r="E1236" s="71" t="s">
        <v>3055</v>
      </c>
      <c r="F1236" s="72"/>
      <c r="G1236" s="73"/>
      <c r="H1236" s="75"/>
      <c r="I1236" s="102">
        <v>46129</v>
      </c>
      <c r="J1236" s="70">
        <v>3</v>
      </c>
      <c r="K1236" s="106" t="s">
        <v>3056</v>
      </c>
      <c r="L1236" s="104">
        <f t="shared" si="155"/>
        <v>46220</v>
      </c>
      <c r="M1236" s="105">
        <f ca="1" t="shared" si="156"/>
        <v>53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/>
      <c r="Z1236" s="105"/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11" t="s">
        <v>1079</v>
      </c>
      <c r="C1237" s="70" t="s">
        <v>287</v>
      </c>
      <c r="D1237" s="108" t="s">
        <v>3057</v>
      </c>
      <c r="E1237" s="71" t="s">
        <v>687</v>
      </c>
      <c r="F1237" s="72"/>
      <c r="G1237" s="73"/>
      <c r="H1237" s="75"/>
      <c r="I1237" s="102">
        <v>46129</v>
      </c>
      <c r="J1237" s="70">
        <v>3</v>
      </c>
      <c r="K1237" s="106" t="s">
        <v>3058</v>
      </c>
      <c r="L1237" s="104">
        <f t="shared" si="155"/>
        <v>46220</v>
      </c>
      <c r="M1237" s="105">
        <f ca="1" t="shared" si="156"/>
        <v>53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/>
      <c r="Z1237" s="105"/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11" t="s">
        <v>1079</v>
      </c>
      <c r="C1238" s="70" t="s">
        <v>287</v>
      </c>
      <c r="D1238" s="212" t="s">
        <v>3059</v>
      </c>
      <c r="E1238" s="71" t="s">
        <v>687</v>
      </c>
      <c r="F1238" s="72"/>
      <c r="G1238" s="73"/>
      <c r="H1238" s="75"/>
      <c r="I1238" s="102">
        <v>46129</v>
      </c>
      <c r="J1238" s="70">
        <v>3</v>
      </c>
      <c r="K1238" s="106" t="s">
        <v>3060</v>
      </c>
      <c r="L1238" s="104">
        <f t="shared" si="155"/>
        <v>46220</v>
      </c>
      <c r="M1238" s="105">
        <f ca="1" t="shared" si="156"/>
        <v>53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/>
      <c r="Z1238" s="105"/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11" t="s">
        <v>1079</v>
      </c>
      <c r="C1239" s="70" t="s">
        <v>287</v>
      </c>
      <c r="D1239" s="71" t="s">
        <v>3061</v>
      </c>
      <c r="E1239" s="71" t="s">
        <v>687</v>
      </c>
      <c r="F1239" s="72"/>
      <c r="G1239" s="73"/>
      <c r="H1239" s="75"/>
      <c r="I1239" s="102">
        <v>46129</v>
      </c>
      <c r="J1239" s="70">
        <v>3</v>
      </c>
      <c r="K1239" s="106" t="s">
        <v>3062</v>
      </c>
      <c r="L1239" s="104">
        <f t="shared" si="155"/>
        <v>46220</v>
      </c>
      <c r="M1239" s="105">
        <f ca="1" t="shared" si="156"/>
        <v>53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/>
      <c r="Z1239" s="105"/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11" t="s">
        <v>230</v>
      </c>
      <c r="C1240" s="70" t="s">
        <v>203</v>
      </c>
      <c r="D1240" s="211" t="s">
        <v>2084</v>
      </c>
      <c r="E1240" s="71" t="s">
        <v>1305</v>
      </c>
      <c r="F1240" s="72"/>
      <c r="G1240" s="73"/>
      <c r="H1240" s="75"/>
      <c r="I1240" s="102">
        <v>46129</v>
      </c>
      <c r="J1240" s="70" t="s">
        <v>596</v>
      </c>
      <c r="K1240" s="106"/>
      <c r="L1240" s="104" t="e">
        <f t="shared" si="155"/>
        <v>#VALUE!</v>
      </c>
      <c r="M1240" s="105" t="e">
        <f ca="1" t="shared" si="156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/>
      <c r="Z1240" s="105"/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11" t="s">
        <v>230</v>
      </c>
      <c r="C1241" s="70" t="s">
        <v>203</v>
      </c>
      <c r="D1241" s="212" t="s">
        <v>2329</v>
      </c>
      <c r="E1241" s="71" t="s">
        <v>3063</v>
      </c>
      <c r="F1241" s="72"/>
      <c r="G1241" s="73"/>
      <c r="H1241" s="75"/>
      <c r="I1241" s="102">
        <v>46129</v>
      </c>
      <c r="J1241" s="70" t="s">
        <v>596</v>
      </c>
      <c r="K1241" s="106"/>
      <c r="L1241" s="104" t="e">
        <f t="shared" si="155"/>
        <v>#VALUE!</v>
      </c>
      <c r="M1241" s="105" t="e">
        <f ca="1" t="shared" si="156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/>
      <c r="Z1241" s="105"/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11" t="s">
        <v>1160</v>
      </c>
      <c r="C1242" s="70" t="s">
        <v>287</v>
      </c>
      <c r="D1242" s="209" t="s">
        <v>3064</v>
      </c>
      <c r="E1242" s="71" t="s">
        <v>1162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3065</v>
      </c>
      <c r="L1242" s="104">
        <f t="shared" si="155"/>
        <v>46221</v>
      </c>
      <c r="M1242" s="105">
        <f ca="1" t="shared" si="156"/>
        <v>54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/>
      <c r="Z1242" s="105"/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11" t="s">
        <v>500</v>
      </c>
      <c r="C1243" s="70" t="s">
        <v>203</v>
      </c>
      <c r="D1243" s="209" t="s">
        <v>2436</v>
      </c>
      <c r="E1243" s="71" t="s">
        <v>210</v>
      </c>
      <c r="F1243" s="72"/>
      <c r="G1243" s="73"/>
      <c r="H1243" s="75"/>
      <c r="I1243" s="102">
        <v>46130</v>
      </c>
      <c r="J1243" s="70" t="s">
        <v>596</v>
      </c>
      <c r="K1243" s="106"/>
      <c r="L1243" s="104" t="e">
        <f t="shared" ref="L1243:L1262" si="157">EDATE(I1243,J1243)</f>
        <v>#VALUE!</v>
      </c>
      <c r="M1243" s="105" t="e">
        <f ca="1" t="shared" ref="M1243:M1262" si="158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/>
      <c r="Z1243" s="105"/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437</v>
      </c>
      <c r="C1244" s="70" t="s">
        <v>13</v>
      </c>
      <c r="D1244" s="209" t="s">
        <v>3066</v>
      </c>
      <c r="E1244" s="71" t="s">
        <v>3067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3068</v>
      </c>
      <c r="L1244" s="104">
        <f t="shared" si="157"/>
        <v>46222</v>
      </c>
      <c r="M1244" s="105">
        <f ca="1" t="shared" si="158"/>
        <v>55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/>
      <c r="Z1244" s="105"/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437</v>
      </c>
      <c r="C1245" s="70" t="s">
        <v>13</v>
      </c>
      <c r="D1245" s="209" t="s">
        <v>3069</v>
      </c>
      <c r="E1245" s="71" t="s">
        <v>104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3070</v>
      </c>
      <c r="L1245" s="104">
        <f t="shared" si="157"/>
        <v>46222</v>
      </c>
      <c r="M1245" s="105">
        <f ca="1" t="shared" si="158"/>
        <v>55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/>
      <c r="Z1245" s="105"/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437</v>
      </c>
      <c r="C1246" s="70" t="s">
        <v>13</v>
      </c>
      <c r="D1246" s="209" t="s">
        <v>3071</v>
      </c>
      <c r="E1246" s="71" t="s">
        <v>61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3072</v>
      </c>
      <c r="L1246" s="104">
        <f t="shared" si="157"/>
        <v>46222</v>
      </c>
      <c r="M1246" s="105">
        <f ca="1" t="shared" si="158"/>
        <v>55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/>
      <c r="Z1246" s="105"/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437</v>
      </c>
      <c r="C1247" s="70" t="s">
        <v>13</v>
      </c>
      <c r="D1247" s="221" t="s">
        <v>3073</v>
      </c>
      <c r="E1247" s="71" t="s">
        <v>532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3074</v>
      </c>
      <c r="L1247" s="104">
        <f t="shared" si="157"/>
        <v>46222</v>
      </c>
      <c r="M1247" s="105">
        <f ca="1" t="shared" si="158"/>
        <v>55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/>
      <c r="Z1247" s="105"/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437</v>
      </c>
      <c r="C1248" s="70" t="s">
        <v>13</v>
      </c>
      <c r="D1248" s="209" t="s">
        <v>3075</v>
      </c>
      <c r="E1248" s="71" t="s">
        <v>95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3076</v>
      </c>
      <c r="L1248" s="104">
        <f t="shared" si="157"/>
        <v>46222</v>
      </c>
      <c r="M1248" s="105">
        <f ca="1" t="shared" si="158"/>
        <v>55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613</v>
      </c>
      <c r="C1249" s="70" t="s">
        <v>287</v>
      </c>
      <c r="D1249" s="71" t="s">
        <v>3077</v>
      </c>
      <c r="E1249" s="71" t="s">
        <v>3078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3079</v>
      </c>
      <c r="L1249" s="104">
        <f t="shared" si="157"/>
        <v>46222</v>
      </c>
      <c r="M1249" s="105">
        <f ca="1" t="shared" si="158"/>
        <v>55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173</v>
      </c>
      <c r="C1250" s="70" t="s">
        <v>31</v>
      </c>
      <c r="D1250" s="71" t="s">
        <v>3080</v>
      </c>
      <c r="E1250" s="71" t="s">
        <v>3081</v>
      </c>
      <c r="F1250" s="72"/>
      <c r="G1250" s="73"/>
      <c r="H1250" s="75"/>
      <c r="I1250" s="102">
        <v>46132</v>
      </c>
      <c r="J1250" s="70">
        <v>3</v>
      </c>
      <c r="K1250" s="106" t="s">
        <v>3082</v>
      </c>
      <c r="L1250" s="104">
        <f t="shared" si="157"/>
        <v>46223</v>
      </c>
      <c r="M1250" s="105">
        <f ca="1" t="shared" si="158"/>
        <v>56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437</v>
      </c>
      <c r="C1251" s="70" t="s">
        <v>13</v>
      </c>
      <c r="D1251" s="71" t="s">
        <v>3083</v>
      </c>
      <c r="E1251" s="71" t="s">
        <v>37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3084</v>
      </c>
      <c r="L1251" s="104">
        <f t="shared" si="157"/>
        <v>46223</v>
      </c>
      <c r="M1251" s="105">
        <f ca="1" t="shared" si="158"/>
        <v>56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359</v>
      </c>
      <c r="C1252" s="70" t="s">
        <v>13</v>
      </c>
      <c r="D1252" s="71" t="s">
        <v>3085</v>
      </c>
      <c r="E1252" s="71" t="s">
        <v>57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3086</v>
      </c>
      <c r="L1252" s="104">
        <f t="shared" si="157"/>
        <v>46223</v>
      </c>
      <c r="M1252" s="105">
        <f ca="1" t="shared" si="158"/>
        <v>56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/>
      <c r="Z1252" s="105"/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520</v>
      </c>
      <c r="C1253" s="70" t="s">
        <v>287</v>
      </c>
      <c r="D1253" s="209" t="s">
        <v>3087</v>
      </c>
      <c r="E1253" s="71" t="s">
        <v>522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3088</v>
      </c>
      <c r="L1253" s="104">
        <f t="shared" si="157"/>
        <v>46223</v>
      </c>
      <c r="M1253" s="105">
        <f ca="1" t="shared" si="158"/>
        <v>56</v>
      </c>
      <c r="N1253" s="70"/>
      <c r="O1253" s="70"/>
      <c r="P1253" s="70"/>
      <c r="Q1253" s="71"/>
      <c r="R1253" s="71"/>
      <c r="S1253" s="72"/>
      <c r="T1253" s="73"/>
      <c r="U1253" s="79"/>
      <c r="V1253" s="102"/>
      <c r="W1253" s="70"/>
      <c r="X1253" s="103"/>
      <c r="Y1253" s="104"/>
      <c r="Z1253" s="105"/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520</v>
      </c>
      <c r="C1254" s="70" t="s">
        <v>287</v>
      </c>
      <c r="D1254" s="209" t="s">
        <v>3089</v>
      </c>
      <c r="E1254" s="71" t="s">
        <v>1013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3090</v>
      </c>
      <c r="L1254" s="104">
        <f t="shared" si="157"/>
        <v>46223</v>
      </c>
      <c r="M1254" s="105">
        <f ca="1" t="shared" si="158"/>
        <v>56</v>
      </c>
      <c r="N1254" s="70"/>
      <c r="O1254" s="70"/>
      <c r="P1254" s="70"/>
      <c r="Q1254" s="71"/>
      <c r="R1254" s="71"/>
      <c r="S1254" s="72"/>
      <c r="T1254" s="73"/>
      <c r="U1254" s="74"/>
      <c r="V1254" s="102"/>
      <c r="W1254" s="70"/>
      <c r="X1254" s="103"/>
      <c r="Y1254" s="104"/>
      <c r="Z1254" s="105"/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132</v>
      </c>
      <c r="C1255" s="70" t="s">
        <v>31</v>
      </c>
      <c r="D1255" s="71" t="s">
        <v>133</v>
      </c>
      <c r="E1255" s="71" t="s">
        <v>2490</v>
      </c>
      <c r="F1255" s="72"/>
      <c r="G1255" s="73"/>
      <c r="H1255" s="75"/>
      <c r="I1255" s="102">
        <v>46132</v>
      </c>
      <c r="J1255" s="70" t="s">
        <v>596</v>
      </c>
      <c r="K1255" s="106"/>
      <c r="L1255" s="104" t="e">
        <f t="shared" si="157"/>
        <v>#VALUE!</v>
      </c>
      <c r="M1255" s="105" t="e">
        <f ca="1" t="shared" si="158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/>
      <c r="Z1255" s="105"/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16" t="s">
        <v>281</v>
      </c>
      <c r="C1256" s="70" t="s">
        <v>203</v>
      </c>
      <c r="D1256" s="209" t="s">
        <v>3091</v>
      </c>
      <c r="E1256" s="71" t="s">
        <v>3092</v>
      </c>
      <c r="F1256" s="72"/>
      <c r="G1256" s="73"/>
      <c r="H1256" s="75"/>
      <c r="I1256" s="102">
        <v>46133</v>
      </c>
      <c r="J1256" s="70">
        <v>3</v>
      </c>
      <c r="K1256" s="106" t="s">
        <v>3093</v>
      </c>
      <c r="L1256" s="104">
        <f t="shared" si="157"/>
        <v>46224</v>
      </c>
      <c r="M1256" s="105">
        <f ca="1" t="shared" si="158"/>
        <v>57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/>
      <c r="Z1256" s="105"/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16" t="s">
        <v>954</v>
      </c>
      <c r="C1257" s="70" t="s">
        <v>203</v>
      </c>
      <c r="D1257" s="209" t="s">
        <v>3094</v>
      </c>
      <c r="E1257" s="71" t="s">
        <v>3095</v>
      </c>
      <c r="F1257" s="72"/>
      <c r="G1257" s="73"/>
      <c r="H1257" s="75"/>
      <c r="I1257" s="102">
        <v>46133</v>
      </c>
      <c r="J1257" s="70">
        <v>3</v>
      </c>
      <c r="K1257" s="106" t="s">
        <v>3096</v>
      </c>
      <c r="L1257" s="104">
        <f t="shared" si="157"/>
        <v>46224</v>
      </c>
      <c r="M1257" s="105">
        <f ca="1" t="shared" si="158"/>
        <v>57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/>
      <c r="Z1257" s="105"/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16" t="s">
        <v>281</v>
      </c>
      <c r="C1258" s="70" t="s">
        <v>203</v>
      </c>
      <c r="D1258" s="209" t="s">
        <v>282</v>
      </c>
      <c r="E1258" s="71" t="s">
        <v>283</v>
      </c>
      <c r="F1258" s="72"/>
      <c r="G1258" s="73"/>
      <c r="H1258" s="75"/>
      <c r="I1258" s="102">
        <v>46133</v>
      </c>
      <c r="J1258" s="70" t="s">
        <v>596</v>
      </c>
      <c r="K1258" s="106"/>
      <c r="L1258" s="104" t="e">
        <f t="shared" si="157"/>
        <v>#VALUE!</v>
      </c>
      <c r="M1258" s="105" t="e">
        <f ca="1" t="shared" si="158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/>
      <c r="Z1258" s="105"/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16" t="s">
        <v>588</v>
      </c>
      <c r="C1259" s="70" t="s">
        <v>203</v>
      </c>
      <c r="D1259" s="71" t="s">
        <v>589</v>
      </c>
      <c r="E1259" s="71" t="s">
        <v>590</v>
      </c>
      <c r="F1259" s="72"/>
      <c r="G1259" s="73"/>
      <c r="H1259" s="75"/>
      <c r="I1259" s="102">
        <v>46133</v>
      </c>
      <c r="J1259" s="70" t="s">
        <v>596</v>
      </c>
      <c r="K1259" s="106"/>
      <c r="L1259" s="104" t="e">
        <f t="shared" si="157"/>
        <v>#VALUE!</v>
      </c>
      <c r="M1259" s="105" t="e">
        <f ca="1" t="shared" si="158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/>
      <c r="Z1259" s="105"/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281</v>
      </c>
      <c r="C1260" s="70" t="s">
        <v>13</v>
      </c>
      <c r="D1260" s="108" t="s">
        <v>3097</v>
      </c>
      <c r="E1260" s="71" t="s">
        <v>3098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3099</v>
      </c>
      <c r="L1260" s="104">
        <f t="shared" si="157"/>
        <v>46225</v>
      </c>
      <c r="M1260" s="105">
        <f ca="1" t="shared" si="158"/>
        <v>58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/>
      <c r="Z1260" s="105"/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619</v>
      </c>
      <c r="C1261" s="70" t="s">
        <v>203</v>
      </c>
      <c r="D1261" s="209" t="s">
        <v>3100</v>
      </c>
      <c r="E1261" s="71" t="s">
        <v>3101</v>
      </c>
      <c r="F1261" s="72"/>
      <c r="G1261" s="73"/>
      <c r="H1261" s="75"/>
      <c r="I1261" s="102">
        <v>46134</v>
      </c>
      <c r="J1261" s="70">
        <v>3</v>
      </c>
      <c r="K1261" s="106" t="s">
        <v>3102</v>
      </c>
      <c r="L1261" s="104">
        <f t="shared" si="157"/>
        <v>46225</v>
      </c>
      <c r="M1261" s="105">
        <f ca="1" t="shared" si="158"/>
        <v>58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/>
      <c r="Z1261" s="105"/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208</v>
      </c>
      <c r="C1262" s="70" t="s">
        <v>203</v>
      </c>
      <c r="D1262" s="71" t="s">
        <v>743</v>
      </c>
      <c r="E1262" s="71" t="s">
        <v>283</v>
      </c>
      <c r="F1262" s="72"/>
      <c r="G1262" s="73"/>
      <c r="H1262" s="75"/>
      <c r="I1262" s="102">
        <v>46134</v>
      </c>
      <c r="J1262" s="70" t="s">
        <v>596</v>
      </c>
      <c r="K1262" s="106"/>
      <c r="L1262" s="104" t="e">
        <f t="shared" ref="L1262:L1268" si="159">EDATE(I1262,J1262)</f>
        <v>#VALUE!</v>
      </c>
      <c r="M1262" s="105" t="e">
        <f ca="1" t="shared" ref="M1262:M1268" si="160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/>
      <c r="Z1262" s="105"/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559</v>
      </c>
      <c r="C1263" s="70" t="s">
        <v>13</v>
      </c>
      <c r="D1263" s="71" t="s">
        <v>3103</v>
      </c>
      <c r="E1263" s="71" t="s">
        <v>95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3104</v>
      </c>
      <c r="L1263" s="104">
        <f t="shared" si="159"/>
        <v>46226</v>
      </c>
      <c r="M1263" s="105">
        <f ca="1" t="shared" si="160"/>
        <v>59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/>
      <c r="Z1263" s="105"/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619</v>
      </c>
      <c r="C1264" s="70" t="s">
        <v>13</v>
      </c>
      <c r="D1264" s="71" t="s">
        <v>3105</v>
      </c>
      <c r="E1264" s="71" t="s">
        <v>95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3106</v>
      </c>
      <c r="L1264" s="104">
        <f t="shared" si="159"/>
        <v>46226</v>
      </c>
      <c r="M1264" s="105">
        <f ca="1" t="shared" si="160"/>
        <v>59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/>
      <c r="Z1264" s="105"/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3031</v>
      </c>
      <c r="C1265" s="70" t="s">
        <v>31</v>
      </c>
      <c r="D1265" s="71" t="s">
        <v>3107</v>
      </c>
      <c r="E1265" s="71" t="s">
        <v>258</v>
      </c>
      <c r="F1265" s="72"/>
      <c r="G1265" s="73"/>
      <c r="H1265" s="224"/>
      <c r="I1265" s="102">
        <v>46135</v>
      </c>
      <c r="J1265" s="70">
        <v>3</v>
      </c>
      <c r="K1265" s="106" t="s">
        <v>3108</v>
      </c>
      <c r="L1265" s="104">
        <f t="shared" si="159"/>
        <v>46226</v>
      </c>
      <c r="M1265" s="105">
        <f ca="1" t="shared" si="160"/>
        <v>59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/>
      <c r="Z1265" s="105"/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178</v>
      </c>
      <c r="C1266" s="70" t="s">
        <v>13</v>
      </c>
      <c r="D1266" s="71" t="s">
        <v>3109</v>
      </c>
      <c r="E1266" s="71" t="s">
        <v>104</v>
      </c>
      <c r="F1266" s="72"/>
      <c r="G1266" s="73"/>
      <c r="H1266" s="224"/>
      <c r="I1266" s="102">
        <v>46135</v>
      </c>
      <c r="J1266" s="70">
        <v>3</v>
      </c>
      <c r="K1266" s="106" t="s">
        <v>3110</v>
      </c>
      <c r="L1266" s="104">
        <f t="shared" si="159"/>
        <v>46226</v>
      </c>
      <c r="M1266" s="105">
        <f ca="1" t="shared" si="160"/>
        <v>59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/>
      <c r="Z1266" s="105"/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178</v>
      </c>
      <c r="C1267" s="70" t="s">
        <v>31</v>
      </c>
      <c r="D1267" s="71" t="s">
        <v>3111</v>
      </c>
      <c r="E1267" s="71" t="s">
        <v>33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3112</v>
      </c>
      <c r="L1267" s="104">
        <f t="shared" si="159"/>
        <v>46226</v>
      </c>
      <c r="M1267" s="105">
        <f ca="1" t="shared" si="160"/>
        <v>59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/>
      <c r="Z1267" s="105"/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2055</v>
      </c>
      <c r="C1268" s="70" t="s">
        <v>287</v>
      </c>
      <c r="D1268" s="71" t="s">
        <v>3113</v>
      </c>
      <c r="E1268" s="71" t="s">
        <v>3114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3115</v>
      </c>
      <c r="L1268" s="104">
        <f t="shared" si="159"/>
        <v>46226</v>
      </c>
      <c r="M1268" s="105">
        <f ca="1" t="shared" si="160"/>
        <v>59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/>
      <c r="Z1268" s="105"/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178</v>
      </c>
      <c r="C1269" s="70" t="s">
        <v>31</v>
      </c>
      <c r="D1269" s="71" t="s">
        <v>3116</v>
      </c>
      <c r="E1269" s="71" t="s">
        <v>52</v>
      </c>
      <c r="F1269" s="72"/>
      <c r="G1269" s="73"/>
      <c r="H1269" s="75"/>
      <c r="I1269" s="102">
        <v>46136</v>
      </c>
      <c r="J1269" s="70">
        <v>3</v>
      </c>
      <c r="K1269" s="106" t="s">
        <v>3117</v>
      </c>
      <c r="L1269" s="104">
        <f t="shared" ref="L1269:L1277" si="161">EDATE(I1269,J1269)</f>
        <v>46227</v>
      </c>
      <c r="M1269" s="105">
        <f ca="1" t="shared" ref="M1269:M1277" si="162">L1269-TODAY()</f>
        <v>60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/>
      <c r="Z1269" s="105"/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3118</v>
      </c>
      <c r="C1270" s="70" t="s">
        <v>13</v>
      </c>
      <c r="D1270" s="71" t="s">
        <v>3119</v>
      </c>
      <c r="E1270" s="71" t="s">
        <v>3120</v>
      </c>
      <c r="F1270" s="72"/>
      <c r="G1270" s="73"/>
      <c r="H1270" s="75"/>
      <c r="I1270" s="102">
        <v>46136</v>
      </c>
      <c r="J1270" s="70">
        <v>3</v>
      </c>
      <c r="K1270" s="106" t="s">
        <v>3121</v>
      </c>
      <c r="L1270" s="104">
        <f t="shared" si="161"/>
        <v>46227</v>
      </c>
      <c r="M1270" s="105">
        <f ca="1" t="shared" si="162"/>
        <v>60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/>
      <c r="Z1270" s="105"/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217</v>
      </c>
      <c r="C1271" s="70" t="s">
        <v>203</v>
      </c>
      <c r="D1271" s="209" t="s">
        <v>3122</v>
      </c>
      <c r="E1271" s="71" t="s">
        <v>3123</v>
      </c>
      <c r="F1271" s="72"/>
      <c r="G1271" s="73"/>
      <c r="H1271" s="75"/>
      <c r="I1271" s="102">
        <v>46136</v>
      </c>
      <c r="J1271" s="70">
        <v>3</v>
      </c>
      <c r="K1271" s="106" t="s">
        <v>3124</v>
      </c>
      <c r="L1271" s="104">
        <f t="shared" si="161"/>
        <v>46227</v>
      </c>
      <c r="M1271" s="105">
        <f ca="1" t="shared" si="162"/>
        <v>60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/>
      <c r="Z1271" s="105"/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202</v>
      </c>
      <c r="C1272" s="70" t="s">
        <v>203</v>
      </c>
      <c r="D1272" s="209" t="s">
        <v>204</v>
      </c>
      <c r="E1272" s="71" t="s">
        <v>205</v>
      </c>
      <c r="F1272" s="72"/>
      <c r="G1272" s="73"/>
      <c r="H1272" s="75"/>
      <c r="I1272" s="102">
        <v>46136</v>
      </c>
      <c r="J1272" s="70" t="s">
        <v>596</v>
      </c>
      <c r="K1272" s="106"/>
      <c r="L1272" s="104" t="e">
        <f t="shared" si="161"/>
        <v>#VALUE!</v>
      </c>
      <c r="M1272" s="105" t="e">
        <f ca="1" t="shared" si="162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/>
      <c r="Z1272" s="105"/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954</v>
      </c>
      <c r="C1273" s="70" t="s">
        <v>203</v>
      </c>
      <c r="D1273" s="209" t="s">
        <v>955</v>
      </c>
      <c r="E1273" s="71" t="s">
        <v>203</v>
      </c>
      <c r="F1273" s="72"/>
      <c r="G1273" s="73"/>
      <c r="H1273" s="75"/>
      <c r="I1273" s="102">
        <v>46136</v>
      </c>
      <c r="J1273" s="70" t="s">
        <v>596</v>
      </c>
      <c r="K1273" s="106"/>
      <c r="L1273" s="104" t="e">
        <f t="shared" si="161"/>
        <v>#VALUE!</v>
      </c>
      <c r="M1273" s="105" t="e">
        <f ca="1" t="shared" si="162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/>
      <c r="Z1273" s="105"/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217</v>
      </c>
      <c r="C1274" s="70" t="s">
        <v>203</v>
      </c>
      <c r="D1274" s="209" t="s">
        <v>2616</v>
      </c>
      <c r="E1274" s="71" t="s">
        <v>279</v>
      </c>
      <c r="F1274" s="72"/>
      <c r="G1274" s="73"/>
      <c r="H1274" s="75"/>
      <c r="I1274" s="102">
        <v>46136</v>
      </c>
      <c r="J1274" s="70" t="s">
        <v>596</v>
      </c>
      <c r="K1274" s="106"/>
      <c r="L1274" s="104" t="e">
        <f t="shared" si="161"/>
        <v>#VALUE!</v>
      </c>
      <c r="M1274" s="105" t="e">
        <f ca="1" t="shared" si="162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/>
      <c r="Z1274" s="105"/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583</v>
      </c>
      <c r="C1275" s="70" t="s">
        <v>13</v>
      </c>
      <c r="D1275" s="209" t="s">
        <v>3125</v>
      </c>
      <c r="E1275" s="71" t="s">
        <v>37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3126</v>
      </c>
      <c r="L1275" s="104">
        <f t="shared" si="161"/>
        <v>46228</v>
      </c>
      <c r="M1275" s="105">
        <f ca="1" t="shared" si="162"/>
        <v>61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/>
      <c r="Z1275" s="105"/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559</v>
      </c>
      <c r="C1276" s="70" t="s">
        <v>13</v>
      </c>
      <c r="D1276" s="71" t="s">
        <v>3127</v>
      </c>
      <c r="E1276" s="71" t="s">
        <v>95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3128</v>
      </c>
      <c r="L1276" s="104">
        <f t="shared" si="161"/>
        <v>46228</v>
      </c>
      <c r="M1276" s="105">
        <f ca="1" t="shared" si="162"/>
        <v>61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/>
      <c r="Z1276" s="105"/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11" t="s">
        <v>241</v>
      </c>
      <c r="C1277" s="70" t="s">
        <v>13</v>
      </c>
      <c r="D1277" s="209" t="s">
        <v>3129</v>
      </c>
      <c r="E1277" s="71" t="s">
        <v>243</v>
      </c>
      <c r="F1277" s="72"/>
      <c r="G1277" s="73"/>
      <c r="H1277" s="75"/>
      <c r="I1277" s="102">
        <v>46137</v>
      </c>
      <c r="J1277" s="70">
        <v>3</v>
      </c>
      <c r="K1277" s="106" t="s">
        <v>3130</v>
      </c>
      <c r="L1277" s="104">
        <f t="shared" si="161"/>
        <v>46228</v>
      </c>
      <c r="M1277" s="105">
        <f ca="1" t="shared" si="162"/>
        <v>61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/>
      <c r="Z1277" s="105"/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1488</v>
      </c>
      <c r="C1278" s="70" t="s">
        <v>287</v>
      </c>
      <c r="D1278" s="71" t="s">
        <v>3131</v>
      </c>
      <c r="E1278" s="71" t="s">
        <v>1287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3132</v>
      </c>
      <c r="L1278" s="104">
        <f t="shared" ref="L1278:L1286" si="163">EDATE(I1278,J1278)</f>
        <v>46228</v>
      </c>
      <c r="M1278" s="105">
        <f ca="1" t="shared" ref="M1278:M1286" si="164">L1278-TODAY()</f>
        <v>61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/>
      <c r="Z1278" s="105"/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44</v>
      </c>
      <c r="C1279" s="70" t="s">
        <v>13</v>
      </c>
      <c r="D1279" s="71" t="s">
        <v>3133</v>
      </c>
      <c r="E1279" s="71" t="s">
        <v>95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3134</v>
      </c>
      <c r="L1279" s="104">
        <f t="shared" si="163"/>
        <v>46229</v>
      </c>
      <c r="M1279" s="105">
        <f ca="1" t="shared" si="164"/>
        <v>62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/>
      <c r="Z1279" s="105"/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44</v>
      </c>
      <c r="C1280" s="70" t="s">
        <v>13</v>
      </c>
      <c r="D1280" s="71" t="s">
        <v>3135</v>
      </c>
      <c r="E1280" s="71" t="s">
        <v>57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3136</v>
      </c>
      <c r="L1280" s="104">
        <f t="shared" si="163"/>
        <v>46229</v>
      </c>
      <c r="M1280" s="105">
        <f ca="1" t="shared" si="164"/>
        <v>62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/>
      <c r="Z1280" s="105"/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607</v>
      </c>
      <c r="C1281" s="70" t="s">
        <v>287</v>
      </c>
      <c r="D1281" s="71" t="s">
        <v>3137</v>
      </c>
      <c r="E1281" s="71" t="s">
        <v>599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3138</v>
      </c>
      <c r="L1281" s="104">
        <f t="shared" si="163"/>
        <v>46229</v>
      </c>
      <c r="M1281" s="105">
        <f ca="1" t="shared" si="164"/>
        <v>62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/>
      <c r="Z1281" s="105"/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689</v>
      </c>
      <c r="C1282" s="70" t="s">
        <v>287</v>
      </c>
      <c r="D1282" s="71" t="s">
        <v>3139</v>
      </c>
      <c r="E1282" s="71" t="s">
        <v>691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3140</v>
      </c>
      <c r="L1282" s="104">
        <f t="shared" si="163"/>
        <v>46229</v>
      </c>
      <c r="M1282" s="105">
        <f ca="1" t="shared" si="164"/>
        <v>62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/>
      <c r="Z1282" s="105"/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11" t="s">
        <v>958</v>
      </c>
      <c r="C1283" s="70" t="s">
        <v>203</v>
      </c>
      <c r="D1283" s="225" t="s">
        <v>3141</v>
      </c>
      <c r="E1283" s="71" t="s">
        <v>3142</v>
      </c>
      <c r="F1283" s="72"/>
      <c r="G1283" s="73"/>
      <c r="H1283" s="75"/>
      <c r="I1283" s="102">
        <v>46138</v>
      </c>
      <c r="J1283" s="70">
        <v>3</v>
      </c>
      <c r="K1283" s="106" t="s">
        <v>3143</v>
      </c>
      <c r="L1283" s="104">
        <f t="shared" si="163"/>
        <v>46229</v>
      </c>
      <c r="M1283" s="105">
        <f ca="1" t="shared" si="164"/>
        <v>62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/>
      <c r="Z1283" s="105"/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11" t="s">
        <v>230</v>
      </c>
      <c r="C1284" s="70" t="s">
        <v>203</v>
      </c>
      <c r="D1284" s="225" t="s">
        <v>2329</v>
      </c>
      <c r="E1284" s="71" t="s">
        <v>2844</v>
      </c>
      <c r="F1284" s="72"/>
      <c r="G1284" s="73"/>
      <c r="H1284" s="75"/>
      <c r="I1284" s="102">
        <v>46138</v>
      </c>
      <c r="J1284" s="70" t="s">
        <v>596</v>
      </c>
      <c r="K1284" s="106"/>
      <c r="L1284" s="104" t="e">
        <f t="shared" si="163"/>
        <v>#VALUE!</v>
      </c>
      <c r="M1284" s="105" t="e">
        <f ca="1" t="shared" si="164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/>
      <c r="Z1284" s="105"/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11" t="s">
        <v>2968</v>
      </c>
      <c r="C1285" s="70" t="s">
        <v>203</v>
      </c>
      <c r="D1285" s="225" t="s">
        <v>2969</v>
      </c>
      <c r="E1285" s="71" t="s">
        <v>3101</v>
      </c>
      <c r="F1285" s="72"/>
      <c r="G1285" s="73"/>
      <c r="H1285" s="75"/>
      <c r="I1285" s="102">
        <v>46138</v>
      </c>
      <c r="J1285" s="70" t="s">
        <v>596</v>
      </c>
      <c r="K1285" s="106"/>
      <c r="L1285" s="104" t="e">
        <f t="shared" si="163"/>
        <v>#VALUE!</v>
      </c>
      <c r="M1285" s="105" t="e">
        <f ca="1" t="shared" si="164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/>
      <c r="Z1285" s="105"/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11" t="s">
        <v>178</v>
      </c>
      <c r="C1286" s="70" t="s">
        <v>31</v>
      </c>
      <c r="D1286" s="225" t="s">
        <v>3144</v>
      </c>
      <c r="E1286" s="71" t="s">
        <v>3145</v>
      </c>
      <c r="F1286" s="72"/>
      <c r="G1286" s="73"/>
      <c r="H1286" s="75"/>
      <c r="I1286" s="102">
        <v>46139</v>
      </c>
      <c r="J1286" s="70">
        <v>3</v>
      </c>
      <c r="K1286" s="106" t="s">
        <v>3146</v>
      </c>
      <c r="L1286" s="104">
        <f t="shared" si="163"/>
        <v>46230</v>
      </c>
      <c r="M1286" s="105">
        <f ca="1" t="shared" si="164"/>
        <v>63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/>
      <c r="Z1286" s="105"/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583</v>
      </c>
      <c r="C1287" s="70" t="s">
        <v>31</v>
      </c>
      <c r="D1287" s="71" t="s">
        <v>3147</v>
      </c>
      <c r="E1287" s="71" t="s">
        <v>3148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3149</v>
      </c>
      <c r="L1287" s="104">
        <f t="shared" ref="L1287:L1311" si="165">EDATE(I1287,J1287)</f>
        <v>46230</v>
      </c>
      <c r="M1287" s="105">
        <f ca="1" t="shared" ref="M1287:M1311" si="166">L1287-TODAY()</f>
        <v>63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/>
      <c r="Z1287" s="105"/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566</v>
      </c>
      <c r="C1288" s="70" t="s">
        <v>31</v>
      </c>
      <c r="D1288" s="71" t="s">
        <v>3150</v>
      </c>
      <c r="E1288" s="71" t="s">
        <v>570</v>
      </c>
      <c r="F1288" s="72"/>
      <c r="G1288" s="73"/>
      <c r="H1288" s="75"/>
      <c r="I1288" s="102">
        <v>46139</v>
      </c>
      <c r="J1288" s="70">
        <v>3</v>
      </c>
      <c r="K1288" s="106" t="s">
        <v>3151</v>
      </c>
      <c r="L1288" s="104">
        <f t="shared" si="165"/>
        <v>46230</v>
      </c>
      <c r="M1288" s="105">
        <f ca="1" t="shared" si="166"/>
        <v>63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/>
      <c r="Z1288" s="105"/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3152</v>
      </c>
      <c r="C1289" s="70" t="s">
        <v>203</v>
      </c>
      <c r="D1289" s="71" t="s">
        <v>3153</v>
      </c>
      <c r="E1289" s="71" t="s">
        <v>210</v>
      </c>
      <c r="F1289" s="72"/>
      <c r="G1289" s="73"/>
      <c r="H1289" s="75"/>
      <c r="I1289" s="102">
        <v>46139</v>
      </c>
      <c r="J1289" s="70">
        <v>3</v>
      </c>
      <c r="K1289" s="106" t="s">
        <v>3154</v>
      </c>
      <c r="L1289" s="104">
        <f t="shared" si="165"/>
        <v>46230</v>
      </c>
      <c r="M1289" s="105">
        <f ca="1" t="shared" si="166"/>
        <v>63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/>
      <c r="Z1289" s="105"/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208</v>
      </c>
      <c r="C1290" s="70" t="s">
        <v>203</v>
      </c>
      <c r="D1290" s="71" t="s">
        <v>3155</v>
      </c>
      <c r="E1290" s="71" t="s">
        <v>203</v>
      </c>
      <c r="F1290" s="72"/>
      <c r="G1290" s="73"/>
      <c r="H1290" s="75"/>
      <c r="I1290" s="102">
        <v>46139</v>
      </c>
      <c r="J1290" s="70">
        <v>3</v>
      </c>
      <c r="K1290" s="106" t="s">
        <v>3156</v>
      </c>
      <c r="L1290" s="104">
        <f t="shared" si="165"/>
        <v>46230</v>
      </c>
      <c r="M1290" s="105">
        <f ca="1" t="shared" si="166"/>
        <v>63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/>
      <c r="Z1290" s="105"/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11" t="s">
        <v>208</v>
      </c>
      <c r="C1291" s="70" t="s">
        <v>203</v>
      </c>
      <c r="D1291" s="209" t="s">
        <v>282</v>
      </c>
      <c r="E1291" s="71" t="s">
        <v>283</v>
      </c>
      <c r="F1291" s="72"/>
      <c r="G1291" s="73"/>
      <c r="H1291" s="75"/>
      <c r="I1291" s="102">
        <v>46139</v>
      </c>
      <c r="J1291" s="70" t="s">
        <v>596</v>
      </c>
      <c r="K1291" s="106"/>
      <c r="L1291" s="104" t="e">
        <f t="shared" si="165"/>
        <v>#VALUE!</v>
      </c>
      <c r="M1291" s="105" t="e">
        <f ca="1" t="shared" si="166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/>
      <c r="Z1291" s="105"/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11" t="s">
        <v>208</v>
      </c>
      <c r="C1292" s="70" t="s">
        <v>203</v>
      </c>
      <c r="D1292" s="209" t="s">
        <v>213</v>
      </c>
      <c r="E1292" s="71" t="s">
        <v>214</v>
      </c>
      <c r="F1292" s="72"/>
      <c r="G1292" s="73"/>
      <c r="H1292" s="75"/>
      <c r="I1292" s="102">
        <v>46139</v>
      </c>
      <c r="J1292" s="70" t="s">
        <v>596</v>
      </c>
      <c r="K1292" s="106"/>
      <c r="L1292" s="104" t="e">
        <f t="shared" si="165"/>
        <v>#VALUE!</v>
      </c>
      <c r="M1292" s="105" t="e">
        <f ca="1" t="shared" si="166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/>
      <c r="Z1292" s="105"/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930</v>
      </c>
      <c r="C1293" s="70" t="s">
        <v>31</v>
      </c>
      <c r="D1293" s="71" t="s">
        <v>3157</v>
      </c>
      <c r="E1293" s="71" t="s">
        <v>148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3158</v>
      </c>
      <c r="L1293" s="104">
        <f t="shared" si="165"/>
        <v>46231</v>
      </c>
      <c r="M1293" s="105">
        <f ca="1" t="shared" si="166"/>
        <v>64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/>
      <c r="Z1293" s="105"/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930</v>
      </c>
      <c r="C1294" s="70" t="s">
        <v>13</v>
      </c>
      <c r="D1294" s="71" t="s">
        <v>3159</v>
      </c>
      <c r="E1294" s="71" t="s">
        <v>37</v>
      </c>
      <c r="F1294" s="72"/>
      <c r="G1294" s="73"/>
      <c r="H1294" s="75"/>
      <c r="I1294" s="102">
        <v>46140</v>
      </c>
      <c r="J1294" s="73">
        <v>3</v>
      </c>
      <c r="K1294" s="106" t="s">
        <v>3160</v>
      </c>
      <c r="L1294" s="104">
        <f t="shared" si="165"/>
        <v>46231</v>
      </c>
      <c r="M1294" s="105">
        <f ca="1" t="shared" si="166"/>
        <v>64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/>
      <c r="Z1294" s="105"/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930</v>
      </c>
      <c r="C1295" s="70" t="s">
        <v>13</v>
      </c>
      <c r="D1295" s="71" t="s">
        <v>3161</v>
      </c>
      <c r="E1295" s="71" t="s">
        <v>37</v>
      </c>
      <c r="F1295" s="72"/>
      <c r="G1295" s="73"/>
      <c r="H1295" s="75"/>
      <c r="I1295" s="102">
        <v>46140</v>
      </c>
      <c r="J1295" s="73">
        <v>3</v>
      </c>
      <c r="K1295" s="106" t="s">
        <v>3162</v>
      </c>
      <c r="L1295" s="104">
        <f t="shared" si="165"/>
        <v>46231</v>
      </c>
      <c r="M1295" s="105">
        <f ca="1" t="shared" si="166"/>
        <v>64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/>
      <c r="Z1295" s="105"/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16" t="s">
        <v>3163</v>
      </c>
      <c r="C1296" s="70" t="s">
        <v>31</v>
      </c>
      <c r="D1296" s="71" t="s">
        <v>3164</v>
      </c>
      <c r="E1296" s="71" t="s">
        <v>148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3165</v>
      </c>
      <c r="L1296" s="104">
        <f t="shared" si="165"/>
        <v>46231</v>
      </c>
      <c r="M1296" s="105">
        <f ca="1" t="shared" si="166"/>
        <v>64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/>
      <c r="Z1296" s="105"/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16" t="s">
        <v>3163</v>
      </c>
      <c r="C1297" s="70" t="s">
        <v>13</v>
      </c>
      <c r="D1297" s="71" t="s">
        <v>3166</v>
      </c>
      <c r="E1297" s="71" t="s">
        <v>37</v>
      </c>
      <c r="F1297" s="72"/>
      <c r="G1297" s="73"/>
      <c r="H1297" s="75"/>
      <c r="I1297" s="102">
        <v>46140</v>
      </c>
      <c r="J1297" s="73">
        <v>3</v>
      </c>
      <c r="K1297" s="106" t="s">
        <v>3167</v>
      </c>
      <c r="L1297" s="104">
        <f t="shared" si="165"/>
        <v>46231</v>
      </c>
      <c r="M1297" s="105">
        <f ca="1" t="shared" si="166"/>
        <v>64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/>
      <c r="Z1297" s="105"/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3168</v>
      </c>
      <c r="C1298" s="70" t="s">
        <v>203</v>
      </c>
      <c r="D1298" s="209" t="s">
        <v>3169</v>
      </c>
      <c r="E1298" s="71" t="s">
        <v>2277</v>
      </c>
      <c r="F1298" s="72"/>
      <c r="G1298" s="73"/>
      <c r="H1298" s="75"/>
      <c r="I1298" s="102">
        <v>46140</v>
      </c>
      <c r="J1298" s="73">
        <v>3</v>
      </c>
      <c r="K1298" s="106" t="s">
        <v>3170</v>
      </c>
      <c r="L1298" s="104">
        <f t="shared" si="165"/>
        <v>46231</v>
      </c>
      <c r="M1298" s="105">
        <f ca="1" t="shared" si="166"/>
        <v>64</v>
      </c>
      <c r="N1298" s="70"/>
      <c r="O1298" s="70"/>
      <c r="P1298" s="70"/>
      <c r="Q1298" s="218"/>
      <c r="R1298" s="71"/>
      <c r="S1298" s="72"/>
      <c r="T1298" s="73"/>
      <c r="U1298" s="79"/>
      <c r="V1298" s="102"/>
      <c r="W1298" s="70"/>
      <c r="X1298" s="103"/>
      <c r="Y1298" s="104"/>
      <c r="Z1298" s="105"/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11" t="s">
        <v>497</v>
      </c>
      <c r="C1299" s="70" t="s">
        <v>203</v>
      </c>
      <c r="D1299" s="209" t="s">
        <v>204</v>
      </c>
      <c r="E1299" s="71" t="s">
        <v>205</v>
      </c>
      <c r="F1299" s="72"/>
      <c r="G1299" s="73"/>
      <c r="H1299" s="75"/>
      <c r="I1299" s="102">
        <v>46140</v>
      </c>
      <c r="J1299" s="70" t="s">
        <v>596</v>
      </c>
      <c r="K1299" s="106"/>
      <c r="L1299" s="104" t="e">
        <f t="shared" si="165"/>
        <v>#VALUE!</v>
      </c>
      <c r="M1299" s="105" t="e">
        <f ca="1" t="shared" si="166"/>
        <v>#VALUE!</v>
      </c>
      <c r="N1299" s="70"/>
      <c r="O1299" s="70"/>
      <c r="P1299" s="70"/>
      <c r="Q1299" s="209"/>
      <c r="R1299" s="71"/>
      <c r="S1299" s="72"/>
      <c r="T1299" s="73"/>
      <c r="U1299" s="79"/>
      <c r="V1299" s="102"/>
      <c r="W1299" s="70"/>
      <c r="X1299" s="103"/>
      <c r="Y1299" s="104"/>
      <c r="Z1299" s="105"/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11" t="s">
        <v>497</v>
      </c>
      <c r="C1300" s="70" t="s">
        <v>203</v>
      </c>
      <c r="D1300" s="209" t="s">
        <v>1871</v>
      </c>
      <c r="E1300" s="71" t="s">
        <v>205</v>
      </c>
      <c r="F1300" s="72"/>
      <c r="G1300" s="73"/>
      <c r="H1300" s="75"/>
      <c r="I1300" s="102">
        <v>46140</v>
      </c>
      <c r="J1300" s="70" t="s">
        <v>596</v>
      </c>
      <c r="K1300" s="106"/>
      <c r="L1300" s="104" t="e">
        <f t="shared" si="165"/>
        <v>#VALUE!</v>
      </c>
      <c r="M1300" s="105" t="e">
        <f ca="1" t="shared" si="166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/>
      <c r="Z1300" s="105"/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11" t="s">
        <v>202</v>
      </c>
      <c r="C1301" s="70" t="s">
        <v>203</v>
      </c>
      <c r="D1301" s="209" t="s">
        <v>204</v>
      </c>
      <c r="E1301" s="71" t="s">
        <v>205</v>
      </c>
      <c r="F1301" s="72"/>
      <c r="G1301" s="73"/>
      <c r="H1301" s="75"/>
      <c r="I1301" s="102">
        <v>46140</v>
      </c>
      <c r="J1301" s="70" t="s">
        <v>596</v>
      </c>
      <c r="K1301" s="106"/>
      <c r="L1301" s="104" t="e">
        <f t="shared" si="165"/>
        <v>#VALUE!</v>
      </c>
      <c r="M1301" s="105" t="e">
        <f ca="1" t="shared" si="166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/>
      <c r="Z1301" s="105"/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226" t="s">
        <v>746</v>
      </c>
      <c r="C1302" s="70" t="s">
        <v>13</v>
      </c>
      <c r="D1302" s="227" t="s">
        <v>3171</v>
      </c>
      <c r="E1302" s="71" t="s">
        <v>15</v>
      </c>
      <c r="F1302" s="72"/>
      <c r="G1302" s="73"/>
      <c r="H1302" s="75" t="s">
        <v>334</v>
      </c>
      <c r="I1302" s="102">
        <v>46141</v>
      </c>
      <c r="J1302" s="70">
        <v>3</v>
      </c>
      <c r="K1302" s="106" t="s">
        <v>3172</v>
      </c>
      <c r="L1302" s="104">
        <f t="shared" si="165"/>
        <v>46232</v>
      </c>
      <c r="M1302" s="105">
        <f ca="1" t="shared" si="166"/>
        <v>65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/>
      <c r="Z1302" s="105"/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28" t="s">
        <v>1637</v>
      </c>
      <c r="C1303" s="70" t="s">
        <v>13</v>
      </c>
      <c r="D1303" s="227" t="s">
        <v>3173</v>
      </c>
      <c r="E1303" s="71" t="s">
        <v>3174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3175</v>
      </c>
      <c r="L1303" s="104">
        <f t="shared" si="165"/>
        <v>46232</v>
      </c>
      <c r="M1303" s="105">
        <f ca="1" t="shared" si="166"/>
        <v>65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/>
      <c r="Z1303" s="105"/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28" t="s">
        <v>1637</v>
      </c>
      <c r="C1304" s="70" t="s">
        <v>13</v>
      </c>
      <c r="D1304" s="227" t="s">
        <v>3176</v>
      </c>
      <c r="E1304" s="71" t="s">
        <v>3177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3178</v>
      </c>
      <c r="L1304" s="104">
        <f t="shared" si="165"/>
        <v>46232</v>
      </c>
      <c r="M1304" s="105">
        <f ca="1" t="shared" si="166"/>
        <v>65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/>
      <c r="Z1304" s="105"/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28" t="s">
        <v>497</v>
      </c>
      <c r="C1305" s="70" t="s">
        <v>203</v>
      </c>
      <c r="D1305" s="227" t="s">
        <v>1470</v>
      </c>
      <c r="E1305" s="71" t="s">
        <v>205</v>
      </c>
      <c r="F1305" s="72"/>
      <c r="G1305" s="73"/>
      <c r="H1305" s="75"/>
      <c r="I1305" s="102">
        <v>46141</v>
      </c>
      <c r="J1305" s="70" t="s">
        <v>596</v>
      </c>
      <c r="K1305" s="106"/>
      <c r="L1305" s="104" t="e">
        <f t="shared" si="165"/>
        <v>#VALUE!</v>
      </c>
      <c r="M1305" s="105" t="e">
        <f ca="1" t="shared" si="166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/>
      <c r="Z1305" s="105"/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28" t="s">
        <v>497</v>
      </c>
      <c r="C1306" s="70" t="s">
        <v>203</v>
      </c>
      <c r="D1306" s="227" t="s">
        <v>204</v>
      </c>
      <c r="E1306" s="71" t="s">
        <v>205</v>
      </c>
      <c r="F1306" s="72"/>
      <c r="G1306" s="73"/>
      <c r="H1306" s="75"/>
      <c r="I1306" s="102">
        <v>46141</v>
      </c>
      <c r="J1306" s="70" t="s">
        <v>596</v>
      </c>
      <c r="K1306" s="106"/>
      <c r="L1306" s="104" t="e">
        <f t="shared" si="165"/>
        <v>#VALUE!</v>
      </c>
      <c r="M1306" s="105" t="e">
        <f ca="1" t="shared" si="166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/>
      <c r="Z1306" s="105"/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28" t="s">
        <v>497</v>
      </c>
      <c r="C1307" s="70" t="s">
        <v>203</v>
      </c>
      <c r="D1307" s="227" t="s">
        <v>1871</v>
      </c>
      <c r="E1307" s="71" t="s">
        <v>205</v>
      </c>
      <c r="F1307" s="72"/>
      <c r="G1307" s="73"/>
      <c r="H1307" s="229"/>
      <c r="I1307" s="102">
        <v>46141</v>
      </c>
      <c r="J1307" s="70" t="s">
        <v>596</v>
      </c>
      <c r="K1307" s="106"/>
      <c r="L1307" s="104" t="e">
        <f t="shared" si="165"/>
        <v>#VALUE!</v>
      </c>
      <c r="M1307" s="105" t="e">
        <f ca="1" t="shared" si="166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/>
      <c r="Z1307" s="105"/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28" t="s">
        <v>217</v>
      </c>
      <c r="C1308" s="70" t="s">
        <v>203</v>
      </c>
      <c r="D1308" s="227" t="s">
        <v>3179</v>
      </c>
      <c r="E1308" s="71" t="s">
        <v>3180</v>
      </c>
      <c r="F1308" s="72"/>
      <c r="G1308" s="73"/>
      <c r="H1308" s="229"/>
      <c r="I1308" s="102">
        <v>46142</v>
      </c>
      <c r="J1308" s="70">
        <v>3</v>
      </c>
      <c r="K1308" s="106" t="s">
        <v>3181</v>
      </c>
      <c r="L1308" s="104">
        <f t="shared" si="165"/>
        <v>46233</v>
      </c>
      <c r="M1308" s="105">
        <f ca="1" t="shared" si="166"/>
        <v>66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/>
      <c r="Z1308" s="105"/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28" t="s">
        <v>3152</v>
      </c>
      <c r="C1309" s="70" t="s">
        <v>203</v>
      </c>
      <c r="D1309" s="227" t="s">
        <v>3182</v>
      </c>
      <c r="E1309" s="71" t="s">
        <v>210</v>
      </c>
      <c r="F1309" s="72"/>
      <c r="G1309" s="73"/>
      <c r="H1309" s="229"/>
      <c r="I1309" s="102">
        <v>46142</v>
      </c>
      <c r="J1309" s="70">
        <v>3</v>
      </c>
      <c r="K1309" s="106" t="s">
        <v>3183</v>
      </c>
      <c r="L1309" s="104">
        <f t="shared" si="165"/>
        <v>46233</v>
      </c>
      <c r="M1309" s="105">
        <f ca="1" t="shared" si="166"/>
        <v>66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/>
      <c r="Z1309" s="105"/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28" t="s">
        <v>1577</v>
      </c>
      <c r="C1310" s="70" t="s">
        <v>203</v>
      </c>
      <c r="D1310" s="227" t="s">
        <v>3184</v>
      </c>
      <c r="E1310" s="71" t="s">
        <v>203</v>
      </c>
      <c r="F1310" s="72"/>
      <c r="G1310" s="73"/>
      <c r="H1310" s="229"/>
      <c r="I1310" s="102">
        <v>46142</v>
      </c>
      <c r="J1310" s="70">
        <v>3</v>
      </c>
      <c r="K1310" s="106" t="s">
        <v>3185</v>
      </c>
      <c r="L1310" s="104">
        <f t="shared" si="165"/>
        <v>46233</v>
      </c>
      <c r="M1310" s="105">
        <f ca="1" t="shared" si="166"/>
        <v>66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/>
      <c r="Z1310" s="105"/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28" t="s">
        <v>1680</v>
      </c>
      <c r="C1311" s="70" t="s">
        <v>31</v>
      </c>
      <c r="D1311" s="227" t="s">
        <v>3186</v>
      </c>
      <c r="E1311" s="71" t="s">
        <v>3187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3188</v>
      </c>
      <c r="L1311" s="104">
        <f t="shared" si="165"/>
        <v>46233</v>
      </c>
      <c r="M1311" s="105">
        <f ca="1" t="shared" si="166"/>
        <v>66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/>
      <c r="Z1311" s="105"/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28" t="s">
        <v>217</v>
      </c>
      <c r="C1312" s="70" t="s">
        <v>203</v>
      </c>
      <c r="D1312" s="227" t="s">
        <v>2692</v>
      </c>
      <c r="E1312" s="71" t="s">
        <v>3189</v>
      </c>
      <c r="F1312" s="72"/>
      <c r="G1312" s="73"/>
      <c r="H1312" s="229"/>
      <c r="I1312" s="102">
        <v>46142</v>
      </c>
      <c r="J1312" s="70" t="s">
        <v>596</v>
      </c>
      <c r="K1312" s="106"/>
      <c r="L1312" s="104" t="e">
        <f t="shared" ref="L1312:L1322" si="167">EDATE(I1312,J1312)</f>
        <v>#VALUE!</v>
      </c>
      <c r="M1312" s="105" t="e">
        <f ca="1" t="shared" ref="M1312:M1322" si="168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/>
      <c r="Z1312" s="105"/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28" t="s">
        <v>217</v>
      </c>
      <c r="C1313" s="70" t="s">
        <v>203</v>
      </c>
      <c r="D1313" s="227" t="s">
        <v>223</v>
      </c>
      <c r="E1313" s="71" t="s">
        <v>3190</v>
      </c>
      <c r="F1313" s="72"/>
      <c r="G1313" s="73"/>
      <c r="H1313" s="229"/>
      <c r="I1313" s="102">
        <v>46142</v>
      </c>
      <c r="J1313" s="70" t="s">
        <v>596</v>
      </c>
      <c r="K1313" s="106"/>
      <c r="L1313" s="104" t="e">
        <f t="shared" si="167"/>
        <v>#VALUE!</v>
      </c>
      <c r="M1313" s="105" t="e">
        <f ca="1" t="shared" si="168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/>
      <c r="Z1313" s="105"/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28" t="s">
        <v>1577</v>
      </c>
      <c r="C1314" s="70" t="s">
        <v>203</v>
      </c>
      <c r="D1314" s="227" t="s">
        <v>2886</v>
      </c>
      <c r="E1314" s="71" t="s">
        <v>203</v>
      </c>
      <c r="F1314" s="72"/>
      <c r="G1314" s="73"/>
      <c r="H1314" s="229"/>
      <c r="I1314" s="102">
        <v>46142</v>
      </c>
      <c r="J1314" s="70" t="s">
        <v>596</v>
      </c>
      <c r="K1314" s="106"/>
      <c r="L1314" s="104" t="e">
        <f t="shared" si="167"/>
        <v>#VALUE!</v>
      </c>
      <c r="M1314" s="105" t="e">
        <f ca="1" t="shared" si="168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/>
      <c r="Z1314" s="105"/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28" t="s">
        <v>123</v>
      </c>
      <c r="C1315" s="70" t="s">
        <v>31</v>
      </c>
      <c r="D1315" s="227" t="s">
        <v>124</v>
      </c>
      <c r="E1315" s="71" t="s">
        <v>125</v>
      </c>
      <c r="F1315" s="72"/>
      <c r="G1315" s="73"/>
      <c r="H1315" s="229"/>
      <c r="I1315" s="102">
        <v>46142</v>
      </c>
      <c r="J1315" s="70" t="s">
        <v>596</v>
      </c>
      <c r="K1315" s="106"/>
      <c r="L1315" s="104" t="e">
        <f t="shared" si="167"/>
        <v>#VALUE!</v>
      </c>
      <c r="M1315" s="105" t="e">
        <f ca="1" t="shared" si="168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/>
      <c r="Z1315" s="105"/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28" t="s">
        <v>359</v>
      </c>
      <c r="C1316" s="70" t="s">
        <v>13</v>
      </c>
      <c r="D1316" s="227" t="s">
        <v>3191</v>
      </c>
      <c r="E1316" s="71" t="s">
        <v>95</v>
      </c>
      <c r="F1316" s="72"/>
      <c r="G1316" s="73"/>
      <c r="H1316" s="229"/>
      <c r="I1316" s="102">
        <v>46145</v>
      </c>
      <c r="J1316" s="70">
        <v>3</v>
      </c>
      <c r="K1316" s="106" t="s">
        <v>3192</v>
      </c>
      <c r="L1316" s="104">
        <f t="shared" si="167"/>
        <v>46237</v>
      </c>
      <c r="M1316" s="105">
        <f ca="1" t="shared" si="168"/>
        <v>70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/>
      <c r="Z1316" s="105"/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28" t="s">
        <v>359</v>
      </c>
      <c r="C1317" s="70" t="s">
        <v>31</v>
      </c>
      <c r="D1317" s="227" t="s">
        <v>3193</v>
      </c>
      <c r="E1317" s="71" t="s">
        <v>148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3194</v>
      </c>
      <c r="L1317" s="104">
        <f t="shared" si="167"/>
        <v>46237</v>
      </c>
      <c r="M1317" s="105">
        <f ca="1" t="shared" si="168"/>
        <v>70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/>
      <c r="Z1317" s="105"/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28" t="s">
        <v>3118</v>
      </c>
      <c r="C1318" s="70" t="s">
        <v>13</v>
      </c>
      <c r="D1318" s="227" t="s">
        <v>3195</v>
      </c>
      <c r="E1318" s="71" t="s">
        <v>3120</v>
      </c>
      <c r="F1318" s="72"/>
      <c r="G1318" s="73"/>
      <c r="H1318" s="157"/>
      <c r="I1318" s="102">
        <v>46145</v>
      </c>
      <c r="J1318" s="70">
        <v>3</v>
      </c>
      <c r="K1318" s="106" t="s">
        <v>3196</v>
      </c>
      <c r="L1318" s="104">
        <f t="shared" si="167"/>
        <v>46237</v>
      </c>
      <c r="M1318" s="105">
        <f ca="1" t="shared" si="168"/>
        <v>70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/>
      <c r="Z1318" s="105"/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28" t="s">
        <v>3118</v>
      </c>
      <c r="C1319" s="70" t="s">
        <v>13</v>
      </c>
      <c r="D1319" s="227" t="s">
        <v>3197</v>
      </c>
      <c r="E1319" s="71" t="s">
        <v>3198</v>
      </c>
      <c r="F1319" s="72"/>
      <c r="G1319" s="73"/>
      <c r="H1319" s="157"/>
      <c r="I1319" s="102">
        <v>46145</v>
      </c>
      <c r="J1319" s="70">
        <v>3</v>
      </c>
      <c r="K1319" s="106" t="s">
        <v>3199</v>
      </c>
      <c r="L1319" s="104">
        <f t="shared" si="167"/>
        <v>46237</v>
      </c>
      <c r="M1319" s="105">
        <f ca="1" t="shared" si="168"/>
        <v>70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/>
      <c r="Z1319" s="105"/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132</v>
      </c>
      <c r="C1320" s="70" t="s">
        <v>31</v>
      </c>
      <c r="D1320" s="227" t="s">
        <v>133</v>
      </c>
      <c r="E1320" s="71" t="s">
        <v>2490</v>
      </c>
      <c r="F1320" s="72"/>
      <c r="G1320" s="73"/>
      <c r="H1320" s="157"/>
      <c r="I1320" s="102">
        <v>46145</v>
      </c>
      <c r="J1320" s="70" t="s">
        <v>596</v>
      </c>
      <c r="K1320" s="106"/>
      <c r="L1320" s="104" t="e">
        <f t="shared" si="167"/>
        <v>#VALUE!</v>
      </c>
      <c r="M1320" s="105" t="e">
        <f ca="1" t="shared" si="168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/>
      <c r="Z1320" s="105"/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102</v>
      </c>
      <c r="C1321" s="70" t="s">
        <v>13</v>
      </c>
      <c r="D1321" s="71" t="s">
        <v>3200</v>
      </c>
      <c r="E1321" s="71" t="s">
        <v>28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3201</v>
      </c>
      <c r="L1321" s="104">
        <f t="shared" si="167"/>
        <v>46238</v>
      </c>
      <c r="M1321" s="105">
        <f ca="1" t="shared" si="168"/>
        <v>71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/>
      <c r="Z1321" s="105"/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985</v>
      </c>
      <c r="C1322" s="70" t="s">
        <v>13</v>
      </c>
      <c r="D1322" s="71" t="s">
        <v>3202</v>
      </c>
      <c r="E1322" s="71" t="s">
        <v>95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3203</v>
      </c>
      <c r="L1322" s="104">
        <f t="shared" si="167"/>
        <v>46239</v>
      </c>
      <c r="M1322" s="105">
        <f ca="1" t="shared" si="168"/>
        <v>72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/>
      <c r="Z1322" s="105"/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583</v>
      </c>
      <c r="C1323" s="70" t="s">
        <v>13</v>
      </c>
      <c r="D1323" s="71" t="s">
        <v>3204</v>
      </c>
      <c r="E1323" s="71" t="s">
        <v>95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3205</v>
      </c>
      <c r="L1323" s="104">
        <f t="shared" ref="L1323:L1332" si="169">EDATE(I1323,J1323)</f>
        <v>46239</v>
      </c>
      <c r="M1323" s="105">
        <f ca="1" t="shared" ref="M1323:M1332" si="170">L1323-TODAY()</f>
        <v>72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/>
      <c r="Z1323" s="105"/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583</v>
      </c>
      <c r="C1324" s="70" t="s">
        <v>13</v>
      </c>
      <c r="D1324" s="71" t="s">
        <v>3206</v>
      </c>
      <c r="E1324" s="71" t="s">
        <v>95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3207</v>
      </c>
      <c r="L1324" s="104">
        <f t="shared" si="169"/>
        <v>46239</v>
      </c>
      <c r="M1324" s="105">
        <f ca="1" t="shared" si="170"/>
        <v>72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/>
      <c r="Z1324" s="105"/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583</v>
      </c>
      <c r="C1325" s="70" t="s">
        <v>13</v>
      </c>
      <c r="D1325" s="71" t="s">
        <v>3208</v>
      </c>
      <c r="E1325" s="71" t="s">
        <v>532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3209</v>
      </c>
      <c r="L1325" s="104">
        <f t="shared" si="169"/>
        <v>46239</v>
      </c>
      <c r="M1325" s="105">
        <f ca="1" t="shared" si="170"/>
        <v>72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/>
      <c r="Z1325" s="105"/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583</v>
      </c>
      <c r="C1326" s="70" t="s">
        <v>13</v>
      </c>
      <c r="D1326" s="71" t="s">
        <v>3210</v>
      </c>
      <c r="E1326" s="71" t="s">
        <v>3211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3212</v>
      </c>
      <c r="L1326" s="104">
        <f t="shared" si="169"/>
        <v>46239</v>
      </c>
      <c r="M1326" s="105">
        <f ca="1" t="shared" si="170"/>
        <v>72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/>
      <c r="Z1326" s="105"/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583</v>
      </c>
      <c r="C1327" s="70" t="s">
        <v>13</v>
      </c>
      <c r="D1327" s="71" t="s">
        <v>3213</v>
      </c>
      <c r="E1327" s="71" t="s">
        <v>95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3214</v>
      </c>
      <c r="L1327" s="104">
        <f t="shared" si="169"/>
        <v>46239</v>
      </c>
      <c r="M1327" s="105">
        <f ca="1" t="shared" si="170"/>
        <v>72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/>
      <c r="Z1327" s="105"/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583</v>
      </c>
      <c r="C1328" s="70" t="s">
        <v>13</v>
      </c>
      <c r="D1328" s="71" t="s">
        <v>3215</v>
      </c>
      <c r="E1328" s="71" t="s">
        <v>28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3216</v>
      </c>
      <c r="L1328" s="104">
        <f t="shared" si="169"/>
        <v>46239</v>
      </c>
      <c r="M1328" s="105">
        <f ca="1" t="shared" si="170"/>
        <v>72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/>
      <c r="Z1328" s="105"/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583</v>
      </c>
      <c r="C1329" s="70" t="s">
        <v>13</v>
      </c>
      <c r="D1329" s="71" t="s">
        <v>3217</v>
      </c>
      <c r="E1329" s="71" t="s">
        <v>532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3218</v>
      </c>
      <c r="L1329" s="104">
        <f t="shared" si="169"/>
        <v>46239</v>
      </c>
      <c r="M1329" s="105">
        <f ca="1" t="shared" si="170"/>
        <v>72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/>
      <c r="Z1329" s="105"/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583</v>
      </c>
      <c r="C1330" s="70" t="s">
        <v>13</v>
      </c>
      <c r="D1330" s="71" t="s">
        <v>3219</v>
      </c>
      <c r="E1330" s="71" t="s">
        <v>532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3220</v>
      </c>
      <c r="L1330" s="104">
        <f t="shared" si="169"/>
        <v>46239</v>
      </c>
      <c r="M1330" s="105">
        <f ca="1" t="shared" si="170"/>
        <v>72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/>
      <c r="Z1330" s="105"/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30" t="s">
        <v>281</v>
      </c>
      <c r="C1331" s="231" t="s">
        <v>203</v>
      </c>
      <c r="D1331" s="232" t="s">
        <v>282</v>
      </c>
      <c r="E1331" s="71" t="s">
        <v>283</v>
      </c>
      <c r="F1331" s="72"/>
      <c r="G1331" s="73"/>
      <c r="H1331" s="75"/>
      <c r="I1331" s="102">
        <v>46147</v>
      </c>
      <c r="J1331" s="70" t="s">
        <v>596</v>
      </c>
      <c r="K1331" s="106"/>
      <c r="L1331" s="104" t="e">
        <f t="shared" si="169"/>
        <v>#VALUE!</v>
      </c>
      <c r="M1331" s="105" t="e">
        <f ca="1" t="shared" si="170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/>
      <c r="Z1331" s="105"/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233" t="s">
        <v>559</v>
      </c>
      <c r="C1332" s="231" t="s">
        <v>13</v>
      </c>
      <c r="D1332" s="234" t="s">
        <v>3221</v>
      </c>
      <c r="E1332" s="71" t="s">
        <v>766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3222</v>
      </c>
      <c r="L1332" s="104">
        <f t="shared" si="169"/>
        <v>46240</v>
      </c>
      <c r="M1332" s="105">
        <f ca="1" t="shared" si="170"/>
        <v>73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/>
      <c r="Z1332" s="105"/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233" t="s">
        <v>559</v>
      </c>
      <c r="C1333" s="231" t="s">
        <v>13</v>
      </c>
      <c r="D1333" s="234" t="s">
        <v>3223</v>
      </c>
      <c r="E1333" s="71" t="s">
        <v>636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3224</v>
      </c>
      <c r="L1333" s="104">
        <f t="shared" ref="L1333:L1358" si="171">EDATE(I1333,J1333)</f>
        <v>46240</v>
      </c>
      <c r="M1333" s="105">
        <f ca="1" t="shared" ref="M1333:M1358" si="172">L1333-TODAY()</f>
        <v>73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/>
      <c r="Z1333" s="105"/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233" t="s">
        <v>559</v>
      </c>
      <c r="C1334" s="231" t="s">
        <v>13</v>
      </c>
      <c r="D1334" s="234" t="s">
        <v>3225</v>
      </c>
      <c r="E1334" s="71" t="s">
        <v>3226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3227</v>
      </c>
      <c r="L1334" s="104">
        <f t="shared" si="171"/>
        <v>46240</v>
      </c>
      <c r="M1334" s="105">
        <f ca="1" t="shared" si="172"/>
        <v>73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/>
      <c r="Z1334" s="105"/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233" t="s">
        <v>559</v>
      </c>
      <c r="C1335" s="231" t="s">
        <v>13</v>
      </c>
      <c r="D1335" s="234" t="s">
        <v>3228</v>
      </c>
      <c r="E1335" s="71" t="s">
        <v>3229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3230</v>
      </c>
      <c r="L1335" s="104">
        <f t="shared" si="171"/>
        <v>46240</v>
      </c>
      <c r="M1335" s="105">
        <f ca="1" t="shared" si="172"/>
        <v>73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/>
      <c r="Z1335" s="105"/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233" t="s">
        <v>559</v>
      </c>
      <c r="C1336" s="231" t="s">
        <v>13</v>
      </c>
      <c r="D1336" s="234" t="s">
        <v>3231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3232</v>
      </c>
      <c r="L1336" s="104">
        <f t="shared" si="171"/>
        <v>46240</v>
      </c>
      <c r="M1336" s="105">
        <f ca="1" t="shared" si="172"/>
        <v>73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/>
      <c r="Z1336" s="105"/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233" t="s">
        <v>559</v>
      </c>
      <c r="C1337" s="231" t="s">
        <v>31</v>
      </c>
      <c r="D1337" s="234" t="s">
        <v>3233</v>
      </c>
      <c r="E1337" s="71" t="s">
        <v>400</v>
      </c>
      <c r="F1337" s="72"/>
      <c r="G1337" s="73"/>
      <c r="H1337" s="75"/>
      <c r="I1337" s="102">
        <v>46148</v>
      </c>
      <c r="J1337" s="70">
        <v>3</v>
      </c>
      <c r="K1337" s="106" t="s">
        <v>3234</v>
      </c>
      <c r="L1337" s="104">
        <f t="shared" si="171"/>
        <v>46240</v>
      </c>
      <c r="M1337" s="105">
        <f ca="1" t="shared" si="172"/>
        <v>73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/>
      <c r="Z1337" s="105"/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233" t="s">
        <v>559</v>
      </c>
      <c r="C1338" s="231" t="s">
        <v>13</v>
      </c>
      <c r="D1338" s="234" t="s">
        <v>3235</v>
      </c>
      <c r="E1338" s="71" t="s">
        <v>532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3236</v>
      </c>
      <c r="L1338" s="104">
        <f t="shared" si="171"/>
        <v>46240</v>
      </c>
      <c r="M1338" s="105">
        <f ca="1" t="shared" si="172"/>
        <v>73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/>
      <c r="Z1338" s="105"/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233" t="s">
        <v>1988</v>
      </c>
      <c r="C1339" s="231" t="s">
        <v>13</v>
      </c>
      <c r="D1339" s="234" t="s">
        <v>3237</v>
      </c>
      <c r="E1339" s="71" t="s">
        <v>3238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3239</v>
      </c>
      <c r="L1339" s="104">
        <f t="shared" si="171"/>
        <v>46240</v>
      </c>
      <c r="M1339" s="105">
        <f ca="1" t="shared" si="172"/>
        <v>73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/>
      <c r="Z1339" s="105"/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233" t="s">
        <v>1988</v>
      </c>
      <c r="C1340" s="231" t="s">
        <v>13</v>
      </c>
      <c r="D1340" s="234" t="s">
        <v>3240</v>
      </c>
      <c r="E1340" s="71" t="s">
        <v>3241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3242</v>
      </c>
      <c r="L1340" s="104">
        <f t="shared" si="171"/>
        <v>46240</v>
      </c>
      <c r="M1340" s="105">
        <f ca="1" t="shared" si="172"/>
        <v>73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/>
      <c r="Z1340" s="105"/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30" t="s">
        <v>3243</v>
      </c>
      <c r="C1341" s="231" t="s">
        <v>13</v>
      </c>
      <c r="D1341" s="232" t="s">
        <v>3244</v>
      </c>
      <c r="E1341" s="71" t="s">
        <v>775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3245</v>
      </c>
      <c r="L1341" s="104">
        <f t="shared" si="171"/>
        <v>46240</v>
      </c>
      <c r="M1341" s="105">
        <f ca="1" t="shared" si="172"/>
        <v>73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/>
      <c r="Z1341" s="105"/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30" t="s">
        <v>3246</v>
      </c>
      <c r="C1342" s="231" t="s">
        <v>13</v>
      </c>
      <c r="D1342" s="234" t="s">
        <v>3247</v>
      </c>
      <c r="E1342" s="71" t="s">
        <v>57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3248</v>
      </c>
      <c r="L1342" s="104">
        <f t="shared" si="171"/>
        <v>46240</v>
      </c>
      <c r="M1342" s="105">
        <f ca="1" t="shared" si="172"/>
        <v>73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/>
      <c r="Z1342" s="105"/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233" t="s">
        <v>607</v>
      </c>
      <c r="C1343" s="231" t="s">
        <v>13</v>
      </c>
      <c r="D1343" s="234" t="s">
        <v>3249</v>
      </c>
      <c r="E1343" s="71" t="s">
        <v>2527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3250</v>
      </c>
      <c r="L1343" s="104">
        <f t="shared" si="171"/>
        <v>46240</v>
      </c>
      <c r="M1343" s="105">
        <f ca="1" t="shared" si="172"/>
        <v>73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/>
      <c r="Z1343" s="105"/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30" t="s">
        <v>619</v>
      </c>
      <c r="C1344" s="231" t="s">
        <v>13</v>
      </c>
      <c r="D1344" s="234" t="s">
        <v>3251</v>
      </c>
      <c r="E1344" s="232" t="s">
        <v>3252</v>
      </c>
      <c r="F1344" s="235"/>
      <c r="G1344" s="236"/>
      <c r="H1344" s="74" t="s">
        <v>16</v>
      </c>
      <c r="I1344" s="102">
        <v>46148</v>
      </c>
      <c r="J1344" s="70">
        <v>3</v>
      </c>
      <c r="K1344" s="106" t="s">
        <v>3253</v>
      </c>
      <c r="L1344" s="104">
        <f t="shared" si="171"/>
        <v>46240</v>
      </c>
      <c r="M1344" s="105">
        <f ca="1" t="shared" si="172"/>
        <v>73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/>
      <c r="Z1344" s="105"/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30" t="s">
        <v>954</v>
      </c>
      <c r="C1345" s="231" t="s">
        <v>203</v>
      </c>
      <c r="D1345" s="234" t="s">
        <v>3254</v>
      </c>
      <c r="E1345" s="232" t="s">
        <v>585</v>
      </c>
      <c r="F1345" s="235"/>
      <c r="G1345" s="236"/>
      <c r="H1345" s="75"/>
      <c r="I1345" s="102">
        <v>46148</v>
      </c>
      <c r="J1345" s="70">
        <v>3</v>
      </c>
      <c r="K1345" s="106" t="s">
        <v>3255</v>
      </c>
      <c r="L1345" s="104">
        <f t="shared" si="171"/>
        <v>46240</v>
      </c>
      <c r="M1345" s="105">
        <f ca="1" t="shared" si="172"/>
        <v>73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/>
      <c r="Z1345" s="105"/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30" t="s">
        <v>217</v>
      </c>
      <c r="C1346" s="231" t="s">
        <v>203</v>
      </c>
      <c r="D1346" s="234" t="s">
        <v>2025</v>
      </c>
      <c r="E1346" s="232" t="s">
        <v>279</v>
      </c>
      <c r="F1346" s="235"/>
      <c r="G1346" s="236"/>
      <c r="H1346" s="75"/>
      <c r="I1346" s="102">
        <v>46148</v>
      </c>
      <c r="J1346" s="70" t="s">
        <v>596</v>
      </c>
      <c r="K1346" s="106"/>
      <c r="L1346" s="104" t="e">
        <f t="shared" si="171"/>
        <v>#VALUE!</v>
      </c>
      <c r="M1346" s="105" t="e">
        <f ca="1" t="shared" si="172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/>
      <c r="Z1346" s="105"/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30" t="s">
        <v>202</v>
      </c>
      <c r="C1347" s="231" t="s">
        <v>203</v>
      </c>
      <c r="D1347" s="234" t="s">
        <v>204</v>
      </c>
      <c r="E1347" s="232" t="s">
        <v>205</v>
      </c>
      <c r="F1347" s="235"/>
      <c r="G1347" s="236"/>
      <c r="H1347" s="75"/>
      <c r="I1347" s="102">
        <v>46148</v>
      </c>
      <c r="J1347" s="70" t="s">
        <v>596</v>
      </c>
      <c r="K1347" s="106"/>
      <c r="L1347" s="104" t="e">
        <f t="shared" si="171"/>
        <v>#VALUE!</v>
      </c>
      <c r="M1347" s="105" t="e">
        <f ca="1" t="shared" si="172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/>
      <c r="Z1347" s="105"/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30" t="s">
        <v>2950</v>
      </c>
      <c r="C1348" s="231" t="s">
        <v>203</v>
      </c>
      <c r="D1348" s="234" t="s">
        <v>282</v>
      </c>
      <c r="E1348" s="232" t="s">
        <v>283</v>
      </c>
      <c r="F1348" s="235"/>
      <c r="G1348" s="236"/>
      <c r="H1348" s="75"/>
      <c r="I1348" s="102">
        <v>46148</v>
      </c>
      <c r="J1348" s="70" t="s">
        <v>596</v>
      </c>
      <c r="K1348" s="106"/>
      <c r="L1348" s="104" t="e">
        <f t="shared" si="171"/>
        <v>#VALUE!</v>
      </c>
      <c r="M1348" s="105" t="e">
        <f ca="1" t="shared" si="172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/>
      <c r="Z1348" s="105"/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30" t="s">
        <v>1988</v>
      </c>
      <c r="C1349" s="231" t="s">
        <v>13</v>
      </c>
      <c r="D1349" s="234" t="s">
        <v>3256</v>
      </c>
      <c r="E1349" s="232" t="s">
        <v>57</v>
      </c>
      <c r="F1349" s="235"/>
      <c r="G1349" s="236"/>
      <c r="H1349" s="75"/>
      <c r="I1349" s="102">
        <v>46149</v>
      </c>
      <c r="J1349" s="70">
        <v>3</v>
      </c>
      <c r="K1349" s="106" t="s">
        <v>3257</v>
      </c>
      <c r="L1349" s="104">
        <f t="shared" si="171"/>
        <v>46241</v>
      </c>
      <c r="M1349" s="105">
        <f ca="1" t="shared" si="172"/>
        <v>74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/>
      <c r="Z1349" s="105"/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30" t="s">
        <v>1988</v>
      </c>
      <c r="C1350" s="231" t="s">
        <v>13</v>
      </c>
      <c r="D1350" s="234" t="s">
        <v>3258</v>
      </c>
      <c r="E1350" s="232" t="s">
        <v>532</v>
      </c>
      <c r="F1350" s="235"/>
      <c r="G1350" s="236"/>
      <c r="H1350" s="75"/>
      <c r="I1350" s="102">
        <v>46149</v>
      </c>
      <c r="J1350" s="70">
        <v>3</v>
      </c>
      <c r="K1350" s="106" t="s">
        <v>3259</v>
      </c>
      <c r="L1350" s="104">
        <f t="shared" si="171"/>
        <v>46241</v>
      </c>
      <c r="M1350" s="105">
        <f ca="1" t="shared" si="172"/>
        <v>74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/>
      <c r="Z1350" s="105"/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30" t="s">
        <v>217</v>
      </c>
      <c r="C1351" s="231" t="s">
        <v>203</v>
      </c>
      <c r="D1351" s="234" t="s">
        <v>3260</v>
      </c>
      <c r="E1351" s="232" t="s">
        <v>214</v>
      </c>
      <c r="F1351" s="235"/>
      <c r="G1351" s="236"/>
      <c r="H1351" s="75"/>
      <c r="I1351" s="102">
        <v>46149</v>
      </c>
      <c r="J1351" s="70">
        <v>3</v>
      </c>
      <c r="K1351" s="106" t="s">
        <v>3261</v>
      </c>
      <c r="L1351" s="104">
        <f t="shared" si="171"/>
        <v>46241</v>
      </c>
      <c r="M1351" s="105">
        <f ca="1" t="shared" si="172"/>
        <v>74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/>
      <c r="Z1351" s="105"/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231" t="s">
        <v>102</v>
      </c>
      <c r="C1352" s="231" t="s">
        <v>31</v>
      </c>
      <c r="D1352" s="232" t="s">
        <v>3262</v>
      </c>
      <c r="E1352" s="232" t="s">
        <v>2995</v>
      </c>
      <c r="F1352" s="235"/>
      <c r="G1352" s="236"/>
      <c r="H1352" s="75"/>
      <c r="I1352" s="102">
        <v>46149</v>
      </c>
      <c r="J1352" s="70" t="s">
        <v>596</v>
      </c>
      <c r="K1352" s="106"/>
      <c r="L1352" s="104" t="e">
        <f t="shared" si="171"/>
        <v>#VALUE!</v>
      </c>
      <c r="M1352" s="105" t="e">
        <f ca="1" t="shared" si="172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/>
      <c r="Z1352" s="105"/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237" t="s">
        <v>178</v>
      </c>
      <c r="C1353" s="231" t="s">
        <v>13</v>
      </c>
      <c r="D1353" s="232" t="s">
        <v>3263</v>
      </c>
      <c r="E1353" s="232" t="s">
        <v>57</v>
      </c>
      <c r="F1353" s="235"/>
      <c r="G1353" s="236"/>
      <c r="H1353" s="75"/>
      <c r="I1353" s="102">
        <v>46150</v>
      </c>
      <c r="J1353" s="70">
        <v>3</v>
      </c>
      <c r="K1353" s="106" t="s">
        <v>3264</v>
      </c>
      <c r="L1353" s="104">
        <f t="shared" si="171"/>
        <v>46242</v>
      </c>
      <c r="M1353" s="105">
        <f ca="1" t="shared" si="172"/>
        <v>75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/>
      <c r="Z1353" s="105"/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237" t="s">
        <v>607</v>
      </c>
      <c r="C1354" s="231" t="s">
        <v>287</v>
      </c>
      <c r="D1354" s="232" t="s">
        <v>3265</v>
      </c>
      <c r="E1354" s="232" t="s">
        <v>2333</v>
      </c>
      <c r="F1354" s="235"/>
      <c r="G1354" s="236"/>
      <c r="H1354" s="75"/>
      <c r="I1354" s="102">
        <v>46150</v>
      </c>
      <c r="J1354" s="70">
        <v>3</v>
      </c>
      <c r="K1354" s="106" t="s">
        <v>3266</v>
      </c>
      <c r="L1354" s="104">
        <f t="shared" si="171"/>
        <v>46242</v>
      </c>
      <c r="M1354" s="105">
        <f ca="1" t="shared" si="172"/>
        <v>75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/>
      <c r="Z1354" s="105"/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30" t="s">
        <v>1629</v>
      </c>
      <c r="C1355" s="231" t="s">
        <v>31</v>
      </c>
      <c r="D1355" s="232" t="s">
        <v>3267</v>
      </c>
      <c r="E1355" s="232" t="s">
        <v>3268</v>
      </c>
      <c r="F1355" s="235"/>
      <c r="G1355" s="236"/>
      <c r="H1355" s="79" t="s">
        <v>16</v>
      </c>
      <c r="I1355" s="102">
        <v>46150</v>
      </c>
      <c r="J1355" s="70">
        <v>3</v>
      </c>
      <c r="K1355" s="106" t="s">
        <v>3269</v>
      </c>
      <c r="L1355" s="104">
        <f t="shared" ref="L1355:L1363" si="173">EDATE(I1355,J1355)</f>
        <v>46242</v>
      </c>
      <c r="M1355" s="105">
        <f ca="1" t="shared" ref="M1355:M1363" si="174">L1355-TODAY()</f>
        <v>75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/>
      <c r="Z1355" s="105"/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30" t="s">
        <v>286</v>
      </c>
      <c r="C1356" s="231" t="s">
        <v>287</v>
      </c>
      <c r="D1356" s="232" t="s">
        <v>1507</v>
      </c>
      <c r="E1356" s="232" t="s">
        <v>289</v>
      </c>
      <c r="F1356" s="235"/>
      <c r="G1356" s="236"/>
      <c r="H1356" s="75"/>
      <c r="I1356" s="102">
        <v>46150</v>
      </c>
      <c r="J1356" s="70" t="s">
        <v>596</v>
      </c>
      <c r="K1356" s="106"/>
      <c r="L1356" s="104" t="e">
        <f t="shared" si="173"/>
        <v>#VALUE!</v>
      </c>
      <c r="M1356" s="105" t="e">
        <f ca="1" t="shared" si="174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/>
      <c r="Z1356" s="105"/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231" t="s">
        <v>583</v>
      </c>
      <c r="C1357" s="231" t="s">
        <v>31</v>
      </c>
      <c r="D1357" s="232" t="s">
        <v>3270</v>
      </c>
      <c r="E1357" s="232" t="s">
        <v>3148</v>
      </c>
      <c r="F1357" s="235"/>
      <c r="G1357" s="236"/>
      <c r="H1357" s="74" t="s">
        <v>16</v>
      </c>
      <c r="I1357" s="102">
        <v>46151</v>
      </c>
      <c r="J1357" s="70">
        <v>3</v>
      </c>
      <c r="K1357" s="106" t="s">
        <v>3271</v>
      </c>
      <c r="L1357" s="104">
        <f t="shared" si="173"/>
        <v>46243</v>
      </c>
      <c r="M1357" s="105">
        <f ca="1" t="shared" si="174"/>
        <v>76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/>
      <c r="Z1357" s="105"/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231" t="s">
        <v>102</v>
      </c>
      <c r="C1358" s="231" t="s">
        <v>13</v>
      </c>
      <c r="D1358" s="234" t="s">
        <v>3272</v>
      </c>
      <c r="E1358" s="232" t="s">
        <v>3273</v>
      </c>
      <c r="F1358" s="235"/>
      <c r="G1358" s="236"/>
      <c r="H1358" s="238" t="s">
        <v>16</v>
      </c>
      <c r="I1358" s="242">
        <v>46151</v>
      </c>
      <c r="J1358" s="70">
        <v>3</v>
      </c>
      <c r="K1358" s="106" t="s">
        <v>3274</v>
      </c>
      <c r="L1358" s="104">
        <f t="shared" si="173"/>
        <v>46243</v>
      </c>
      <c r="M1358" s="105">
        <f ca="1" t="shared" si="174"/>
        <v>76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/>
      <c r="Z1358" s="105"/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30" t="s">
        <v>3275</v>
      </c>
      <c r="C1359" s="231" t="s">
        <v>31</v>
      </c>
      <c r="D1359" s="234" t="s">
        <v>3276</v>
      </c>
      <c r="E1359" s="232" t="s">
        <v>3277</v>
      </c>
      <c r="F1359" s="235"/>
      <c r="G1359" s="236"/>
      <c r="H1359" s="239"/>
      <c r="I1359" s="242">
        <v>46151</v>
      </c>
      <c r="J1359" s="70">
        <v>3</v>
      </c>
      <c r="K1359" s="106" t="s">
        <v>3278</v>
      </c>
      <c r="L1359" s="104">
        <f t="shared" si="173"/>
        <v>46243</v>
      </c>
      <c r="M1359" s="105">
        <f ca="1" t="shared" si="174"/>
        <v>76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/>
      <c r="Z1359" s="105"/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233" t="s">
        <v>3279</v>
      </c>
      <c r="C1360" s="231" t="s">
        <v>287</v>
      </c>
      <c r="D1360" s="234" t="s">
        <v>295</v>
      </c>
      <c r="E1360" s="232" t="s">
        <v>293</v>
      </c>
      <c r="F1360" s="235"/>
      <c r="G1360" s="236"/>
      <c r="H1360" s="240" t="s">
        <v>16</v>
      </c>
      <c r="I1360" s="242">
        <v>46151</v>
      </c>
      <c r="J1360" s="70">
        <v>3</v>
      </c>
      <c r="K1360" s="106" t="s">
        <v>3280</v>
      </c>
      <c r="L1360" s="104">
        <f t="shared" si="173"/>
        <v>46243</v>
      </c>
      <c r="M1360" s="105">
        <f ca="1" t="shared" si="174"/>
        <v>76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/>
      <c r="Z1360" s="105"/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30" t="s">
        <v>1467</v>
      </c>
      <c r="C1361" s="231" t="s">
        <v>203</v>
      </c>
      <c r="D1361" s="234" t="s">
        <v>741</v>
      </c>
      <c r="E1361" s="232" t="s">
        <v>594</v>
      </c>
      <c r="F1361" s="235"/>
      <c r="G1361" s="236"/>
      <c r="H1361" s="239"/>
      <c r="I1361" s="242">
        <v>46152</v>
      </c>
      <c r="J1361" s="70" t="s">
        <v>596</v>
      </c>
      <c r="K1361" s="106"/>
      <c r="L1361" s="104" t="e">
        <f t="shared" si="173"/>
        <v>#VALUE!</v>
      </c>
      <c r="M1361" s="105" t="e">
        <f ca="1" t="shared" si="174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/>
      <c r="Z1361" s="105"/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30" t="s">
        <v>497</v>
      </c>
      <c r="C1362" s="231" t="s">
        <v>203</v>
      </c>
      <c r="D1362" s="234" t="s">
        <v>1871</v>
      </c>
      <c r="E1362" s="232" t="s">
        <v>585</v>
      </c>
      <c r="F1362" s="235"/>
      <c r="G1362" s="236"/>
      <c r="H1362" s="239"/>
      <c r="I1362" s="242">
        <v>46152</v>
      </c>
      <c r="J1362" s="70" t="s">
        <v>596</v>
      </c>
      <c r="K1362" s="106"/>
      <c r="L1362" s="104" t="e">
        <f t="shared" si="173"/>
        <v>#VALUE!</v>
      </c>
      <c r="M1362" s="105" t="e">
        <f ca="1" t="shared" si="174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/>
      <c r="Z1362" s="105"/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30" t="s">
        <v>2764</v>
      </c>
      <c r="C1363" s="231" t="s">
        <v>203</v>
      </c>
      <c r="D1363" s="234" t="s">
        <v>674</v>
      </c>
      <c r="E1363" s="232" t="s">
        <v>3281</v>
      </c>
      <c r="F1363" s="235"/>
      <c r="G1363" s="236"/>
      <c r="H1363" s="239"/>
      <c r="I1363" s="242">
        <v>46152</v>
      </c>
      <c r="J1363" s="70" t="s">
        <v>596</v>
      </c>
      <c r="K1363" s="106"/>
      <c r="L1363" s="104" t="e">
        <f t="shared" si="173"/>
        <v>#VALUE!</v>
      </c>
      <c r="M1363" s="105" t="e">
        <f ca="1" t="shared" si="174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/>
      <c r="Z1363" s="105"/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30" t="s">
        <v>230</v>
      </c>
      <c r="C1364" s="231" t="s">
        <v>203</v>
      </c>
      <c r="D1364" s="234" t="s">
        <v>2084</v>
      </c>
      <c r="E1364" s="232" t="s">
        <v>2117</v>
      </c>
      <c r="F1364" s="235"/>
      <c r="G1364" s="236"/>
      <c r="H1364" s="239"/>
      <c r="I1364" s="242">
        <v>46152</v>
      </c>
      <c r="J1364" s="70" t="s">
        <v>596</v>
      </c>
      <c r="K1364" s="106"/>
      <c r="L1364" s="104" t="e">
        <f t="shared" ref="L1360:L1368" si="175">EDATE(I1364,J1364)</f>
        <v>#VALUE!</v>
      </c>
      <c r="M1364" s="105" t="e">
        <f ca="1" t="shared" ref="M1360:M1368" si="176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/>
      <c r="Z1364" s="105"/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30" t="s">
        <v>230</v>
      </c>
      <c r="C1365" s="231" t="s">
        <v>203</v>
      </c>
      <c r="D1365" s="234" t="s">
        <v>2329</v>
      </c>
      <c r="E1365" s="232" t="s">
        <v>2844</v>
      </c>
      <c r="F1365" s="235"/>
      <c r="G1365" s="236"/>
      <c r="H1365" s="239"/>
      <c r="I1365" s="242">
        <v>46152</v>
      </c>
      <c r="J1365" s="70" t="s">
        <v>596</v>
      </c>
      <c r="K1365" s="106"/>
      <c r="L1365" s="104" t="e">
        <f t="shared" si="175"/>
        <v>#VALUE!</v>
      </c>
      <c r="M1365" s="105" t="e">
        <f ca="1" t="shared" si="176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/>
      <c r="Z1365" s="105"/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30" t="s">
        <v>132</v>
      </c>
      <c r="C1366" s="231" t="s">
        <v>31</v>
      </c>
      <c r="D1366" s="234" t="s">
        <v>133</v>
      </c>
      <c r="E1366" s="232" t="s">
        <v>2490</v>
      </c>
      <c r="F1366" s="235"/>
      <c r="G1366" s="236"/>
      <c r="H1366" s="239"/>
      <c r="I1366" s="242">
        <v>46152</v>
      </c>
      <c r="J1366" s="70" t="s">
        <v>596</v>
      </c>
      <c r="K1366" s="106"/>
      <c r="L1366" s="104" t="e">
        <f t="shared" si="175"/>
        <v>#VALUE!</v>
      </c>
      <c r="M1366" s="105" t="e">
        <f ca="1" t="shared" si="176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/>
      <c r="Z1366" s="105"/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30" t="s">
        <v>102</v>
      </c>
      <c r="C1367" s="231" t="s">
        <v>13</v>
      </c>
      <c r="D1367" s="234" t="s">
        <v>3282</v>
      </c>
      <c r="E1367" s="232" t="s">
        <v>766</v>
      </c>
      <c r="F1367" s="235"/>
      <c r="G1367" s="236"/>
      <c r="H1367" s="238" t="s">
        <v>16</v>
      </c>
      <c r="I1367" s="242">
        <v>46153</v>
      </c>
      <c r="J1367" s="70">
        <v>3</v>
      </c>
      <c r="K1367" s="106" t="s">
        <v>3283</v>
      </c>
      <c r="L1367" s="104">
        <f t="shared" si="175"/>
        <v>46245</v>
      </c>
      <c r="M1367" s="105">
        <f ca="1" t="shared" si="176"/>
        <v>78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/>
      <c r="Z1367" s="105"/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231" t="s">
        <v>359</v>
      </c>
      <c r="C1368" s="231" t="s">
        <v>13</v>
      </c>
      <c r="D1368" s="232" t="s">
        <v>3284</v>
      </c>
      <c r="E1368" s="232" t="s">
        <v>57</v>
      </c>
      <c r="F1368" s="235"/>
      <c r="G1368" s="236"/>
      <c r="H1368" s="238" t="s">
        <v>16</v>
      </c>
      <c r="I1368" s="242">
        <v>46153</v>
      </c>
      <c r="J1368" s="70">
        <v>3</v>
      </c>
      <c r="K1368" s="106" t="s">
        <v>3285</v>
      </c>
      <c r="L1368" s="104">
        <f t="shared" si="175"/>
        <v>46245</v>
      </c>
      <c r="M1368" s="105">
        <f ca="1" t="shared" si="176"/>
        <v>78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/>
      <c r="Z1368" s="105"/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231" t="s">
        <v>1814</v>
      </c>
      <c r="C1369" s="231" t="s">
        <v>31</v>
      </c>
      <c r="D1369" s="232" t="s">
        <v>3286</v>
      </c>
      <c r="E1369" s="232" t="s">
        <v>3287</v>
      </c>
      <c r="F1369" s="235"/>
      <c r="G1369" s="236"/>
      <c r="H1369" s="239"/>
      <c r="I1369" s="242">
        <v>46153</v>
      </c>
      <c r="J1369" s="70">
        <v>3</v>
      </c>
      <c r="K1369" s="106" t="s">
        <v>3288</v>
      </c>
      <c r="L1369" s="104">
        <f t="shared" ref="L1369:L1374" si="177">EDATE(I1369,J1369)</f>
        <v>46245</v>
      </c>
      <c r="M1369" s="105">
        <f ca="1" t="shared" ref="M1369:M1374" si="178">L1369-TODAY()</f>
        <v>78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/>
      <c r="Z1369" s="105"/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231" t="s">
        <v>3289</v>
      </c>
      <c r="C1370" s="231" t="s">
        <v>13</v>
      </c>
      <c r="D1370" s="232" t="s">
        <v>3290</v>
      </c>
      <c r="E1370" s="232" t="s">
        <v>3291</v>
      </c>
      <c r="F1370" s="235"/>
      <c r="G1370" s="236"/>
      <c r="H1370" s="241" t="s">
        <v>16</v>
      </c>
      <c r="I1370" s="242">
        <v>46153</v>
      </c>
      <c r="J1370" s="70">
        <v>3</v>
      </c>
      <c r="K1370" s="106" t="s">
        <v>3292</v>
      </c>
      <c r="L1370" s="104">
        <f t="shared" si="177"/>
        <v>46245</v>
      </c>
      <c r="M1370" s="105">
        <f ca="1" t="shared" si="178"/>
        <v>78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/>
      <c r="Z1370" s="105"/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231" t="s">
        <v>607</v>
      </c>
      <c r="C1371" s="231" t="s">
        <v>287</v>
      </c>
      <c r="D1371" s="232" t="s">
        <v>3293</v>
      </c>
      <c r="E1371" s="232" t="s">
        <v>2333</v>
      </c>
      <c r="F1371" s="235"/>
      <c r="G1371" s="236"/>
      <c r="H1371" s="241" t="s">
        <v>16</v>
      </c>
      <c r="I1371" s="242">
        <v>46153</v>
      </c>
      <c r="J1371" s="70">
        <v>3</v>
      </c>
      <c r="K1371" s="106" t="s">
        <v>3294</v>
      </c>
      <c r="L1371" s="104">
        <f t="shared" si="177"/>
        <v>46245</v>
      </c>
      <c r="M1371" s="105">
        <f ca="1" t="shared" si="178"/>
        <v>78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/>
      <c r="Z1371" s="105"/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231" t="s">
        <v>497</v>
      </c>
      <c r="C1372" s="231" t="s">
        <v>203</v>
      </c>
      <c r="D1372" s="232" t="s">
        <v>1871</v>
      </c>
      <c r="E1372" s="232" t="s">
        <v>205</v>
      </c>
      <c r="F1372" s="235"/>
      <c r="G1372" s="236"/>
      <c r="H1372" s="239"/>
      <c r="I1372" s="242">
        <v>46153</v>
      </c>
      <c r="J1372" s="70" t="s">
        <v>596</v>
      </c>
      <c r="K1372" s="106"/>
      <c r="L1372" s="104" t="e">
        <f t="shared" ref="L1372:L1380" si="179">EDATE(I1372,J1372)</f>
        <v>#VALUE!</v>
      </c>
      <c r="M1372" s="105" t="e">
        <f ca="1" t="shared" ref="M1372:M1380" si="180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/>
      <c r="Z1372" s="105"/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231" t="s">
        <v>497</v>
      </c>
      <c r="C1373" s="231" t="s">
        <v>203</v>
      </c>
      <c r="D1373" s="232" t="s">
        <v>1470</v>
      </c>
      <c r="E1373" s="232" t="s">
        <v>205</v>
      </c>
      <c r="F1373" s="235"/>
      <c r="G1373" s="236"/>
      <c r="H1373" s="239"/>
      <c r="I1373" s="242">
        <v>46153</v>
      </c>
      <c r="J1373" s="70" t="s">
        <v>596</v>
      </c>
      <c r="K1373" s="106"/>
      <c r="L1373" s="104" t="e">
        <f t="shared" si="179"/>
        <v>#VALUE!</v>
      </c>
      <c r="M1373" s="105" t="e">
        <f ca="1" t="shared" si="180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/>
      <c r="Z1373" s="105"/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30" t="s">
        <v>102</v>
      </c>
      <c r="C1374" s="231" t="s">
        <v>31</v>
      </c>
      <c r="D1374" s="232" t="s">
        <v>3262</v>
      </c>
      <c r="E1374" s="232" t="s">
        <v>2995</v>
      </c>
      <c r="F1374" s="235"/>
      <c r="G1374" s="236"/>
      <c r="H1374" s="239"/>
      <c r="I1374" s="242">
        <v>46153</v>
      </c>
      <c r="J1374" s="70" t="s">
        <v>596</v>
      </c>
      <c r="K1374" s="106"/>
      <c r="L1374" s="104" t="e">
        <f t="shared" si="179"/>
        <v>#VALUE!</v>
      </c>
      <c r="M1374" s="105" t="e">
        <f ca="1" t="shared" si="180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/>
      <c r="Z1374" s="105"/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231" t="s">
        <v>178</v>
      </c>
      <c r="C1375" s="231" t="s">
        <v>31</v>
      </c>
      <c r="D1375" s="232" t="s">
        <v>3295</v>
      </c>
      <c r="E1375" s="232" t="s">
        <v>41</v>
      </c>
      <c r="F1375" s="235"/>
      <c r="G1375" s="236"/>
      <c r="H1375" s="239"/>
      <c r="I1375" s="242">
        <v>46154</v>
      </c>
      <c r="J1375" s="70">
        <v>3</v>
      </c>
      <c r="K1375" s="106" t="s">
        <v>3296</v>
      </c>
      <c r="L1375" s="104">
        <f t="shared" si="179"/>
        <v>46246</v>
      </c>
      <c r="M1375" s="105">
        <f ca="1" t="shared" si="180"/>
        <v>79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/>
      <c r="Z1375" s="105"/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30" t="s">
        <v>44</v>
      </c>
      <c r="C1376" s="231" t="s">
        <v>31</v>
      </c>
      <c r="D1376" s="234" t="s">
        <v>3297</v>
      </c>
      <c r="E1376" s="232" t="s">
        <v>37</v>
      </c>
      <c r="F1376" s="235"/>
      <c r="G1376" s="236"/>
      <c r="H1376" s="238" t="s">
        <v>16</v>
      </c>
      <c r="I1376" s="242">
        <v>46154</v>
      </c>
      <c r="J1376" s="70">
        <v>3</v>
      </c>
      <c r="K1376" s="106" t="s">
        <v>3298</v>
      </c>
      <c r="L1376" s="104">
        <f t="shared" si="179"/>
        <v>46246</v>
      </c>
      <c r="M1376" s="105">
        <f ca="1" t="shared" si="180"/>
        <v>79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/>
      <c r="Z1376" s="105"/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30" t="s">
        <v>12</v>
      </c>
      <c r="C1377" s="231" t="s">
        <v>31</v>
      </c>
      <c r="D1377" s="234" t="s">
        <v>3299</v>
      </c>
      <c r="E1377" s="232" t="s">
        <v>33</v>
      </c>
      <c r="F1377" s="235"/>
      <c r="G1377" s="236"/>
      <c r="H1377" s="238" t="s">
        <v>16</v>
      </c>
      <c r="I1377" s="242">
        <v>46154</v>
      </c>
      <c r="J1377" s="70">
        <v>3</v>
      </c>
      <c r="K1377" s="106" t="s">
        <v>3300</v>
      </c>
      <c r="L1377" s="104">
        <f t="shared" si="179"/>
        <v>46246</v>
      </c>
      <c r="M1377" s="105">
        <f ca="1" t="shared" si="180"/>
        <v>79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/>
      <c r="Z1377" s="105"/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30" t="s">
        <v>208</v>
      </c>
      <c r="C1378" s="231" t="s">
        <v>203</v>
      </c>
      <c r="D1378" s="234" t="s">
        <v>213</v>
      </c>
      <c r="E1378" s="232" t="s">
        <v>214</v>
      </c>
      <c r="F1378" s="235"/>
      <c r="G1378" s="236"/>
      <c r="H1378" s="239"/>
      <c r="I1378" s="242">
        <v>46154</v>
      </c>
      <c r="J1378" s="70" t="s">
        <v>596</v>
      </c>
      <c r="K1378" s="106"/>
      <c r="L1378" s="104" t="e">
        <f t="shared" ref="L1378:L1398" si="181">EDATE(I1378,J1378)</f>
        <v>#VALUE!</v>
      </c>
      <c r="M1378" s="105" t="e">
        <f ca="1" t="shared" ref="M1378:M1398" si="182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/>
      <c r="Z1378" s="105"/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30" t="s">
        <v>208</v>
      </c>
      <c r="C1379" s="231" t="s">
        <v>203</v>
      </c>
      <c r="D1379" s="234" t="s">
        <v>282</v>
      </c>
      <c r="E1379" s="232" t="s">
        <v>590</v>
      </c>
      <c r="F1379" s="235"/>
      <c r="G1379" s="236"/>
      <c r="H1379" s="239"/>
      <c r="I1379" s="242">
        <v>46154</v>
      </c>
      <c r="J1379" s="70" t="s">
        <v>596</v>
      </c>
      <c r="K1379" s="106"/>
      <c r="L1379" s="104" t="e">
        <f t="shared" si="181"/>
        <v>#VALUE!</v>
      </c>
      <c r="M1379" s="105" t="e">
        <f ca="1" t="shared" si="182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/>
      <c r="Z1379" s="105"/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30" t="s">
        <v>208</v>
      </c>
      <c r="C1380" s="231" t="s">
        <v>203</v>
      </c>
      <c r="D1380" s="234" t="s">
        <v>743</v>
      </c>
      <c r="E1380" s="71" t="s">
        <v>283</v>
      </c>
      <c r="F1380" s="72"/>
      <c r="G1380" s="73"/>
      <c r="H1380" s="75"/>
      <c r="I1380" s="242">
        <v>46154</v>
      </c>
      <c r="J1380" s="70" t="s">
        <v>596</v>
      </c>
      <c r="K1380" s="106"/>
      <c r="L1380" s="104" t="e">
        <f t="shared" si="181"/>
        <v>#VALUE!</v>
      </c>
      <c r="M1380" s="105" t="e">
        <f ca="1" t="shared" si="182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/>
      <c r="Z1380" s="105"/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233" t="s">
        <v>178</v>
      </c>
      <c r="C1381" s="231" t="s">
        <v>13</v>
      </c>
      <c r="D1381" s="234" t="s">
        <v>3301</v>
      </c>
      <c r="E1381" s="232" t="s">
        <v>28</v>
      </c>
      <c r="F1381" s="235"/>
      <c r="G1381" s="236"/>
      <c r="H1381" s="239"/>
      <c r="I1381" s="242">
        <v>46155</v>
      </c>
      <c r="J1381" s="231">
        <v>3</v>
      </c>
      <c r="K1381" s="243" t="s">
        <v>3302</v>
      </c>
      <c r="L1381" s="104">
        <f t="shared" si="181"/>
        <v>46247</v>
      </c>
      <c r="M1381" s="105">
        <f ca="1" t="shared" si="182"/>
        <v>80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/>
      <c r="Z1381" s="105"/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30" t="s">
        <v>930</v>
      </c>
      <c r="C1382" s="231" t="s">
        <v>13</v>
      </c>
      <c r="D1382" s="234" t="s">
        <v>3303</v>
      </c>
      <c r="E1382" s="232" t="s">
        <v>95</v>
      </c>
      <c r="F1382" s="235"/>
      <c r="G1382" s="236"/>
      <c r="H1382" s="239"/>
      <c r="I1382" s="242">
        <v>46155</v>
      </c>
      <c r="J1382" s="231">
        <v>3</v>
      </c>
      <c r="K1382" s="243" t="s">
        <v>3304</v>
      </c>
      <c r="L1382" s="104">
        <f t="shared" si="181"/>
        <v>46247</v>
      </c>
      <c r="M1382" s="105">
        <f ca="1" t="shared" si="182"/>
        <v>80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/>
      <c r="Z1382" s="105"/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30" t="s">
        <v>3152</v>
      </c>
      <c r="C1383" s="231" t="s">
        <v>203</v>
      </c>
      <c r="D1383" s="234" t="s">
        <v>3305</v>
      </c>
      <c r="E1383" s="232" t="s">
        <v>3306</v>
      </c>
      <c r="F1383" s="235"/>
      <c r="G1383" s="236"/>
      <c r="H1383" s="239"/>
      <c r="I1383" s="242">
        <v>46155</v>
      </c>
      <c r="J1383" s="231">
        <v>3</v>
      </c>
      <c r="K1383" s="243" t="s">
        <v>3307</v>
      </c>
      <c r="L1383" s="104">
        <f t="shared" si="181"/>
        <v>46247</v>
      </c>
      <c r="M1383" s="105">
        <f ca="1" t="shared" si="182"/>
        <v>80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/>
      <c r="Z1383" s="105"/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30" t="s">
        <v>208</v>
      </c>
      <c r="C1384" s="231" t="s">
        <v>203</v>
      </c>
      <c r="D1384" s="234" t="s">
        <v>209</v>
      </c>
      <c r="E1384" s="232" t="s">
        <v>210</v>
      </c>
      <c r="F1384" s="235"/>
      <c r="G1384" s="236"/>
      <c r="H1384" s="239"/>
      <c r="I1384" s="242">
        <v>46155</v>
      </c>
      <c r="J1384" s="231" t="s">
        <v>596</v>
      </c>
      <c r="K1384" s="243"/>
      <c r="L1384" s="104" t="e">
        <f t="shared" si="181"/>
        <v>#VALUE!</v>
      </c>
      <c r="M1384" s="105" t="e">
        <f ca="1" t="shared" si="182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/>
      <c r="Z1384" s="105"/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30" t="s">
        <v>202</v>
      </c>
      <c r="C1385" s="231" t="s">
        <v>203</v>
      </c>
      <c r="D1385" s="234" t="s">
        <v>204</v>
      </c>
      <c r="E1385" s="232" t="s">
        <v>205</v>
      </c>
      <c r="F1385" s="235"/>
      <c r="G1385" s="236"/>
      <c r="H1385" s="239"/>
      <c r="I1385" s="242">
        <v>46155</v>
      </c>
      <c r="J1385" s="231" t="s">
        <v>596</v>
      </c>
      <c r="K1385" s="243"/>
      <c r="L1385" s="104" t="e">
        <f t="shared" si="181"/>
        <v>#VALUE!</v>
      </c>
      <c r="M1385" s="105" t="e">
        <f ca="1" t="shared" si="182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/>
      <c r="Z1385" s="105"/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30" t="s">
        <v>497</v>
      </c>
      <c r="C1386" s="231" t="s">
        <v>203</v>
      </c>
      <c r="D1386" s="234" t="s">
        <v>204</v>
      </c>
      <c r="E1386" s="232" t="s">
        <v>205</v>
      </c>
      <c r="F1386" s="235"/>
      <c r="G1386" s="236"/>
      <c r="H1386" s="239"/>
      <c r="I1386" s="242">
        <v>46155</v>
      </c>
      <c r="J1386" s="231" t="s">
        <v>596</v>
      </c>
      <c r="K1386" s="243"/>
      <c r="L1386" s="104" t="e">
        <f t="shared" si="181"/>
        <v>#VALUE!</v>
      </c>
      <c r="M1386" s="105" t="e">
        <f ca="1" t="shared" si="182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/>
      <c r="Z1386" s="105"/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30" t="s">
        <v>55</v>
      </c>
      <c r="C1387" s="231" t="s">
        <v>13</v>
      </c>
      <c r="D1387" s="234" t="s">
        <v>3308</v>
      </c>
      <c r="E1387" s="232" t="s">
        <v>1290</v>
      </c>
      <c r="F1387" s="235"/>
      <c r="G1387" s="236"/>
      <c r="H1387" s="238" t="s">
        <v>16</v>
      </c>
      <c r="I1387" s="242">
        <v>46156</v>
      </c>
      <c r="J1387" s="231">
        <v>3</v>
      </c>
      <c r="K1387" s="243" t="s">
        <v>3309</v>
      </c>
      <c r="L1387" s="104">
        <f t="shared" si="181"/>
        <v>46248</v>
      </c>
      <c r="M1387" s="105">
        <f ca="1" t="shared" si="182"/>
        <v>81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/>
      <c r="Z1387" s="105"/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231" t="s">
        <v>1684</v>
      </c>
      <c r="C1388" s="231" t="s">
        <v>31</v>
      </c>
      <c r="D1388" s="232" t="s">
        <v>3310</v>
      </c>
      <c r="E1388" s="232" t="s">
        <v>3311</v>
      </c>
      <c r="F1388" s="235"/>
      <c r="G1388" s="236"/>
      <c r="H1388" s="238" t="s">
        <v>16</v>
      </c>
      <c r="I1388" s="242">
        <v>46156</v>
      </c>
      <c r="J1388" s="231">
        <v>3</v>
      </c>
      <c r="K1388" s="243" t="s">
        <v>3312</v>
      </c>
      <c r="L1388" s="104">
        <f t="shared" si="181"/>
        <v>46248</v>
      </c>
      <c r="M1388" s="105">
        <f ca="1" t="shared" si="182"/>
        <v>81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/>
      <c r="Z1388" s="105"/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231" t="s">
        <v>128</v>
      </c>
      <c r="C1389" s="231" t="s">
        <v>31</v>
      </c>
      <c r="D1389" s="232" t="s">
        <v>3313</v>
      </c>
      <c r="E1389" s="232" t="s">
        <v>3314</v>
      </c>
      <c r="F1389" s="235"/>
      <c r="G1389" s="236"/>
      <c r="H1389" s="238" t="s">
        <v>16</v>
      </c>
      <c r="I1389" s="242">
        <v>46156</v>
      </c>
      <c r="J1389" s="231">
        <v>3</v>
      </c>
      <c r="K1389" s="243" t="s">
        <v>3315</v>
      </c>
      <c r="L1389" s="104">
        <f t="shared" si="181"/>
        <v>46248</v>
      </c>
      <c r="M1389" s="105">
        <f ca="1" t="shared" si="182"/>
        <v>81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/>
      <c r="Z1389" s="105"/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3316</v>
      </c>
      <c r="C1390" s="231" t="s">
        <v>31</v>
      </c>
      <c r="D1390" s="71" t="s">
        <v>3317</v>
      </c>
      <c r="E1390" s="71" t="s">
        <v>148</v>
      </c>
      <c r="F1390" s="72"/>
      <c r="G1390" s="73"/>
      <c r="H1390" s="238" t="s">
        <v>16</v>
      </c>
      <c r="I1390" s="242">
        <v>46156</v>
      </c>
      <c r="J1390" s="231">
        <v>3</v>
      </c>
      <c r="K1390" s="243" t="s">
        <v>3318</v>
      </c>
      <c r="L1390" s="104">
        <f t="shared" si="181"/>
        <v>46248</v>
      </c>
      <c r="M1390" s="105">
        <f ca="1" t="shared" si="182"/>
        <v>81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/>
      <c r="Z1390" s="105"/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30" t="s">
        <v>178</v>
      </c>
      <c r="C1391" s="231" t="s">
        <v>13</v>
      </c>
      <c r="D1391" s="232" t="s">
        <v>3319</v>
      </c>
      <c r="E1391" s="232" t="s">
        <v>86</v>
      </c>
      <c r="F1391" s="235"/>
      <c r="G1391" s="236"/>
      <c r="H1391" s="239"/>
      <c r="I1391" s="242">
        <v>46157</v>
      </c>
      <c r="J1391" s="70">
        <v>3</v>
      </c>
      <c r="K1391" s="106" t="s">
        <v>3320</v>
      </c>
      <c r="L1391" s="104">
        <f t="shared" si="181"/>
        <v>46249</v>
      </c>
      <c r="M1391" s="105">
        <f ca="1" t="shared" si="182"/>
        <v>82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/>
      <c r="Z1391" s="105"/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231" t="s">
        <v>2002</v>
      </c>
      <c r="C1392" s="231" t="s">
        <v>31</v>
      </c>
      <c r="D1392" s="232" t="s">
        <v>3321</v>
      </c>
      <c r="E1392" s="232" t="s">
        <v>2004</v>
      </c>
      <c r="F1392" s="235"/>
      <c r="G1392" s="236"/>
      <c r="H1392" s="239"/>
      <c r="I1392" s="242">
        <v>46157</v>
      </c>
      <c r="J1392" s="70">
        <v>3</v>
      </c>
      <c r="K1392" s="106" t="s">
        <v>3322</v>
      </c>
      <c r="L1392" s="104">
        <f t="shared" si="181"/>
        <v>46249</v>
      </c>
      <c r="M1392" s="105">
        <f ca="1" t="shared" si="182"/>
        <v>82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/>
      <c r="Z1392" s="105"/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30" t="s">
        <v>497</v>
      </c>
      <c r="C1393" s="231" t="s">
        <v>203</v>
      </c>
      <c r="D1393" s="234" t="s">
        <v>1871</v>
      </c>
      <c r="E1393" s="232" t="s">
        <v>205</v>
      </c>
      <c r="F1393" s="235"/>
      <c r="G1393" s="236"/>
      <c r="H1393" s="239"/>
      <c r="I1393" s="242">
        <v>46157</v>
      </c>
      <c r="J1393" s="70" t="s">
        <v>596</v>
      </c>
      <c r="K1393" s="106"/>
      <c r="L1393" s="104" t="e">
        <f t="shared" si="181"/>
        <v>#VALUE!</v>
      </c>
      <c r="M1393" s="105" t="e">
        <f ca="1" t="shared" si="182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/>
      <c r="Z1393" s="105"/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30" t="s">
        <v>497</v>
      </c>
      <c r="C1394" s="231" t="s">
        <v>203</v>
      </c>
      <c r="D1394" s="234" t="s">
        <v>1470</v>
      </c>
      <c r="E1394" s="232" t="s">
        <v>205</v>
      </c>
      <c r="F1394" s="235"/>
      <c r="G1394" s="236"/>
      <c r="H1394" s="239"/>
      <c r="I1394" s="242">
        <v>46157</v>
      </c>
      <c r="J1394" s="70" t="s">
        <v>596</v>
      </c>
      <c r="K1394" s="106"/>
      <c r="L1394" s="104" t="e">
        <f t="shared" si="181"/>
        <v>#VALUE!</v>
      </c>
      <c r="M1394" s="105" t="e">
        <f ca="1" t="shared" si="182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/>
      <c r="Z1394" s="105"/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231" t="s">
        <v>178</v>
      </c>
      <c r="C1395" s="231" t="s">
        <v>31</v>
      </c>
      <c r="D1395" s="232" t="s">
        <v>3323</v>
      </c>
      <c r="E1395" s="232" t="s">
        <v>41</v>
      </c>
      <c r="F1395" s="235"/>
      <c r="G1395" s="236"/>
      <c r="H1395" s="239"/>
      <c r="I1395" s="242">
        <v>46158</v>
      </c>
      <c r="J1395" s="70">
        <v>3</v>
      </c>
      <c r="K1395" s="106" t="s">
        <v>3324</v>
      </c>
      <c r="L1395" s="104">
        <f t="shared" si="181"/>
        <v>46250</v>
      </c>
      <c r="M1395" s="105">
        <f ca="1" t="shared" si="182"/>
        <v>83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/>
      <c r="Z1395" s="105"/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30" t="s">
        <v>407</v>
      </c>
      <c r="C1396" s="231" t="s">
        <v>13</v>
      </c>
      <c r="D1396" s="232" t="s">
        <v>3325</v>
      </c>
      <c r="E1396" s="232" t="s">
        <v>2139</v>
      </c>
      <c r="F1396" s="235"/>
      <c r="G1396" s="236"/>
      <c r="H1396" s="241" t="s">
        <v>16</v>
      </c>
      <c r="I1396" s="242">
        <v>46158</v>
      </c>
      <c r="J1396" s="70">
        <v>3</v>
      </c>
      <c r="K1396" s="106" t="s">
        <v>3326</v>
      </c>
      <c r="L1396" s="104">
        <f t="shared" si="181"/>
        <v>46250</v>
      </c>
      <c r="M1396" s="105">
        <f ca="1" t="shared" si="182"/>
        <v>83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/>
      <c r="Z1396" s="105"/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30" t="s">
        <v>1048</v>
      </c>
      <c r="C1397" s="231" t="s">
        <v>13</v>
      </c>
      <c r="D1397" s="234" t="s">
        <v>2211</v>
      </c>
      <c r="E1397" s="232" t="s">
        <v>2212</v>
      </c>
      <c r="F1397" s="235"/>
      <c r="G1397" s="236"/>
      <c r="H1397" s="239"/>
      <c r="I1397" s="242">
        <v>46158</v>
      </c>
      <c r="J1397" s="70" t="s">
        <v>596</v>
      </c>
      <c r="K1397" s="106"/>
      <c r="L1397" s="104" t="e">
        <f t="shared" si="181"/>
        <v>#VALUE!</v>
      </c>
      <c r="M1397" s="105" t="e">
        <f ca="1" t="shared" si="182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/>
      <c r="Z1397" s="105"/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231" t="s">
        <v>102</v>
      </c>
      <c r="C1398" s="231" t="s">
        <v>31</v>
      </c>
      <c r="D1398" s="232" t="s">
        <v>3262</v>
      </c>
      <c r="E1398" s="232" t="s">
        <v>2995</v>
      </c>
      <c r="F1398" s="235"/>
      <c r="G1398" s="236"/>
      <c r="H1398" s="239"/>
      <c r="I1398" s="242">
        <v>46159</v>
      </c>
      <c r="J1398" s="70" t="s">
        <v>596</v>
      </c>
      <c r="K1398" s="106"/>
      <c r="L1398" s="104" t="e">
        <f t="shared" si="181"/>
        <v>#VALUE!</v>
      </c>
      <c r="M1398" s="105" t="e">
        <f ca="1" t="shared" si="182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/>
      <c r="Z1398" s="105"/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231" t="s">
        <v>2896</v>
      </c>
      <c r="C1399" s="231" t="s">
        <v>31</v>
      </c>
      <c r="D1399" s="232" t="s">
        <v>3327</v>
      </c>
      <c r="E1399" s="232" t="s">
        <v>2622</v>
      </c>
      <c r="F1399" s="235"/>
      <c r="G1399" s="236"/>
      <c r="H1399" s="241" t="s">
        <v>16</v>
      </c>
      <c r="I1399" s="242">
        <v>46160</v>
      </c>
      <c r="J1399" s="70">
        <v>3</v>
      </c>
      <c r="K1399" s="106" t="s">
        <v>3328</v>
      </c>
      <c r="L1399" s="104">
        <f t="shared" ref="L1399:L1406" si="183">EDATE(I1399,J1399)</f>
        <v>46252</v>
      </c>
      <c r="M1399" s="105">
        <f ca="1" t="shared" ref="M1399:M1406" si="184">L1399-TODAY()</f>
        <v>85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/>
      <c r="Z1399" s="105"/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3246</v>
      </c>
      <c r="C1400" s="70" t="s">
        <v>13</v>
      </c>
      <c r="D1400" s="71" t="s">
        <v>3329</v>
      </c>
      <c r="E1400" s="71" t="s">
        <v>95</v>
      </c>
      <c r="F1400" s="72"/>
      <c r="G1400" s="73"/>
      <c r="H1400" s="75"/>
      <c r="I1400" s="242">
        <v>46160</v>
      </c>
      <c r="J1400" s="70">
        <v>3</v>
      </c>
      <c r="K1400" s="106" t="s">
        <v>3330</v>
      </c>
      <c r="L1400" s="104">
        <f t="shared" si="183"/>
        <v>46252</v>
      </c>
      <c r="M1400" s="105">
        <f ca="1" t="shared" si="184"/>
        <v>85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/>
      <c r="Z1400" s="105"/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677</v>
      </c>
      <c r="C1401" s="70" t="s">
        <v>13</v>
      </c>
      <c r="D1401" s="71" t="s">
        <v>3331</v>
      </c>
      <c r="E1401" s="71" t="s">
        <v>3332</v>
      </c>
      <c r="F1401" s="72"/>
      <c r="G1401" s="73"/>
      <c r="H1401" s="79" t="s">
        <v>16</v>
      </c>
      <c r="I1401" s="242">
        <v>46160</v>
      </c>
      <c r="J1401" s="70">
        <v>3</v>
      </c>
      <c r="K1401" s="106" t="s">
        <v>3333</v>
      </c>
      <c r="L1401" s="104">
        <f t="shared" si="183"/>
        <v>46252</v>
      </c>
      <c r="M1401" s="105">
        <f ca="1" t="shared" si="184"/>
        <v>85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/>
      <c r="Z1401" s="105"/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619</v>
      </c>
      <c r="C1402" s="70" t="s">
        <v>203</v>
      </c>
      <c r="D1402" s="71" t="s">
        <v>3334</v>
      </c>
      <c r="E1402" s="71" t="s">
        <v>203</v>
      </c>
      <c r="F1402" s="72"/>
      <c r="G1402" s="73"/>
      <c r="H1402" s="75"/>
      <c r="I1402" s="242">
        <v>46160</v>
      </c>
      <c r="J1402" s="70">
        <v>3</v>
      </c>
      <c r="K1402" s="106" t="s">
        <v>3335</v>
      </c>
      <c r="L1402" s="104">
        <f t="shared" si="183"/>
        <v>46252</v>
      </c>
      <c r="M1402" s="105">
        <f ca="1" t="shared" si="184"/>
        <v>85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/>
      <c r="Z1402" s="105"/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3336</v>
      </c>
      <c r="C1403" s="70" t="s">
        <v>203</v>
      </c>
      <c r="D1403" s="71" t="s">
        <v>584</v>
      </c>
      <c r="E1403" s="71" t="s">
        <v>585</v>
      </c>
      <c r="F1403" s="72"/>
      <c r="G1403" s="73"/>
      <c r="H1403" s="75"/>
      <c r="I1403" s="242">
        <v>46160</v>
      </c>
      <c r="J1403" s="70" t="s">
        <v>596</v>
      </c>
      <c r="K1403" s="106"/>
      <c r="L1403" s="104" t="e">
        <f t="shared" si="183"/>
        <v>#VALUE!</v>
      </c>
      <c r="M1403" s="105" t="e">
        <f ca="1" t="shared" si="184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/>
      <c r="Z1403" s="105"/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281</v>
      </c>
      <c r="C1404" s="70" t="s">
        <v>203</v>
      </c>
      <c r="D1404" s="71" t="s">
        <v>282</v>
      </c>
      <c r="E1404" s="71" t="s">
        <v>590</v>
      </c>
      <c r="F1404" s="72"/>
      <c r="G1404" s="73"/>
      <c r="H1404" s="75"/>
      <c r="I1404" s="242">
        <v>46160</v>
      </c>
      <c r="J1404" s="70" t="s">
        <v>596</v>
      </c>
      <c r="K1404" s="106"/>
      <c r="L1404" s="104" t="e">
        <f t="shared" si="183"/>
        <v>#VALUE!</v>
      </c>
      <c r="M1404" s="105" t="e">
        <f ca="1" t="shared" si="184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/>
      <c r="Z1404" s="105"/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2950</v>
      </c>
      <c r="C1405" s="70" t="s">
        <v>203</v>
      </c>
      <c r="D1405" s="71" t="s">
        <v>282</v>
      </c>
      <c r="E1405" s="71" t="s">
        <v>590</v>
      </c>
      <c r="F1405" s="72"/>
      <c r="G1405" s="73"/>
      <c r="H1405" s="75"/>
      <c r="I1405" s="242">
        <v>46160</v>
      </c>
      <c r="J1405" s="70" t="s">
        <v>596</v>
      </c>
      <c r="K1405" s="106"/>
      <c r="L1405" s="104" t="e">
        <f t="shared" si="183"/>
        <v>#VALUE!</v>
      </c>
      <c r="M1405" s="105" t="e">
        <f ca="1" t="shared" si="184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/>
      <c r="Z1405" s="105"/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231" t="s">
        <v>102</v>
      </c>
      <c r="C1406" s="231" t="s">
        <v>31</v>
      </c>
      <c r="D1406" s="232" t="s">
        <v>3019</v>
      </c>
      <c r="E1406" s="71" t="s">
        <v>3337</v>
      </c>
      <c r="F1406" s="72"/>
      <c r="G1406" s="73"/>
      <c r="H1406" s="75"/>
      <c r="I1406" s="242">
        <v>46160</v>
      </c>
      <c r="J1406" s="70" t="s">
        <v>596</v>
      </c>
      <c r="K1406" s="106"/>
      <c r="L1406" s="104" t="e">
        <f t="shared" si="183"/>
        <v>#VALUE!</v>
      </c>
      <c r="M1406" s="105" t="e">
        <f ca="1" t="shared" si="184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/>
      <c r="Z1406" s="105"/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583</v>
      </c>
      <c r="C1407" s="70" t="s">
        <v>13</v>
      </c>
      <c r="D1407" s="71" t="s">
        <v>3338</v>
      </c>
      <c r="E1407" s="71" t="s">
        <v>37</v>
      </c>
      <c r="F1407" s="72"/>
      <c r="G1407" s="73"/>
      <c r="H1407" s="79" t="s">
        <v>16</v>
      </c>
      <c r="I1407" s="242">
        <v>46161</v>
      </c>
      <c r="J1407" s="70">
        <v>3</v>
      </c>
      <c r="K1407" s="106"/>
      <c r="L1407" s="104">
        <f t="shared" ref="L1407:L1414" si="185">EDATE(I1407,J1407)</f>
        <v>46253</v>
      </c>
      <c r="M1407" s="105">
        <f ca="1" t="shared" ref="M1407:M1414" si="186">L1407-TODAY()</f>
        <v>86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/>
      <c r="Z1407" s="105"/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2620</v>
      </c>
      <c r="C1408" s="231" t="s">
        <v>31</v>
      </c>
      <c r="D1408" s="71" t="s">
        <v>3339</v>
      </c>
      <c r="E1408" s="71" t="s">
        <v>3340</v>
      </c>
      <c r="F1408" s="72"/>
      <c r="G1408" s="73"/>
      <c r="H1408" s="79" t="s">
        <v>16</v>
      </c>
      <c r="I1408" s="242">
        <v>46161</v>
      </c>
      <c r="J1408" s="70">
        <v>3</v>
      </c>
      <c r="K1408" s="106"/>
      <c r="L1408" s="104">
        <f t="shared" si="185"/>
        <v>46253</v>
      </c>
      <c r="M1408" s="105">
        <f ca="1" t="shared" si="186"/>
        <v>86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/>
      <c r="Z1408" s="105"/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2214</v>
      </c>
      <c r="C1409" s="70" t="s">
        <v>287</v>
      </c>
      <c r="D1409" s="71" t="s">
        <v>3341</v>
      </c>
      <c r="E1409" s="71" t="s">
        <v>3078</v>
      </c>
      <c r="F1409" s="72"/>
      <c r="G1409" s="73"/>
      <c r="H1409" s="79" t="s">
        <v>16</v>
      </c>
      <c r="I1409" s="242">
        <v>46161</v>
      </c>
      <c r="J1409" s="70">
        <v>3</v>
      </c>
      <c r="K1409" s="106"/>
      <c r="L1409" s="104">
        <f t="shared" si="185"/>
        <v>46253</v>
      </c>
      <c r="M1409" s="105">
        <f ca="1" t="shared" si="186"/>
        <v>86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/>
      <c r="Z1409" s="105"/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805</v>
      </c>
      <c r="C1410" s="70" t="s">
        <v>287</v>
      </c>
      <c r="D1410" s="71" t="s">
        <v>3342</v>
      </c>
      <c r="E1410" s="71" t="s">
        <v>1013</v>
      </c>
      <c r="F1410" s="72"/>
      <c r="G1410" s="73"/>
      <c r="H1410" s="79" t="s">
        <v>16</v>
      </c>
      <c r="I1410" s="242">
        <v>46161</v>
      </c>
      <c r="J1410" s="70">
        <v>3</v>
      </c>
      <c r="K1410" s="106"/>
      <c r="L1410" s="104">
        <f t="shared" si="185"/>
        <v>46253</v>
      </c>
      <c r="M1410" s="105">
        <f ca="1" t="shared" si="186"/>
        <v>86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/>
      <c r="Z1410" s="105"/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286</v>
      </c>
      <c r="C1411" s="70" t="s">
        <v>287</v>
      </c>
      <c r="D1411" s="71" t="s">
        <v>2768</v>
      </c>
      <c r="E1411" s="71" t="s">
        <v>289</v>
      </c>
      <c r="F1411" s="72"/>
      <c r="G1411" s="73"/>
      <c r="H1411" s="75"/>
      <c r="I1411" s="242">
        <v>46161</v>
      </c>
      <c r="J1411" s="70" t="s">
        <v>596</v>
      </c>
      <c r="K1411" s="106"/>
      <c r="L1411" s="104" t="e">
        <f t="shared" si="185"/>
        <v>#VALUE!</v>
      </c>
      <c r="M1411" s="105" t="e">
        <f ca="1" t="shared" si="186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/>
      <c r="Z1411" s="105"/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102</v>
      </c>
      <c r="C1412" s="70" t="s">
        <v>31</v>
      </c>
      <c r="D1412" s="71" t="s">
        <v>3262</v>
      </c>
      <c r="E1412" s="71" t="s">
        <v>2995</v>
      </c>
      <c r="F1412" s="72"/>
      <c r="G1412" s="73"/>
      <c r="H1412" s="75"/>
      <c r="I1412" s="242">
        <v>46161</v>
      </c>
      <c r="J1412" s="70" t="s">
        <v>596</v>
      </c>
      <c r="K1412" s="106"/>
      <c r="L1412" s="104" t="e">
        <f t="shared" ref="L1412:L1422" si="187">EDATE(I1412,J1412)</f>
        <v>#VALUE!</v>
      </c>
      <c r="M1412" s="105" t="e">
        <f ca="1" t="shared" ref="M1412:M1422" si="188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/>
      <c r="Z1412" s="105"/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30" t="s">
        <v>497</v>
      </c>
      <c r="C1413" s="231" t="s">
        <v>203</v>
      </c>
      <c r="D1413" s="234" t="s">
        <v>1470</v>
      </c>
      <c r="E1413" s="71" t="s">
        <v>205</v>
      </c>
      <c r="F1413" s="72"/>
      <c r="G1413" s="73"/>
      <c r="H1413" s="75"/>
      <c r="I1413" s="242">
        <v>46161</v>
      </c>
      <c r="J1413" s="70" t="s">
        <v>596</v>
      </c>
      <c r="K1413" s="106"/>
      <c r="L1413" s="104" t="e">
        <f t="shared" si="187"/>
        <v>#VALUE!</v>
      </c>
      <c r="M1413" s="105" t="e">
        <f ca="1" t="shared" si="188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/>
      <c r="Z1413" s="105"/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30" t="s">
        <v>497</v>
      </c>
      <c r="C1414" s="231" t="s">
        <v>203</v>
      </c>
      <c r="D1414" s="234" t="s">
        <v>1871</v>
      </c>
      <c r="E1414" s="71" t="s">
        <v>585</v>
      </c>
      <c r="F1414" s="72"/>
      <c r="G1414" s="73"/>
      <c r="H1414" s="75"/>
      <c r="I1414" s="242">
        <v>46161</v>
      </c>
      <c r="J1414" s="70" t="s">
        <v>596</v>
      </c>
      <c r="K1414" s="106"/>
      <c r="L1414" s="104" t="e">
        <f t="shared" si="187"/>
        <v>#VALUE!</v>
      </c>
      <c r="M1414" s="105" t="e">
        <f ca="1" t="shared" si="188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/>
      <c r="Z1414" s="105"/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2754</v>
      </c>
      <c r="C1415" s="70" t="s">
        <v>13</v>
      </c>
      <c r="D1415" s="234" t="s">
        <v>3343</v>
      </c>
      <c r="E1415" s="71" t="s">
        <v>37</v>
      </c>
      <c r="F1415" s="72"/>
      <c r="G1415" s="73"/>
      <c r="H1415" s="75"/>
      <c r="I1415" s="242">
        <v>46162</v>
      </c>
      <c r="J1415" s="70">
        <v>3</v>
      </c>
      <c r="K1415" s="106"/>
      <c r="L1415" s="104">
        <f t="shared" si="187"/>
        <v>46254</v>
      </c>
      <c r="M1415" s="105">
        <f ca="1" t="shared" si="188"/>
        <v>87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/>
      <c r="Z1415" s="105"/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2754</v>
      </c>
      <c r="C1416" s="70" t="s">
        <v>31</v>
      </c>
      <c r="D1416" s="234" t="s">
        <v>3344</v>
      </c>
      <c r="E1416" s="71" t="s">
        <v>3345</v>
      </c>
      <c r="F1416" s="72"/>
      <c r="G1416" s="73"/>
      <c r="H1416" s="74" t="s">
        <v>16</v>
      </c>
      <c r="I1416" s="242">
        <v>46162</v>
      </c>
      <c r="J1416" s="70">
        <v>3</v>
      </c>
      <c r="K1416" s="106"/>
      <c r="L1416" s="104">
        <f t="shared" si="187"/>
        <v>46254</v>
      </c>
      <c r="M1416" s="105">
        <f ca="1" t="shared" si="188"/>
        <v>87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/>
      <c r="Z1416" s="105"/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3279</v>
      </c>
      <c r="C1417" s="70" t="s">
        <v>287</v>
      </c>
      <c r="D1417" s="71" t="s">
        <v>288</v>
      </c>
      <c r="E1417" s="71" t="s">
        <v>289</v>
      </c>
      <c r="F1417" s="72"/>
      <c r="G1417" s="73"/>
      <c r="H1417" s="75"/>
      <c r="I1417" s="242">
        <v>46162</v>
      </c>
      <c r="J1417" s="70">
        <v>3</v>
      </c>
      <c r="K1417" s="106"/>
      <c r="L1417" s="104">
        <f t="shared" si="187"/>
        <v>46254</v>
      </c>
      <c r="M1417" s="105">
        <f ca="1" t="shared" si="188"/>
        <v>87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/>
      <c r="Z1417" s="105"/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30" t="s">
        <v>217</v>
      </c>
      <c r="C1418" s="231" t="s">
        <v>203</v>
      </c>
      <c r="D1418" s="234" t="s">
        <v>3346</v>
      </c>
      <c r="E1418" s="71" t="s">
        <v>3347</v>
      </c>
      <c r="F1418" s="72"/>
      <c r="G1418" s="73"/>
      <c r="H1418" s="75"/>
      <c r="I1418" s="242">
        <v>46162</v>
      </c>
      <c r="J1418" s="70">
        <v>3</v>
      </c>
      <c r="K1418" s="106"/>
      <c r="L1418" s="104">
        <f t="shared" si="187"/>
        <v>46254</v>
      </c>
      <c r="M1418" s="105">
        <f ca="1" t="shared" si="188"/>
        <v>87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/>
      <c r="Z1418" s="105"/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30" t="s">
        <v>208</v>
      </c>
      <c r="C1419" s="231" t="s">
        <v>203</v>
      </c>
      <c r="D1419" s="234" t="s">
        <v>213</v>
      </c>
      <c r="E1419" s="71" t="s">
        <v>214</v>
      </c>
      <c r="F1419" s="72"/>
      <c r="G1419" s="73"/>
      <c r="H1419" s="75"/>
      <c r="I1419" s="242">
        <v>46162</v>
      </c>
      <c r="J1419" s="70" t="s">
        <v>596</v>
      </c>
      <c r="K1419" s="106"/>
      <c r="L1419" s="104" t="e">
        <f t="shared" si="187"/>
        <v>#VALUE!</v>
      </c>
      <c r="M1419" s="105" t="e">
        <f ca="1" t="shared" si="188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/>
      <c r="Z1419" s="105"/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30" t="s">
        <v>500</v>
      </c>
      <c r="C1420" s="231" t="s">
        <v>203</v>
      </c>
      <c r="D1420" s="234" t="s">
        <v>2801</v>
      </c>
      <c r="E1420" s="71" t="s">
        <v>279</v>
      </c>
      <c r="F1420" s="72"/>
      <c r="G1420" s="73"/>
      <c r="H1420" s="75"/>
      <c r="I1420" s="242">
        <v>46162</v>
      </c>
      <c r="J1420" s="70" t="s">
        <v>596</v>
      </c>
      <c r="K1420" s="106"/>
      <c r="L1420" s="104" t="e">
        <f t="shared" si="187"/>
        <v>#VALUE!</v>
      </c>
      <c r="M1420" s="105" t="e">
        <f ca="1" t="shared" si="188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/>
      <c r="Z1420" s="105"/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30" t="s">
        <v>497</v>
      </c>
      <c r="C1421" s="231" t="s">
        <v>203</v>
      </c>
      <c r="D1421" s="234" t="s">
        <v>1470</v>
      </c>
      <c r="E1421" s="71" t="s">
        <v>205</v>
      </c>
      <c r="F1421" s="72"/>
      <c r="G1421" s="73"/>
      <c r="H1421" s="75"/>
      <c r="I1421" s="242">
        <v>46162</v>
      </c>
      <c r="J1421" s="70" t="s">
        <v>596</v>
      </c>
      <c r="K1421" s="106"/>
      <c r="L1421" s="104" t="e">
        <f t="shared" si="187"/>
        <v>#VALUE!</v>
      </c>
      <c r="M1421" s="105" t="e">
        <f ca="1" t="shared" si="188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/>
      <c r="Z1421" s="105"/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30" t="s">
        <v>583</v>
      </c>
      <c r="C1422" s="231" t="s">
        <v>31</v>
      </c>
      <c r="D1422" s="234" t="s">
        <v>3348</v>
      </c>
      <c r="E1422" s="71" t="s">
        <v>148</v>
      </c>
      <c r="F1422" s="72"/>
      <c r="G1422" s="73"/>
      <c r="H1422" s="74" t="s">
        <v>16</v>
      </c>
      <c r="I1422" s="242">
        <v>46163</v>
      </c>
      <c r="J1422" s="70">
        <v>3</v>
      </c>
      <c r="K1422" s="106"/>
      <c r="L1422" s="104">
        <f t="shared" si="187"/>
        <v>46255</v>
      </c>
      <c r="M1422" s="105">
        <f ca="1" t="shared" si="188"/>
        <v>88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/>
      <c r="Z1422" s="105"/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30" t="s">
        <v>583</v>
      </c>
      <c r="C1423" s="231" t="s">
        <v>31</v>
      </c>
      <c r="D1423" s="234" t="s">
        <v>3349</v>
      </c>
      <c r="E1423" s="71" t="s">
        <v>148</v>
      </c>
      <c r="F1423" s="72"/>
      <c r="G1423" s="73"/>
      <c r="H1423" s="75"/>
      <c r="I1423" s="242">
        <v>46163</v>
      </c>
      <c r="J1423" s="70">
        <v>3</v>
      </c>
      <c r="K1423" s="106"/>
      <c r="L1423" s="104">
        <f t="shared" ref="L1423:L1435" si="189">EDATE(I1423,J1423)</f>
        <v>46255</v>
      </c>
      <c r="M1423" s="105">
        <f ca="1" t="shared" ref="M1423:M1435" si="190">L1423-TODAY()</f>
        <v>88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/>
      <c r="Z1423" s="105"/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30" t="s">
        <v>583</v>
      </c>
      <c r="C1424" s="231" t="s">
        <v>13</v>
      </c>
      <c r="D1424" s="234" t="s">
        <v>3350</v>
      </c>
      <c r="E1424" s="71" t="s">
        <v>37</v>
      </c>
      <c r="F1424" s="72"/>
      <c r="G1424" s="73"/>
      <c r="H1424" s="114" t="s">
        <v>16</v>
      </c>
      <c r="I1424" s="242">
        <v>46163</v>
      </c>
      <c r="J1424" s="70">
        <v>3</v>
      </c>
      <c r="K1424" s="106"/>
      <c r="L1424" s="104">
        <f t="shared" si="189"/>
        <v>46255</v>
      </c>
      <c r="M1424" s="105">
        <f ca="1" t="shared" si="190"/>
        <v>88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/>
      <c r="Z1424" s="105"/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30" t="s">
        <v>583</v>
      </c>
      <c r="C1425" s="231" t="s">
        <v>13</v>
      </c>
      <c r="D1425" s="234" t="s">
        <v>3351</v>
      </c>
      <c r="E1425" s="71" t="s">
        <v>3352</v>
      </c>
      <c r="F1425" s="72"/>
      <c r="G1425" s="73"/>
      <c r="H1425" s="75"/>
      <c r="I1425" s="242">
        <v>46163</v>
      </c>
      <c r="J1425" s="70">
        <v>3</v>
      </c>
      <c r="K1425" s="106"/>
      <c r="L1425" s="104">
        <f t="shared" si="189"/>
        <v>46255</v>
      </c>
      <c r="M1425" s="105">
        <f ca="1" t="shared" si="190"/>
        <v>88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/>
      <c r="Z1425" s="105"/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30" t="s">
        <v>583</v>
      </c>
      <c r="C1426" s="231" t="s">
        <v>13</v>
      </c>
      <c r="D1426" s="234" t="s">
        <v>3353</v>
      </c>
      <c r="E1426" s="71" t="s">
        <v>998</v>
      </c>
      <c r="F1426" s="72"/>
      <c r="G1426" s="73"/>
      <c r="H1426" s="74" t="s">
        <v>16</v>
      </c>
      <c r="I1426" s="242">
        <v>46163</v>
      </c>
      <c r="J1426" s="70">
        <v>3</v>
      </c>
      <c r="K1426" s="106"/>
      <c r="L1426" s="104">
        <f t="shared" si="189"/>
        <v>46255</v>
      </c>
      <c r="M1426" s="105">
        <f ca="1" t="shared" si="190"/>
        <v>88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/>
      <c r="Z1426" s="105"/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30" t="s">
        <v>583</v>
      </c>
      <c r="C1427" s="231" t="s">
        <v>31</v>
      </c>
      <c r="D1427" s="71" t="s">
        <v>3354</v>
      </c>
      <c r="E1427" s="71" t="s">
        <v>258</v>
      </c>
      <c r="F1427" s="72"/>
      <c r="G1427" s="73"/>
      <c r="H1427" s="74" t="s">
        <v>16</v>
      </c>
      <c r="I1427" s="242">
        <v>46163</v>
      </c>
      <c r="J1427" s="70">
        <v>3</v>
      </c>
      <c r="K1427" s="106"/>
      <c r="L1427" s="104">
        <f t="shared" si="189"/>
        <v>46255</v>
      </c>
      <c r="M1427" s="105">
        <f ca="1" t="shared" si="190"/>
        <v>88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/>
      <c r="Z1427" s="105"/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30" t="s">
        <v>954</v>
      </c>
      <c r="C1428" s="231" t="s">
        <v>203</v>
      </c>
      <c r="D1428" s="234" t="s">
        <v>955</v>
      </c>
      <c r="E1428" s="71" t="s">
        <v>203</v>
      </c>
      <c r="F1428" s="72"/>
      <c r="G1428" s="73"/>
      <c r="H1428" s="75"/>
      <c r="I1428" s="242">
        <v>46163</v>
      </c>
      <c r="J1428" s="70" t="s">
        <v>596</v>
      </c>
      <c r="K1428" s="106"/>
      <c r="L1428" s="104" t="e">
        <f t="shared" si="189"/>
        <v>#VALUE!</v>
      </c>
      <c r="M1428" s="105" t="e">
        <f ca="1" t="shared" si="190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/>
      <c r="Z1428" s="105"/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30" t="s">
        <v>497</v>
      </c>
      <c r="C1429" s="231" t="s">
        <v>203</v>
      </c>
      <c r="D1429" s="234" t="s">
        <v>204</v>
      </c>
      <c r="E1429" s="71" t="s">
        <v>205</v>
      </c>
      <c r="F1429" s="72"/>
      <c r="G1429" s="73"/>
      <c r="H1429" s="75"/>
      <c r="I1429" s="242">
        <v>46163</v>
      </c>
      <c r="J1429" s="70" t="s">
        <v>596</v>
      </c>
      <c r="K1429" s="106"/>
      <c r="L1429" s="104" t="e">
        <f t="shared" si="189"/>
        <v>#VALUE!</v>
      </c>
      <c r="M1429" s="105" t="e">
        <f ca="1" t="shared" si="190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/>
      <c r="Z1429" s="105"/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30" t="s">
        <v>202</v>
      </c>
      <c r="C1430" s="231" t="s">
        <v>203</v>
      </c>
      <c r="D1430" s="234" t="s">
        <v>204</v>
      </c>
      <c r="E1430" s="71" t="s">
        <v>205</v>
      </c>
      <c r="F1430" s="72"/>
      <c r="G1430" s="73"/>
      <c r="H1430" s="75"/>
      <c r="I1430" s="242">
        <v>46163</v>
      </c>
      <c r="J1430" s="70" t="s">
        <v>596</v>
      </c>
      <c r="K1430" s="106"/>
      <c r="L1430" s="104" t="e">
        <f t="shared" si="189"/>
        <v>#VALUE!</v>
      </c>
      <c r="M1430" s="105" t="e">
        <f ca="1" t="shared" si="190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/>
      <c r="Z1430" s="105"/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30" t="s">
        <v>1467</v>
      </c>
      <c r="C1431" s="231" t="s">
        <v>203</v>
      </c>
      <c r="D1431" s="234" t="s">
        <v>741</v>
      </c>
      <c r="E1431" s="71" t="s">
        <v>585</v>
      </c>
      <c r="F1431" s="72"/>
      <c r="G1431" s="73"/>
      <c r="H1431" s="75"/>
      <c r="I1431" s="242">
        <v>46163</v>
      </c>
      <c r="J1431" s="70" t="s">
        <v>596</v>
      </c>
      <c r="K1431" s="106"/>
      <c r="L1431" s="104" t="e">
        <f t="shared" si="189"/>
        <v>#VALUE!</v>
      </c>
      <c r="M1431" s="105" t="e">
        <f ca="1" t="shared" si="190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/>
      <c r="Z1431" s="105"/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231" t="s">
        <v>3355</v>
      </c>
      <c r="C1432" s="231" t="s">
        <v>31</v>
      </c>
      <c r="D1432" s="232" t="s">
        <v>3356</v>
      </c>
      <c r="E1432" s="71" t="s">
        <v>33</v>
      </c>
      <c r="F1432" s="72"/>
      <c r="G1432" s="73"/>
      <c r="H1432" s="74" t="s">
        <v>16</v>
      </c>
      <c r="I1432" s="242">
        <v>46164</v>
      </c>
      <c r="J1432" s="70">
        <v>3</v>
      </c>
      <c r="K1432" s="106"/>
      <c r="L1432" s="104">
        <f t="shared" si="189"/>
        <v>46256</v>
      </c>
      <c r="M1432" s="105">
        <f ca="1" t="shared" si="190"/>
        <v>89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/>
      <c r="Z1432" s="105"/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559</v>
      </c>
      <c r="C1433" s="70" t="s">
        <v>13</v>
      </c>
      <c r="D1433" s="71" t="s">
        <v>3357</v>
      </c>
      <c r="E1433" s="71" t="s">
        <v>28</v>
      </c>
      <c r="F1433" s="72"/>
      <c r="G1433" s="73"/>
      <c r="H1433" s="74" t="s">
        <v>16</v>
      </c>
      <c r="I1433" s="242">
        <v>46164</v>
      </c>
      <c r="J1433" s="70">
        <v>3</v>
      </c>
      <c r="K1433" s="106"/>
      <c r="L1433" s="104">
        <f t="shared" si="189"/>
        <v>46256</v>
      </c>
      <c r="M1433" s="105">
        <f ca="1" t="shared" si="190"/>
        <v>89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/>
      <c r="Z1433" s="105"/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102</v>
      </c>
      <c r="C1434" s="70" t="s">
        <v>31</v>
      </c>
      <c r="D1434" s="71" t="s">
        <v>3019</v>
      </c>
      <c r="E1434" s="71" t="s">
        <v>2995</v>
      </c>
      <c r="F1434" s="72"/>
      <c r="G1434" s="73"/>
      <c r="H1434" s="157"/>
      <c r="I1434" s="242">
        <v>46164</v>
      </c>
      <c r="J1434" s="70" t="s">
        <v>596</v>
      </c>
      <c r="K1434" s="106"/>
      <c r="L1434" s="104" t="e">
        <f t="shared" si="189"/>
        <v>#VALUE!</v>
      </c>
      <c r="M1434" s="105" t="e">
        <f ca="1" t="shared" si="190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/>
      <c r="Z1434" s="105"/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3246</v>
      </c>
      <c r="C1435" s="70" t="s">
        <v>13</v>
      </c>
      <c r="D1435" s="71" t="s">
        <v>3358</v>
      </c>
      <c r="E1435" s="71" t="s">
        <v>95</v>
      </c>
      <c r="F1435" s="72"/>
      <c r="G1435" s="73"/>
      <c r="H1435" s="157"/>
      <c r="I1435" s="242">
        <v>46165</v>
      </c>
      <c r="J1435" s="70">
        <v>3</v>
      </c>
      <c r="K1435" s="106"/>
      <c r="L1435" s="104">
        <f t="shared" si="189"/>
        <v>46257</v>
      </c>
      <c r="M1435" s="105">
        <f ca="1" t="shared" si="190"/>
        <v>90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/>
      <c r="Z1435" s="105"/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1488</v>
      </c>
      <c r="C1436" s="70" t="s">
        <v>287</v>
      </c>
      <c r="D1436" s="71" t="s">
        <v>3359</v>
      </c>
      <c r="E1436" s="71" t="s">
        <v>3078</v>
      </c>
      <c r="F1436" s="72"/>
      <c r="G1436" s="73"/>
      <c r="H1436" s="157"/>
      <c r="I1436" s="242">
        <v>46165</v>
      </c>
      <c r="J1436" s="70">
        <v>3</v>
      </c>
      <c r="K1436" s="106"/>
      <c r="L1436" s="104">
        <f t="shared" ref="L1436:L1452" si="191">EDATE(I1436,J1436)</f>
        <v>46257</v>
      </c>
      <c r="M1436" s="105">
        <f ca="1" t="shared" ref="M1436:M1452" si="192">L1436-TODAY()</f>
        <v>90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/>
      <c r="Z1436" s="105"/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30" t="s">
        <v>3360</v>
      </c>
      <c r="C1437" s="231" t="s">
        <v>203</v>
      </c>
      <c r="D1437" s="234" t="s">
        <v>3361</v>
      </c>
      <c r="E1437" s="71" t="s">
        <v>2277</v>
      </c>
      <c r="F1437" s="72"/>
      <c r="G1437" s="73"/>
      <c r="H1437" s="157"/>
      <c r="I1437" s="242">
        <v>46165</v>
      </c>
      <c r="J1437" s="70">
        <v>3</v>
      </c>
      <c r="K1437" s="106"/>
      <c r="L1437" s="104">
        <f t="shared" si="191"/>
        <v>46257</v>
      </c>
      <c r="M1437" s="105">
        <f ca="1" t="shared" si="192"/>
        <v>90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/>
      <c r="Z1437" s="105"/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30" t="s">
        <v>217</v>
      </c>
      <c r="C1438" s="231" t="s">
        <v>203</v>
      </c>
      <c r="D1438" s="234" t="s">
        <v>3362</v>
      </c>
      <c r="E1438" s="71" t="s">
        <v>3363</v>
      </c>
      <c r="F1438" s="72"/>
      <c r="G1438" s="73"/>
      <c r="H1438" s="157"/>
      <c r="I1438" s="242">
        <v>46165</v>
      </c>
      <c r="J1438" s="70">
        <v>3</v>
      </c>
      <c r="K1438" s="106"/>
      <c r="L1438" s="104">
        <f t="shared" si="191"/>
        <v>46257</v>
      </c>
      <c r="M1438" s="105">
        <f ca="1" t="shared" si="192"/>
        <v>90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/>
      <c r="Z1438" s="105"/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30" t="s">
        <v>217</v>
      </c>
      <c r="C1439" s="231" t="s">
        <v>203</v>
      </c>
      <c r="D1439" s="71" t="s">
        <v>3364</v>
      </c>
      <c r="E1439" s="71" t="s">
        <v>279</v>
      </c>
      <c r="F1439" s="72"/>
      <c r="G1439" s="73"/>
      <c r="H1439" s="157"/>
      <c r="I1439" s="242">
        <v>46165</v>
      </c>
      <c r="J1439" s="70">
        <v>3</v>
      </c>
      <c r="K1439" s="106"/>
      <c r="L1439" s="104">
        <f t="shared" si="191"/>
        <v>46257</v>
      </c>
      <c r="M1439" s="105">
        <f ca="1" t="shared" si="192"/>
        <v>90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/>
      <c r="Z1439" s="105"/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30" t="s">
        <v>3168</v>
      </c>
      <c r="C1440" s="231" t="s">
        <v>203</v>
      </c>
      <c r="D1440" s="71" t="s">
        <v>3365</v>
      </c>
      <c r="E1440" s="93" t="s">
        <v>279</v>
      </c>
      <c r="F1440" s="94"/>
      <c r="G1440" s="95"/>
      <c r="H1440" s="157"/>
      <c r="I1440" s="242">
        <v>46165</v>
      </c>
      <c r="J1440" s="70">
        <v>3</v>
      </c>
      <c r="K1440" s="106"/>
      <c r="L1440" s="104">
        <f t="shared" si="191"/>
        <v>46257</v>
      </c>
      <c r="M1440" s="105">
        <f ca="1" t="shared" si="192"/>
        <v>90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/>
      <c r="Z1440" s="105"/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30" t="s">
        <v>497</v>
      </c>
      <c r="C1441" s="231" t="s">
        <v>203</v>
      </c>
      <c r="D1441" s="234" t="s">
        <v>1871</v>
      </c>
      <c r="E1441" s="71" t="s">
        <v>205</v>
      </c>
      <c r="F1441" s="72"/>
      <c r="G1441" s="73"/>
      <c r="H1441" s="157"/>
      <c r="I1441" s="242">
        <v>46165</v>
      </c>
      <c r="J1441" s="70" t="s">
        <v>596</v>
      </c>
      <c r="K1441" s="106"/>
      <c r="L1441" s="104" t="e">
        <f t="shared" si="191"/>
        <v>#VALUE!</v>
      </c>
      <c r="M1441" s="105" t="e">
        <f ca="1" t="shared" si="192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/>
      <c r="Z1441" s="105"/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30" t="s">
        <v>497</v>
      </c>
      <c r="C1442" s="231" t="s">
        <v>203</v>
      </c>
      <c r="D1442" s="234" t="s">
        <v>1470</v>
      </c>
      <c r="E1442" s="71" t="s">
        <v>205</v>
      </c>
      <c r="F1442" s="72"/>
      <c r="G1442" s="73"/>
      <c r="H1442" s="157"/>
      <c r="I1442" s="242">
        <v>46165</v>
      </c>
      <c r="J1442" s="70" t="s">
        <v>596</v>
      </c>
      <c r="K1442" s="106"/>
      <c r="L1442" s="104" t="e">
        <f t="shared" si="191"/>
        <v>#VALUE!</v>
      </c>
      <c r="M1442" s="105" t="e">
        <f ca="1" t="shared" si="192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/>
      <c r="Z1442" s="105"/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30" t="s">
        <v>497</v>
      </c>
      <c r="C1443" s="231" t="s">
        <v>203</v>
      </c>
      <c r="D1443" s="234" t="s">
        <v>204</v>
      </c>
      <c r="E1443" s="71" t="s">
        <v>205</v>
      </c>
      <c r="F1443" s="72"/>
      <c r="G1443" s="73"/>
      <c r="H1443" s="157"/>
      <c r="I1443" s="242">
        <v>46165</v>
      </c>
      <c r="J1443" s="70" t="s">
        <v>596</v>
      </c>
      <c r="K1443" s="106"/>
      <c r="L1443" s="104" t="e">
        <f t="shared" si="191"/>
        <v>#VALUE!</v>
      </c>
      <c r="M1443" s="105" t="e">
        <f ca="1" t="shared" si="192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/>
      <c r="Z1443" s="105"/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30" t="s">
        <v>217</v>
      </c>
      <c r="C1444" s="231" t="s">
        <v>203</v>
      </c>
      <c r="D1444" s="234" t="s">
        <v>2707</v>
      </c>
      <c r="E1444" s="71" t="s">
        <v>3366</v>
      </c>
      <c r="F1444" s="72"/>
      <c r="G1444" s="73"/>
      <c r="H1444" s="157"/>
      <c r="I1444" s="242">
        <v>46165</v>
      </c>
      <c r="J1444" s="70" t="s">
        <v>596</v>
      </c>
      <c r="K1444" s="106"/>
      <c r="L1444" s="104" t="e">
        <f t="shared" si="191"/>
        <v>#VALUE!</v>
      </c>
      <c r="M1444" s="105" t="e">
        <f ca="1" t="shared" si="192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/>
      <c r="Z1444" s="105"/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30" t="s">
        <v>217</v>
      </c>
      <c r="C1445" s="231" t="s">
        <v>203</v>
      </c>
      <c r="D1445" s="232" t="s">
        <v>2025</v>
      </c>
      <c r="E1445" s="71" t="s">
        <v>279</v>
      </c>
      <c r="F1445" s="72"/>
      <c r="G1445" s="73"/>
      <c r="H1445" s="157"/>
      <c r="I1445" s="242">
        <v>46165</v>
      </c>
      <c r="J1445" s="70" t="s">
        <v>596</v>
      </c>
      <c r="K1445" s="106"/>
      <c r="L1445" s="104" t="e">
        <f t="shared" si="191"/>
        <v>#VALUE!</v>
      </c>
      <c r="M1445" s="105" t="e">
        <f ca="1" t="shared" si="192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/>
      <c r="Z1445" s="105"/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30"/>
      <c r="C1446" s="231"/>
      <c r="D1446" s="234"/>
      <c r="E1446" s="71"/>
      <c r="F1446" s="72"/>
      <c r="G1446" s="73"/>
      <c r="H1446" s="157"/>
      <c r="I1446" s="242"/>
      <c r="J1446" s="70"/>
      <c r="K1446" s="106"/>
      <c r="L1446" s="104">
        <f t="shared" si="191"/>
        <v>0</v>
      </c>
      <c r="M1446" s="105">
        <f ca="1" t="shared" si="192"/>
        <v>-46167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/>
      <c r="Z1446" s="105"/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30"/>
      <c r="C1447" s="231"/>
      <c r="D1447" s="234"/>
      <c r="E1447" s="71"/>
      <c r="F1447" s="72"/>
      <c r="G1447" s="73"/>
      <c r="H1447" s="157"/>
      <c r="I1447" s="242"/>
      <c r="J1447" s="70"/>
      <c r="K1447" s="106"/>
      <c r="L1447" s="104">
        <f t="shared" si="191"/>
        <v>0</v>
      </c>
      <c r="M1447" s="105">
        <f ca="1" t="shared" si="192"/>
        <v>-46167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/>
      <c r="Z1447" s="105"/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30"/>
      <c r="C1448" s="231"/>
      <c r="D1448" s="71"/>
      <c r="E1448" s="71"/>
      <c r="F1448" s="72"/>
      <c r="G1448" s="73"/>
      <c r="H1448" s="157"/>
      <c r="I1448" s="242"/>
      <c r="J1448" s="70"/>
      <c r="K1448" s="106"/>
      <c r="L1448" s="104">
        <f t="shared" si="191"/>
        <v>0</v>
      </c>
      <c r="M1448" s="105">
        <f ca="1" t="shared" si="192"/>
        <v>-46167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/>
      <c r="Z1448" s="105"/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30"/>
      <c r="C1449" s="231"/>
      <c r="D1449" s="71"/>
      <c r="E1449" s="93"/>
      <c r="F1449" s="94"/>
      <c r="G1449" s="95"/>
      <c r="H1449" s="157"/>
      <c r="I1449" s="242"/>
      <c r="J1449" s="70"/>
      <c r="K1449" s="106"/>
      <c r="L1449" s="104">
        <f t="shared" si="191"/>
        <v>0</v>
      </c>
      <c r="M1449" s="105">
        <f ca="1" t="shared" si="192"/>
        <v>-46167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/>
      <c r="Z1449" s="105"/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70"/>
      <c r="C1450" s="70"/>
      <c r="D1450" s="71"/>
      <c r="E1450" s="71"/>
      <c r="F1450" s="72"/>
      <c r="G1450" s="73"/>
      <c r="H1450" s="79"/>
      <c r="I1450" s="102"/>
      <c r="J1450" s="70"/>
      <c r="K1450" s="106"/>
      <c r="L1450" s="104">
        <f t="shared" si="191"/>
        <v>0</v>
      </c>
      <c r="M1450" s="105">
        <f ca="1" t="shared" si="192"/>
        <v>-46167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/>
      <c r="Z1450" s="105"/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/>
      <c r="B1451" s="70"/>
      <c r="C1451" s="70"/>
      <c r="D1451" s="71"/>
      <c r="E1451" s="71"/>
      <c r="F1451" s="72"/>
      <c r="G1451" s="73"/>
      <c r="H1451" s="79"/>
      <c r="I1451" s="102"/>
      <c r="J1451" s="70"/>
      <c r="K1451" s="106"/>
      <c r="L1451" s="104">
        <f t="shared" si="191"/>
        <v>0</v>
      </c>
      <c r="M1451" s="105">
        <f ca="1" t="shared" si="192"/>
        <v>-46167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/>
      <c r="Z1451" s="105"/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/>
      <c r="B1452" s="70"/>
      <c r="C1452" s="70"/>
      <c r="D1452" s="71"/>
      <c r="E1452" s="71"/>
      <c r="F1452" s="72"/>
      <c r="G1452" s="73"/>
      <c r="H1452" s="74"/>
      <c r="I1452" s="102"/>
      <c r="J1452" s="70"/>
      <c r="K1452" s="106"/>
      <c r="L1452" s="104"/>
      <c r="M1452" s="105"/>
      <c r="N1452" s="70"/>
      <c r="O1452" s="70"/>
      <c r="P1452" s="70"/>
      <c r="Q1452" s="71"/>
      <c r="R1452" s="71"/>
      <c r="S1452" s="72"/>
      <c r="T1452" s="73"/>
      <c r="U1452" s="74"/>
      <c r="V1452" s="102"/>
      <c r="W1452" s="70"/>
      <c r="X1452" s="103"/>
      <c r="Y1452" s="104"/>
      <c r="Z1452" s="105"/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/>
      <c r="B1453" s="70"/>
      <c r="C1453" s="70"/>
      <c r="D1453" s="71"/>
      <c r="E1453" s="71"/>
      <c r="F1453" s="72"/>
      <c r="G1453" s="73"/>
      <c r="H1453" s="74"/>
      <c r="I1453" s="102"/>
      <c r="J1453" s="70"/>
      <c r="K1453" s="106"/>
      <c r="L1453" s="104"/>
      <c r="M1453" s="105"/>
      <c r="N1453" s="70"/>
      <c r="O1453" s="70"/>
      <c r="P1453" s="70"/>
      <c r="Q1453" s="71"/>
      <c r="R1453" s="71"/>
      <c r="S1453" s="72"/>
      <c r="T1453" s="73"/>
      <c r="U1453" s="79"/>
      <c r="V1453" s="102"/>
      <c r="W1453" s="70"/>
      <c r="X1453" s="103"/>
      <c r="Y1453" s="104"/>
      <c r="Z1453" s="105"/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/>
      <c r="B1454" s="70"/>
      <c r="C1454" s="70"/>
      <c r="D1454" s="71"/>
      <c r="E1454" s="71"/>
      <c r="F1454" s="72"/>
      <c r="G1454" s="73"/>
      <c r="H1454" s="79"/>
      <c r="I1454" s="102"/>
      <c r="J1454" s="70"/>
      <c r="K1454" s="106"/>
      <c r="L1454" s="104"/>
      <c r="M1454" s="105"/>
      <c r="N1454" s="70"/>
      <c r="O1454" s="70"/>
      <c r="P1454" s="70"/>
      <c r="Q1454" s="71"/>
      <c r="R1454" s="71"/>
      <c r="S1454" s="72"/>
      <c r="T1454" s="73"/>
      <c r="U1454" s="75"/>
      <c r="V1454" s="102"/>
      <c r="W1454" s="70"/>
      <c r="X1454" s="103"/>
      <c r="Y1454" s="104"/>
      <c r="Z1454" s="105"/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/>
      <c r="B1455" s="70"/>
      <c r="C1455" s="70"/>
      <c r="D1455" s="71"/>
      <c r="E1455" s="71"/>
      <c r="F1455" s="72"/>
      <c r="G1455" s="73"/>
      <c r="H1455" s="74"/>
      <c r="I1455" s="102"/>
      <c r="J1455" s="70"/>
      <c r="K1455" s="106"/>
      <c r="L1455" s="104"/>
      <c r="M1455" s="105"/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/>
      <c r="Z1455" s="105"/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/>
      <c r="B1456" s="70"/>
      <c r="C1456" s="70"/>
      <c r="D1456" s="71"/>
      <c r="E1456" s="71"/>
      <c r="F1456" s="72"/>
      <c r="G1456" s="73"/>
      <c r="H1456" s="79"/>
      <c r="I1456" s="102"/>
      <c r="J1456" s="70"/>
      <c r="K1456" s="106"/>
      <c r="L1456" s="104"/>
      <c r="M1456" s="105"/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/>
      <c r="Z1456" s="105"/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/>
      <c r="B1457" s="70"/>
      <c r="C1457" s="70"/>
      <c r="D1457" s="71"/>
      <c r="E1457" s="71"/>
      <c r="F1457" s="72"/>
      <c r="G1457" s="73"/>
      <c r="H1457" s="79"/>
      <c r="I1457" s="102"/>
      <c r="J1457" s="70"/>
      <c r="K1457" s="106"/>
      <c r="L1457" s="104"/>
      <c r="M1457" s="105"/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/>
      <c r="Z1457" s="105"/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/>
      <c r="B1458" s="70"/>
      <c r="C1458" s="70"/>
      <c r="D1458" s="71"/>
      <c r="E1458" s="71"/>
      <c r="F1458" s="72"/>
      <c r="G1458" s="73"/>
      <c r="H1458" s="79"/>
      <c r="I1458" s="102"/>
      <c r="J1458" s="70"/>
      <c r="K1458" s="106"/>
      <c r="L1458" s="104"/>
      <c r="M1458" s="105"/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/>
      <c r="Z1458" s="105"/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/>
      <c r="B1459" s="70"/>
      <c r="C1459" s="70"/>
      <c r="D1459" s="71"/>
      <c r="E1459" s="71"/>
      <c r="F1459" s="72"/>
      <c r="G1459" s="73"/>
      <c r="H1459" s="79"/>
      <c r="I1459" s="102"/>
      <c r="J1459" s="70"/>
      <c r="K1459" s="106"/>
      <c r="L1459" s="104"/>
      <c r="M1459" s="105"/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/>
      <c r="Z1459" s="105"/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/>
      <c r="B1460" s="70"/>
      <c r="C1460" s="70"/>
      <c r="D1460" s="71"/>
      <c r="E1460" s="71"/>
      <c r="F1460" s="72"/>
      <c r="G1460" s="73"/>
      <c r="H1460" s="79"/>
      <c r="I1460" s="102"/>
      <c r="J1460" s="70"/>
      <c r="K1460" s="106"/>
      <c r="L1460" s="104"/>
      <c r="M1460" s="105"/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/>
      <c r="Z1460" s="105"/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/>
      <c r="B1461" s="70"/>
      <c r="C1461" s="70"/>
      <c r="D1461" s="71"/>
      <c r="E1461" s="71"/>
      <c r="F1461" s="72"/>
      <c r="G1461" s="73"/>
      <c r="H1461" s="74"/>
      <c r="I1461" s="102"/>
      <c r="J1461" s="70"/>
      <c r="K1461" s="106"/>
      <c r="L1461" s="104"/>
      <c r="M1461" s="105"/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/>
      <c r="Z1461" s="105"/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/>
      <c r="B1462" s="70"/>
      <c r="C1462" s="70"/>
      <c r="D1462" s="71"/>
      <c r="E1462" s="71"/>
      <c r="F1462" s="72"/>
      <c r="G1462" s="73"/>
      <c r="H1462" s="74"/>
      <c r="I1462" s="102"/>
      <c r="J1462" s="70"/>
      <c r="K1462" s="106"/>
      <c r="L1462" s="104"/>
      <c r="M1462" s="105"/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/>
      <c r="Z1462" s="105"/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/>
      <c r="B1463" s="70"/>
      <c r="C1463" s="70"/>
      <c r="D1463" s="71"/>
      <c r="E1463" s="71"/>
      <c r="F1463" s="72"/>
      <c r="G1463" s="73"/>
      <c r="H1463" s="74"/>
      <c r="I1463" s="102"/>
      <c r="J1463" s="70"/>
      <c r="K1463" s="106"/>
      <c r="L1463" s="104"/>
      <c r="M1463" s="105"/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/>
      <c r="Z1463" s="105"/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/>
      <c r="B1464" s="70"/>
      <c r="C1464" s="70"/>
      <c r="D1464" s="71"/>
      <c r="E1464" s="71"/>
      <c r="F1464" s="72"/>
      <c r="G1464" s="73"/>
      <c r="H1464" s="74"/>
      <c r="I1464" s="102"/>
      <c r="J1464" s="70"/>
      <c r="K1464" s="106"/>
      <c r="L1464" s="104"/>
      <c r="M1464" s="105"/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/>
      <c r="Z1464" s="105"/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/>
      <c r="B1465" s="70"/>
      <c r="C1465" s="70"/>
      <c r="D1465" s="71"/>
      <c r="E1465" s="71"/>
      <c r="F1465" s="72"/>
      <c r="G1465" s="73"/>
      <c r="H1465" s="74"/>
      <c r="I1465" s="102"/>
      <c r="J1465" s="70"/>
      <c r="K1465" s="106"/>
      <c r="L1465" s="104"/>
      <c r="M1465" s="105"/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/>
      <c r="Z1465" s="105"/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/>
      <c r="B1466" s="70"/>
      <c r="C1466" s="70"/>
      <c r="D1466" s="71"/>
      <c r="E1466" s="71"/>
      <c r="F1466" s="72"/>
      <c r="G1466" s="73"/>
      <c r="H1466" s="74"/>
      <c r="I1466" s="102"/>
      <c r="J1466" s="70"/>
      <c r="K1466" s="106"/>
      <c r="L1466" s="104"/>
      <c r="M1466" s="105"/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/>
      <c r="Z1466" s="105"/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/>
      <c r="B1467" s="70"/>
      <c r="C1467" s="70"/>
      <c r="D1467" s="71"/>
      <c r="E1467" s="71"/>
      <c r="F1467" s="72"/>
      <c r="G1467" s="73"/>
      <c r="H1467" s="74"/>
      <c r="I1467" s="102"/>
      <c r="J1467" s="70"/>
      <c r="K1467" s="106"/>
      <c r="L1467" s="104"/>
      <c r="M1467" s="105"/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/>
      <c r="Z1467" s="105"/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/>
      <c r="B1468" s="70"/>
      <c r="C1468" s="70"/>
      <c r="D1468" s="71"/>
      <c r="E1468" s="71"/>
      <c r="F1468" s="72"/>
      <c r="G1468" s="73"/>
      <c r="H1468" s="74"/>
      <c r="I1468" s="102"/>
      <c r="J1468" s="70"/>
      <c r="K1468" s="106"/>
      <c r="L1468" s="104"/>
      <c r="M1468" s="105"/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/>
      <c r="Z1468" s="105"/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/>
      <c r="B1469" s="70"/>
      <c r="C1469" s="70"/>
      <c r="D1469" s="71"/>
      <c r="E1469" s="71"/>
      <c r="F1469" s="72"/>
      <c r="G1469" s="73"/>
      <c r="H1469" s="74"/>
      <c r="I1469" s="102"/>
      <c r="J1469" s="70"/>
      <c r="K1469" s="106"/>
      <c r="L1469" s="104"/>
      <c r="M1469" s="105"/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/>
      <c r="Z1469" s="105"/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/>
      <c r="B1470" s="70"/>
      <c r="C1470" s="70"/>
      <c r="D1470" s="71"/>
      <c r="E1470" s="71"/>
      <c r="F1470" s="72"/>
      <c r="G1470" s="73"/>
      <c r="H1470" s="74"/>
      <c r="I1470" s="102"/>
      <c r="J1470" s="70"/>
      <c r="K1470" s="106"/>
      <c r="L1470" s="104"/>
      <c r="M1470" s="105"/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/>
      <c r="Z1470" s="105"/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/>
      <c r="B1471" s="70"/>
      <c r="C1471" s="70"/>
      <c r="D1471" s="71"/>
      <c r="E1471" s="71"/>
      <c r="F1471" s="72"/>
      <c r="G1471" s="73"/>
      <c r="H1471" s="74"/>
      <c r="I1471" s="102"/>
      <c r="J1471" s="70"/>
      <c r="K1471" s="106"/>
      <c r="L1471" s="104"/>
      <c r="M1471" s="105"/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/>
      <c r="Z1471" s="105"/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/>
      <c r="B1472" s="70"/>
      <c r="C1472" s="70"/>
      <c r="D1472" s="71"/>
      <c r="E1472" s="71"/>
      <c r="F1472" s="72"/>
      <c r="G1472" s="73"/>
      <c r="H1472" s="74"/>
      <c r="I1472" s="102"/>
      <c r="J1472" s="70"/>
      <c r="K1472" s="106"/>
      <c r="L1472" s="104"/>
      <c r="M1472" s="105"/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/>
      <c r="Z1472" s="105"/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/>
      <c r="B1473" s="70"/>
      <c r="C1473" s="70"/>
      <c r="D1473" s="71"/>
      <c r="E1473" s="71"/>
      <c r="F1473" s="72"/>
      <c r="G1473" s="73"/>
      <c r="H1473" s="74"/>
      <c r="I1473" s="102"/>
      <c r="J1473" s="70"/>
      <c r="K1473" s="106"/>
      <c r="L1473" s="104"/>
      <c r="M1473" s="105"/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/>
      <c r="Z1473" s="105"/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/>
      <c r="B1474" s="70"/>
      <c r="C1474" s="70"/>
      <c r="D1474" s="71"/>
      <c r="E1474" s="71"/>
      <c r="F1474" s="72"/>
      <c r="G1474" s="73"/>
      <c r="H1474" s="74"/>
      <c r="I1474" s="102"/>
      <c r="J1474" s="70"/>
      <c r="K1474" s="106"/>
      <c r="L1474" s="104"/>
      <c r="M1474" s="105"/>
      <c r="N1474" s="70"/>
      <c r="O1474" s="70"/>
      <c r="P1474" s="70"/>
      <c r="Q1474" s="71"/>
      <c r="R1474" s="71"/>
      <c r="S1474" s="72"/>
      <c r="T1474" s="73"/>
      <c r="U1474" s="79"/>
      <c r="V1474" s="102"/>
      <c r="W1474" s="70"/>
      <c r="X1474" s="103"/>
      <c r="Y1474" s="104"/>
      <c r="Z1474" s="105"/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/>
      <c r="B1475" s="70"/>
      <c r="C1475" s="70"/>
      <c r="D1475" s="71"/>
      <c r="E1475" s="71"/>
      <c r="F1475" s="72"/>
      <c r="G1475" s="73"/>
      <c r="H1475" s="74"/>
      <c r="I1475" s="102"/>
      <c r="J1475" s="70"/>
      <c r="K1475" s="106"/>
      <c r="L1475" s="104"/>
      <c r="M1475" s="105"/>
      <c r="N1475" s="70"/>
      <c r="O1475" s="70"/>
      <c r="P1475" s="70"/>
      <c r="Q1475" s="71"/>
      <c r="R1475" s="71"/>
      <c r="S1475" s="72"/>
      <c r="T1475" s="73"/>
      <c r="U1475" s="74"/>
      <c r="V1475" s="102"/>
      <c r="W1475" s="70"/>
      <c r="X1475" s="103"/>
      <c r="Y1475" s="104"/>
      <c r="Z1475" s="105"/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/>
      <c r="B1476" s="70"/>
      <c r="C1476" s="70"/>
      <c r="D1476" s="71"/>
      <c r="E1476" s="71"/>
      <c r="F1476" s="72"/>
      <c r="G1476" s="73"/>
      <c r="H1476" s="74"/>
      <c r="I1476" s="102"/>
      <c r="J1476" s="70"/>
      <c r="K1476" s="106"/>
      <c r="L1476" s="104"/>
      <c r="M1476" s="105"/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/>
      <c r="Z1476" s="105"/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/>
      <c r="B1477" s="70"/>
      <c r="C1477" s="70"/>
      <c r="D1477" s="71"/>
      <c r="E1477" s="71"/>
      <c r="F1477" s="72"/>
      <c r="G1477" s="73"/>
      <c r="H1477" s="74"/>
      <c r="I1477" s="102"/>
      <c r="J1477" s="70"/>
      <c r="K1477" s="106"/>
      <c r="L1477" s="104"/>
      <c r="M1477" s="105"/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/>
      <c r="Z1477" s="105"/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/>
      <c r="B1478" s="70"/>
      <c r="C1478" s="70"/>
      <c r="D1478" s="71"/>
      <c r="E1478" s="71"/>
      <c r="F1478" s="72"/>
      <c r="G1478" s="73"/>
      <c r="H1478" s="74"/>
      <c r="I1478" s="102"/>
      <c r="J1478" s="70"/>
      <c r="K1478" s="106"/>
      <c r="L1478" s="104"/>
      <c r="M1478" s="105"/>
      <c r="N1478" s="70"/>
      <c r="O1478" s="70"/>
      <c r="P1478" s="70"/>
      <c r="Q1478" s="71"/>
      <c r="R1478" s="71"/>
      <c r="S1478" s="72"/>
      <c r="T1478" s="73"/>
      <c r="U1478" s="74"/>
      <c r="V1478" s="102"/>
      <c r="W1478" s="70"/>
      <c r="X1478" s="103"/>
      <c r="Y1478" s="104"/>
      <c r="Z1478" s="105"/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/>
      <c r="B1479" s="70"/>
      <c r="C1479" s="70"/>
      <c r="D1479" s="71"/>
      <c r="E1479" s="71"/>
      <c r="F1479" s="72"/>
      <c r="G1479" s="73"/>
      <c r="H1479" s="74"/>
      <c r="I1479" s="102"/>
      <c r="J1479" s="70"/>
      <c r="K1479" s="106"/>
      <c r="L1479" s="104"/>
      <c r="M1479" s="105"/>
      <c r="N1479" s="70"/>
      <c r="O1479" s="70"/>
      <c r="P1479" s="70"/>
      <c r="Q1479" s="71"/>
      <c r="R1479" s="71"/>
      <c r="S1479" s="72"/>
      <c r="T1479" s="73"/>
      <c r="U1479" s="79"/>
      <c r="V1479" s="102"/>
      <c r="W1479" s="70"/>
      <c r="X1479" s="103"/>
      <c r="Y1479" s="104"/>
      <c r="Z1479" s="105"/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/>
      <c r="B1480" s="70"/>
      <c r="C1480" s="70"/>
      <c r="D1480" s="71"/>
      <c r="E1480" s="71"/>
      <c r="F1480" s="72"/>
      <c r="G1480" s="73"/>
      <c r="H1480" s="74"/>
      <c r="I1480" s="102"/>
      <c r="J1480" s="70"/>
      <c r="K1480" s="106"/>
      <c r="L1480" s="104"/>
      <c r="M1480" s="105"/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/>
      <c r="Z1480" s="105"/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/>
      <c r="B1481" s="70"/>
      <c r="C1481" s="70"/>
      <c r="D1481" s="71"/>
      <c r="E1481" s="71"/>
      <c r="F1481" s="72"/>
      <c r="G1481" s="73"/>
      <c r="H1481" s="74"/>
      <c r="I1481" s="102"/>
      <c r="J1481" s="70"/>
      <c r="K1481" s="106"/>
      <c r="L1481" s="104"/>
      <c r="M1481" s="105"/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/>
      <c r="Z1481" s="105"/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/>
      <c r="B1482" s="70"/>
      <c r="C1482" s="70"/>
      <c r="D1482" s="71"/>
      <c r="E1482" s="71"/>
      <c r="F1482" s="72"/>
      <c r="G1482" s="73"/>
      <c r="H1482" s="114"/>
      <c r="I1482" s="102"/>
      <c r="J1482" s="70"/>
      <c r="K1482" s="106"/>
      <c r="L1482" s="104"/>
      <c r="M1482" s="105"/>
      <c r="N1482" s="70"/>
      <c r="O1482" s="70"/>
      <c r="P1482" s="70"/>
      <c r="Q1482" s="71"/>
      <c r="R1482" s="71"/>
      <c r="S1482" s="72"/>
      <c r="T1482" s="73"/>
      <c r="U1482" s="75"/>
      <c r="V1482" s="102"/>
      <c r="W1482" s="70"/>
      <c r="X1482" s="103"/>
      <c r="Y1482" s="104"/>
      <c r="Z1482" s="105"/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/>
      <c r="B1483" s="70"/>
      <c r="C1483" s="70"/>
      <c r="D1483" s="71"/>
      <c r="E1483" s="71"/>
      <c r="F1483" s="72"/>
      <c r="G1483" s="73"/>
      <c r="H1483" s="79"/>
      <c r="I1483" s="102"/>
      <c r="J1483" s="70"/>
      <c r="K1483" s="106"/>
      <c r="L1483" s="104"/>
      <c r="M1483" s="105"/>
      <c r="N1483" s="70"/>
      <c r="O1483" s="70"/>
      <c r="P1483" s="70"/>
      <c r="Q1483" s="71"/>
      <c r="R1483" s="71"/>
      <c r="S1483" s="72"/>
      <c r="T1483" s="73"/>
      <c r="U1483" s="75"/>
      <c r="V1483" s="102"/>
      <c r="W1483" s="70"/>
      <c r="X1483" s="103"/>
      <c r="Y1483" s="104"/>
      <c r="Z1483" s="105"/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/>
      <c r="B1484" s="70"/>
      <c r="C1484" s="70"/>
      <c r="D1484" s="71"/>
      <c r="E1484" s="71"/>
      <c r="F1484" s="72"/>
      <c r="G1484" s="73"/>
      <c r="H1484" s="79"/>
      <c r="I1484" s="102"/>
      <c r="J1484" s="70"/>
      <c r="K1484" s="106"/>
      <c r="L1484" s="104"/>
      <c r="M1484" s="105"/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/>
      <c r="Z1484" s="105"/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/>
      <c r="B1485" s="70"/>
      <c r="C1485" s="70"/>
      <c r="D1485" s="71"/>
      <c r="E1485" s="71"/>
      <c r="F1485" s="72"/>
      <c r="G1485" s="73"/>
      <c r="H1485" s="79"/>
      <c r="I1485" s="102"/>
      <c r="J1485" s="70"/>
      <c r="K1485" s="106"/>
      <c r="L1485" s="104"/>
      <c r="M1485" s="105"/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/>
      <c r="Z1485" s="105"/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/>
      <c r="B1486" s="70"/>
      <c r="C1486" s="70"/>
      <c r="D1486" s="71"/>
      <c r="E1486" s="71"/>
      <c r="F1486" s="72"/>
      <c r="G1486" s="73"/>
      <c r="H1486" s="79"/>
      <c r="I1486" s="102"/>
      <c r="J1486" s="70"/>
      <c r="K1486" s="106"/>
      <c r="L1486" s="104"/>
      <c r="M1486" s="105"/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/>
      <c r="Z1486" s="105"/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/>
      <c r="B1487" s="70"/>
      <c r="C1487" s="70"/>
      <c r="D1487" s="71"/>
      <c r="E1487" s="71"/>
      <c r="F1487" s="72"/>
      <c r="G1487" s="73"/>
      <c r="H1487" s="79"/>
      <c r="I1487" s="102"/>
      <c r="J1487" s="70"/>
      <c r="K1487" s="106"/>
      <c r="L1487" s="104"/>
      <c r="M1487" s="105"/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/>
      <c r="Z1487" s="105"/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/>
      <c r="B1488" s="70"/>
      <c r="C1488" s="70"/>
      <c r="D1488" s="71"/>
      <c r="E1488" s="71"/>
      <c r="F1488" s="72"/>
      <c r="G1488" s="73"/>
      <c r="H1488" s="79"/>
      <c r="I1488" s="102"/>
      <c r="J1488" s="70"/>
      <c r="K1488" s="106"/>
      <c r="L1488" s="104"/>
      <c r="M1488" s="105"/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/>
      <c r="Z1488" s="105"/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/>
      <c r="B1489" s="70"/>
      <c r="C1489" s="70"/>
      <c r="D1489" s="71"/>
      <c r="E1489" s="71"/>
      <c r="F1489" s="72"/>
      <c r="G1489" s="73"/>
      <c r="H1489" s="79"/>
      <c r="I1489" s="102"/>
      <c r="J1489" s="70"/>
      <c r="K1489" s="106"/>
      <c r="L1489" s="104"/>
      <c r="M1489" s="105"/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/>
      <c r="Z1489" s="105"/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/>
      <c r="B1490" s="70"/>
      <c r="C1490" s="70"/>
      <c r="D1490" s="71"/>
      <c r="E1490" s="71"/>
      <c r="F1490" s="72"/>
      <c r="G1490" s="73"/>
      <c r="H1490" s="74"/>
      <c r="I1490" s="102"/>
      <c r="J1490" s="70"/>
      <c r="K1490" s="106"/>
      <c r="L1490" s="104"/>
      <c r="M1490" s="105"/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/>
      <c r="Z1490" s="105"/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/>
      <c r="B1491" s="70"/>
      <c r="C1491" s="70"/>
      <c r="D1491" s="71"/>
      <c r="E1491" s="71"/>
      <c r="F1491" s="72"/>
      <c r="G1491" s="73"/>
      <c r="H1491" s="74"/>
      <c r="I1491" s="102"/>
      <c r="J1491" s="70"/>
      <c r="K1491" s="106"/>
      <c r="L1491" s="104"/>
      <c r="M1491" s="105"/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/>
      <c r="Z1491" s="105"/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/>
      <c r="B1492" s="70"/>
      <c r="C1492" s="70"/>
      <c r="D1492" s="71"/>
      <c r="E1492" s="71"/>
      <c r="F1492" s="72"/>
      <c r="G1492" s="73"/>
      <c r="H1492" s="74"/>
      <c r="I1492" s="102"/>
      <c r="J1492" s="70"/>
      <c r="K1492" s="106"/>
      <c r="L1492" s="104"/>
      <c r="M1492" s="105"/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/>
      <c r="Z1492" s="105"/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/>
      <c r="B1493" s="70"/>
      <c r="C1493" s="70"/>
      <c r="D1493" s="71"/>
      <c r="E1493" s="71"/>
      <c r="F1493" s="72"/>
      <c r="G1493" s="73"/>
      <c r="H1493" s="79"/>
      <c r="I1493" s="102"/>
      <c r="J1493" s="70"/>
      <c r="K1493" s="106"/>
      <c r="L1493" s="104"/>
      <c r="M1493" s="105"/>
      <c r="N1493" s="70"/>
      <c r="O1493" s="70"/>
      <c r="P1493" s="70"/>
      <c r="Q1493" s="71"/>
      <c r="R1493" s="71"/>
      <c r="S1493" s="72"/>
      <c r="T1493" s="73"/>
      <c r="U1493" s="75"/>
      <c r="V1493" s="102"/>
      <c r="W1493" s="70"/>
      <c r="X1493" s="103"/>
      <c r="Y1493" s="104"/>
      <c r="Z1493" s="105"/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/>
      <c r="B1494" s="70"/>
      <c r="C1494" s="70"/>
      <c r="D1494" s="71"/>
      <c r="E1494" s="71"/>
      <c r="F1494" s="72"/>
      <c r="G1494" s="73"/>
      <c r="H1494" s="74"/>
      <c r="I1494" s="102"/>
      <c r="J1494" s="70"/>
      <c r="K1494" s="106"/>
      <c r="L1494" s="104"/>
      <c r="M1494" s="105"/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/>
      <c r="Z1494" s="105"/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/>
      <c r="B1495" s="70"/>
      <c r="C1495" s="70"/>
      <c r="D1495" s="71"/>
      <c r="E1495" s="71"/>
      <c r="F1495" s="72"/>
      <c r="G1495" s="73"/>
      <c r="H1495" s="74"/>
      <c r="I1495" s="102"/>
      <c r="J1495" s="70"/>
      <c r="K1495" s="106"/>
      <c r="L1495" s="104"/>
      <c r="M1495" s="105"/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/>
      <c r="Z1495" s="105"/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/>
      <c r="B1496" s="70"/>
      <c r="C1496" s="70"/>
      <c r="D1496" s="71"/>
      <c r="E1496" s="71"/>
      <c r="F1496" s="72"/>
      <c r="G1496" s="73"/>
      <c r="H1496" s="74"/>
      <c r="I1496" s="102"/>
      <c r="J1496" s="70"/>
      <c r="K1496" s="106"/>
      <c r="L1496" s="104"/>
      <c r="M1496" s="105"/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/>
      <c r="Z1496" s="105"/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/>
      <c r="B1497" s="70"/>
      <c r="C1497" s="70"/>
      <c r="D1497" s="71"/>
      <c r="E1497" s="71"/>
      <c r="F1497" s="72"/>
      <c r="G1497" s="73"/>
      <c r="H1497" s="74"/>
      <c r="I1497" s="102"/>
      <c r="J1497" s="70"/>
      <c r="K1497" s="106"/>
      <c r="L1497" s="104"/>
      <c r="M1497" s="105"/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/>
      <c r="Z1497" s="105"/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/>
      <c r="B1498" s="70"/>
      <c r="C1498" s="70"/>
      <c r="D1498" s="71"/>
      <c r="E1498" s="71"/>
      <c r="F1498" s="72"/>
      <c r="G1498" s="73"/>
      <c r="H1498" s="74"/>
      <c r="I1498" s="102"/>
      <c r="J1498" s="70"/>
      <c r="K1498" s="106"/>
      <c r="L1498" s="104"/>
      <c r="M1498" s="105"/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/>
      <c r="Z1498" s="105"/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/>
      <c r="B1499" s="70"/>
      <c r="C1499" s="70"/>
      <c r="D1499" s="71"/>
      <c r="E1499" s="71"/>
      <c r="F1499" s="72"/>
      <c r="G1499" s="73"/>
      <c r="H1499" s="74"/>
      <c r="I1499" s="102"/>
      <c r="J1499" s="70"/>
      <c r="K1499" s="106"/>
      <c r="L1499" s="104"/>
      <c r="M1499" s="105"/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/>
      <c r="Z1499" s="105"/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/>
      <c r="B1500" s="70"/>
      <c r="C1500" s="70"/>
      <c r="D1500" s="71"/>
      <c r="E1500" s="71"/>
      <c r="F1500" s="72"/>
      <c r="G1500" s="73"/>
      <c r="H1500" s="74"/>
      <c r="I1500" s="102"/>
      <c r="J1500" s="70"/>
      <c r="K1500" s="106"/>
      <c r="L1500" s="104"/>
      <c r="M1500" s="105"/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/>
      <c r="Z1500" s="105"/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/>
      <c r="B1501" s="70"/>
      <c r="C1501" s="70"/>
      <c r="D1501" s="71"/>
      <c r="E1501" s="71"/>
      <c r="F1501" s="72"/>
      <c r="G1501" s="73"/>
      <c r="H1501" s="74"/>
      <c r="I1501" s="102"/>
      <c r="J1501" s="70"/>
      <c r="K1501" s="106"/>
      <c r="L1501" s="104"/>
      <c r="M1501" s="105"/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/>
      <c r="Z1501" s="105"/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/>
      <c r="B1502" s="70"/>
      <c r="C1502" s="70"/>
      <c r="D1502" s="71"/>
      <c r="E1502" s="71"/>
      <c r="F1502" s="72"/>
      <c r="G1502" s="73"/>
      <c r="H1502" s="74"/>
      <c r="I1502" s="102"/>
      <c r="J1502" s="70"/>
      <c r="K1502" s="106"/>
      <c r="L1502" s="104"/>
      <c r="M1502" s="105"/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/>
      <c r="Z1502" s="105"/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/>
      <c r="B1503" s="70"/>
      <c r="C1503" s="70"/>
      <c r="D1503" s="71"/>
      <c r="E1503" s="71"/>
      <c r="F1503" s="72"/>
      <c r="G1503" s="73"/>
      <c r="H1503" s="114"/>
      <c r="I1503" s="102"/>
      <c r="J1503" s="70"/>
      <c r="K1503" s="106"/>
      <c r="L1503" s="104"/>
      <c r="M1503" s="105"/>
      <c r="N1503" s="70"/>
      <c r="O1503" s="70"/>
      <c r="P1503" s="70"/>
      <c r="Q1503" s="71"/>
      <c r="R1503" s="71"/>
      <c r="S1503" s="72"/>
      <c r="T1503" s="73"/>
      <c r="U1503" s="75"/>
      <c r="V1503" s="102"/>
      <c r="W1503" s="70"/>
      <c r="X1503" s="103"/>
      <c r="Y1503" s="104"/>
      <c r="Z1503" s="105"/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/>
      <c r="B1504" s="70"/>
      <c r="C1504" s="70"/>
      <c r="D1504" s="71"/>
      <c r="E1504" s="71"/>
      <c r="F1504" s="72"/>
      <c r="G1504" s="73"/>
      <c r="H1504" s="79"/>
      <c r="I1504" s="102"/>
      <c r="J1504" s="70"/>
      <c r="K1504" s="106"/>
      <c r="L1504" s="104"/>
      <c r="M1504" s="105"/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/>
      <c r="Z1504" s="105"/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/>
      <c r="B1505" s="70"/>
      <c r="C1505" s="70"/>
      <c r="D1505" s="71"/>
      <c r="E1505" s="71"/>
      <c r="F1505" s="72"/>
      <c r="G1505" s="73"/>
      <c r="H1505" s="114"/>
      <c r="I1505" s="102"/>
      <c r="J1505" s="70"/>
      <c r="K1505" s="106"/>
      <c r="L1505" s="104"/>
      <c r="M1505" s="105"/>
      <c r="N1505" s="70"/>
      <c r="O1505" s="70"/>
      <c r="P1505" s="70"/>
      <c r="Q1505" s="71"/>
      <c r="R1505" s="71"/>
      <c r="S1505" s="72"/>
      <c r="T1505" s="73"/>
      <c r="U1505" s="75"/>
      <c r="V1505" s="102"/>
      <c r="W1505" s="70"/>
      <c r="X1505" s="103"/>
      <c r="Y1505" s="104"/>
      <c r="Z1505" s="105"/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/>
      <c r="B1506" s="70"/>
      <c r="C1506" s="70"/>
      <c r="D1506" s="71"/>
      <c r="E1506" s="71"/>
      <c r="F1506" s="72"/>
      <c r="G1506" s="73"/>
      <c r="H1506" s="74"/>
      <c r="I1506" s="102"/>
      <c r="J1506" s="70"/>
      <c r="K1506" s="106"/>
      <c r="L1506" s="104"/>
      <c r="M1506" s="105"/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/>
      <c r="Z1506" s="105"/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/>
      <c r="B1507" s="70"/>
      <c r="C1507" s="70"/>
      <c r="D1507" s="71"/>
      <c r="E1507" s="71"/>
      <c r="F1507" s="72"/>
      <c r="G1507" s="73"/>
      <c r="H1507" s="74"/>
      <c r="I1507" s="102"/>
      <c r="J1507" s="70"/>
      <c r="K1507" s="106"/>
      <c r="L1507" s="104"/>
      <c r="M1507" s="105"/>
      <c r="N1507" s="70"/>
      <c r="O1507" s="70"/>
      <c r="P1507" s="70"/>
      <c r="Q1507" s="71"/>
      <c r="R1507" s="71"/>
      <c r="S1507" s="72"/>
      <c r="T1507" s="73"/>
      <c r="U1507" s="74"/>
      <c r="V1507" s="102"/>
      <c r="W1507" s="70"/>
      <c r="X1507" s="103"/>
      <c r="Y1507" s="104"/>
      <c r="Z1507" s="105"/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/>
      <c r="B1508" s="70"/>
      <c r="C1508" s="70"/>
      <c r="D1508" s="71"/>
      <c r="E1508" s="71"/>
      <c r="F1508" s="72"/>
      <c r="G1508" s="73"/>
      <c r="H1508" s="74"/>
      <c r="I1508" s="102"/>
      <c r="J1508" s="70"/>
      <c r="K1508" s="106"/>
      <c r="L1508" s="104"/>
      <c r="M1508" s="105"/>
      <c r="N1508" s="70"/>
      <c r="O1508" s="70"/>
      <c r="P1508" s="70"/>
      <c r="Q1508" s="71"/>
      <c r="R1508" s="71"/>
      <c r="S1508" s="72"/>
      <c r="T1508" s="73"/>
      <c r="U1508" s="75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/>
      <c r="B1509" s="70"/>
      <c r="C1509" s="70"/>
      <c r="D1509" s="71"/>
      <c r="E1509" s="71"/>
      <c r="F1509" s="72"/>
      <c r="G1509" s="73"/>
      <c r="H1509" s="74"/>
      <c r="I1509" s="102"/>
      <c r="J1509" s="70"/>
      <c r="K1509" s="106"/>
      <c r="L1509" s="104"/>
      <c r="M1509" s="105"/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/>
      <c r="B1510" s="70"/>
      <c r="C1510" s="70"/>
      <c r="D1510" s="71"/>
      <c r="E1510" s="71"/>
      <c r="F1510" s="72"/>
      <c r="G1510" s="73"/>
      <c r="H1510" s="74"/>
      <c r="I1510" s="102"/>
      <c r="J1510" s="70"/>
      <c r="K1510" s="106"/>
      <c r="L1510" s="104"/>
      <c r="M1510" s="105"/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/>
      <c r="B1511" s="70"/>
      <c r="C1511" s="70"/>
      <c r="D1511" s="71"/>
      <c r="E1511" s="71"/>
      <c r="F1511" s="72"/>
      <c r="G1511" s="73"/>
      <c r="H1511" s="79"/>
      <c r="I1511" s="102"/>
      <c r="J1511" s="70"/>
      <c r="K1511" s="106"/>
      <c r="L1511" s="104"/>
      <c r="M1511" s="105"/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/>
      <c r="B1512" s="70"/>
      <c r="C1512" s="70"/>
      <c r="D1512" s="71"/>
      <c r="E1512" s="71"/>
      <c r="F1512" s="72"/>
      <c r="G1512" s="73"/>
      <c r="H1512" s="79"/>
      <c r="I1512" s="102"/>
      <c r="J1512" s="70"/>
      <c r="K1512" s="106"/>
      <c r="L1512" s="104"/>
      <c r="M1512" s="105"/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/>
      <c r="B1513" s="70"/>
      <c r="C1513" s="70"/>
      <c r="D1513" s="71"/>
      <c r="E1513" s="71"/>
      <c r="F1513" s="72"/>
      <c r="G1513" s="73"/>
      <c r="H1513" s="114"/>
      <c r="I1513" s="102"/>
      <c r="J1513" s="70"/>
      <c r="K1513" s="106"/>
      <c r="L1513" s="104"/>
      <c r="M1513" s="105"/>
      <c r="N1513" s="70"/>
      <c r="O1513" s="70"/>
      <c r="P1513" s="70"/>
      <c r="Q1513" s="71"/>
      <c r="R1513" s="71"/>
      <c r="S1513" s="72"/>
      <c r="T1513" s="73"/>
      <c r="U1513" s="75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/>
      <c r="B1514" s="70"/>
      <c r="C1514" s="70"/>
      <c r="D1514" s="71"/>
      <c r="E1514" s="71"/>
      <c r="F1514" s="72"/>
      <c r="G1514" s="73"/>
      <c r="H1514" s="79"/>
      <c r="I1514" s="102"/>
      <c r="J1514" s="70"/>
      <c r="K1514" s="106"/>
      <c r="L1514" s="104"/>
      <c r="M1514" s="105"/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/>
      <c r="B1515" s="70"/>
      <c r="C1515" s="70"/>
      <c r="D1515" s="71"/>
      <c r="E1515" s="71"/>
      <c r="F1515" s="72"/>
      <c r="G1515" s="73"/>
      <c r="H1515" s="74"/>
      <c r="I1515" s="102"/>
      <c r="J1515" s="70"/>
      <c r="K1515" s="106"/>
      <c r="L1515" s="104"/>
      <c r="M1515" s="105"/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/>
      <c r="B1516" s="70"/>
      <c r="C1516" s="70"/>
      <c r="D1516" s="71"/>
      <c r="E1516" s="71"/>
      <c r="F1516" s="72"/>
      <c r="G1516" s="73"/>
      <c r="H1516" s="74"/>
      <c r="I1516" s="102"/>
      <c r="J1516" s="70"/>
      <c r="K1516" s="106"/>
      <c r="L1516" s="104"/>
      <c r="M1516" s="105"/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/>
      <c r="B1517" s="70"/>
      <c r="C1517" s="70"/>
      <c r="D1517" s="71"/>
      <c r="E1517" s="71"/>
      <c r="F1517" s="72"/>
      <c r="G1517" s="73"/>
      <c r="H1517" s="74"/>
      <c r="I1517" s="102"/>
      <c r="J1517" s="70"/>
      <c r="K1517" s="106"/>
      <c r="L1517" s="104"/>
      <c r="M1517" s="105"/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/>
      <c r="B1518" s="70"/>
      <c r="C1518" s="70"/>
      <c r="D1518" s="71"/>
      <c r="E1518" s="71"/>
      <c r="F1518" s="72"/>
      <c r="G1518" s="73"/>
      <c r="H1518" s="79"/>
      <c r="I1518" s="102"/>
      <c r="J1518" s="70"/>
      <c r="K1518" s="106"/>
      <c r="L1518" s="104"/>
      <c r="M1518" s="105"/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/>
      <c r="B1519" s="70"/>
      <c r="C1519" s="70"/>
      <c r="D1519" s="71"/>
      <c r="E1519" s="71"/>
      <c r="F1519" s="72"/>
      <c r="G1519" s="73"/>
      <c r="H1519" s="74"/>
      <c r="I1519" s="102"/>
      <c r="J1519" s="70"/>
      <c r="K1519" s="106"/>
      <c r="L1519" s="104"/>
      <c r="M1519" s="105"/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/>
      <c r="B1520" s="70"/>
      <c r="C1520" s="70"/>
      <c r="D1520" s="71"/>
      <c r="E1520" s="71"/>
      <c r="F1520" s="72"/>
      <c r="G1520" s="73"/>
      <c r="H1520" s="74"/>
      <c r="I1520" s="102"/>
      <c r="J1520" s="70"/>
      <c r="K1520" s="106"/>
      <c r="L1520" s="104"/>
      <c r="M1520" s="105"/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/>
      <c r="B1521" s="70"/>
      <c r="C1521" s="70"/>
      <c r="D1521" s="71"/>
      <c r="E1521" s="71"/>
      <c r="F1521" s="72"/>
      <c r="G1521" s="73"/>
      <c r="H1521" s="79"/>
      <c r="I1521" s="102"/>
      <c r="J1521" s="70"/>
      <c r="K1521" s="106"/>
      <c r="L1521" s="104"/>
      <c r="M1521" s="105"/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/>
      <c r="B1522" s="70"/>
      <c r="C1522" s="70"/>
      <c r="D1522" s="71"/>
      <c r="E1522" s="71"/>
      <c r="F1522" s="72"/>
      <c r="G1522" s="73"/>
      <c r="H1522" s="74"/>
      <c r="I1522" s="102"/>
      <c r="J1522" s="70"/>
      <c r="K1522" s="106"/>
      <c r="L1522" s="104"/>
      <c r="M1522" s="105"/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/>
      <c r="B1523" s="70"/>
      <c r="C1523" s="70"/>
      <c r="D1523" s="71"/>
      <c r="E1523" s="71"/>
      <c r="F1523" s="72"/>
      <c r="G1523" s="73"/>
      <c r="H1523" s="74"/>
      <c r="I1523" s="102"/>
      <c r="J1523" s="70"/>
      <c r="K1523" s="106"/>
      <c r="L1523" s="104"/>
      <c r="M1523" s="105"/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/>
      <c r="B1524" s="70"/>
      <c r="C1524" s="70"/>
      <c r="D1524" s="71"/>
      <c r="E1524" s="71"/>
      <c r="F1524" s="72"/>
      <c r="G1524" s="73"/>
      <c r="H1524" s="74"/>
      <c r="I1524" s="102"/>
      <c r="J1524" s="70"/>
      <c r="K1524" s="106"/>
      <c r="L1524" s="104"/>
      <c r="M1524" s="105"/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/>
      <c r="B1525" s="70"/>
      <c r="C1525" s="70"/>
      <c r="D1525" s="71"/>
      <c r="E1525" s="71"/>
      <c r="F1525" s="72"/>
      <c r="G1525" s="73"/>
      <c r="H1525" s="74"/>
      <c r="I1525" s="102"/>
      <c r="J1525" s="70"/>
      <c r="K1525" s="106"/>
      <c r="L1525" s="104"/>
      <c r="M1525" s="105"/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/>
      <c r="B1526" s="70"/>
      <c r="C1526" s="70"/>
      <c r="D1526" s="71"/>
      <c r="E1526" s="71"/>
      <c r="F1526" s="72"/>
      <c r="G1526" s="73"/>
      <c r="H1526" s="74"/>
      <c r="I1526" s="102"/>
      <c r="J1526" s="70"/>
      <c r="K1526" s="106"/>
      <c r="L1526" s="104"/>
      <c r="M1526" s="105"/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/>
      <c r="B1527" s="70"/>
      <c r="C1527" s="70"/>
      <c r="D1527" s="71"/>
      <c r="E1527" s="71"/>
      <c r="F1527" s="72"/>
      <c r="G1527" s="73"/>
      <c r="H1527" s="74"/>
      <c r="I1527" s="102"/>
      <c r="J1527" s="70"/>
      <c r="K1527" s="106"/>
      <c r="L1527" s="104"/>
      <c r="M1527" s="105"/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/>
      <c r="B1528" s="70"/>
      <c r="C1528" s="70"/>
      <c r="D1528" s="71"/>
      <c r="E1528" s="71"/>
      <c r="F1528" s="72"/>
      <c r="G1528" s="73"/>
      <c r="H1528" s="74"/>
      <c r="I1528" s="102"/>
      <c r="J1528" s="70"/>
      <c r="K1528" s="106"/>
      <c r="L1528" s="104"/>
      <c r="M1528" s="105"/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/>
      <c r="B1529" s="70"/>
      <c r="C1529" s="70"/>
      <c r="D1529" s="71"/>
      <c r="E1529" s="71"/>
      <c r="F1529" s="72"/>
      <c r="G1529" s="73"/>
      <c r="H1529" s="79"/>
      <c r="I1529" s="102"/>
      <c r="J1529" s="70"/>
      <c r="K1529" s="106"/>
      <c r="L1529" s="104"/>
      <c r="M1529" s="105"/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/>
      <c r="B1530" s="70"/>
      <c r="C1530" s="70"/>
      <c r="D1530" s="71"/>
      <c r="E1530" s="71"/>
      <c r="F1530" s="72"/>
      <c r="G1530" s="73"/>
      <c r="H1530" s="74"/>
      <c r="I1530" s="102"/>
      <c r="J1530" s="70"/>
      <c r="K1530" s="106"/>
      <c r="L1530" s="104"/>
      <c r="M1530" s="105"/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/>
      <c r="B1531" s="70"/>
      <c r="C1531" s="70"/>
      <c r="D1531" s="71"/>
      <c r="E1531" s="71"/>
      <c r="F1531" s="72"/>
      <c r="G1531" s="73"/>
      <c r="H1531" s="74"/>
      <c r="I1531" s="102"/>
      <c r="J1531" s="70"/>
      <c r="K1531" s="106"/>
      <c r="L1531" s="104"/>
      <c r="M1531" s="105"/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/>
      <c r="B1532" s="70"/>
      <c r="C1532" s="70"/>
      <c r="D1532" s="71"/>
      <c r="E1532" s="71"/>
      <c r="F1532" s="72"/>
      <c r="G1532" s="73"/>
      <c r="H1532" s="74"/>
      <c r="I1532" s="102"/>
      <c r="J1532" s="70"/>
      <c r="K1532" s="106"/>
      <c r="L1532" s="104"/>
      <c r="M1532" s="105"/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/>
      <c r="B1533" s="70"/>
      <c r="C1533" s="70"/>
      <c r="D1533" s="71"/>
      <c r="E1533" s="71"/>
      <c r="F1533" s="72"/>
      <c r="G1533" s="73"/>
      <c r="H1533" s="74"/>
      <c r="I1533" s="102"/>
      <c r="J1533" s="70"/>
      <c r="K1533" s="106"/>
      <c r="L1533" s="104"/>
      <c r="M1533" s="105"/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/>
      <c r="B1534" s="70"/>
      <c r="C1534" s="70"/>
      <c r="D1534" s="71"/>
      <c r="E1534" s="71"/>
      <c r="F1534" s="72"/>
      <c r="G1534" s="73"/>
      <c r="H1534" s="74"/>
      <c r="I1534" s="102"/>
      <c r="J1534" s="70"/>
      <c r="K1534" s="106"/>
      <c r="L1534" s="104"/>
      <c r="M1534" s="105"/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/>
      <c r="B1535" s="70"/>
      <c r="C1535" s="70"/>
      <c r="D1535" s="71"/>
      <c r="E1535" s="71"/>
      <c r="F1535" s="72"/>
      <c r="G1535" s="73"/>
      <c r="H1535" s="74"/>
      <c r="I1535" s="102"/>
      <c r="J1535" s="70"/>
      <c r="K1535" s="106"/>
      <c r="L1535" s="104"/>
      <c r="M1535" s="105"/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/>
      <c r="B1536" s="70"/>
      <c r="C1536" s="70"/>
      <c r="D1536" s="71"/>
      <c r="E1536" s="71"/>
      <c r="F1536" s="72"/>
      <c r="G1536" s="73"/>
      <c r="H1536" s="74"/>
      <c r="I1536" s="102"/>
      <c r="J1536" s="70"/>
      <c r="K1536" s="106"/>
      <c r="L1536" s="104"/>
      <c r="M1536" s="105"/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/>
      <c r="B1537" s="70"/>
      <c r="C1537" s="70"/>
      <c r="D1537" s="71"/>
      <c r="E1537" s="71"/>
      <c r="F1537" s="72"/>
      <c r="G1537" s="73"/>
      <c r="H1537" s="74"/>
      <c r="I1537" s="102"/>
      <c r="J1537" s="70"/>
      <c r="K1537" s="106"/>
      <c r="L1537" s="104"/>
      <c r="M1537" s="105"/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/>
      <c r="B1538" s="70"/>
      <c r="C1538" s="70"/>
      <c r="D1538" s="71"/>
      <c r="E1538" s="71"/>
      <c r="F1538" s="72"/>
      <c r="G1538" s="73"/>
      <c r="H1538" s="74"/>
      <c r="I1538" s="102"/>
      <c r="J1538" s="70"/>
      <c r="K1538" s="106"/>
      <c r="L1538" s="104"/>
      <c r="M1538" s="105"/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/>
      <c r="B1539" s="70"/>
      <c r="C1539" s="70"/>
      <c r="D1539" s="71"/>
      <c r="E1539" s="71"/>
      <c r="F1539" s="72"/>
      <c r="G1539" s="73"/>
      <c r="H1539" s="74"/>
      <c r="I1539" s="102"/>
      <c r="J1539" s="70"/>
      <c r="K1539" s="106"/>
      <c r="L1539" s="104"/>
      <c r="M1539" s="105"/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/>
      <c r="B1540" s="70"/>
      <c r="C1540" s="70"/>
      <c r="D1540" s="71"/>
      <c r="E1540" s="71"/>
      <c r="F1540" s="72"/>
      <c r="G1540" s="73"/>
      <c r="H1540" s="75"/>
      <c r="I1540" s="102"/>
      <c r="J1540" s="70"/>
      <c r="K1540" s="106"/>
      <c r="L1540" s="104"/>
      <c r="M1540" s="105"/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/>
      <c r="B1541" s="70"/>
      <c r="C1541" s="70"/>
      <c r="D1541" s="71"/>
      <c r="E1541" s="71"/>
      <c r="F1541" s="72"/>
      <c r="G1541" s="73"/>
      <c r="H1541" s="75"/>
      <c r="I1541" s="102"/>
      <c r="J1541" s="70"/>
      <c r="K1541" s="106"/>
      <c r="L1541" s="104"/>
      <c r="M1541" s="105"/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/>
      <c r="B1542" s="70"/>
      <c r="C1542" s="70"/>
      <c r="D1542" s="71"/>
      <c r="E1542" s="71"/>
      <c r="F1542" s="72"/>
      <c r="G1542" s="73"/>
      <c r="H1542" s="79"/>
      <c r="I1542" s="102"/>
      <c r="J1542" s="70"/>
      <c r="K1542" s="106"/>
      <c r="L1542" s="104"/>
      <c r="M1542" s="105"/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/>
      <c r="B1543" s="70"/>
      <c r="C1543" s="70"/>
      <c r="D1543" s="71"/>
      <c r="E1543" s="71"/>
      <c r="F1543" s="72"/>
      <c r="G1543" s="73"/>
      <c r="H1543" s="114"/>
      <c r="I1543" s="102"/>
      <c r="J1543" s="70"/>
      <c r="K1543" s="106"/>
      <c r="L1543" s="104"/>
      <c r="M1543" s="105"/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/>
      <c r="B1544" s="70"/>
      <c r="C1544" s="70"/>
      <c r="D1544" s="71"/>
      <c r="E1544" s="71"/>
      <c r="F1544" s="72"/>
      <c r="G1544" s="73"/>
      <c r="H1544" s="74"/>
      <c r="I1544" s="102"/>
      <c r="J1544" s="70"/>
      <c r="K1544" s="106"/>
      <c r="L1544" s="104"/>
      <c r="M1544" s="105"/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/>
      <c r="B1545" s="70"/>
      <c r="C1545" s="70"/>
      <c r="D1545" s="71"/>
      <c r="E1545" s="71"/>
      <c r="F1545" s="72"/>
      <c r="G1545" s="73"/>
      <c r="H1545" s="74"/>
      <c r="I1545" s="102"/>
      <c r="J1545" s="70"/>
      <c r="K1545" s="106"/>
      <c r="L1545" s="104"/>
      <c r="M1545" s="105"/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/>
      <c r="B1546" s="70"/>
      <c r="C1546" s="70"/>
      <c r="D1546" s="71"/>
      <c r="E1546" s="71"/>
      <c r="F1546" s="72"/>
      <c r="G1546" s="73"/>
      <c r="H1546" s="114"/>
      <c r="I1546" s="102"/>
      <c r="J1546" s="70"/>
      <c r="K1546" s="106"/>
      <c r="L1546" s="104"/>
      <c r="M1546" s="105"/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/>
      <c r="B1547" s="70"/>
      <c r="C1547" s="70"/>
      <c r="D1547" s="71"/>
      <c r="E1547" s="71"/>
      <c r="F1547" s="72"/>
      <c r="G1547" s="73"/>
      <c r="H1547" s="114"/>
      <c r="I1547" s="102"/>
      <c r="J1547" s="70"/>
      <c r="K1547" s="106"/>
      <c r="L1547" s="104"/>
      <c r="M1547" s="105"/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/>
      <c r="B1548" s="70"/>
      <c r="C1548" s="70"/>
      <c r="D1548" s="71"/>
      <c r="E1548" s="71"/>
      <c r="F1548" s="72"/>
      <c r="G1548" s="73"/>
      <c r="H1548" s="79"/>
      <c r="I1548" s="102"/>
      <c r="J1548" s="70"/>
      <c r="K1548" s="106"/>
      <c r="L1548" s="104"/>
      <c r="M1548" s="105"/>
      <c r="N1548" s="70"/>
      <c r="O1548" s="70"/>
      <c r="P1548" s="70"/>
      <c r="Q1548" s="71"/>
      <c r="R1548" s="71"/>
      <c r="S1548" s="72"/>
      <c r="T1548" s="73"/>
      <c r="U1548" s="79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/>
      <c r="B1549" s="70"/>
      <c r="C1549" s="70"/>
      <c r="D1549" s="71"/>
      <c r="E1549" s="71"/>
      <c r="F1549" s="72"/>
      <c r="G1549" s="73"/>
      <c r="H1549" s="79"/>
      <c r="I1549" s="102"/>
      <c r="J1549" s="70"/>
      <c r="K1549" s="106"/>
      <c r="L1549" s="104"/>
      <c r="M1549" s="105"/>
      <c r="N1549" s="70"/>
      <c r="O1549" s="70"/>
      <c r="P1549" s="70"/>
      <c r="Q1549" s="71"/>
      <c r="R1549" s="71"/>
      <c r="S1549" s="72"/>
      <c r="T1549" s="73"/>
      <c r="U1549" s="75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/>
      <c r="B1550" s="70"/>
      <c r="C1550" s="70"/>
      <c r="D1550" s="71"/>
      <c r="E1550" s="71"/>
      <c r="F1550" s="72"/>
      <c r="G1550" s="73"/>
      <c r="H1550" s="74"/>
      <c r="I1550" s="102"/>
      <c r="J1550" s="70"/>
      <c r="K1550" s="106"/>
      <c r="L1550" s="104"/>
      <c r="M1550" s="105"/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/>
      <c r="B1551" s="70"/>
      <c r="C1551" s="70"/>
      <c r="D1551" s="71"/>
      <c r="E1551" s="71"/>
      <c r="F1551" s="72"/>
      <c r="G1551" s="73"/>
      <c r="H1551" s="74"/>
      <c r="I1551" s="102"/>
      <c r="J1551" s="70"/>
      <c r="K1551" s="106"/>
      <c r="L1551" s="104"/>
      <c r="M1551" s="105"/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/>
      <c r="B1552" s="70"/>
      <c r="C1552" s="70"/>
      <c r="D1552" s="71"/>
      <c r="E1552" s="71"/>
      <c r="F1552" s="72"/>
      <c r="G1552" s="73"/>
      <c r="H1552" s="74"/>
      <c r="I1552" s="102"/>
      <c r="J1552" s="70"/>
      <c r="K1552" s="106"/>
      <c r="L1552" s="104"/>
      <c r="M1552" s="105"/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/>
      <c r="B1553" s="70"/>
      <c r="C1553" s="70"/>
      <c r="D1553" s="71"/>
      <c r="E1553" s="71"/>
      <c r="F1553" s="72"/>
      <c r="G1553" s="73"/>
      <c r="H1553" s="74"/>
      <c r="I1553" s="102"/>
      <c r="J1553" s="70"/>
      <c r="K1553" s="106"/>
      <c r="L1553" s="104"/>
      <c r="M1553" s="105"/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/>
      <c r="B1554" s="70"/>
      <c r="C1554" s="70"/>
      <c r="D1554" s="71"/>
      <c r="E1554" s="71"/>
      <c r="F1554" s="72"/>
      <c r="G1554" s="73"/>
      <c r="H1554" s="75"/>
      <c r="I1554" s="102"/>
      <c r="J1554" s="70"/>
      <c r="K1554" s="106"/>
      <c r="L1554" s="104"/>
      <c r="M1554" s="105"/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/>
      <c r="B1555" s="70"/>
      <c r="C1555" s="70"/>
      <c r="D1555" s="71"/>
      <c r="E1555" s="71"/>
      <c r="F1555" s="72"/>
      <c r="G1555" s="73"/>
      <c r="H1555" s="75"/>
      <c r="I1555" s="102"/>
      <c r="J1555" s="70"/>
      <c r="K1555" s="106"/>
      <c r="L1555" s="104"/>
      <c r="M1555" s="105"/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/>
      <c r="B1556" s="70"/>
      <c r="C1556" s="70"/>
      <c r="D1556" s="71"/>
      <c r="E1556" s="71"/>
      <c r="F1556" s="72"/>
      <c r="G1556" s="73"/>
      <c r="H1556" s="79"/>
      <c r="I1556" s="102"/>
      <c r="J1556" s="70"/>
      <c r="K1556" s="106"/>
      <c r="L1556" s="104"/>
      <c r="M1556" s="105"/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/>
      <c r="B1557" s="70"/>
      <c r="C1557" s="70"/>
      <c r="D1557" s="71"/>
      <c r="E1557" s="71"/>
      <c r="F1557" s="72"/>
      <c r="G1557" s="73"/>
      <c r="H1557" s="74"/>
      <c r="I1557" s="102"/>
      <c r="J1557" s="70"/>
      <c r="K1557" s="106"/>
      <c r="L1557" s="104"/>
      <c r="M1557" s="105"/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/>
      <c r="B1558" s="70"/>
      <c r="C1558" s="70"/>
      <c r="D1558" s="71"/>
      <c r="E1558" s="71"/>
      <c r="F1558" s="72"/>
      <c r="G1558" s="73"/>
      <c r="H1558" s="79"/>
      <c r="I1558" s="102"/>
      <c r="J1558" s="70"/>
      <c r="K1558" s="106"/>
      <c r="L1558" s="104"/>
      <c r="M1558" s="105"/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/>
      <c r="B1559" s="70"/>
      <c r="C1559" s="70"/>
      <c r="D1559" s="71"/>
      <c r="E1559" s="71"/>
      <c r="F1559" s="72"/>
      <c r="G1559" s="73"/>
      <c r="H1559" s="74"/>
      <c r="I1559" s="102"/>
      <c r="J1559" s="70"/>
      <c r="K1559" s="106"/>
      <c r="L1559" s="104"/>
      <c r="M1559" s="105"/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/>
      <c r="B1560" s="70"/>
      <c r="C1560" s="70"/>
      <c r="D1560" s="71"/>
      <c r="E1560" s="71"/>
      <c r="F1560" s="72"/>
      <c r="G1560" s="73"/>
      <c r="H1560" s="74"/>
      <c r="I1560" s="102"/>
      <c r="J1560" s="70"/>
      <c r="K1560" s="106"/>
      <c r="L1560" s="104"/>
      <c r="M1560" s="105"/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/>
      <c r="B1561" s="70"/>
      <c r="C1561" s="70"/>
      <c r="D1561" s="71"/>
      <c r="E1561" s="71"/>
      <c r="F1561" s="72"/>
      <c r="G1561" s="73"/>
      <c r="H1561" s="79"/>
      <c r="I1561" s="102"/>
      <c r="J1561" s="70"/>
      <c r="K1561" s="106"/>
      <c r="L1561" s="104"/>
      <c r="M1561" s="105"/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/>
      <c r="B1562" s="70"/>
      <c r="C1562" s="70"/>
      <c r="D1562" s="71"/>
      <c r="E1562" s="71"/>
      <c r="F1562" s="72"/>
      <c r="G1562" s="73"/>
      <c r="H1562" s="74"/>
      <c r="I1562" s="102"/>
      <c r="J1562" s="70"/>
      <c r="K1562" s="106"/>
      <c r="L1562" s="104"/>
      <c r="M1562" s="105"/>
      <c r="N1562" s="70"/>
      <c r="O1562" s="70"/>
      <c r="P1562" s="70"/>
      <c r="Q1562" s="71"/>
      <c r="R1562" s="71"/>
      <c r="S1562" s="72"/>
      <c r="T1562" s="73"/>
      <c r="U1562" s="74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/>
      <c r="B1563" s="70"/>
      <c r="C1563" s="70"/>
      <c r="D1563" s="71"/>
      <c r="E1563" s="71"/>
      <c r="F1563" s="72"/>
      <c r="G1563" s="73"/>
      <c r="H1563" s="74"/>
      <c r="I1563" s="102"/>
      <c r="J1563" s="70"/>
      <c r="K1563" s="106"/>
      <c r="L1563" s="104"/>
      <c r="M1563" s="105"/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/>
      <c r="B1564" s="70"/>
      <c r="C1564" s="70"/>
      <c r="D1564" s="71"/>
      <c r="E1564" s="71"/>
      <c r="F1564" s="72"/>
      <c r="G1564" s="73"/>
      <c r="H1564" s="74"/>
      <c r="I1564" s="102"/>
      <c r="J1564" s="70"/>
      <c r="K1564" s="106"/>
      <c r="L1564" s="104"/>
      <c r="M1564" s="105"/>
      <c r="N1564" s="70"/>
      <c r="O1564" s="70"/>
      <c r="P1564" s="70"/>
      <c r="Q1564" s="71"/>
      <c r="R1564" s="71"/>
      <c r="S1564" s="72"/>
      <c r="T1564" s="73"/>
      <c r="U1564" s="79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/>
      <c r="B1565" s="70"/>
      <c r="C1565" s="70"/>
      <c r="D1565" s="71"/>
      <c r="E1565" s="71"/>
      <c r="F1565" s="72"/>
      <c r="G1565" s="73"/>
      <c r="H1565" s="74"/>
      <c r="I1565" s="102"/>
      <c r="J1565" s="70"/>
      <c r="K1565" s="106"/>
      <c r="L1565" s="104"/>
      <c r="M1565" s="105"/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/>
      <c r="B1566" s="70"/>
      <c r="C1566" s="70"/>
      <c r="D1566" s="71"/>
      <c r="E1566" s="71"/>
      <c r="F1566" s="72"/>
      <c r="G1566" s="73"/>
      <c r="H1566" s="74"/>
      <c r="I1566" s="102"/>
      <c r="J1566" s="70"/>
      <c r="K1566" s="106"/>
      <c r="L1566" s="104"/>
      <c r="M1566" s="105"/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/>
      <c r="B1567" s="70"/>
      <c r="C1567" s="70"/>
      <c r="D1567" s="71"/>
      <c r="E1567" s="71"/>
      <c r="F1567" s="72"/>
      <c r="G1567" s="73"/>
      <c r="H1567" s="79"/>
      <c r="I1567" s="102"/>
      <c r="J1567" s="70"/>
      <c r="K1567" s="106"/>
      <c r="L1567" s="104"/>
      <c r="M1567" s="105"/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/>
      <c r="B1568" s="70"/>
      <c r="C1568" s="70"/>
      <c r="D1568" s="71"/>
      <c r="E1568" s="71"/>
      <c r="F1568" s="72"/>
      <c r="G1568" s="73"/>
      <c r="H1568" s="74"/>
      <c r="I1568" s="102"/>
      <c r="J1568" s="70"/>
      <c r="K1568" s="106"/>
      <c r="L1568" s="104"/>
      <c r="M1568" s="105"/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/>
      <c r="B1569" s="70"/>
      <c r="C1569" s="70"/>
      <c r="D1569" s="71"/>
      <c r="E1569" s="71"/>
      <c r="F1569" s="72"/>
      <c r="G1569" s="73"/>
      <c r="H1569" s="74"/>
      <c r="I1569" s="102"/>
      <c r="J1569" s="70"/>
      <c r="K1569" s="106"/>
      <c r="L1569" s="104"/>
      <c r="M1569" s="105"/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/>
      <c r="B1570" s="70"/>
      <c r="C1570" s="70"/>
      <c r="D1570" s="71"/>
      <c r="E1570" s="71"/>
      <c r="F1570" s="72"/>
      <c r="G1570" s="73"/>
      <c r="H1570" s="74"/>
      <c r="I1570" s="102"/>
      <c r="J1570" s="70"/>
      <c r="K1570" s="106"/>
      <c r="L1570" s="104"/>
      <c r="M1570" s="105"/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/>
      <c r="B1571" s="70"/>
      <c r="C1571" s="70"/>
      <c r="D1571" s="71"/>
      <c r="E1571" s="71"/>
      <c r="F1571" s="72"/>
      <c r="G1571" s="73"/>
      <c r="H1571" s="114"/>
      <c r="I1571" s="102"/>
      <c r="J1571" s="70"/>
      <c r="K1571" s="106"/>
      <c r="L1571" s="104"/>
      <c r="M1571" s="105"/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/>
      <c r="B1572" s="70"/>
      <c r="C1572" s="70"/>
      <c r="D1572" s="71"/>
      <c r="E1572" s="71"/>
      <c r="F1572" s="72"/>
      <c r="G1572" s="73"/>
      <c r="H1572" s="114"/>
      <c r="I1572" s="102"/>
      <c r="J1572" s="70"/>
      <c r="K1572" s="106"/>
      <c r="L1572" s="104"/>
      <c r="M1572" s="105"/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/>
      <c r="B1573" s="70"/>
      <c r="C1573" s="70"/>
      <c r="D1573" s="71"/>
      <c r="E1573" s="71"/>
      <c r="F1573" s="72"/>
      <c r="G1573" s="73"/>
      <c r="H1573" s="114"/>
      <c r="I1573" s="102"/>
      <c r="J1573" s="70"/>
      <c r="K1573" s="106"/>
      <c r="L1573" s="104"/>
      <c r="M1573" s="105"/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/>
      <c r="B1574" s="70"/>
      <c r="C1574" s="70"/>
      <c r="D1574" s="71"/>
      <c r="E1574" s="71"/>
      <c r="F1574" s="72"/>
      <c r="G1574" s="73"/>
      <c r="H1574" s="114"/>
      <c r="I1574" s="102"/>
      <c r="J1574" s="70"/>
      <c r="K1574" s="106"/>
      <c r="L1574" s="104"/>
      <c r="M1574" s="105"/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/>
      <c r="B1575" s="70"/>
      <c r="C1575" s="70"/>
      <c r="D1575" s="71"/>
      <c r="E1575" s="71"/>
      <c r="F1575" s="72"/>
      <c r="G1575" s="73"/>
      <c r="H1575" s="114"/>
      <c r="I1575" s="102"/>
      <c r="J1575" s="70"/>
      <c r="K1575" s="106"/>
      <c r="L1575" s="104"/>
      <c r="M1575" s="105"/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/>
      <c r="B1576" s="70"/>
      <c r="C1576" s="70"/>
      <c r="D1576" s="71"/>
      <c r="E1576" s="71"/>
      <c r="F1576" s="72"/>
      <c r="G1576" s="73"/>
      <c r="H1576" s="74"/>
      <c r="I1576" s="102"/>
      <c r="J1576" s="70"/>
      <c r="K1576" s="106"/>
      <c r="L1576" s="104"/>
      <c r="M1576" s="105"/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/>
      <c r="B1577" s="70"/>
      <c r="C1577" s="70"/>
      <c r="D1577" s="71"/>
      <c r="E1577" s="71"/>
      <c r="F1577" s="72"/>
      <c r="G1577" s="73"/>
      <c r="H1577" s="74"/>
      <c r="I1577" s="102"/>
      <c r="J1577" s="70"/>
      <c r="K1577" s="106"/>
      <c r="L1577" s="104"/>
      <c r="M1577" s="105"/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/>
      <c r="B1578" s="70"/>
      <c r="C1578" s="70"/>
      <c r="D1578" s="71"/>
      <c r="E1578" s="71"/>
      <c r="F1578" s="72"/>
      <c r="G1578" s="73"/>
      <c r="H1578" s="76"/>
      <c r="I1578" s="102"/>
      <c r="J1578" s="70"/>
      <c r="K1578" s="106"/>
      <c r="L1578" s="104"/>
      <c r="M1578" s="105"/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/>
      <c r="B1579" s="70"/>
      <c r="C1579" s="70"/>
      <c r="D1579" s="71"/>
      <c r="E1579" s="71"/>
      <c r="F1579" s="72"/>
      <c r="G1579" s="73"/>
      <c r="H1579" s="79"/>
      <c r="I1579" s="102"/>
      <c r="J1579" s="70"/>
      <c r="K1579" s="106"/>
      <c r="L1579" s="104"/>
      <c r="M1579" s="105"/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/>
      <c r="B1580" s="70"/>
      <c r="C1580" s="70"/>
      <c r="D1580" s="71"/>
      <c r="E1580" s="71"/>
      <c r="F1580" s="72"/>
      <c r="G1580" s="73"/>
      <c r="H1580" s="74"/>
      <c r="I1580" s="102"/>
      <c r="J1580" s="70"/>
      <c r="K1580" s="106"/>
      <c r="L1580" s="104"/>
      <c r="M1580" s="105"/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/>
      <c r="B1581" s="70"/>
      <c r="C1581" s="70"/>
      <c r="D1581" s="71"/>
      <c r="E1581" s="71"/>
      <c r="F1581" s="72"/>
      <c r="G1581" s="73"/>
      <c r="H1581" s="74"/>
      <c r="I1581" s="102"/>
      <c r="J1581" s="70"/>
      <c r="K1581" s="106"/>
      <c r="L1581" s="104"/>
      <c r="M1581" s="105"/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/>
      <c r="B1582" s="70"/>
      <c r="C1582" s="70"/>
      <c r="D1582" s="71"/>
      <c r="E1582" s="71"/>
      <c r="F1582" s="72"/>
      <c r="G1582" s="73"/>
      <c r="H1582" s="74"/>
      <c r="I1582" s="102"/>
      <c r="J1582" s="70"/>
      <c r="K1582" s="106"/>
      <c r="L1582" s="104"/>
      <c r="M1582" s="105"/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/>
      <c r="B1583" s="70"/>
      <c r="C1583" s="70"/>
      <c r="D1583" s="71"/>
      <c r="E1583" s="71"/>
      <c r="F1583" s="72"/>
      <c r="G1583" s="73"/>
      <c r="H1583" s="74"/>
      <c r="I1583" s="102"/>
      <c r="J1583" s="70"/>
      <c r="K1583" s="106"/>
      <c r="L1583" s="104"/>
      <c r="M1583" s="105"/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/>
      <c r="B1584" s="70"/>
      <c r="C1584" s="70"/>
      <c r="D1584" s="71"/>
      <c r="E1584" s="71"/>
      <c r="F1584" s="72"/>
      <c r="G1584" s="73"/>
      <c r="H1584" s="74"/>
      <c r="I1584" s="102"/>
      <c r="J1584" s="70"/>
      <c r="K1584" s="106"/>
      <c r="L1584" s="104"/>
      <c r="M1584" s="105"/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/>
      <c r="B1585" s="70"/>
      <c r="C1585" s="70"/>
      <c r="D1585" s="71"/>
      <c r="E1585" s="71"/>
      <c r="F1585" s="72"/>
      <c r="G1585" s="73"/>
      <c r="H1585" s="74"/>
      <c r="I1585" s="102"/>
      <c r="J1585" s="70"/>
      <c r="K1585" s="106"/>
      <c r="L1585" s="104"/>
      <c r="M1585" s="105"/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/>
      <c r="B1586" s="70"/>
      <c r="C1586" s="70"/>
      <c r="D1586" s="71"/>
      <c r="E1586" s="71"/>
      <c r="F1586" s="72"/>
      <c r="G1586" s="73"/>
      <c r="H1586" s="74"/>
      <c r="I1586" s="102"/>
      <c r="J1586" s="70"/>
      <c r="K1586" s="106"/>
      <c r="L1586" s="104"/>
      <c r="M1586" s="105"/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/>
      <c r="B1587" s="70"/>
      <c r="C1587" s="70"/>
      <c r="D1587" s="71"/>
      <c r="E1587" s="71"/>
      <c r="F1587" s="72"/>
      <c r="G1587" s="73"/>
      <c r="H1587" s="74"/>
      <c r="I1587" s="102"/>
      <c r="J1587" s="70"/>
      <c r="K1587" s="106"/>
      <c r="L1587" s="104"/>
      <c r="M1587" s="105"/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/>
      <c r="B1588" s="70"/>
      <c r="C1588" s="70"/>
      <c r="D1588" s="71"/>
      <c r="E1588" s="71"/>
      <c r="F1588" s="72"/>
      <c r="G1588" s="73"/>
      <c r="H1588" s="74"/>
      <c r="I1588" s="102"/>
      <c r="J1588" s="70"/>
      <c r="K1588" s="106"/>
      <c r="L1588" s="104"/>
      <c r="M1588" s="105"/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/>
      <c r="B1589" s="70"/>
      <c r="C1589" s="70"/>
      <c r="D1589" s="71"/>
      <c r="E1589" s="71"/>
      <c r="F1589" s="72"/>
      <c r="G1589" s="73"/>
      <c r="H1589" s="79"/>
      <c r="I1589" s="102"/>
      <c r="J1589" s="70"/>
      <c r="K1589" s="106"/>
      <c r="L1589" s="104"/>
      <c r="M1589" s="105"/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/>
      <c r="B1590" s="70"/>
      <c r="C1590" s="70"/>
      <c r="D1590" s="71"/>
      <c r="E1590" s="71"/>
      <c r="F1590" s="72"/>
      <c r="G1590" s="73"/>
      <c r="H1590" s="74"/>
      <c r="I1590" s="102"/>
      <c r="J1590" s="70"/>
      <c r="K1590" s="106"/>
      <c r="L1590" s="104"/>
      <c r="M1590" s="105"/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/>
      <c r="B1591" s="70"/>
      <c r="C1591" s="70"/>
      <c r="D1591" s="71"/>
      <c r="E1591" s="71"/>
      <c r="F1591" s="72"/>
      <c r="G1591" s="73"/>
      <c r="H1591" s="79"/>
      <c r="I1591" s="102"/>
      <c r="J1591" s="70"/>
      <c r="K1591" s="106"/>
      <c r="L1591" s="104"/>
      <c r="M1591" s="105"/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/>
      <c r="B1592" s="70"/>
      <c r="C1592" s="70"/>
      <c r="D1592" s="71"/>
      <c r="E1592" s="93"/>
      <c r="F1592" s="94"/>
      <c r="G1592" s="95"/>
      <c r="H1592" s="79"/>
      <c r="I1592" s="102"/>
      <c r="J1592" s="70"/>
      <c r="K1592" s="106"/>
      <c r="L1592" s="104"/>
      <c r="M1592" s="105"/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/>
      <c r="B1593" s="70"/>
      <c r="C1593" s="70"/>
      <c r="D1593" s="71"/>
      <c r="E1593" s="93"/>
      <c r="F1593" s="94"/>
      <c r="G1593" s="95"/>
      <c r="H1593" s="79"/>
      <c r="I1593" s="102"/>
      <c r="J1593" s="70"/>
      <c r="K1593" s="106"/>
      <c r="L1593" s="104"/>
      <c r="M1593" s="105"/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/>
      <c r="B1594" s="70"/>
      <c r="C1594" s="70"/>
      <c r="D1594" s="71"/>
      <c r="E1594" s="71"/>
      <c r="F1594" s="72"/>
      <c r="G1594" s="73"/>
      <c r="H1594" s="74"/>
      <c r="I1594" s="102"/>
      <c r="J1594" s="70"/>
      <c r="K1594" s="106"/>
      <c r="L1594" s="104"/>
      <c r="M1594" s="105"/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/>
      <c r="B1595" s="70"/>
      <c r="C1595" s="70"/>
      <c r="D1595" s="71"/>
      <c r="E1595" s="71"/>
      <c r="F1595" s="72"/>
      <c r="G1595" s="73"/>
      <c r="H1595" s="74"/>
      <c r="I1595" s="102"/>
      <c r="J1595" s="70"/>
      <c r="K1595" s="106"/>
      <c r="L1595" s="104"/>
      <c r="M1595" s="105"/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/>
      <c r="B1596" s="70"/>
      <c r="C1596" s="70"/>
      <c r="D1596" s="71"/>
      <c r="E1596" s="71"/>
      <c r="F1596" s="72"/>
      <c r="G1596" s="73"/>
      <c r="H1596" s="74"/>
      <c r="I1596" s="102"/>
      <c r="J1596" s="70"/>
      <c r="K1596" s="106"/>
      <c r="L1596" s="104"/>
      <c r="M1596" s="105"/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/>
      <c r="B1597" s="70"/>
      <c r="C1597" s="70"/>
      <c r="D1597" s="71"/>
      <c r="E1597" s="71"/>
      <c r="F1597" s="72"/>
      <c r="G1597" s="73"/>
      <c r="H1597" s="74"/>
      <c r="I1597" s="102"/>
      <c r="J1597" s="70"/>
      <c r="K1597" s="106"/>
      <c r="L1597" s="104"/>
      <c r="M1597" s="105"/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/>
      <c r="B1598" s="70"/>
      <c r="C1598" s="70"/>
      <c r="D1598" s="71"/>
      <c r="E1598" s="71"/>
      <c r="F1598" s="72"/>
      <c r="G1598" s="73"/>
      <c r="H1598" s="74"/>
      <c r="I1598" s="102"/>
      <c r="J1598" s="70"/>
      <c r="K1598" s="106"/>
      <c r="L1598" s="104"/>
      <c r="M1598" s="105"/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/>
      <c r="B1599" s="70"/>
      <c r="C1599" s="70"/>
      <c r="D1599" s="71"/>
      <c r="E1599" s="71"/>
      <c r="F1599" s="72"/>
      <c r="G1599" s="73"/>
      <c r="H1599" s="114"/>
      <c r="I1599" s="102"/>
      <c r="J1599" s="70"/>
      <c r="K1599" s="106"/>
      <c r="L1599" s="104"/>
      <c r="M1599" s="105"/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/>
      <c r="B1600" s="70"/>
      <c r="C1600" s="70"/>
      <c r="D1600" s="71"/>
      <c r="E1600" s="71"/>
      <c r="F1600" s="72"/>
      <c r="G1600" s="73"/>
      <c r="H1600" s="79"/>
      <c r="I1600" s="102"/>
      <c r="J1600" s="70"/>
      <c r="K1600" s="106"/>
      <c r="L1600" s="104"/>
      <c r="M1600" s="105"/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/>
      <c r="B1601" s="70"/>
      <c r="C1601" s="70"/>
      <c r="D1601" s="71"/>
      <c r="E1601" s="71"/>
      <c r="F1601" s="72"/>
      <c r="G1601" s="73"/>
      <c r="H1601" s="79"/>
      <c r="I1601" s="102"/>
      <c r="J1601" s="70"/>
      <c r="K1601" s="106"/>
      <c r="L1601" s="104"/>
      <c r="M1601" s="105"/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/>
      <c r="B1602" s="70"/>
      <c r="C1602" s="70"/>
      <c r="D1602" s="71"/>
      <c r="E1602" s="71"/>
      <c r="F1602" s="72"/>
      <c r="G1602" s="73"/>
      <c r="H1602" s="79"/>
      <c r="I1602" s="102"/>
      <c r="J1602" s="70"/>
      <c r="K1602" s="106"/>
      <c r="L1602" s="104"/>
      <c r="M1602" s="105"/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/>
      <c r="B1603" s="70"/>
      <c r="C1603" s="70"/>
      <c r="D1603" s="71"/>
      <c r="E1603" s="71"/>
      <c r="F1603" s="72"/>
      <c r="G1603" s="73"/>
      <c r="H1603" s="79"/>
      <c r="I1603" s="102"/>
      <c r="J1603" s="70"/>
      <c r="K1603" s="106"/>
      <c r="L1603" s="104"/>
      <c r="M1603" s="105"/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/>
      <c r="B1604" s="70"/>
      <c r="C1604" s="70"/>
      <c r="D1604" s="71"/>
      <c r="E1604" s="71"/>
      <c r="F1604" s="72"/>
      <c r="G1604" s="73"/>
      <c r="H1604" s="79"/>
      <c r="I1604" s="102"/>
      <c r="J1604" s="70"/>
      <c r="K1604" s="106"/>
      <c r="L1604" s="104"/>
      <c r="M1604" s="105"/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/>
      <c r="B1605" s="70"/>
      <c r="C1605" s="70"/>
      <c r="D1605" s="71"/>
      <c r="E1605" s="71"/>
      <c r="F1605" s="72"/>
      <c r="G1605" s="73"/>
      <c r="H1605" s="79"/>
      <c r="I1605" s="102"/>
      <c r="J1605" s="70"/>
      <c r="K1605" s="106"/>
      <c r="L1605" s="104"/>
      <c r="M1605" s="105"/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/>
      <c r="B1606" s="70"/>
      <c r="C1606" s="70"/>
      <c r="D1606" s="71"/>
      <c r="E1606" s="71"/>
      <c r="F1606" s="72"/>
      <c r="G1606" s="73"/>
      <c r="H1606" s="79"/>
      <c r="I1606" s="102"/>
      <c r="J1606" s="70"/>
      <c r="K1606" s="106"/>
      <c r="L1606" s="104"/>
      <c r="M1606" s="105"/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/>
      <c r="B1607" s="70"/>
      <c r="C1607" s="70"/>
      <c r="D1607" s="71"/>
      <c r="E1607" s="71"/>
      <c r="F1607" s="72"/>
      <c r="G1607" s="73"/>
      <c r="H1607" s="79"/>
      <c r="I1607" s="102"/>
      <c r="J1607" s="70"/>
      <c r="K1607" s="106"/>
      <c r="L1607" s="104"/>
      <c r="M1607" s="105"/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/>
      <c r="B1608" s="70"/>
      <c r="C1608" s="70"/>
      <c r="D1608" s="71"/>
      <c r="E1608" s="71"/>
      <c r="F1608" s="72"/>
      <c r="G1608" s="73"/>
      <c r="H1608" s="79"/>
      <c r="I1608" s="102"/>
      <c r="J1608" s="70"/>
      <c r="K1608" s="106"/>
      <c r="L1608" s="104"/>
      <c r="M1608" s="105"/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/>
      <c r="B1609" s="70"/>
      <c r="C1609" s="70"/>
      <c r="D1609" s="71"/>
      <c r="E1609" s="71"/>
      <c r="F1609" s="72"/>
      <c r="G1609" s="73"/>
      <c r="H1609" s="79"/>
      <c r="I1609" s="102"/>
      <c r="J1609" s="70"/>
      <c r="K1609" s="106"/>
      <c r="L1609" s="104"/>
      <c r="M1609" s="105"/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/>
      <c r="B1610" s="70"/>
      <c r="C1610" s="70"/>
      <c r="D1610" s="71"/>
      <c r="E1610" s="71"/>
      <c r="F1610" s="72"/>
      <c r="G1610" s="73"/>
      <c r="H1610" s="79"/>
      <c r="I1610" s="102"/>
      <c r="J1610" s="70"/>
      <c r="K1610" s="106"/>
      <c r="L1610" s="104"/>
      <c r="M1610" s="105"/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/>
      <c r="B1611" s="70"/>
      <c r="C1611" s="70"/>
      <c r="D1611" s="71"/>
      <c r="E1611" s="71"/>
      <c r="F1611" s="72"/>
      <c r="G1611" s="73"/>
      <c r="H1611" s="79"/>
      <c r="I1611" s="102"/>
      <c r="J1611" s="70"/>
      <c r="K1611" s="106"/>
      <c r="L1611" s="104"/>
      <c r="M1611" s="105"/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/>
      <c r="B1612" s="70"/>
      <c r="C1612" s="70"/>
      <c r="D1612" s="71"/>
      <c r="E1612" s="71"/>
      <c r="F1612" s="72"/>
      <c r="G1612" s="73"/>
      <c r="H1612" s="79"/>
      <c r="I1612" s="102"/>
      <c r="J1612" s="70"/>
      <c r="K1612" s="106"/>
      <c r="L1612" s="104"/>
      <c r="M1612" s="105"/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/>
      <c r="B1613" s="70"/>
      <c r="C1613" s="70"/>
      <c r="D1613" s="71"/>
      <c r="E1613" s="71"/>
      <c r="F1613" s="72"/>
      <c r="G1613" s="73"/>
      <c r="H1613" s="114"/>
      <c r="I1613" s="102"/>
      <c r="J1613" s="70"/>
      <c r="K1613" s="106"/>
      <c r="L1613" s="104"/>
      <c r="M1613" s="105"/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/>
      <c r="B1614" s="70"/>
      <c r="C1614" s="70"/>
      <c r="D1614" s="71"/>
      <c r="E1614" s="71"/>
      <c r="F1614" s="72"/>
      <c r="G1614" s="73"/>
      <c r="H1614" s="114"/>
      <c r="I1614" s="102"/>
      <c r="J1614" s="70"/>
      <c r="K1614" s="106"/>
      <c r="L1614" s="104"/>
      <c r="M1614" s="105"/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/>
      <c r="B1615" s="70"/>
      <c r="C1615" s="70"/>
      <c r="D1615" s="71"/>
      <c r="E1615" s="71"/>
      <c r="F1615" s="72"/>
      <c r="G1615" s="73"/>
      <c r="H1615" s="114"/>
      <c r="I1615" s="102"/>
      <c r="J1615" s="70"/>
      <c r="K1615" s="106"/>
      <c r="L1615" s="104"/>
      <c r="M1615" s="105"/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/>
      <c r="B1616" s="70"/>
      <c r="C1616" s="70"/>
      <c r="D1616" s="71"/>
      <c r="E1616" s="71"/>
      <c r="F1616" s="72"/>
      <c r="G1616" s="73"/>
      <c r="H1616" s="74"/>
      <c r="I1616" s="102"/>
      <c r="J1616" s="70"/>
      <c r="K1616" s="106"/>
      <c r="L1616" s="104"/>
      <c r="M1616" s="105"/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/>
      <c r="B1617" s="70"/>
      <c r="C1617" s="70"/>
      <c r="D1617" s="71"/>
      <c r="E1617" s="71"/>
      <c r="F1617" s="72"/>
      <c r="G1617" s="73"/>
      <c r="H1617" s="74"/>
      <c r="I1617" s="102"/>
      <c r="J1617" s="70"/>
      <c r="K1617" s="106"/>
      <c r="L1617" s="104"/>
      <c r="M1617" s="105"/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/>
      <c r="B1618" s="70"/>
      <c r="C1618" s="70"/>
      <c r="D1618" s="71"/>
      <c r="E1618" s="71"/>
      <c r="F1618" s="72"/>
      <c r="G1618" s="73"/>
      <c r="H1618" s="114"/>
      <c r="I1618" s="102"/>
      <c r="J1618" s="70"/>
      <c r="K1618" s="106"/>
      <c r="L1618" s="104"/>
      <c r="M1618" s="105"/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/>
      <c r="B1619" s="70"/>
      <c r="C1619" s="70"/>
      <c r="D1619" s="71"/>
      <c r="E1619" s="71"/>
      <c r="F1619" s="72"/>
      <c r="G1619" s="73"/>
      <c r="H1619" s="74"/>
      <c r="I1619" s="102"/>
      <c r="J1619" s="70"/>
      <c r="K1619" s="106"/>
      <c r="L1619" s="104"/>
      <c r="M1619" s="105"/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/>
      <c r="B1620" s="70"/>
      <c r="C1620" s="70"/>
      <c r="D1620" s="71"/>
      <c r="E1620" s="71"/>
      <c r="F1620" s="72"/>
      <c r="G1620" s="73"/>
      <c r="H1620" s="74"/>
      <c r="I1620" s="102"/>
      <c r="J1620" s="70"/>
      <c r="K1620" s="106"/>
      <c r="L1620" s="104"/>
      <c r="M1620" s="105"/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/>
      <c r="B1621" s="70"/>
      <c r="C1621" s="70"/>
      <c r="D1621" s="71"/>
      <c r="E1621" s="71"/>
      <c r="F1621" s="72"/>
      <c r="G1621" s="73"/>
      <c r="H1621" s="74"/>
      <c r="I1621" s="102"/>
      <c r="J1621" s="70"/>
      <c r="K1621" s="106"/>
      <c r="L1621" s="104"/>
      <c r="M1621" s="105"/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/>
      <c r="B1622" s="70"/>
      <c r="C1622" s="70"/>
      <c r="D1622" s="71"/>
      <c r="E1622" s="71"/>
      <c r="F1622" s="72"/>
      <c r="G1622" s="73"/>
      <c r="H1622" s="74"/>
      <c r="I1622" s="102"/>
      <c r="J1622" s="70"/>
      <c r="K1622" s="106"/>
      <c r="L1622" s="104"/>
      <c r="M1622" s="105"/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/>
      <c r="B1623" s="70"/>
      <c r="C1623" s="70"/>
      <c r="D1623" s="71"/>
      <c r="E1623" s="71"/>
      <c r="F1623" s="72"/>
      <c r="G1623" s="73"/>
      <c r="H1623" s="74"/>
      <c r="I1623" s="102"/>
      <c r="J1623" s="70"/>
      <c r="K1623" s="106"/>
      <c r="L1623" s="104"/>
      <c r="M1623" s="105"/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/>
      <c r="B1624" s="70"/>
      <c r="C1624" s="70"/>
      <c r="D1624" s="71"/>
      <c r="E1624" s="71"/>
      <c r="F1624" s="72"/>
      <c r="G1624" s="73"/>
      <c r="H1624" s="74"/>
      <c r="I1624" s="102"/>
      <c r="J1624" s="70"/>
      <c r="K1624" s="106"/>
      <c r="L1624" s="104"/>
      <c r="M1624" s="105"/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/>
      <c r="B1625" s="70"/>
      <c r="C1625" s="70"/>
      <c r="D1625" s="71"/>
      <c r="E1625" s="71"/>
      <c r="F1625" s="72"/>
      <c r="G1625" s="73"/>
      <c r="H1625" s="74"/>
      <c r="I1625" s="102"/>
      <c r="J1625" s="70"/>
      <c r="K1625" s="106"/>
      <c r="L1625" s="104"/>
      <c r="M1625" s="105"/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/>
      <c r="B1626" s="70"/>
      <c r="C1626" s="70"/>
      <c r="D1626" s="71"/>
      <c r="E1626" s="71"/>
      <c r="F1626" s="72"/>
      <c r="G1626" s="73"/>
      <c r="H1626" s="74"/>
      <c r="I1626" s="102"/>
      <c r="J1626" s="70"/>
      <c r="K1626" s="106"/>
      <c r="L1626" s="104"/>
      <c r="M1626" s="105"/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/>
      <c r="B1627" s="70"/>
      <c r="C1627" s="70"/>
      <c r="D1627" s="71"/>
      <c r="E1627" s="71"/>
      <c r="F1627" s="72"/>
      <c r="G1627" s="73"/>
      <c r="H1627" s="74"/>
      <c r="I1627" s="102"/>
      <c r="J1627" s="70"/>
      <c r="K1627" s="106"/>
      <c r="L1627" s="104"/>
      <c r="M1627" s="105"/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/>
      <c r="B1628" s="70"/>
      <c r="C1628" s="70"/>
      <c r="D1628" s="71"/>
      <c r="E1628" s="71"/>
      <c r="F1628" s="72"/>
      <c r="G1628" s="73"/>
      <c r="H1628" s="74"/>
      <c r="I1628" s="102"/>
      <c r="J1628" s="70"/>
      <c r="K1628" s="106"/>
      <c r="L1628" s="104"/>
      <c r="M1628" s="105"/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/>
      <c r="B1629" s="70"/>
      <c r="C1629" s="70"/>
      <c r="D1629" s="71"/>
      <c r="E1629" s="71"/>
      <c r="F1629" s="72"/>
      <c r="G1629" s="73"/>
      <c r="H1629" s="74"/>
      <c r="I1629" s="102"/>
      <c r="J1629" s="70"/>
      <c r="K1629" s="106"/>
      <c r="L1629" s="104"/>
      <c r="M1629" s="105"/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/>
      <c r="B1630" s="70"/>
      <c r="C1630" s="70"/>
      <c r="D1630" s="71"/>
      <c r="E1630" s="71"/>
      <c r="F1630" s="72"/>
      <c r="G1630" s="73"/>
      <c r="H1630" s="74"/>
      <c r="I1630" s="102"/>
      <c r="J1630" s="70"/>
      <c r="K1630" s="106"/>
      <c r="L1630" s="104"/>
      <c r="M1630" s="105"/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/>
      <c r="B1631" s="70"/>
      <c r="C1631" s="70"/>
      <c r="D1631" s="71"/>
      <c r="E1631" s="71"/>
      <c r="F1631" s="72"/>
      <c r="G1631" s="73"/>
      <c r="H1631" s="74"/>
      <c r="I1631" s="102"/>
      <c r="J1631" s="70"/>
      <c r="K1631" s="106"/>
      <c r="L1631" s="104"/>
      <c r="M1631" s="105"/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/>
      <c r="B1632" s="70"/>
      <c r="C1632" s="70"/>
      <c r="D1632" s="71"/>
      <c r="E1632" s="71"/>
      <c r="F1632" s="72"/>
      <c r="G1632" s="73"/>
      <c r="H1632" s="74"/>
      <c r="I1632" s="102"/>
      <c r="J1632" s="70"/>
      <c r="K1632" s="106"/>
      <c r="L1632" s="104"/>
      <c r="M1632" s="105"/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/>
      <c r="B1633" s="70"/>
      <c r="C1633" s="70"/>
      <c r="D1633" s="71"/>
      <c r="E1633" s="71"/>
      <c r="F1633" s="72"/>
      <c r="G1633" s="73"/>
      <c r="H1633" s="79"/>
      <c r="I1633" s="102"/>
      <c r="J1633" s="70"/>
      <c r="K1633" s="106"/>
      <c r="L1633" s="104"/>
      <c r="M1633" s="105"/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/>
      <c r="B1634" s="70"/>
      <c r="C1634" s="70"/>
      <c r="D1634" s="71"/>
      <c r="E1634" s="71"/>
      <c r="F1634" s="72"/>
      <c r="G1634" s="73"/>
      <c r="H1634" s="79"/>
      <c r="I1634" s="102"/>
      <c r="J1634" s="70"/>
      <c r="K1634" s="106"/>
      <c r="L1634" s="104"/>
      <c r="M1634" s="105"/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/>
      <c r="B1635" s="70"/>
      <c r="C1635" s="70"/>
      <c r="D1635" s="71"/>
      <c r="E1635" s="71"/>
      <c r="F1635" s="72"/>
      <c r="G1635" s="73"/>
      <c r="H1635" s="79"/>
      <c r="I1635" s="102"/>
      <c r="J1635" s="70"/>
      <c r="K1635" s="106"/>
      <c r="L1635" s="104"/>
      <c r="M1635" s="105"/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/>
      <c r="B1636" s="70"/>
      <c r="C1636" s="70"/>
      <c r="D1636" s="71"/>
      <c r="E1636" s="71"/>
      <c r="F1636" s="72"/>
      <c r="G1636" s="73"/>
      <c r="H1636" s="79"/>
      <c r="I1636" s="102"/>
      <c r="J1636" s="70"/>
      <c r="K1636" s="106"/>
      <c r="L1636" s="104"/>
      <c r="M1636" s="105"/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/>
      <c r="B1637" s="70"/>
      <c r="C1637" s="70"/>
      <c r="D1637" s="71"/>
      <c r="E1637" s="71"/>
      <c r="F1637" s="72"/>
      <c r="G1637" s="73"/>
      <c r="H1637" s="79"/>
      <c r="I1637" s="102"/>
      <c r="J1637" s="70"/>
      <c r="K1637" s="106"/>
      <c r="L1637" s="104"/>
      <c r="M1637" s="105"/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/>
      <c r="B1638" s="70"/>
      <c r="C1638" s="70"/>
      <c r="D1638" s="71"/>
      <c r="E1638" s="71"/>
      <c r="F1638" s="72"/>
      <c r="G1638" s="73"/>
      <c r="H1638" s="79"/>
      <c r="I1638" s="102"/>
      <c r="J1638" s="70"/>
      <c r="K1638" s="106"/>
      <c r="L1638" s="104"/>
      <c r="M1638" s="105"/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/>
      <c r="B1639" s="70"/>
      <c r="C1639" s="70"/>
      <c r="D1639" s="71"/>
      <c r="E1639" s="71"/>
      <c r="F1639" s="72"/>
      <c r="G1639" s="73"/>
      <c r="H1639" s="79"/>
      <c r="I1639" s="102"/>
      <c r="J1639" s="70"/>
      <c r="K1639" s="106"/>
      <c r="L1639" s="104"/>
      <c r="M1639" s="105"/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/>
      <c r="B1640" s="70"/>
      <c r="C1640" s="70"/>
      <c r="D1640" s="71"/>
      <c r="E1640" s="71"/>
      <c r="F1640" s="72"/>
      <c r="G1640" s="73"/>
      <c r="H1640" s="74"/>
      <c r="I1640" s="102"/>
      <c r="J1640" s="70"/>
      <c r="K1640" s="106"/>
      <c r="L1640" s="104"/>
      <c r="M1640" s="105"/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/>
      <c r="B1641" s="70"/>
      <c r="C1641" s="70"/>
      <c r="D1641" s="71"/>
      <c r="E1641" s="71"/>
      <c r="F1641" s="72"/>
      <c r="G1641" s="73"/>
      <c r="H1641" s="74"/>
      <c r="I1641" s="102"/>
      <c r="J1641" s="70"/>
      <c r="K1641" s="106"/>
      <c r="L1641" s="104"/>
      <c r="M1641" s="105"/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/>
      <c r="B1642" s="70"/>
      <c r="C1642" s="70"/>
      <c r="D1642" s="71"/>
      <c r="E1642" s="71"/>
      <c r="F1642" s="72"/>
      <c r="G1642" s="73"/>
      <c r="H1642" s="74"/>
      <c r="I1642" s="102"/>
      <c r="J1642" s="70"/>
      <c r="K1642" s="106"/>
      <c r="L1642" s="104"/>
      <c r="M1642" s="105"/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/>
      <c r="B1643" s="70"/>
      <c r="C1643" s="70"/>
      <c r="D1643" s="71"/>
      <c r="E1643" s="71"/>
      <c r="F1643" s="72"/>
      <c r="G1643" s="73"/>
      <c r="H1643" s="79"/>
      <c r="I1643" s="102"/>
      <c r="J1643" s="70"/>
      <c r="K1643" s="106"/>
      <c r="L1643" s="104"/>
      <c r="M1643" s="105"/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/>
      <c r="B1644" s="70"/>
      <c r="C1644" s="70"/>
      <c r="D1644" s="71"/>
      <c r="E1644" s="71"/>
      <c r="F1644" s="72"/>
      <c r="G1644" s="73"/>
      <c r="H1644" s="79"/>
      <c r="I1644" s="102"/>
      <c r="J1644" s="70"/>
      <c r="K1644" s="106"/>
      <c r="L1644" s="104"/>
      <c r="M1644" s="105"/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/>
      <c r="B1645" s="70"/>
      <c r="C1645" s="70"/>
      <c r="D1645" s="71"/>
      <c r="E1645" s="71"/>
      <c r="F1645" s="72"/>
      <c r="G1645" s="73"/>
      <c r="H1645" s="79"/>
      <c r="I1645" s="102"/>
      <c r="J1645" s="70"/>
      <c r="K1645" s="106"/>
      <c r="L1645" s="104"/>
      <c r="M1645" s="105"/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/>
      <c r="B1646" s="70"/>
      <c r="C1646" s="70"/>
      <c r="D1646" s="71"/>
      <c r="E1646" s="71"/>
      <c r="F1646" s="72"/>
      <c r="G1646" s="73"/>
      <c r="H1646" s="79"/>
      <c r="I1646" s="102"/>
      <c r="J1646" s="70"/>
      <c r="K1646" s="106"/>
      <c r="L1646" s="104"/>
      <c r="M1646" s="105"/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/>
      <c r="B1647" s="70"/>
      <c r="C1647" s="70"/>
      <c r="D1647" s="71"/>
      <c r="E1647" s="71"/>
      <c r="F1647" s="72"/>
      <c r="G1647" s="73"/>
      <c r="H1647" s="74"/>
      <c r="I1647" s="102"/>
      <c r="J1647" s="70"/>
      <c r="K1647" s="106"/>
      <c r="L1647" s="104"/>
      <c r="M1647" s="105"/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/>
      <c r="B1648" s="70"/>
      <c r="C1648" s="70"/>
      <c r="D1648" s="71"/>
      <c r="E1648" s="71"/>
      <c r="F1648" s="72"/>
      <c r="G1648" s="73"/>
      <c r="H1648" s="74"/>
      <c r="I1648" s="102"/>
      <c r="J1648" s="70"/>
      <c r="K1648" s="106"/>
      <c r="L1648" s="104"/>
      <c r="M1648" s="105"/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/>
      <c r="B1649" s="70"/>
      <c r="C1649" s="70"/>
      <c r="D1649" s="71"/>
      <c r="E1649" s="71"/>
      <c r="F1649" s="72"/>
      <c r="G1649" s="73"/>
      <c r="H1649" s="74"/>
      <c r="I1649" s="102"/>
      <c r="J1649" s="70"/>
      <c r="K1649" s="106"/>
      <c r="L1649" s="104"/>
      <c r="M1649" s="105"/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/>
      <c r="B1650" s="70"/>
      <c r="C1650" s="70"/>
      <c r="D1650" s="71"/>
      <c r="E1650" s="71"/>
      <c r="F1650" s="72"/>
      <c r="G1650" s="73"/>
      <c r="H1650" s="79"/>
      <c r="I1650" s="102"/>
      <c r="J1650" s="70"/>
      <c r="K1650" s="106"/>
      <c r="L1650" s="104"/>
      <c r="M1650" s="105"/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/>
      <c r="B1651" s="70"/>
      <c r="C1651" s="70"/>
      <c r="D1651" s="71"/>
      <c r="E1651" s="71"/>
      <c r="F1651" s="72"/>
      <c r="G1651" s="73"/>
      <c r="H1651" s="79"/>
      <c r="I1651" s="102"/>
      <c r="J1651" s="70"/>
      <c r="K1651" s="106"/>
      <c r="L1651" s="104"/>
      <c r="M1651" s="105"/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/>
      <c r="B1652" s="70"/>
      <c r="C1652" s="70"/>
      <c r="D1652" s="71"/>
      <c r="E1652" s="71"/>
      <c r="F1652" s="72"/>
      <c r="G1652" s="73"/>
      <c r="H1652" s="73"/>
      <c r="I1652" s="102"/>
      <c r="J1652" s="70"/>
      <c r="K1652" s="106"/>
      <c r="L1652" s="104"/>
      <c r="M1652" s="105"/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105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/>
      <c r="B1653" s="70"/>
      <c r="C1653" s="70"/>
      <c r="D1653" s="71"/>
      <c r="E1653" s="71"/>
      <c r="F1653" s="72"/>
      <c r="G1653" s="73"/>
      <c r="H1653" s="79"/>
      <c r="I1653" s="102"/>
      <c r="J1653" s="70"/>
      <c r="K1653" s="106"/>
      <c r="L1653" s="104"/>
      <c r="M1653" s="105"/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105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/>
      <c r="B1654" s="70"/>
      <c r="C1654" s="70"/>
      <c r="D1654" s="71"/>
      <c r="E1654" s="71"/>
      <c r="F1654" s="72"/>
      <c r="G1654" s="73"/>
      <c r="H1654" s="114"/>
      <c r="I1654" s="102"/>
      <c r="J1654" s="70"/>
      <c r="K1654" s="106"/>
      <c r="L1654" s="104"/>
      <c r="M1654" s="105"/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105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/>
      <c r="B1655" s="70"/>
      <c r="C1655" s="70"/>
      <c r="D1655" s="71"/>
      <c r="E1655" s="71"/>
      <c r="F1655" s="72"/>
      <c r="G1655" s="73"/>
      <c r="H1655" s="114"/>
      <c r="I1655" s="102"/>
      <c r="J1655" s="70"/>
      <c r="K1655" s="106"/>
      <c r="L1655" s="104"/>
      <c r="M1655" s="105"/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04"/>
      <c r="Z1655" s="105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/>
      <c r="B1656" s="70"/>
      <c r="C1656" s="70"/>
      <c r="D1656" s="71"/>
      <c r="E1656" s="71"/>
      <c r="F1656" s="72"/>
      <c r="G1656" s="73"/>
      <c r="H1656" s="74"/>
      <c r="I1656" s="102"/>
      <c r="J1656" s="70"/>
      <c r="K1656" s="106"/>
      <c r="L1656" s="104"/>
      <c r="M1656" s="105"/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104"/>
      <c r="Z1656" s="10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/>
      <c r="B1657" s="70"/>
      <c r="C1657" s="70"/>
      <c r="D1657" s="71"/>
      <c r="E1657" s="71"/>
      <c r="F1657" s="72"/>
      <c r="G1657" s="73"/>
      <c r="H1657" s="74"/>
      <c r="I1657" s="102"/>
      <c r="J1657" s="70"/>
      <c r="K1657" s="106"/>
      <c r="L1657" s="104"/>
      <c r="M1657" s="105"/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04"/>
      <c r="Z1657" s="105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/>
      <c r="B1658" s="70"/>
      <c r="C1658" s="70"/>
      <c r="D1658" s="71"/>
      <c r="E1658" s="71"/>
      <c r="F1658" s="72"/>
      <c r="G1658" s="73"/>
      <c r="H1658" s="74"/>
      <c r="I1658" s="102"/>
      <c r="J1658" s="70"/>
      <c r="K1658" s="106"/>
      <c r="L1658" s="104"/>
      <c r="M1658" s="105"/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104"/>
      <c r="Z1658" s="10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/>
      <c r="B1659" s="70"/>
      <c r="C1659" s="70"/>
      <c r="D1659" s="71"/>
      <c r="E1659" s="71"/>
      <c r="F1659" s="72"/>
      <c r="G1659" s="73"/>
      <c r="H1659" s="74"/>
      <c r="I1659" s="102"/>
      <c r="J1659" s="70"/>
      <c r="K1659" s="106"/>
      <c r="L1659" s="104"/>
      <c r="M1659" s="105"/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104"/>
      <c r="Z1659" s="10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/>
      <c r="B1660" s="70"/>
      <c r="C1660" s="70"/>
      <c r="D1660" s="71"/>
      <c r="E1660" s="71"/>
      <c r="F1660" s="72"/>
      <c r="G1660" s="73"/>
      <c r="H1660" s="74"/>
      <c r="I1660" s="102"/>
      <c r="J1660" s="70"/>
      <c r="K1660" s="106"/>
      <c r="L1660" s="104"/>
      <c r="M1660" s="105"/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/>
      <c r="B1661" s="70"/>
      <c r="C1661" s="70"/>
      <c r="D1661" s="71"/>
      <c r="E1661" s="71"/>
      <c r="F1661" s="72"/>
      <c r="G1661" s="73"/>
      <c r="H1661" s="74"/>
      <c r="I1661" s="102"/>
      <c r="J1661" s="70"/>
      <c r="K1661" s="106"/>
      <c r="L1661" s="104"/>
      <c r="M1661" s="105"/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44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/>
      <c r="B1662" s="70"/>
      <c r="C1662" s="70"/>
      <c r="D1662" s="71"/>
      <c r="E1662" s="71"/>
      <c r="F1662" s="72"/>
      <c r="G1662" s="73"/>
      <c r="H1662" s="74"/>
      <c r="I1662" s="102"/>
      <c r="J1662" s="70"/>
      <c r="K1662" s="106"/>
      <c r="L1662" s="104"/>
      <c r="M1662" s="105"/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/>
      <c r="B1663" s="70"/>
      <c r="C1663" s="70"/>
      <c r="D1663" s="71"/>
      <c r="E1663" s="71"/>
      <c r="F1663" s="72"/>
      <c r="G1663" s="73"/>
      <c r="H1663" s="74"/>
      <c r="I1663" s="102"/>
      <c r="J1663" s="70"/>
      <c r="K1663" s="106"/>
      <c r="L1663" s="104"/>
      <c r="M1663" s="105"/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44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/>
      <c r="B1664" s="70"/>
      <c r="C1664" s="70"/>
      <c r="D1664" s="71"/>
      <c r="E1664" s="71"/>
      <c r="F1664" s="72"/>
      <c r="G1664" s="73"/>
      <c r="H1664" s="74"/>
      <c r="I1664" s="102"/>
      <c r="J1664" s="70"/>
      <c r="K1664" s="106"/>
      <c r="L1664" s="104"/>
      <c r="M1664" s="105"/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/>
      <c r="B1665" s="70"/>
      <c r="C1665" s="70"/>
      <c r="D1665" s="71"/>
      <c r="E1665" s="71"/>
      <c r="F1665" s="72"/>
      <c r="G1665" s="73"/>
      <c r="H1665" s="74"/>
      <c r="I1665" s="102"/>
      <c r="J1665" s="70"/>
      <c r="K1665" s="106"/>
      <c r="L1665" s="104"/>
      <c r="M1665" s="105"/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44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/>
      <c r="B1666" s="70"/>
      <c r="C1666" s="70"/>
      <c r="D1666" s="71"/>
      <c r="E1666" s="71"/>
      <c r="F1666" s="72"/>
      <c r="G1666" s="73"/>
      <c r="H1666" s="74"/>
      <c r="I1666" s="102"/>
      <c r="J1666" s="70"/>
      <c r="K1666" s="106"/>
      <c r="L1666" s="104"/>
      <c r="M1666" s="105"/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/>
      <c r="B1667" s="70"/>
      <c r="C1667" s="70"/>
      <c r="D1667" s="71"/>
      <c r="E1667" s="71"/>
      <c r="F1667" s="72"/>
      <c r="G1667" s="73"/>
      <c r="H1667" s="79"/>
      <c r="I1667" s="102"/>
      <c r="J1667" s="70"/>
      <c r="K1667" s="106"/>
      <c r="L1667" s="104"/>
      <c r="M1667" s="105"/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44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/>
      <c r="B1668" s="70"/>
      <c r="C1668" s="70"/>
      <c r="D1668" s="71"/>
      <c r="E1668" s="71"/>
      <c r="F1668" s="72"/>
      <c r="G1668" s="73"/>
      <c r="H1668" s="74"/>
      <c r="I1668" s="102"/>
      <c r="J1668" s="70"/>
      <c r="K1668" s="106"/>
      <c r="L1668" s="104"/>
      <c r="M1668" s="105"/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/>
      <c r="B1669" s="70"/>
      <c r="C1669" s="70"/>
      <c r="D1669" s="71"/>
      <c r="E1669" s="71"/>
      <c r="F1669" s="72"/>
      <c r="G1669" s="73"/>
      <c r="H1669" s="74"/>
      <c r="I1669" s="102"/>
      <c r="J1669" s="70"/>
      <c r="K1669" s="106"/>
      <c r="L1669" s="104"/>
      <c r="M1669" s="105"/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44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/>
      <c r="B1670" s="70"/>
      <c r="C1670" s="70"/>
      <c r="D1670" s="71"/>
      <c r="E1670" s="71"/>
      <c r="F1670" s="72"/>
      <c r="G1670" s="73"/>
      <c r="H1670" s="74"/>
      <c r="I1670" s="102"/>
      <c r="J1670" s="70"/>
      <c r="K1670" s="106"/>
      <c r="L1670" s="104"/>
      <c r="M1670" s="105"/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/>
      <c r="B1671" s="70"/>
      <c r="C1671" s="70"/>
      <c r="D1671" s="71"/>
      <c r="E1671" s="71"/>
      <c r="F1671" s="72"/>
      <c r="G1671" s="73"/>
      <c r="H1671" s="74"/>
      <c r="I1671" s="102"/>
      <c r="J1671" s="70"/>
      <c r="K1671" s="106"/>
      <c r="L1671" s="104"/>
      <c r="M1671" s="105"/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44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/>
      <c r="B1672" s="70"/>
      <c r="C1672" s="70"/>
      <c r="D1672" s="71"/>
      <c r="E1672" s="71"/>
      <c r="F1672" s="72"/>
      <c r="G1672" s="73"/>
      <c r="H1672" s="74"/>
      <c r="I1672" s="102"/>
      <c r="J1672" s="70"/>
      <c r="K1672" s="106"/>
      <c r="L1672" s="104"/>
      <c r="M1672" s="105"/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/>
      <c r="B1673" s="70"/>
      <c r="C1673" s="70"/>
      <c r="D1673" s="71"/>
      <c r="E1673" s="71"/>
      <c r="F1673" s="72"/>
      <c r="G1673" s="73"/>
      <c r="H1673" s="79"/>
      <c r="I1673" s="102"/>
      <c r="J1673" s="70"/>
      <c r="K1673" s="106"/>
      <c r="L1673" s="104"/>
      <c r="M1673" s="105"/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44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/>
      <c r="B1674" s="70"/>
      <c r="C1674" s="70"/>
      <c r="D1674" s="71"/>
      <c r="E1674" s="71"/>
      <c r="F1674" s="72"/>
      <c r="G1674" s="73"/>
      <c r="H1674" s="79"/>
      <c r="I1674" s="102"/>
      <c r="J1674" s="70"/>
      <c r="K1674" s="106"/>
      <c r="L1674" s="104"/>
      <c r="M1674" s="105"/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/>
      <c r="B1675" s="70"/>
      <c r="C1675" s="70"/>
      <c r="D1675" s="71"/>
      <c r="E1675" s="71"/>
      <c r="F1675" s="72"/>
      <c r="G1675" s="73"/>
      <c r="H1675" s="79"/>
      <c r="I1675" s="102"/>
      <c r="J1675" s="70"/>
      <c r="K1675" s="106"/>
      <c r="L1675" s="104"/>
      <c r="M1675" s="105"/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44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/>
      <c r="B1676" s="70"/>
      <c r="C1676" s="70"/>
      <c r="D1676" s="71"/>
      <c r="E1676" s="71"/>
      <c r="F1676" s="72"/>
      <c r="G1676" s="73"/>
      <c r="H1676" s="74"/>
      <c r="I1676" s="102"/>
      <c r="J1676" s="70"/>
      <c r="K1676" s="106"/>
      <c r="L1676" s="104"/>
      <c r="M1676" s="105"/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113"/>
      <c r="Z1676" s="71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/>
      <c r="B1677" s="70"/>
      <c r="C1677" s="70"/>
      <c r="D1677" s="71"/>
      <c r="E1677" s="71"/>
      <c r="F1677" s="72"/>
      <c r="G1677" s="73"/>
      <c r="H1677" s="74"/>
      <c r="I1677" s="102"/>
      <c r="J1677" s="70"/>
      <c r="K1677" s="106"/>
      <c r="L1677" s="104"/>
      <c r="M1677" s="105"/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244"/>
      <c r="Z1677" s="143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/>
      <c r="B1678" s="70"/>
      <c r="C1678" s="70"/>
      <c r="D1678" s="71"/>
      <c r="E1678" s="71"/>
      <c r="F1678" s="72"/>
      <c r="G1678" s="73"/>
      <c r="H1678" s="79"/>
      <c r="I1678" s="102"/>
      <c r="J1678" s="70"/>
      <c r="K1678" s="106"/>
      <c r="L1678" s="104"/>
      <c r="M1678" s="105"/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113"/>
      <c r="Z1678" s="71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/>
      <c r="B1679" s="70"/>
      <c r="C1679" s="70"/>
      <c r="D1679" s="71"/>
      <c r="E1679" s="71"/>
      <c r="F1679" s="72"/>
      <c r="G1679" s="73"/>
      <c r="H1679" s="76"/>
      <c r="I1679" s="102"/>
      <c r="J1679" s="70"/>
      <c r="K1679" s="106"/>
      <c r="L1679" s="104"/>
      <c r="M1679" s="105"/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244"/>
      <c r="Z1679" s="143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/>
      <c r="B1680" s="70"/>
      <c r="C1680" s="70"/>
      <c r="D1680" s="71"/>
      <c r="E1680" s="71"/>
      <c r="F1680" s="72"/>
      <c r="G1680" s="73"/>
      <c r="H1680" s="79"/>
      <c r="I1680" s="102"/>
      <c r="J1680" s="70"/>
      <c r="K1680" s="106"/>
      <c r="L1680" s="104"/>
      <c r="M1680" s="105"/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44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/>
      <c r="B1681" s="70"/>
      <c r="C1681" s="70"/>
      <c r="D1681" s="71"/>
      <c r="E1681" s="71"/>
      <c r="F1681" s="72"/>
      <c r="G1681" s="73"/>
      <c r="H1681" s="74"/>
      <c r="I1681" s="102"/>
      <c r="J1681" s="70"/>
      <c r="K1681" s="106"/>
      <c r="L1681" s="104"/>
      <c r="M1681" s="105"/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113"/>
      <c r="Z1681" s="71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/>
      <c r="B1682" s="70"/>
      <c r="C1682" s="70"/>
      <c r="D1682" s="71"/>
      <c r="E1682" s="71"/>
      <c r="F1682" s="72"/>
      <c r="G1682" s="73"/>
      <c r="H1682" s="74"/>
      <c r="I1682" s="102"/>
      <c r="J1682" s="70"/>
      <c r="K1682" s="106"/>
      <c r="L1682" s="104"/>
      <c r="M1682" s="105"/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244"/>
      <c r="Z1682" s="143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/>
      <c r="B1683" s="70"/>
      <c r="C1683" s="70"/>
      <c r="D1683" s="71"/>
      <c r="E1683" s="71"/>
      <c r="F1683" s="72"/>
      <c r="G1683" s="73"/>
      <c r="H1683" s="79"/>
      <c r="I1683" s="102"/>
      <c r="J1683" s="70"/>
      <c r="K1683" s="106"/>
      <c r="L1683" s="104"/>
      <c r="M1683" s="105"/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113"/>
      <c r="Z1683" s="71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/>
      <c r="B1684" s="70"/>
      <c r="C1684" s="70"/>
      <c r="D1684" s="71"/>
      <c r="E1684" s="71"/>
      <c r="F1684" s="72"/>
      <c r="G1684" s="73"/>
      <c r="H1684" s="74"/>
      <c r="I1684" s="102"/>
      <c r="J1684" s="70"/>
      <c r="K1684" s="106"/>
      <c r="L1684" s="104"/>
      <c r="M1684" s="105"/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244"/>
      <c r="Z1684" s="143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/>
      <c r="B1685" s="70"/>
      <c r="C1685" s="70"/>
      <c r="D1685" s="71"/>
      <c r="E1685" s="71"/>
      <c r="F1685" s="72"/>
      <c r="G1685" s="73"/>
      <c r="H1685" s="74"/>
      <c r="I1685" s="102"/>
      <c r="J1685" s="70"/>
      <c r="K1685" s="106"/>
      <c r="L1685" s="104"/>
      <c r="M1685" s="105"/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113"/>
      <c r="Z1685" s="71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/>
      <c r="B1686" s="70"/>
      <c r="C1686" s="70"/>
      <c r="D1686" s="71"/>
      <c r="E1686" s="71"/>
      <c r="F1686" s="72"/>
      <c r="G1686" s="73"/>
      <c r="H1686" s="74"/>
      <c r="I1686" s="102"/>
      <c r="J1686" s="70"/>
      <c r="K1686" s="106"/>
      <c r="L1686" s="104"/>
      <c r="M1686" s="105"/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244"/>
      <c r="Z1686" s="143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/>
      <c r="B1687" s="70"/>
      <c r="C1687" s="70"/>
      <c r="D1687" s="71"/>
      <c r="E1687" s="71"/>
      <c r="F1687" s="72"/>
      <c r="G1687" s="73"/>
      <c r="H1687" s="76"/>
      <c r="I1687" s="102"/>
      <c r="J1687" s="70"/>
      <c r="K1687" s="106"/>
      <c r="L1687" s="104"/>
      <c r="M1687" s="105"/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44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/>
      <c r="B1688" s="70"/>
      <c r="C1688" s="70"/>
      <c r="D1688" s="71"/>
      <c r="E1688" s="71"/>
      <c r="F1688" s="72"/>
      <c r="G1688" s="73"/>
      <c r="H1688" s="74"/>
      <c r="I1688" s="102"/>
      <c r="J1688" s="70"/>
      <c r="K1688" s="106"/>
      <c r="L1688" s="104"/>
      <c r="M1688" s="105"/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/>
      <c r="B1689" s="70"/>
      <c r="C1689" s="70"/>
      <c r="D1689" s="71"/>
      <c r="E1689" s="71"/>
      <c r="F1689" s="72"/>
      <c r="G1689" s="73"/>
      <c r="H1689" s="74"/>
      <c r="I1689" s="102"/>
      <c r="J1689" s="70"/>
      <c r="K1689" s="106"/>
      <c r="L1689" s="104"/>
      <c r="M1689" s="105"/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44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/>
      <c r="B1690" s="70"/>
      <c r="C1690" s="70"/>
      <c r="D1690" s="71"/>
      <c r="E1690" s="71"/>
      <c r="F1690" s="72"/>
      <c r="G1690" s="73"/>
      <c r="H1690" s="103"/>
      <c r="I1690" s="102"/>
      <c r="J1690" s="70"/>
      <c r="K1690" s="106"/>
      <c r="L1690" s="104"/>
      <c r="M1690" s="105"/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/>
      <c r="B1691" s="70"/>
      <c r="C1691" s="70"/>
      <c r="D1691" s="71"/>
      <c r="E1691" s="71"/>
      <c r="F1691" s="72"/>
      <c r="G1691" s="73"/>
      <c r="H1691" s="103"/>
      <c r="I1691" s="102"/>
      <c r="J1691" s="70"/>
      <c r="K1691" s="106"/>
      <c r="L1691" s="104"/>
      <c r="M1691" s="105"/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44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/>
      <c r="B1692" s="70"/>
      <c r="C1692" s="70"/>
      <c r="D1692" s="71"/>
      <c r="E1692" s="71"/>
      <c r="F1692" s="72"/>
      <c r="G1692" s="73"/>
      <c r="H1692" s="79"/>
      <c r="I1692" s="102"/>
      <c r="J1692" s="70"/>
      <c r="K1692" s="106"/>
      <c r="L1692" s="104"/>
      <c r="M1692" s="105"/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/>
      <c r="B1693" s="70"/>
      <c r="C1693" s="70"/>
      <c r="D1693" s="71"/>
      <c r="E1693" s="71"/>
      <c r="F1693" s="72"/>
      <c r="G1693" s="73"/>
      <c r="H1693" s="79"/>
      <c r="I1693" s="102"/>
      <c r="J1693" s="70"/>
      <c r="K1693" s="106"/>
      <c r="L1693" s="104"/>
      <c r="M1693" s="105"/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44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/>
      <c r="B1694" s="70"/>
      <c r="C1694" s="70"/>
      <c r="D1694" s="71"/>
      <c r="E1694" s="71"/>
      <c r="F1694" s="72"/>
      <c r="G1694" s="73"/>
      <c r="H1694" s="79"/>
      <c r="I1694" s="102"/>
      <c r="J1694" s="70"/>
      <c r="K1694" s="106"/>
      <c r="L1694" s="104"/>
      <c r="M1694" s="105"/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113"/>
      <c r="Z1694" s="71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/>
      <c r="B1695" s="70"/>
      <c r="C1695" s="70"/>
      <c r="D1695" s="71"/>
      <c r="E1695" s="71"/>
      <c r="F1695" s="72"/>
      <c r="G1695" s="73"/>
      <c r="H1695" s="74"/>
      <c r="I1695" s="102"/>
      <c r="J1695" s="70"/>
      <c r="K1695" s="106"/>
      <c r="L1695" s="104"/>
      <c r="M1695" s="105"/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44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/>
      <c r="B1696" s="70"/>
      <c r="C1696" s="70"/>
      <c r="D1696" s="71"/>
      <c r="E1696" s="71"/>
      <c r="F1696" s="72"/>
      <c r="G1696" s="73"/>
      <c r="H1696" s="74"/>
      <c r="I1696" s="102"/>
      <c r="J1696" s="70"/>
      <c r="K1696" s="106"/>
      <c r="L1696" s="104"/>
      <c r="M1696" s="105"/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/>
      <c r="B1697" s="70"/>
      <c r="C1697" s="70"/>
      <c r="D1697" s="71"/>
      <c r="E1697" s="71"/>
      <c r="F1697" s="72"/>
      <c r="G1697" s="73"/>
      <c r="H1697" s="74"/>
      <c r="I1697" s="102"/>
      <c r="J1697" s="70"/>
      <c r="K1697" s="106"/>
      <c r="L1697" s="104"/>
      <c r="M1697" s="105"/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44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/>
      <c r="B1698" s="70"/>
      <c r="C1698" s="70"/>
      <c r="D1698" s="71"/>
      <c r="E1698" s="71"/>
      <c r="F1698" s="72"/>
      <c r="G1698" s="73"/>
      <c r="H1698" s="74"/>
      <c r="I1698" s="102"/>
      <c r="J1698" s="70"/>
      <c r="K1698" s="106"/>
      <c r="L1698" s="104"/>
      <c r="M1698" s="105"/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/>
      <c r="B1699" s="70"/>
      <c r="C1699" s="70"/>
      <c r="D1699" s="71"/>
      <c r="E1699" s="71"/>
      <c r="F1699" s="72"/>
      <c r="G1699" s="73"/>
      <c r="H1699" s="74"/>
      <c r="I1699" s="102"/>
      <c r="J1699" s="70"/>
      <c r="K1699" s="106"/>
      <c r="L1699" s="104"/>
      <c r="M1699" s="105"/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44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/>
      <c r="B1700" s="70"/>
      <c r="C1700" s="70"/>
      <c r="D1700" s="71"/>
      <c r="E1700" s="71"/>
      <c r="F1700" s="72"/>
      <c r="G1700" s="73"/>
      <c r="H1700" s="74"/>
      <c r="I1700" s="102"/>
      <c r="J1700" s="70"/>
      <c r="K1700" s="106"/>
      <c r="L1700" s="104"/>
      <c r="M1700" s="105"/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/>
      <c r="B1701" s="70"/>
      <c r="C1701" s="70"/>
      <c r="D1701" s="71"/>
      <c r="E1701" s="71"/>
      <c r="F1701" s="72"/>
      <c r="G1701" s="73"/>
      <c r="H1701" s="79"/>
      <c r="I1701" s="102"/>
      <c r="J1701" s="70"/>
      <c r="K1701" s="106"/>
      <c r="L1701" s="104"/>
      <c r="M1701" s="105"/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44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/>
      <c r="B1702" s="70"/>
      <c r="C1702" s="70"/>
      <c r="D1702" s="71"/>
      <c r="E1702" s="71"/>
      <c r="F1702" s="72"/>
      <c r="G1702" s="73"/>
      <c r="H1702" s="79"/>
      <c r="I1702" s="102"/>
      <c r="J1702" s="70"/>
      <c r="K1702" s="106"/>
      <c r="L1702" s="104"/>
      <c r="M1702" s="105"/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244"/>
      <c r="Z1702" s="143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/>
      <c r="B1703" s="70"/>
      <c r="C1703" s="70"/>
      <c r="D1703" s="71"/>
      <c r="E1703" s="71"/>
      <c r="F1703" s="72"/>
      <c r="G1703" s="73"/>
      <c r="H1703" s="79"/>
      <c r="I1703" s="102"/>
      <c r="J1703" s="70"/>
      <c r="K1703" s="106"/>
      <c r="L1703" s="104"/>
      <c r="M1703" s="105"/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113"/>
      <c r="Z1703" s="71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/>
      <c r="B1704" s="70"/>
      <c r="C1704" s="70"/>
      <c r="D1704" s="71"/>
      <c r="E1704" s="71"/>
      <c r="F1704" s="72"/>
      <c r="G1704" s="73"/>
      <c r="H1704" s="75"/>
      <c r="I1704" s="102"/>
      <c r="J1704" s="70"/>
      <c r="K1704" s="106"/>
      <c r="L1704" s="104"/>
      <c r="M1704" s="105"/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244"/>
      <c r="Z1704" s="143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/>
      <c r="B1705" s="70"/>
      <c r="C1705" s="70"/>
      <c r="D1705" s="71"/>
      <c r="E1705" s="71"/>
      <c r="F1705" s="72"/>
      <c r="G1705" s="73"/>
      <c r="H1705" s="79"/>
      <c r="I1705" s="102"/>
      <c r="J1705" s="70"/>
      <c r="K1705" s="106"/>
      <c r="L1705" s="104"/>
      <c r="M1705" s="105"/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113"/>
      <c r="Z1705" s="71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/>
      <c r="B1706" s="70"/>
      <c r="C1706" s="70"/>
      <c r="D1706" s="71"/>
      <c r="E1706" s="71"/>
      <c r="F1706" s="72"/>
      <c r="G1706" s="73"/>
      <c r="H1706" s="79"/>
      <c r="I1706" s="102"/>
      <c r="J1706" s="70"/>
      <c r="K1706" s="106"/>
      <c r="L1706" s="104"/>
      <c r="M1706" s="105"/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244"/>
      <c r="Z1706" s="143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/>
      <c r="B1707" s="70"/>
      <c r="C1707" s="70"/>
      <c r="D1707" s="71"/>
      <c r="E1707" s="71"/>
      <c r="F1707" s="72"/>
      <c r="G1707" s="73"/>
      <c r="H1707" s="74"/>
      <c r="I1707" s="102"/>
      <c r="J1707" s="70"/>
      <c r="K1707" s="106"/>
      <c r="L1707" s="104"/>
      <c r="M1707" s="105"/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113"/>
      <c r="Z1707" s="71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/>
      <c r="B1708" s="70"/>
      <c r="C1708" s="70"/>
      <c r="D1708" s="71"/>
      <c r="E1708" s="71"/>
      <c r="F1708" s="72"/>
      <c r="G1708" s="73"/>
      <c r="H1708" s="79"/>
      <c r="I1708" s="102"/>
      <c r="J1708" s="70"/>
      <c r="K1708" s="106"/>
      <c r="L1708" s="104"/>
      <c r="M1708" s="105"/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244"/>
      <c r="Z1708" s="143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/>
      <c r="B1709" s="70"/>
      <c r="C1709" s="70"/>
      <c r="D1709" s="71"/>
      <c r="E1709" s="71"/>
      <c r="F1709" s="72"/>
      <c r="G1709" s="73"/>
      <c r="H1709" s="74"/>
      <c r="I1709" s="102"/>
      <c r="J1709" s="70"/>
      <c r="K1709" s="106"/>
      <c r="L1709" s="104"/>
      <c r="M1709" s="105"/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113"/>
      <c r="Z1709" s="71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/>
      <c r="B1710" s="70"/>
      <c r="C1710" s="70"/>
      <c r="D1710" s="71"/>
      <c r="E1710" s="71"/>
      <c r="F1710" s="72"/>
      <c r="G1710" s="73"/>
      <c r="H1710" s="79"/>
      <c r="I1710" s="102"/>
      <c r="J1710" s="70"/>
      <c r="K1710" s="106"/>
      <c r="L1710" s="104"/>
      <c r="M1710" s="105"/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244"/>
      <c r="Z1710" s="143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/>
      <c r="B1711" s="70"/>
      <c r="C1711" s="70"/>
      <c r="D1711" s="71"/>
      <c r="E1711" s="71"/>
      <c r="F1711" s="72"/>
      <c r="G1711" s="73"/>
      <c r="H1711" s="74"/>
      <c r="I1711" s="102"/>
      <c r="J1711" s="70"/>
      <c r="K1711" s="106"/>
      <c r="L1711" s="104"/>
      <c r="M1711" s="105"/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113"/>
      <c r="Z1711" s="71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/>
      <c r="B1712" s="70"/>
      <c r="C1712" s="70"/>
      <c r="D1712" s="71"/>
      <c r="E1712" s="71"/>
      <c r="F1712" s="72"/>
      <c r="G1712" s="73"/>
      <c r="H1712" s="74"/>
      <c r="I1712" s="102"/>
      <c r="J1712" s="70"/>
      <c r="K1712" s="106"/>
      <c r="L1712" s="104"/>
      <c r="M1712" s="105"/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244"/>
      <c r="Z1712" s="143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/>
      <c r="B1713" s="70"/>
      <c r="C1713" s="70"/>
      <c r="D1713" s="71"/>
      <c r="E1713" s="71"/>
      <c r="F1713" s="72"/>
      <c r="G1713" s="73"/>
      <c r="H1713" s="114"/>
      <c r="I1713" s="102"/>
      <c r="J1713" s="70"/>
      <c r="K1713" s="106"/>
      <c r="L1713" s="104"/>
      <c r="M1713" s="105"/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113"/>
      <c r="Z1713" s="71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/>
      <c r="B1714" s="70"/>
      <c r="C1714" s="70"/>
      <c r="D1714" s="71"/>
      <c r="E1714" s="71"/>
      <c r="F1714" s="72"/>
      <c r="G1714" s="73"/>
      <c r="H1714" s="74"/>
      <c r="I1714" s="102"/>
      <c r="J1714" s="70"/>
      <c r="K1714" s="106"/>
      <c r="L1714" s="104"/>
      <c r="M1714" s="105"/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244"/>
      <c r="Z1714" s="143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/>
      <c r="B1715" s="70"/>
      <c r="C1715" s="70"/>
      <c r="D1715" s="71"/>
      <c r="E1715" s="71"/>
      <c r="F1715" s="72"/>
      <c r="G1715" s="73"/>
      <c r="H1715" s="74"/>
      <c r="I1715" s="102"/>
      <c r="J1715" s="70"/>
      <c r="K1715" s="106"/>
      <c r="L1715" s="104"/>
      <c r="M1715" s="105"/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113"/>
      <c r="Z1715" s="71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/>
      <c r="B1716" s="70"/>
      <c r="C1716" s="70"/>
      <c r="D1716" s="71"/>
      <c r="E1716" s="71"/>
      <c r="F1716" s="72"/>
      <c r="G1716" s="73"/>
      <c r="H1716" s="79"/>
      <c r="I1716" s="102"/>
      <c r="J1716" s="70"/>
      <c r="K1716" s="106"/>
      <c r="L1716" s="104"/>
      <c r="M1716" s="105"/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244"/>
      <c r="Z1716" s="143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/>
      <c r="B1717" s="70"/>
      <c r="C1717" s="70"/>
      <c r="D1717" s="71"/>
      <c r="E1717" s="71"/>
      <c r="F1717" s="72"/>
      <c r="G1717" s="73"/>
      <c r="H1717" s="79"/>
      <c r="I1717" s="102"/>
      <c r="J1717" s="70"/>
      <c r="K1717" s="106"/>
      <c r="L1717" s="104"/>
      <c r="M1717" s="105"/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113"/>
      <c r="Z1717" s="71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/>
      <c r="B1718" s="70"/>
      <c r="C1718" s="70"/>
      <c r="D1718" s="71"/>
      <c r="E1718" s="71"/>
      <c r="F1718" s="72"/>
      <c r="G1718" s="73"/>
      <c r="H1718" s="79"/>
      <c r="I1718" s="102"/>
      <c r="J1718" s="70"/>
      <c r="K1718" s="106"/>
      <c r="L1718" s="104"/>
      <c r="M1718" s="105"/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244"/>
      <c r="Z1718" s="143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/>
      <c r="B1719" s="70"/>
      <c r="C1719" s="70"/>
      <c r="D1719" s="71"/>
      <c r="E1719" s="71"/>
      <c r="F1719" s="72"/>
      <c r="G1719" s="73"/>
      <c r="H1719" s="79"/>
      <c r="I1719" s="102"/>
      <c r="J1719" s="70"/>
      <c r="K1719" s="106"/>
      <c r="L1719" s="104"/>
      <c r="M1719" s="105"/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113"/>
      <c r="Z1719" s="71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/>
      <c r="B1720" s="70"/>
      <c r="C1720" s="70"/>
      <c r="D1720" s="71"/>
      <c r="E1720" s="71"/>
      <c r="F1720" s="72"/>
      <c r="G1720" s="73"/>
      <c r="H1720" s="79"/>
      <c r="I1720" s="102"/>
      <c r="J1720" s="70"/>
      <c r="K1720" s="106"/>
      <c r="L1720" s="104"/>
      <c r="M1720" s="105"/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44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/>
      <c r="B1721" s="70"/>
      <c r="C1721" s="70"/>
      <c r="D1721" s="71"/>
      <c r="E1721" s="71"/>
      <c r="F1721" s="72"/>
      <c r="G1721" s="73"/>
      <c r="H1721" s="79"/>
      <c r="I1721" s="102"/>
      <c r="J1721" s="70"/>
      <c r="K1721" s="106"/>
      <c r="L1721" s="104"/>
      <c r="M1721" s="105"/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113"/>
      <c r="Z1721" s="71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/>
      <c r="B1722" s="70"/>
      <c r="C1722" s="70"/>
      <c r="D1722" s="71"/>
      <c r="E1722" s="71"/>
      <c r="F1722" s="72"/>
      <c r="G1722" s="73"/>
      <c r="H1722" s="79"/>
      <c r="I1722" s="102"/>
      <c r="J1722" s="70"/>
      <c r="K1722" s="106"/>
      <c r="L1722" s="104"/>
      <c r="M1722" s="105"/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44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/>
      <c r="B1723" s="70"/>
      <c r="C1723" s="70"/>
      <c r="D1723" s="71"/>
      <c r="E1723" s="71"/>
      <c r="F1723" s="72"/>
      <c r="G1723" s="73"/>
      <c r="H1723" s="79"/>
      <c r="I1723" s="102"/>
      <c r="J1723" s="70"/>
      <c r="K1723" s="106"/>
      <c r="L1723" s="104"/>
      <c r="M1723" s="105"/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/>
      <c r="B1724" s="70"/>
      <c r="C1724" s="70"/>
      <c r="D1724" s="71"/>
      <c r="E1724" s="71"/>
      <c r="F1724" s="72"/>
      <c r="G1724" s="73"/>
      <c r="H1724" s="79"/>
      <c r="I1724" s="102"/>
      <c r="J1724" s="70"/>
      <c r="L1724" s="104"/>
      <c r="M1724" s="105"/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44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/>
      <c r="B1725" s="70"/>
      <c r="C1725" s="70"/>
      <c r="D1725" s="71"/>
      <c r="E1725" s="71"/>
      <c r="F1725" s="72"/>
      <c r="G1725" s="73"/>
      <c r="H1725" s="79"/>
      <c r="I1725" s="102"/>
      <c r="J1725" s="70"/>
      <c r="K1725" s="106"/>
      <c r="L1725" s="104"/>
      <c r="M1725" s="105"/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113"/>
      <c r="Z1725" s="71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/>
      <c r="B1726" s="70"/>
      <c r="C1726" s="70"/>
      <c r="D1726" s="71"/>
      <c r="E1726" s="71"/>
      <c r="F1726" s="72"/>
      <c r="G1726" s="73"/>
      <c r="H1726" s="79"/>
      <c r="I1726" s="102"/>
      <c r="J1726" s="70"/>
      <c r="K1726" s="106"/>
      <c r="L1726" s="104"/>
      <c r="M1726" s="105"/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244"/>
      <c r="Z1726" s="143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/>
      <c r="B1727" s="70"/>
      <c r="C1727" s="70"/>
      <c r="D1727" s="71"/>
      <c r="E1727" s="71"/>
      <c r="F1727" s="72"/>
      <c r="G1727" s="73"/>
      <c r="H1727" s="79"/>
      <c r="I1727" s="102"/>
      <c r="J1727" s="70"/>
      <c r="K1727" s="106"/>
      <c r="L1727" s="104"/>
      <c r="M1727" s="105"/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113"/>
      <c r="Z1727" s="71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/>
      <c r="B1728" s="70"/>
      <c r="C1728" s="70"/>
      <c r="D1728" s="71"/>
      <c r="E1728" s="71"/>
      <c r="F1728" s="72"/>
      <c r="G1728" s="73"/>
      <c r="H1728" s="79"/>
      <c r="I1728" s="102"/>
      <c r="J1728" s="70"/>
      <c r="K1728" s="106"/>
      <c r="L1728" s="104"/>
      <c r="M1728" s="105"/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244"/>
      <c r="Z1728" s="143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/>
      <c r="B1729" s="70"/>
      <c r="C1729" s="70"/>
      <c r="D1729" s="71"/>
      <c r="E1729" s="71"/>
      <c r="F1729" s="72"/>
      <c r="G1729" s="73"/>
      <c r="H1729" s="79"/>
      <c r="I1729" s="102"/>
      <c r="J1729" s="70"/>
      <c r="K1729" s="106"/>
      <c r="L1729" s="104"/>
      <c r="M1729" s="105"/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113"/>
      <c r="Z1729" s="71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/>
      <c r="B1730" s="70"/>
      <c r="C1730" s="70"/>
      <c r="D1730" s="71"/>
      <c r="E1730" s="71"/>
      <c r="F1730" s="72"/>
      <c r="G1730" s="73"/>
      <c r="H1730" s="74"/>
      <c r="I1730" s="102"/>
      <c r="J1730" s="70"/>
      <c r="K1730" s="106"/>
      <c r="L1730" s="104"/>
      <c r="M1730" s="105"/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244"/>
      <c r="Z1730" s="143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/>
      <c r="B1731" s="70"/>
      <c r="C1731" s="70"/>
      <c r="D1731" s="71"/>
      <c r="E1731" s="71"/>
      <c r="F1731" s="72"/>
      <c r="G1731" s="73"/>
      <c r="H1731" s="74"/>
      <c r="I1731" s="102"/>
      <c r="J1731" s="70"/>
      <c r="K1731" s="106"/>
      <c r="L1731" s="104"/>
      <c r="M1731" s="105"/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113"/>
      <c r="Z1731" s="71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/>
      <c r="B1732" s="70"/>
      <c r="C1732" s="70"/>
      <c r="D1732" s="71"/>
      <c r="E1732" s="71"/>
      <c r="F1732" s="72"/>
      <c r="G1732" s="73"/>
      <c r="H1732" s="79"/>
      <c r="I1732" s="102"/>
      <c r="J1732" s="70"/>
      <c r="K1732" s="106"/>
      <c r="L1732" s="104"/>
      <c r="M1732" s="105"/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244"/>
      <c r="Z1732" s="143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/>
      <c r="B1733" s="70"/>
      <c r="C1733" s="70"/>
      <c r="D1733" s="71"/>
      <c r="E1733" s="71"/>
      <c r="F1733" s="72"/>
      <c r="G1733" s="73"/>
      <c r="H1733" s="73"/>
      <c r="I1733" s="102"/>
      <c r="J1733" s="70"/>
      <c r="K1733" s="106"/>
      <c r="L1733" s="104"/>
      <c r="M1733" s="105"/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44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/>
      <c r="B1734" s="70"/>
      <c r="C1734" s="70"/>
      <c r="D1734" s="71"/>
      <c r="E1734" s="71"/>
      <c r="F1734" s="72"/>
      <c r="G1734" s="73"/>
      <c r="H1734" s="79"/>
      <c r="I1734" s="102"/>
      <c r="J1734" s="70"/>
      <c r="K1734" s="106"/>
      <c r="L1734" s="104"/>
      <c r="M1734" s="105"/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113"/>
      <c r="Z1734" s="71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/>
      <c r="B1735" s="70"/>
      <c r="C1735" s="70"/>
      <c r="D1735" s="71"/>
      <c r="E1735" s="71"/>
      <c r="F1735" s="72"/>
      <c r="G1735" s="73"/>
      <c r="H1735" s="79"/>
      <c r="I1735" s="102"/>
      <c r="J1735" s="70"/>
      <c r="K1735" s="106"/>
      <c r="L1735" s="104"/>
      <c r="M1735" s="105"/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244"/>
      <c r="Z1735" s="143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/>
      <c r="B1736" s="70"/>
      <c r="C1736" s="70"/>
      <c r="D1736" s="71"/>
      <c r="E1736" s="71"/>
      <c r="F1736" s="72"/>
      <c r="G1736" s="73"/>
      <c r="H1736" s="79"/>
      <c r="I1736" s="102"/>
      <c r="J1736" s="70"/>
      <c r="K1736" s="106"/>
      <c r="L1736" s="104"/>
      <c r="M1736" s="105"/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113"/>
      <c r="Z1736" s="71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/>
      <c r="B1737" s="70"/>
      <c r="C1737" s="70"/>
      <c r="D1737" s="71"/>
      <c r="E1737" s="71"/>
      <c r="F1737" s="72"/>
      <c r="G1737" s="73"/>
      <c r="H1737" s="79"/>
      <c r="I1737" s="102"/>
      <c r="J1737" s="70"/>
      <c r="K1737" s="106"/>
      <c r="L1737" s="104"/>
      <c r="M1737" s="105"/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244"/>
      <c r="Z1737" s="143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/>
      <c r="B1738" s="70"/>
      <c r="C1738" s="70"/>
      <c r="D1738" s="71"/>
      <c r="E1738" s="71"/>
      <c r="F1738" s="72"/>
      <c r="G1738" s="73"/>
      <c r="H1738" s="79"/>
      <c r="I1738" s="102"/>
      <c r="J1738" s="70"/>
      <c r="K1738" s="106"/>
      <c r="L1738" s="104"/>
      <c r="M1738" s="105"/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/>
      <c r="B1739" s="70"/>
      <c r="C1739" s="70"/>
      <c r="D1739" s="71"/>
      <c r="E1739" s="71"/>
      <c r="F1739" s="72"/>
      <c r="G1739" s="73"/>
      <c r="H1739" s="74"/>
      <c r="I1739" s="102"/>
      <c r="J1739" s="70"/>
      <c r="K1739" s="106"/>
      <c r="L1739" s="104"/>
      <c r="M1739" s="105"/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44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/>
      <c r="B1740" s="70"/>
      <c r="C1740" s="70"/>
      <c r="D1740" s="71"/>
      <c r="E1740" s="71"/>
      <c r="F1740" s="72"/>
      <c r="G1740" s="73"/>
      <c r="H1740" s="74"/>
      <c r="I1740" s="102"/>
      <c r="J1740" s="70"/>
      <c r="K1740" s="106"/>
      <c r="L1740" s="104"/>
      <c r="M1740" s="105"/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/>
      <c r="B1741" s="70"/>
      <c r="C1741" s="70"/>
      <c r="D1741" s="71"/>
      <c r="E1741" s="71"/>
      <c r="F1741" s="72"/>
      <c r="G1741" s="73"/>
      <c r="H1741" s="75"/>
      <c r="I1741" s="102"/>
      <c r="J1741" s="70"/>
      <c r="K1741" s="106"/>
      <c r="L1741" s="104"/>
      <c r="M1741" s="105"/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44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/>
      <c r="B1742" s="70"/>
      <c r="C1742" s="70"/>
      <c r="D1742" s="71"/>
      <c r="E1742" s="71"/>
      <c r="F1742" s="72"/>
      <c r="G1742" s="73"/>
      <c r="H1742" s="75"/>
      <c r="I1742" s="102"/>
      <c r="J1742" s="70"/>
      <c r="K1742" s="106"/>
      <c r="L1742" s="104"/>
      <c r="M1742" s="105"/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/>
      <c r="B1743" s="70"/>
      <c r="C1743" s="70"/>
      <c r="D1743" s="71"/>
      <c r="E1743" s="71"/>
      <c r="F1743" s="72"/>
      <c r="G1743" s="73"/>
      <c r="H1743" s="75"/>
      <c r="I1743" s="102"/>
      <c r="J1743" s="70"/>
      <c r="K1743" s="106"/>
      <c r="L1743" s="104"/>
      <c r="M1743" s="105"/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44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/>
      <c r="B1744" s="70"/>
      <c r="C1744" s="70"/>
      <c r="D1744" s="71"/>
      <c r="E1744" s="71"/>
      <c r="F1744" s="72"/>
      <c r="G1744" s="73"/>
      <c r="H1744" s="75"/>
      <c r="I1744" s="102"/>
      <c r="J1744" s="70"/>
      <c r="K1744" s="106"/>
      <c r="L1744" s="104"/>
      <c r="M1744" s="105"/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/>
      <c r="B1745" s="70"/>
      <c r="C1745" s="70"/>
      <c r="D1745" s="71"/>
      <c r="E1745" s="71"/>
      <c r="F1745" s="72"/>
      <c r="G1745" s="73"/>
      <c r="H1745" s="75"/>
      <c r="I1745" s="102"/>
      <c r="J1745" s="70"/>
      <c r="K1745" s="106"/>
      <c r="L1745" s="104"/>
      <c r="M1745" s="105"/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44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/>
      <c r="B1746" s="70"/>
      <c r="C1746" s="70"/>
      <c r="D1746" s="71"/>
      <c r="E1746" s="71"/>
      <c r="F1746" s="72"/>
      <c r="G1746" s="73"/>
      <c r="H1746" s="74"/>
      <c r="I1746" s="102"/>
      <c r="J1746" s="70"/>
      <c r="K1746" s="106"/>
      <c r="L1746" s="104"/>
      <c r="M1746" s="105"/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/>
      <c r="B1747" s="70"/>
      <c r="C1747" s="70"/>
      <c r="D1747" s="71"/>
      <c r="E1747" s="71"/>
      <c r="F1747" s="72"/>
      <c r="G1747" s="73"/>
      <c r="H1747" s="75"/>
      <c r="I1747" s="102"/>
      <c r="J1747" s="70"/>
      <c r="K1747" s="106"/>
      <c r="L1747" s="104"/>
      <c r="M1747" s="105"/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44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/>
      <c r="B1748" s="70"/>
      <c r="C1748" s="70"/>
      <c r="D1748" s="71"/>
      <c r="E1748" s="71"/>
      <c r="F1748" s="72"/>
      <c r="G1748" s="73"/>
      <c r="H1748" s="75"/>
      <c r="I1748" s="102"/>
      <c r="J1748" s="70"/>
      <c r="K1748" s="106"/>
      <c r="L1748" s="104"/>
      <c r="M1748" s="105"/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113"/>
      <c r="Z1748" s="71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/>
      <c r="B1749" s="70"/>
      <c r="C1749" s="70"/>
      <c r="D1749" s="71"/>
      <c r="E1749" s="71"/>
      <c r="F1749" s="72"/>
      <c r="G1749" s="73"/>
      <c r="H1749" s="75"/>
      <c r="I1749" s="102"/>
      <c r="J1749" s="70"/>
      <c r="K1749" s="106"/>
      <c r="L1749" s="104"/>
      <c r="M1749" s="105"/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244"/>
      <c r="Z1749" s="143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/>
      <c r="B1750" s="70"/>
      <c r="C1750" s="70"/>
      <c r="D1750" s="71"/>
      <c r="E1750" s="71"/>
      <c r="F1750" s="72"/>
      <c r="G1750" s="73"/>
      <c r="H1750" s="74"/>
      <c r="I1750" s="102"/>
      <c r="J1750" s="70"/>
      <c r="K1750" s="106"/>
      <c r="L1750" s="104"/>
      <c r="M1750" s="105"/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113"/>
      <c r="Z1750" s="71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/>
      <c r="B1751" s="70"/>
      <c r="C1751" s="70"/>
      <c r="D1751" s="71"/>
      <c r="E1751" s="71"/>
      <c r="F1751" s="72"/>
      <c r="G1751" s="73"/>
      <c r="H1751" s="74"/>
      <c r="I1751" s="102"/>
      <c r="J1751" s="70"/>
      <c r="K1751" s="106"/>
      <c r="L1751" s="104"/>
      <c r="M1751" s="105"/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244"/>
      <c r="Z1751" s="143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/>
      <c r="B1752" s="70"/>
      <c r="C1752" s="70"/>
      <c r="D1752" s="71"/>
      <c r="E1752" s="71"/>
      <c r="F1752" s="72"/>
      <c r="G1752" s="73"/>
      <c r="H1752" s="74"/>
      <c r="I1752" s="102"/>
      <c r="J1752" s="70"/>
      <c r="K1752" s="106"/>
      <c r="L1752" s="104"/>
      <c r="M1752" s="105"/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113"/>
      <c r="Z1752" s="71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/>
      <c r="B1753" s="70"/>
      <c r="C1753" s="70"/>
      <c r="D1753" s="71"/>
      <c r="E1753" s="71"/>
      <c r="F1753" s="72"/>
      <c r="G1753" s="73"/>
      <c r="H1753" s="75"/>
      <c r="I1753" s="102"/>
      <c r="J1753" s="70"/>
      <c r="K1753" s="106"/>
      <c r="L1753" s="104"/>
      <c r="M1753" s="105"/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44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/>
      <c r="B1754" s="70"/>
      <c r="C1754" s="70"/>
      <c r="D1754" s="71"/>
      <c r="E1754" s="71"/>
      <c r="F1754" s="72"/>
      <c r="G1754" s="73"/>
      <c r="H1754" s="75"/>
      <c r="I1754" s="102"/>
      <c r="J1754" s="70"/>
      <c r="K1754" s="106"/>
      <c r="L1754" s="104"/>
      <c r="M1754" s="105"/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113"/>
      <c r="Z1754" s="71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/>
      <c r="B1755" s="70"/>
      <c r="C1755" s="70"/>
      <c r="D1755" s="71"/>
      <c r="E1755" s="71"/>
      <c r="F1755" s="72"/>
      <c r="G1755" s="73"/>
      <c r="H1755" s="75"/>
      <c r="I1755" s="102"/>
      <c r="J1755" s="70"/>
      <c r="K1755" s="106"/>
      <c r="L1755" s="104"/>
      <c r="M1755" s="105"/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44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/>
      <c r="B1756" s="70"/>
      <c r="C1756" s="70"/>
      <c r="D1756" s="71"/>
      <c r="E1756" s="71"/>
      <c r="F1756" s="72"/>
      <c r="G1756" s="73"/>
      <c r="H1756" s="79"/>
      <c r="I1756" s="102"/>
      <c r="J1756" s="70"/>
      <c r="K1756" s="106"/>
      <c r="L1756" s="104"/>
      <c r="M1756" s="105"/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113"/>
      <c r="Z1756" s="71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/>
      <c r="B1757" s="70"/>
      <c r="C1757" s="70"/>
      <c r="D1757" s="71"/>
      <c r="E1757" s="71"/>
      <c r="F1757" s="72"/>
      <c r="G1757" s="73"/>
      <c r="H1757" s="75"/>
      <c r="I1757" s="102"/>
      <c r="J1757" s="70"/>
      <c r="K1757" s="106"/>
      <c r="L1757" s="104"/>
      <c r="M1757" s="105"/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44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/>
      <c r="B1758" s="70"/>
      <c r="C1758" s="70"/>
      <c r="D1758" s="71"/>
      <c r="E1758" s="71"/>
      <c r="F1758" s="72"/>
      <c r="G1758" s="73"/>
      <c r="H1758" s="75"/>
      <c r="I1758" s="102"/>
      <c r="J1758" s="70"/>
      <c r="K1758" s="106"/>
      <c r="L1758" s="104"/>
      <c r="M1758" s="105"/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44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/>
      <c r="B1759" s="70"/>
      <c r="C1759" s="70"/>
      <c r="D1759" s="71"/>
      <c r="E1759" s="71"/>
      <c r="F1759" s="72"/>
      <c r="G1759" s="73"/>
      <c r="H1759" s="75"/>
      <c r="I1759" s="102"/>
      <c r="J1759" s="70"/>
      <c r="K1759" s="106"/>
      <c r="L1759" s="104"/>
      <c r="M1759" s="105"/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113"/>
      <c r="Z1759" s="71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/>
      <c r="B1760" s="70"/>
      <c r="C1760" s="70"/>
      <c r="D1760" s="71"/>
      <c r="E1760" s="71"/>
      <c r="F1760" s="72"/>
      <c r="G1760" s="73"/>
      <c r="H1760" s="74"/>
      <c r="I1760" s="102"/>
      <c r="J1760" s="70"/>
      <c r="K1760" s="106"/>
      <c r="L1760" s="104"/>
      <c r="M1760" s="105"/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44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/>
      <c r="B1761" s="70"/>
      <c r="C1761" s="70"/>
      <c r="D1761" s="71"/>
      <c r="E1761" s="71"/>
      <c r="F1761" s="72"/>
      <c r="G1761" s="73"/>
      <c r="H1761" s="75"/>
      <c r="I1761" s="102"/>
      <c r="J1761" s="70"/>
      <c r="K1761" s="106"/>
      <c r="L1761" s="104"/>
      <c r="M1761" s="105"/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113"/>
      <c r="Z1761" s="71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/>
      <c r="B1762" s="70"/>
      <c r="C1762" s="70"/>
      <c r="D1762" s="71"/>
      <c r="E1762" s="71"/>
      <c r="F1762" s="72"/>
      <c r="G1762" s="73"/>
      <c r="H1762" s="74"/>
      <c r="I1762" s="102"/>
      <c r="J1762" s="70"/>
      <c r="K1762" s="106"/>
      <c r="L1762" s="104"/>
      <c r="M1762" s="105"/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44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/>
      <c r="B1763" s="70"/>
      <c r="C1763" s="70"/>
      <c r="D1763" s="71"/>
      <c r="E1763" s="71"/>
      <c r="F1763" s="72"/>
      <c r="G1763" s="73"/>
      <c r="H1763" s="74"/>
      <c r="I1763" s="102"/>
      <c r="J1763" s="70"/>
      <c r="K1763" s="106"/>
      <c r="L1763" s="104"/>
      <c r="M1763" s="105"/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44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/>
      <c r="B1764" s="70"/>
      <c r="C1764" s="70"/>
      <c r="D1764" s="71"/>
      <c r="E1764" s="71"/>
      <c r="F1764" s="72"/>
      <c r="G1764" s="73"/>
      <c r="H1764" s="74"/>
      <c r="I1764" s="102"/>
      <c r="J1764" s="70"/>
      <c r="K1764" s="106"/>
      <c r="L1764" s="104"/>
      <c r="M1764" s="105"/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44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/>
      <c r="B1765" s="70"/>
      <c r="C1765" s="70"/>
      <c r="D1765" s="71"/>
      <c r="E1765" s="71"/>
      <c r="F1765" s="72"/>
      <c r="G1765" s="73"/>
      <c r="H1765" s="74"/>
      <c r="I1765" s="102"/>
      <c r="J1765" s="70"/>
      <c r="K1765" s="106"/>
      <c r="L1765" s="104"/>
      <c r="M1765" s="105"/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44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/>
      <c r="B1766" s="70"/>
      <c r="C1766" s="70"/>
      <c r="D1766" s="71"/>
      <c r="E1766" s="71"/>
      <c r="F1766" s="72"/>
      <c r="G1766" s="73"/>
      <c r="H1766" s="75"/>
      <c r="I1766" s="102"/>
      <c r="J1766" s="70"/>
      <c r="K1766" s="106"/>
      <c r="L1766" s="104"/>
      <c r="M1766" s="105"/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44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/>
      <c r="B1767" s="70"/>
      <c r="C1767" s="70"/>
      <c r="D1767" s="71"/>
      <c r="E1767" s="71"/>
      <c r="F1767" s="72"/>
      <c r="G1767" s="73"/>
      <c r="H1767" s="75"/>
      <c r="I1767" s="102"/>
      <c r="J1767" s="70"/>
      <c r="K1767" s="106"/>
      <c r="L1767" s="104"/>
      <c r="M1767" s="105"/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44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/>
      <c r="B1768" s="70"/>
      <c r="C1768" s="70"/>
      <c r="D1768" s="71"/>
      <c r="E1768" s="71"/>
      <c r="F1768" s="72"/>
      <c r="G1768" s="73"/>
      <c r="H1768" s="75"/>
      <c r="I1768" s="102"/>
      <c r="J1768" s="70"/>
      <c r="K1768" s="106"/>
      <c r="L1768" s="104"/>
      <c r="M1768" s="105"/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44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/>
      <c r="B1769" s="70"/>
      <c r="C1769" s="70"/>
      <c r="D1769" s="71"/>
      <c r="E1769" s="71"/>
      <c r="F1769" s="72"/>
      <c r="G1769" s="73"/>
      <c r="H1769" s="75"/>
      <c r="I1769" s="102"/>
      <c r="J1769" s="70"/>
      <c r="K1769" s="106"/>
      <c r="L1769" s="104"/>
      <c r="M1769" s="105"/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44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/>
      <c r="B1770" s="70"/>
      <c r="C1770" s="70"/>
      <c r="D1770" s="71"/>
      <c r="E1770" s="71"/>
      <c r="F1770" s="72"/>
      <c r="G1770" s="73"/>
      <c r="H1770" s="75"/>
      <c r="I1770" s="102"/>
      <c r="J1770" s="70"/>
      <c r="K1770" s="106"/>
      <c r="L1770" s="104"/>
      <c r="M1770" s="105"/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44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/>
      <c r="B1771" s="70"/>
      <c r="C1771" s="70"/>
      <c r="D1771" s="71"/>
      <c r="E1771" s="71"/>
      <c r="F1771" s="72"/>
      <c r="G1771" s="73"/>
      <c r="H1771" s="75"/>
      <c r="I1771" s="102"/>
      <c r="J1771" s="70"/>
      <c r="K1771" s="106"/>
      <c r="L1771" s="104"/>
      <c r="M1771" s="105"/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44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/>
      <c r="B1772" s="70"/>
      <c r="C1772" s="70"/>
      <c r="D1772" s="71"/>
      <c r="E1772" s="71"/>
      <c r="F1772" s="72"/>
      <c r="G1772" s="73"/>
      <c r="H1772" s="75"/>
      <c r="I1772" s="102"/>
      <c r="J1772" s="70"/>
      <c r="K1772" s="106"/>
      <c r="L1772" s="104"/>
      <c r="M1772" s="105"/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44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/>
      <c r="B1773" s="70"/>
      <c r="C1773" s="70"/>
      <c r="D1773" s="71"/>
      <c r="E1773" s="71"/>
      <c r="F1773" s="72"/>
      <c r="G1773" s="73"/>
      <c r="H1773" s="75"/>
      <c r="I1773" s="102"/>
      <c r="J1773" s="70"/>
      <c r="K1773" s="106"/>
      <c r="L1773" s="104"/>
      <c r="M1773" s="105"/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44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/>
      <c r="B1774" s="70"/>
      <c r="C1774" s="70"/>
      <c r="D1774" s="71"/>
      <c r="E1774" s="71"/>
      <c r="F1774" s="72"/>
      <c r="G1774" s="73"/>
      <c r="H1774" s="74"/>
      <c r="I1774" s="102"/>
      <c r="J1774" s="70"/>
      <c r="K1774" s="106"/>
      <c r="L1774" s="104"/>
      <c r="M1774" s="105"/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44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/>
      <c r="B1775" s="70"/>
      <c r="C1775" s="70"/>
      <c r="D1775" s="71"/>
      <c r="E1775" s="71"/>
      <c r="F1775" s="72"/>
      <c r="G1775" s="73"/>
      <c r="H1775" s="75"/>
      <c r="I1775" s="102"/>
      <c r="J1775" s="70"/>
      <c r="K1775" s="106"/>
      <c r="L1775" s="104"/>
      <c r="M1775" s="105"/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44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/>
      <c r="B1776" s="70"/>
      <c r="C1776" s="70"/>
      <c r="D1776" s="71"/>
      <c r="E1776" s="71"/>
      <c r="F1776" s="72"/>
      <c r="G1776" s="73"/>
      <c r="H1776" s="75"/>
      <c r="I1776" s="102"/>
      <c r="J1776" s="70"/>
      <c r="K1776" s="106"/>
      <c r="L1776" s="104"/>
      <c r="M1776" s="105"/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44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/>
      <c r="B1777" s="70"/>
      <c r="C1777" s="70"/>
      <c r="D1777" s="71"/>
      <c r="E1777" s="71"/>
      <c r="F1777" s="72"/>
      <c r="G1777" s="73"/>
      <c r="H1777" s="75"/>
      <c r="I1777" s="102"/>
      <c r="J1777" s="70"/>
      <c r="K1777" s="106"/>
      <c r="L1777" s="104"/>
      <c r="M1777" s="105"/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44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/>
      <c r="B1778" s="70"/>
      <c r="C1778" s="70"/>
      <c r="D1778" s="71"/>
      <c r="E1778" s="71"/>
      <c r="F1778" s="72"/>
      <c r="G1778" s="73"/>
      <c r="H1778" s="75"/>
      <c r="I1778" s="102"/>
      <c r="J1778" s="70"/>
      <c r="K1778" s="106"/>
      <c r="L1778" s="104"/>
      <c r="M1778" s="105"/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44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/>
      <c r="B1779" s="70"/>
      <c r="C1779" s="70"/>
      <c r="D1779" s="71"/>
      <c r="E1779" s="71"/>
      <c r="F1779" s="72"/>
      <c r="G1779" s="73"/>
      <c r="H1779" s="75"/>
      <c r="I1779" s="102"/>
      <c r="J1779" s="70"/>
      <c r="K1779" s="106"/>
      <c r="L1779" s="104"/>
      <c r="M1779" s="105"/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44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/>
      <c r="B1780" s="70"/>
      <c r="C1780" s="70"/>
      <c r="D1780" s="71"/>
      <c r="E1780" s="71"/>
      <c r="F1780" s="72"/>
      <c r="G1780" s="73"/>
      <c r="H1780" s="74"/>
      <c r="I1780" s="102"/>
      <c r="J1780" s="70"/>
      <c r="K1780" s="106"/>
      <c r="L1780" s="104"/>
      <c r="M1780" s="105"/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44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/>
      <c r="B1781" s="70"/>
      <c r="C1781" s="70"/>
      <c r="D1781" s="71"/>
      <c r="E1781" s="71"/>
      <c r="F1781" s="72"/>
      <c r="G1781" s="73"/>
      <c r="H1781" s="74"/>
      <c r="I1781" s="102"/>
      <c r="J1781" s="70"/>
      <c r="K1781" s="106"/>
      <c r="L1781" s="104"/>
      <c r="M1781" s="105"/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44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/>
      <c r="B1782" s="70"/>
      <c r="C1782" s="70"/>
      <c r="D1782" s="71"/>
      <c r="E1782" s="71"/>
      <c r="F1782" s="72"/>
      <c r="G1782" s="73"/>
      <c r="H1782" s="74"/>
      <c r="I1782" s="102"/>
      <c r="J1782" s="70"/>
      <c r="K1782" s="106"/>
      <c r="L1782" s="104"/>
      <c r="M1782" s="105"/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44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/>
      <c r="B1783" s="70"/>
      <c r="C1783" s="70"/>
      <c r="D1783" s="71"/>
      <c r="E1783" s="71"/>
      <c r="F1783" s="72"/>
      <c r="G1783" s="73"/>
      <c r="H1783" s="74"/>
      <c r="I1783" s="102"/>
      <c r="J1783" s="70"/>
      <c r="K1783" s="106"/>
      <c r="L1783" s="104"/>
      <c r="M1783" s="105"/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44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/>
      <c r="B1784" s="70"/>
      <c r="C1784" s="70"/>
      <c r="D1784" s="71"/>
      <c r="E1784" s="71"/>
      <c r="F1784" s="72"/>
      <c r="G1784" s="73"/>
      <c r="H1784" s="74"/>
      <c r="I1784" s="102"/>
      <c r="J1784" s="70"/>
      <c r="K1784" s="106"/>
      <c r="L1784" s="104"/>
      <c r="M1784" s="105"/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44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/>
      <c r="B1785" s="70"/>
      <c r="C1785" s="70"/>
      <c r="D1785" s="71"/>
      <c r="E1785" s="71"/>
      <c r="F1785" s="72"/>
      <c r="G1785" s="73"/>
      <c r="H1785" s="75"/>
      <c r="I1785" s="102"/>
      <c r="J1785" s="70"/>
      <c r="K1785" s="106"/>
      <c r="L1785" s="104"/>
      <c r="M1785" s="105"/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44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/>
      <c r="B1786" s="70"/>
      <c r="C1786" s="70"/>
      <c r="D1786" s="71"/>
      <c r="E1786" s="71"/>
      <c r="F1786" s="72"/>
      <c r="G1786" s="73"/>
      <c r="H1786" s="75"/>
      <c r="I1786" s="102"/>
      <c r="J1786" s="70"/>
      <c r="K1786" s="106"/>
      <c r="L1786" s="104"/>
      <c r="M1786" s="105"/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44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/>
      <c r="B1787" s="70"/>
      <c r="C1787" s="70"/>
      <c r="D1787" s="71"/>
      <c r="E1787" s="71"/>
      <c r="F1787" s="72"/>
      <c r="G1787" s="73"/>
      <c r="H1787" s="75"/>
      <c r="I1787" s="102"/>
      <c r="J1787" s="70"/>
      <c r="K1787" s="106"/>
      <c r="L1787" s="104"/>
      <c r="M1787" s="105"/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44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/>
      <c r="B1788" s="70"/>
      <c r="C1788" s="70"/>
      <c r="D1788" s="71"/>
      <c r="E1788" s="71"/>
      <c r="F1788" s="72"/>
      <c r="G1788" s="73"/>
      <c r="H1788" s="74"/>
      <c r="I1788" s="102"/>
      <c r="J1788" s="70"/>
      <c r="K1788" s="106"/>
      <c r="L1788" s="104"/>
      <c r="M1788" s="105"/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44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/>
      <c r="B1789" s="70"/>
      <c r="C1789" s="70"/>
      <c r="D1789" s="71"/>
      <c r="E1789" s="71"/>
      <c r="F1789" s="72"/>
      <c r="G1789" s="73"/>
      <c r="H1789" s="74"/>
      <c r="I1789" s="102"/>
      <c r="J1789" s="70"/>
      <c r="K1789" s="106"/>
      <c r="L1789" s="104"/>
      <c r="M1789" s="105"/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44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/>
      <c r="B1790" s="70"/>
      <c r="C1790" s="70"/>
      <c r="D1790" s="71"/>
      <c r="E1790" s="71"/>
      <c r="F1790" s="72"/>
      <c r="G1790" s="73"/>
      <c r="H1790" s="75"/>
      <c r="I1790" s="102"/>
      <c r="J1790" s="70"/>
      <c r="K1790" s="106"/>
      <c r="L1790" s="104"/>
      <c r="M1790" s="105"/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44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/>
      <c r="B1791" s="70"/>
      <c r="C1791" s="70"/>
      <c r="D1791" s="71"/>
      <c r="E1791" s="71"/>
      <c r="F1791" s="72"/>
      <c r="G1791" s="73"/>
      <c r="H1791" s="74"/>
      <c r="I1791" s="102"/>
      <c r="J1791" s="70"/>
      <c r="K1791" s="106"/>
      <c r="L1791" s="104"/>
      <c r="M1791" s="105"/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44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/>
      <c r="B1792" s="70"/>
      <c r="C1792" s="70"/>
      <c r="D1792" s="71"/>
      <c r="E1792" s="71"/>
      <c r="F1792" s="72"/>
      <c r="G1792" s="73"/>
      <c r="H1792" s="74"/>
      <c r="I1792" s="102"/>
      <c r="J1792" s="70"/>
      <c r="K1792" s="106"/>
      <c r="L1792" s="104"/>
      <c r="M1792" s="105"/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44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/>
      <c r="B1793" s="70"/>
      <c r="C1793" s="70"/>
      <c r="D1793" s="71"/>
      <c r="E1793" s="71"/>
      <c r="F1793" s="72"/>
      <c r="G1793" s="73"/>
      <c r="H1793" s="75"/>
      <c r="I1793" s="102"/>
      <c r="J1793" s="70"/>
      <c r="K1793" s="106"/>
      <c r="L1793" s="104"/>
      <c r="M1793" s="105"/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44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/>
      <c r="B1794" s="70"/>
      <c r="C1794" s="70"/>
      <c r="D1794" s="71"/>
      <c r="E1794" s="71"/>
      <c r="F1794" s="72"/>
      <c r="G1794" s="73"/>
      <c r="H1794" s="75"/>
      <c r="I1794" s="102"/>
      <c r="J1794" s="70"/>
      <c r="K1794" s="106"/>
      <c r="L1794" s="104"/>
      <c r="M1794" s="105"/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44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/>
      <c r="B1795" s="70"/>
      <c r="C1795" s="70"/>
      <c r="D1795" s="71"/>
      <c r="E1795" s="71"/>
      <c r="F1795" s="72"/>
      <c r="G1795" s="73"/>
      <c r="H1795" s="75"/>
      <c r="I1795" s="102"/>
      <c r="J1795" s="70"/>
      <c r="K1795" s="106"/>
      <c r="L1795" s="104"/>
      <c r="M1795" s="105"/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44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5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44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5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44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5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44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44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44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44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5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44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44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44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5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44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44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44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44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44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44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02"/>
      <c r="J1811" s="70"/>
      <c r="K1811" s="10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44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3"/>
      <c r="H1812" s="75"/>
      <c r="I1812" s="102"/>
      <c r="J1812" s="70"/>
      <c r="K1812" s="106"/>
      <c r="L1812" s="104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44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3"/>
      <c r="H1813" s="75"/>
      <c r="I1813" s="102"/>
      <c r="J1813" s="70"/>
      <c r="K1813" s="106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44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3"/>
      <c r="H1814" s="75"/>
      <c r="I1814" s="102"/>
      <c r="J1814" s="70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44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5"/>
      <c r="I1815" s="102"/>
      <c r="J1815" s="70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44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165"/>
      <c r="I1816" s="245"/>
      <c r="J1816" s="115"/>
      <c r="K1816" s="24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44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2"/>
      <c r="H1817" s="86"/>
      <c r="I1817" s="247"/>
      <c r="J1817" s="248"/>
      <c r="K1817" s="249"/>
      <c r="L1817" s="250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44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2"/>
      <c r="H1818" s="92"/>
      <c r="I1818" s="247"/>
      <c r="J1818" s="248"/>
      <c r="K1818" s="251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44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2"/>
      <c r="H1819" s="92"/>
      <c r="I1819" s="247"/>
      <c r="J1819" s="248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44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4"/>
      <c r="I1820" s="247"/>
      <c r="J1820" s="248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44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5"/>
      <c r="I1821" s="247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44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5"/>
      <c r="I1822" s="247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44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9"/>
      <c r="I1823" s="247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44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5"/>
      <c r="I1824" s="247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44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4"/>
      <c r="I1825" s="247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44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5"/>
      <c r="I1826" s="247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44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5"/>
      <c r="I1827" s="247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44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247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44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247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44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247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44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4"/>
      <c r="I1831" s="247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44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4"/>
      <c r="I1832" s="247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44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247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44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247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44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5"/>
      <c r="I1835" s="247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44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5"/>
      <c r="I1836" s="247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44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5"/>
      <c r="I1837" s="247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44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5"/>
      <c r="I1838" s="247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44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5"/>
      <c r="I1839" s="247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44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44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44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44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44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44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44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44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44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44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44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44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44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44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44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44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44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44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44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44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44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44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44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44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44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44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44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44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44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44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44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44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44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44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44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44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44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44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44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44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44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44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44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44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44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44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44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44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44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44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44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44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44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44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44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44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44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44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44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44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44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44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44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44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44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44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44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44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44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44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44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44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44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44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44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44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44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44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44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44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44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44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44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44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44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44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44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44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44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44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44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44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44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44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44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44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44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44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44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44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44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44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44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44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44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44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44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44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44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44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44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44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44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44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44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44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44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44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44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44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44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44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44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44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44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44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44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44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44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44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44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44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44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  <row r="1972" customHeight="1" spans="1:52">
      <c r="A1972" s="70"/>
      <c r="B1972" s="70"/>
      <c r="C1972" s="70"/>
      <c r="D1972" s="71"/>
      <c r="E1972" s="71"/>
      <c r="F1972" s="72"/>
      <c r="G1972" s="73"/>
      <c r="H1972" s="74"/>
      <c r="I1972" s="102"/>
      <c r="J1972" s="70"/>
      <c r="K1972" s="106"/>
      <c r="L1972" s="104"/>
      <c r="M1972" s="105"/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44"/>
      <c r="Z1972" s="143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22"/>
      <c r="AO1972" s="122"/>
      <c r="AP1972" s="122"/>
      <c r="AQ1972" s="93"/>
      <c r="AR1972" s="93"/>
      <c r="AS1972" s="94"/>
      <c r="AT1972" s="95"/>
      <c r="AU1972" s="79"/>
      <c r="AV1972" s="127"/>
      <c r="AW1972" s="122"/>
      <c r="AX1972" s="106"/>
      <c r="AY1972" s="104"/>
      <c r="AZ1972" s="105"/>
    </row>
    <row r="1973" customHeight="1" spans="1:52">
      <c r="A1973" s="70"/>
      <c r="B1973" s="70"/>
      <c r="C1973" s="70"/>
      <c r="D1973" s="71"/>
      <c r="E1973" s="71"/>
      <c r="F1973" s="72"/>
      <c r="G1973" s="73"/>
      <c r="H1973" s="74"/>
      <c r="I1973" s="102"/>
      <c r="J1973" s="70"/>
      <c r="K1973" s="106"/>
      <c r="L1973" s="104"/>
      <c r="M1973" s="105"/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44"/>
      <c r="Z1973" s="143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22"/>
      <c r="AO1973" s="122"/>
      <c r="AP1973" s="122"/>
      <c r="AQ1973" s="93"/>
      <c r="AR1973" s="93"/>
      <c r="AS1973" s="94"/>
      <c r="AT1973" s="95"/>
      <c r="AU1973" s="79"/>
      <c r="AV1973" s="127"/>
      <c r="AW1973" s="122"/>
      <c r="AX1973" s="106"/>
      <c r="AY1973" s="104"/>
      <c r="AZ1973" s="105"/>
    </row>
    <row r="1974" customHeight="1" spans="1:52">
      <c r="A1974" s="70"/>
      <c r="B1974" s="70"/>
      <c r="C1974" s="70"/>
      <c r="D1974" s="71"/>
      <c r="E1974" s="71"/>
      <c r="F1974" s="72"/>
      <c r="G1974" s="73"/>
      <c r="H1974" s="74"/>
      <c r="I1974" s="102"/>
      <c r="J1974" s="70"/>
      <c r="K1974" s="106"/>
      <c r="L1974" s="104"/>
      <c r="M1974" s="105"/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44"/>
      <c r="Z1974" s="143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22"/>
      <c r="AO1974" s="122"/>
      <c r="AP1974" s="122"/>
      <c r="AQ1974" s="93"/>
      <c r="AR1974" s="93"/>
      <c r="AS1974" s="94"/>
      <c r="AT1974" s="95"/>
      <c r="AU1974" s="79"/>
      <c r="AV1974" s="127"/>
      <c r="AW1974" s="122"/>
      <c r="AX1974" s="106"/>
      <c r="AY1974" s="104"/>
      <c r="AZ1974" s="105"/>
    </row>
    <row r="1975" customHeight="1" spans="1:52">
      <c r="A1975" s="70"/>
      <c r="B1975" s="70"/>
      <c r="C1975" s="70"/>
      <c r="D1975" s="71"/>
      <c r="E1975" s="71"/>
      <c r="F1975" s="72"/>
      <c r="G1975" s="73"/>
      <c r="H1975" s="74"/>
      <c r="I1975" s="102"/>
      <c r="J1975" s="70"/>
      <c r="K1975" s="106"/>
      <c r="L1975" s="104"/>
      <c r="M1975" s="105"/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44"/>
      <c r="Z1975" s="143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22"/>
      <c r="AO1975" s="122"/>
      <c r="AP1975" s="122"/>
      <c r="AQ1975" s="93"/>
      <c r="AR1975" s="93"/>
      <c r="AS1975" s="94"/>
      <c r="AT1975" s="95"/>
      <c r="AU1975" s="79"/>
      <c r="AV1975" s="127"/>
      <c r="AW1975" s="122"/>
      <c r="AX1975" s="106"/>
      <c r="AY1975" s="104"/>
      <c r="AZ1975" s="105"/>
    </row>
    <row r="1976" customHeight="1" spans="1:52">
      <c r="A1976" s="70"/>
      <c r="B1976" s="70"/>
      <c r="C1976" s="70"/>
      <c r="D1976" s="71"/>
      <c r="E1976" s="71"/>
      <c r="F1976" s="72"/>
      <c r="G1976" s="73"/>
      <c r="H1976" s="74"/>
      <c r="I1976" s="102"/>
      <c r="J1976" s="70"/>
      <c r="K1976" s="106"/>
      <c r="L1976" s="104"/>
      <c r="M1976" s="105"/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44"/>
      <c r="Z1976" s="143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22"/>
      <c r="AO1976" s="122"/>
      <c r="AP1976" s="122"/>
      <c r="AQ1976" s="93"/>
      <c r="AR1976" s="93"/>
      <c r="AS1976" s="94"/>
      <c r="AT1976" s="95"/>
      <c r="AU1976" s="79"/>
      <c r="AV1976" s="127"/>
      <c r="AW1976" s="122"/>
      <c r="AX1976" s="106"/>
      <c r="AY1976" s="104"/>
      <c r="AZ1976" s="105"/>
    </row>
  </sheetData>
  <autoFilter ref="A2:AZ1451">
    <extLst/>
  </autoFilter>
  <mergeCells count="7389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E1083:G1083"/>
    <mergeCell ref="R1083:T1083"/>
    <mergeCell ref="E1084:G1084"/>
    <mergeCell ref="E1085:G1085"/>
    <mergeCell ref="E1086:G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E1113:G1113"/>
    <mergeCell ref="E1114:G1114"/>
    <mergeCell ref="E1115:G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E1643:G1643"/>
    <mergeCell ref="E1644:G1644"/>
    <mergeCell ref="E1645:G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</mergeCells>
  <conditionalFormatting sqref="M3">
    <cfRule type="cellIs" dxfId="0" priority="1538" operator="lessThan">
      <formula>30</formula>
    </cfRule>
  </conditionalFormatting>
  <conditionalFormatting sqref="M4">
    <cfRule type="cellIs" dxfId="0" priority="1515" operator="lessThan">
      <formula>30</formula>
    </cfRule>
  </conditionalFormatting>
  <conditionalFormatting sqref="M5">
    <cfRule type="cellIs" dxfId="0" priority="1514" operator="lessThan">
      <formula>30</formula>
    </cfRule>
  </conditionalFormatting>
  <conditionalFormatting sqref="M6">
    <cfRule type="cellIs" dxfId="0" priority="1513" operator="lessThan">
      <formula>30</formula>
    </cfRule>
  </conditionalFormatting>
  <conditionalFormatting sqref="M7">
    <cfRule type="cellIs" dxfId="0" priority="1512" operator="lessThan">
      <formula>30</formula>
    </cfRule>
  </conditionalFormatting>
  <conditionalFormatting sqref="M8">
    <cfRule type="cellIs" dxfId="0" priority="1511" operator="lessThan">
      <formula>30</formula>
    </cfRule>
  </conditionalFormatting>
  <conditionalFormatting sqref="M9">
    <cfRule type="cellIs" dxfId="0" priority="1510" operator="lessThan">
      <formula>30</formula>
    </cfRule>
  </conditionalFormatting>
  <conditionalFormatting sqref="M10">
    <cfRule type="cellIs" dxfId="0" priority="1509" operator="lessThan">
      <formula>30</formula>
    </cfRule>
  </conditionalFormatting>
  <conditionalFormatting sqref="M11">
    <cfRule type="cellIs" dxfId="0" priority="1508" operator="lessThan">
      <formula>30</formula>
    </cfRule>
  </conditionalFormatting>
  <conditionalFormatting sqref="M12">
    <cfRule type="cellIs" dxfId="0" priority="1507" operator="lessThan">
      <formula>30</formula>
    </cfRule>
  </conditionalFormatting>
  <conditionalFormatting sqref="M13">
    <cfRule type="cellIs" dxfId="0" priority="1506" operator="lessThan">
      <formula>30</formula>
    </cfRule>
  </conditionalFormatting>
  <conditionalFormatting sqref="M14">
    <cfRule type="cellIs" dxfId="0" priority="1505" operator="lessThan">
      <formula>30</formula>
    </cfRule>
  </conditionalFormatting>
  <conditionalFormatting sqref="M15">
    <cfRule type="cellIs" dxfId="0" priority="1504" operator="lessThan">
      <formula>30</formula>
    </cfRule>
  </conditionalFormatting>
  <conditionalFormatting sqref="M16">
    <cfRule type="cellIs" dxfId="0" priority="1503" operator="lessThan">
      <formula>30</formula>
    </cfRule>
  </conditionalFormatting>
  <conditionalFormatting sqref="M17">
    <cfRule type="cellIs" dxfId="0" priority="1502" operator="lessThan">
      <formula>30</formula>
    </cfRule>
  </conditionalFormatting>
  <conditionalFormatting sqref="M18">
    <cfRule type="cellIs" dxfId="0" priority="1501" operator="lessThan">
      <formula>30</formula>
    </cfRule>
  </conditionalFormatting>
  <conditionalFormatting sqref="M19">
    <cfRule type="cellIs" dxfId="0" priority="1500" operator="lessThan">
      <formula>30</formula>
    </cfRule>
  </conditionalFormatting>
  <conditionalFormatting sqref="M20">
    <cfRule type="cellIs" dxfId="0" priority="1499" operator="lessThan">
      <formula>30</formula>
    </cfRule>
  </conditionalFormatting>
  <conditionalFormatting sqref="M21">
    <cfRule type="cellIs" dxfId="0" priority="1498" operator="lessThan">
      <formula>30</formula>
    </cfRule>
  </conditionalFormatting>
  <conditionalFormatting sqref="M22">
    <cfRule type="cellIs" dxfId="0" priority="1497" operator="lessThan">
      <formula>30</formula>
    </cfRule>
  </conditionalFormatting>
  <conditionalFormatting sqref="M23">
    <cfRule type="cellIs" dxfId="0" priority="1496" operator="lessThan">
      <formula>30</formula>
    </cfRule>
  </conditionalFormatting>
  <conditionalFormatting sqref="M24">
    <cfRule type="cellIs" dxfId="0" priority="1495" operator="lessThan">
      <formula>30</formula>
    </cfRule>
  </conditionalFormatting>
  <conditionalFormatting sqref="M25">
    <cfRule type="cellIs" dxfId="0" priority="1494" operator="lessThan">
      <formula>30</formula>
    </cfRule>
  </conditionalFormatting>
  <conditionalFormatting sqref="M26">
    <cfRule type="cellIs" dxfId="0" priority="1493" operator="lessThan">
      <formula>30</formula>
    </cfRule>
  </conditionalFormatting>
  <conditionalFormatting sqref="M27">
    <cfRule type="cellIs" dxfId="0" priority="1492" operator="lessThan">
      <formula>30</formula>
    </cfRule>
  </conditionalFormatting>
  <conditionalFormatting sqref="M28">
    <cfRule type="cellIs" dxfId="0" priority="1491" operator="lessThan">
      <formula>30</formula>
    </cfRule>
  </conditionalFormatting>
  <conditionalFormatting sqref="M29">
    <cfRule type="cellIs" dxfId="0" priority="1490" operator="lessThan">
      <formula>30</formula>
    </cfRule>
  </conditionalFormatting>
  <conditionalFormatting sqref="M30">
    <cfRule type="cellIs" dxfId="0" priority="1489" operator="lessThan">
      <formula>30</formula>
    </cfRule>
  </conditionalFormatting>
  <conditionalFormatting sqref="M31">
    <cfRule type="cellIs" dxfId="0" priority="1488" operator="lessThan">
      <formula>30</formula>
    </cfRule>
  </conditionalFormatting>
  <conditionalFormatting sqref="M32">
    <cfRule type="cellIs" dxfId="0" priority="1487" operator="lessThan">
      <formula>30</formula>
    </cfRule>
  </conditionalFormatting>
  <conditionalFormatting sqref="M33">
    <cfRule type="cellIs" dxfId="0" priority="1486" operator="lessThan">
      <formula>30</formula>
    </cfRule>
  </conditionalFormatting>
  <conditionalFormatting sqref="M34">
    <cfRule type="cellIs" dxfId="0" priority="1485" operator="lessThan">
      <formula>30</formula>
    </cfRule>
  </conditionalFormatting>
  <conditionalFormatting sqref="M35">
    <cfRule type="cellIs" dxfId="0" priority="1484" operator="lessThan">
      <formula>30</formula>
    </cfRule>
  </conditionalFormatting>
  <conditionalFormatting sqref="M36">
    <cfRule type="cellIs" dxfId="0" priority="1483" operator="lessThan">
      <formula>30</formula>
    </cfRule>
  </conditionalFormatting>
  <conditionalFormatting sqref="M37">
    <cfRule type="cellIs" dxfId="0" priority="1482" operator="lessThan">
      <formula>30</formula>
    </cfRule>
  </conditionalFormatting>
  <conditionalFormatting sqref="M38">
    <cfRule type="cellIs" dxfId="0" priority="1481" operator="lessThan">
      <formula>30</formula>
    </cfRule>
  </conditionalFormatting>
  <conditionalFormatting sqref="M39">
    <cfRule type="cellIs" dxfId="0" priority="1480" operator="lessThan">
      <formula>30</formula>
    </cfRule>
  </conditionalFormatting>
  <conditionalFormatting sqref="M40">
    <cfRule type="cellIs" dxfId="0" priority="1479" operator="lessThan">
      <formula>30</formula>
    </cfRule>
  </conditionalFormatting>
  <conditionalFormatting sqref="M41">
    <cfRule type="cellIs" dxfId="0" priority="1478" operator="lessThan">
      <formula>30</formula>
    </cfRule>
  </conditionalFormatting>
  <conditionalFormatting sqref="M42">
    <cfRule type="cellIs" dxfId="0" priority="1477" operator="lessThan">
      <formula>30</formula>
    </cfRule>
  </conditionalFormatting>
  <conditionalFormatting sqref="M43">
    <cfRule type="cellIs" dxfId="0" priority="1476" operator="lessThan">
      <formula>30</formula>
    </cfRule>
  </conditionalFormatting>
  <conditionalFormatting sqref="M44">
    <cfRule type="cellIs" dxfId="0" priority="1475" operator="lessThan">
      <formula>30</formula>
    </cfRule>
  </conditionalFormatting>
  <conditionalFormatting sqref="M45">
    <cfRule type="cellIs" dxfId="0" priority="1474" operator="lessThan">
      <formula>30</formula>
    </cfRule>
  </conditionalFormatting>
  <conditionalFormatting sqref="M46">
    <cfRule type="cellIs" dxfId="0" priority="1473" operator="lessThan">
      <formula>30</formula>
    </cfRule>
  </conditionalFormatting>
  <conditionalFormatting sqref="M47">
    <cfRule type="cellIs" dxfId="0" priority="1472" operator="lessThan">
      <formula>30</formula>
    </cfRule>
  </conditionalFormatting>
  <conditionalFormatting sqref="M48">
    <cfRule type="cellIs" dxfId="0" priority="1471" operator="lessThan">
      <formula>30</formula>
    </cfRule>
  </conditionalFormatting>
  <conditionalFormatting sqref="M49">
    <cfRule type="cellIs" dxfId="0" priority="1470" operator="lessThan">
      <formula>30</formula>
    </cfRule>
  </conditionalFormatting>
  <conditionalFormatting sqref="M50">
    <cfRule type="cellIs" dxfId="0" priority="1469" operator="lessThan">
      <formula>30</formula>
    </cfRule>
  </conditionalFormatting>
  <conditionalFormatting sqref="M51">
    <cfRule type="cellIs" dxfId="0" priority="1468" operator="lessThan">
      <formula>30</formula>
    </cfRule>
  </conditionalFormatting>
  <conditionalFormatting sqref="M52">
    <cfRule type="cellIs" dxfId="0" priority="1467" operator="lessThan">
      <formula>30</formula>
    </cfRule>
  </conditionalFormatting>
  <conditionalFormatting sqref="M53">
    <cfRule type="cellIs" dxfId="0" priority="1466" operator="lessThan">
      <formula>30</formula>
    </cfRule>
  </conditionalFormatting>
  <conditionalFormatting sqref="M54">
    <cfRule type="cellIs" dxfId="0" priority="1465" operator="lessThan">
      <formula>30</formula>
    </cfRule>
  </conditionalFormatting>
  <conditionalFormatting sqref="M55">
    <cfRule type="cellIs" dxfId="0" priority="1464" operator="lessThan">
      <formula>30</formula>
    </cfRule>
  </conditionalFormatting>
  <conditionalFormatting sqref="M56">
    <cfRule type="cellIs" dxfId="0" priority="1463" operator="lessThan">
      <formula>30</formula>
    </cfRule>
  </conditionalFormatting>
  <conditionalFormatting sqref="M57">
    <cfRule type="cellIs" dxfId="0" priority="1462" operator="lessThan">
      <formula>30</formula>
    </cfRule>
  </conditionalFormatting>
  <conditionalFormatting sqref="M58">
    <cfRule type="cellIs" dxfId="0" priority="1461" operator="lessThan">
      <formula>30</formula>
    </cfRule>
  </conditionalFormatting>
  <conditionalFormatting sqref="M59">
    <cfRule type="cellIs" dxfId="0" priority="1460" operator="lessThan">
      <formula>30</formula>
    </cfRule>
  </conditionalFormatting>
  <conditionalFormatting sqref="M60">
    <cfRule type="cellIs" dxfId="0" priority="1459" operator="lessThan">
      <formula>30</formula>
    </cfRule>
  </conditionalFormatting>
  <conditionalFormatting sqref="M61">
    <cfRule type="cellIs" dxfId="0" priority="1458" operator="lessThan">
      <formula>30</formula>
    </cfRule>
  </conditionalFormatting>
  <conditionalFormatting sqref="M62">
    <cfRule type="cellIs" dxfId="0" priority="1457" operator="lessThan">
      <formula>30</formula>
    </cfRule>
  </conditionalFormatting>
  <conditionalFormatting sqref="M63">
    <cfRule type="cellIs" dxfId="0" priority="1456" operator="lessThan">
      <formula>30</formula>
    </cfRule>
  </conditionalFormatting>
  <conditionalFormatting sqref="M64">
    <cfRule type="cellIs" dxfId="0" priority="1455" operator="lessThan">
      <formula>30</formula>
    </cfRule>
  </conditionalFormatting>
  <conditionalFormatting sqref="M65">
    <cfRule type="cellIs" dxfId="0" priority="1454" operator="lessThan">
      <formula>30</formula>
    </cfRule>
  </conditionalFormatting>
  <conditionalFormatting sqref="M66">
    <cfRule type="cellIs" dxfId="0" priority="1453" operator="lessThan">
      <formula>30</formula>
    </cfRule>
  </conditionalFormatting>
  <conditionalFormatting sqref="M67">
    <cfRule type="cellIs" dxfId="0" priority="1452" operator="lessThan">
      <formula>30</formula>
    </cfRule>
  </conditionalFormatting>
  <conditionalFormatting sqref="M68">
    <cfRule type="cellIs" dxfId="0" priority="1451" operator="lessThan">
      <formula>30</formula>
    </cfRule>
  </conditionalFormatting>
  <conditionalFormatting sqref="M69">
    <cfRule type="cellIs" dxfId="0" priority="1450" operator="lessThan">
      <formula>30</formula>
    </cfRule>
  </conditionalFormatting>
  <conditionalFormatting sqref="M70">
    <cfRule type="cellIs" dxfId="0" priority="1449" operator="lessThan">
      <formula>30</formula>
    </cfRule>
  </conditionalFormatting>
  <conditionalFormatting sqref="M71">
    <cfRule type="cellIs" dxfId="0" priority="1448" operator="lessThan">
      <formula>30</formula>
    </cfRule>
  </conditionalFormatting>
  <conditionalFormatting sqref="M72">
    <cfRule type="cellIs" dxfId="0" priority="1447" operator="lessThan">
      <formula>30</formula>
    </cfRule>
  </conditionalFormatting>
  <conditionalFormatting sqref="M73">
    <cfRule type="cellIs" dxfId="0" priority="1446" operator="lessThan">
      <formula>30</formula>
    </cfRule>
  </conditionalFormatting>
  <conditionalFormatting sqref="M74">
    <cfRule type="cellIs" dxfId="0" priority="1445" operator="lessThan">
      <formula>30</formula>
    </cfRule>
  </conditionalFormatting>
  <conditionalFormatting sqref="M75">
    <cfRule type="cellIs" dxfId="0" priority="1444" operator="lessThan">
      <formula>30</formula>
    </cfRule>
  </conditionalFormatting>
  <conditionalFormatting sqref="M76">
    <cfRule type="cellIs" dxfId="0" priority="1443" operator="lessThan">
      <formula>30</formula>
    </cfRule>
  </conditionalFormatting>
  <conditionalFormatting sqref="M77">
    <cfRule type="cellIs" dxfId="0" priority="1442" operator="lessThan">
      <formula>30</formula>
    </cfRule>
  </conditionalFormatting>
  <conditionalFormatting sqref="M78">
    <cfRule type="cellIs" dxfId="0" priority="1441" operator="lessThan">
      <formula>30</formula>
    </cfRule>
  </conditionalFormatting>
  <conditionalFormatting sqref="M79">
    <cfRule type="cellIs" dxfId="0" priority="1440" operator="lessThan">
      <formula>30</formula>
    </cfRule>
  </conditionalFormatting>
  <conditionalFormatting sqref="M80">
    <cfRule type="cellIs" dxfId="0" priority="1439" operator="lessThan">
      <formula>30</formula>
    </cfRule>
  </conditionalFormatting>
  <conditionalFormatting sqref="M81">
    <cfRule type="cellIs" dxfId="0" priority="1438" operator="lessThan">
      <formula>30</formula>
    </cfRule>
  </conditionalFormatting>
  <conditionalFormatting sqref="M82">
    <cfRule type="cellIs" dxfId="0" priority="1437" operator="lessThan">
      <formula>30</formula>
    </cfRule>
  </conditionalFormatting>
  <conditionalFormatting sqref="M83">
    <cfRule type="cellIs" dxfId="0" priority="1436" operator="lessThan">
      <formula>30</formula>
    </cfRule>
  </conditionalFormatting>
  <conditionalFormatting sqref="M84">
    <cfRule type="cellIs" dxfId="0" priority="1435" operator="lessThan">
      <formula>30</formula>
    </cfRule>
  </conditionalFormatting>
  <conditionalFormatting sqref="M85">
    <cfRule type="cellIs" dxfId="0" priority="1434" operator="lessThan">
      <formula>30</formula>
    </cfRule>
  </conditionalFormatting>
  <conditionalFormatting sqref="M86">
    <cfRule type="cellIs" dxfId="0" priority="1433" operator="lessThan">
      <formula>30</formula>
    </cfRule>
  </conditionalFormatting>
  <conditionalFormatting sqref="M87">
    <cfRule type="cellIs" dxfId="0" priority="1432" operator="lessThan">
      <formula>30</formula>
    </cfRule>
  </conditionalFormatting>
  <conditionalFormatting sqref="M88">
    <cfRule type="cellIs" dxfId="0" priority="1431" operator="lessThan">
      <formula>30</formula>
    </cfRule>
  </conditionalFormatting>
  <conditionalFormatting sqref="M89">
    <cfRule type="cellIs" dxfId="0" priority="1430" operator="lessThan">
      <formula>30</formula>
    </cfRule>
  </conditionalFormatting>
  <conditionalFormatting sqref="M90">
    <cfRule type="cellIs" dxfId="0" priority="1429" operator="lessThan">
      <formula>30</formula>
    </cfRule>
  </conditionalFormatting>
  <conditionalFormatting sqref="M91">
    <cfRule type="cellIs" dxfId="0" priority="1428" operator="lessThan">
      <formula>30</formula>
    </cfRule>
  </conditionalFormatting>
  <conditionalFormatting sqref="M92">
    <cfRule type="cellIs" dxfId="0" priority="1427" operator="lessThan">
      <formula>30</formula>
    </cfRule>
  </conditionalFormatting>
  <conditionalFormatting sqref="M93">
    <cfRule type="cellIs" dxfId="0" priority="1426" operator="lessThan">
      <formula>30</formula>
    </cfRule>
  </conditionalFormatting>
  <conditionalFormatting sqref="M94">
    <cfRule type="cellIs" dxfId="0" priority="1425" operator="lessThan">
      <formula>30</formula>
    </cfRule>
  </conditionalFormatting>
  <conditionalFormatting sqref="M95">
    <cfRule type="cellIs" dxfId="0" priority="1424" operator="lessThan">
      <formula>30</formula>
    </cfRule>
  </conditionalFormatting>
  <conditionalFormatting sqref="M96">
    <cfRule type="cellIs" dxfId="0" priority="1423" operator="lessThan">
      <formula>30</formula>
    </cfRule>
  </conditionalFormatting>
  <conditionalFormatting sqref="M97">
    <cfRule type="cellIs" dxfId="0" priority="1422" operator="lessThan">
      <formula>30</formula>
    </cfRule>
  </conditionalFormatting>
  <conditionalFormatting sqref="M98">
    <cfRule type="cellIs" dxfId="0" priority="1421" operator="lessThan">
      <formula>30</formula>
    </cfRule>
  </conditionalFormatting>
  <conditionalFormatting sqref="M99">
    <cfRule type="cellIs" dxfId="0" priority="1420" operator="lessThan">
      <formula>30</formula>
    </cfRule>
  </conditionalFormatting>
  <conditionalFormatting sqref="M100">
    <cfRule type="cellIs" dxfId="0" priority="1419" operator="lessThan">
      <formula>30</formula>
    </cfRule>
  </conditionalFormatting>
  <conditionalFormatting sqref="M101">
    <cfRule type="cellIs" dxfId="0" priority="1418" operator="lessThan">
      <formula>30</formula>
    </cfRule>
  </conditionalFormatting>
  <conditionalFormatting sqref="M102">
    <cfRule type="cellIs" dxfId="0" priority="1417" operator="lessThan">
      <formula>30</formula>
    </cfRule>
  </conditionalFormatting>
  <conditionalFormatting sqref="M103">
    <cfRule type="cellIs" dxfId="0" priority="1416" operator="lessThan">
      <formula>30</formula>
    </cfRule>
  </conditionalFormatting>
  <conditionalFormatting sqref="Z103">
    <cfRule type="cellIs" dxfId="0" priority="217" operator="lessThan">
      <formula>30</formula>
    </cfRule>
  </conditionalFormatting>
  <conditionalFormatting sqref="M104">
    <cfRule type="cellIs" dxfId="0" priority="1415" operator="lessThan">
      <formula>30</formula>
    </cfRule>
  </conditionalFormatting>
  <conditionalFormatting sqref="Z104">
    <cfRule type="cellIs" dxfId="0" priority="216" operator="lessThan">
      <formula>30</formula>
    </cfRule>
  </conditionalFormatting>
  <conditionalFormatting sqref="M105">
    <cfRule type="cellIs" dxfId="0" priority="1414" operator="lessThan">
      <formula>30</formula>
    </cfRule>
  </conditionalFormatting>
  <conditionalFormatting sqref="Z105">
    <cfRule type="cellIs" dxfId="0" priority="215" operator="lessThan">
      <formula>30</formula>
    </cfRule>
  </conditionalFormatting>
  <conditionalFormatting sqref="M106">
    <cfRule type="cellIs" dxfId="0" priority="1413" operator="lessThan">
      <formula>30</formula>
    </cfRule>
  </conditionalFormatting>
  <conditionalFormatting sqref="Z106">
    <cfRule type="cellIs" dxfId="0" priority="214" operator="lessThan">
      <formula>30</formula>
    </cfRule>
  </conditionalFormatting>
  <conditionalFormatting sqref="M107">
    <cfRule type="cellIs" dxfId="0" priority="1412" operator="lessThan">
      <formula>30</formula>
    </cfRule>
  </conditionalFormatting>
  <conditionalFormatting sqref="Z107">
    <cfRule type="cellIs" dxfId="0" priority="213" operator="lessThan">
      <formula>30</formula>
    </cfRule>
  </conditionalFormatting>
  <conditionalFormatting sqref="M108">
    <cfRule type="cellIs" dxfId="0" priority="1411" operator="lessThan">
      <formula>30</formula>
    </cfRule>
  </conditionalFormatting>
  <conditionalFormatting sqref="Z108">
    <cfRule type="cellIs" dxfId="0" priority="212" operator="lessThan">
      <formula>30</formula>
    </cfRule>
  </conditionalFormatting>
  <conditionalFormatting sqref="M109">
    <cfRule type="cellIs" dxfId="0" priority="1410" operator="lessThan">
      <formula>30</formula>
    </cfRule>
  </conditionalFormatting>
  <conditionalFormatting sqref="Z109">
    <cfRule type="cellIs" dxfId="0" priority="211" operator="lessThan">
      <formula>30</formula>
    </cfRule>
  </conditionalFormatting>
  <conditionalFormatting sqref="M110">
    <cfRule type="cellIs" dxfId="0" priority="1409" operator="lessThan">
      <formula>30</formula>
    </cfRule>
  </conditionalFormatting>
  <conditionalFormatting sqref="Z110">
    <cfRule type="cellIs" dxfId="0" priority="210" operator="lessThan">
      <formula>30</formula>
    </cfRule>
  </conditionalFormatting>
  <conditionalFormatting sqref="M111">
    <cfRule type="cellIs" dxfId="0" priority="1408" operator="lessThan">
      <formula>30</formula>
    </cfRule>
  </conditionalFormatting>
  <conditionalFormatting sqref="Z111">
    <cfRule type="cellIs" dxfId="0" priority="209" operator="lessThan">
      <formula>30</formula>
    </cfRule>
  </conditionalFormatting>
  <conditionalFormatting sqref="M112">
    <cfRule type="cellIs" dxfId="0" priority="1407" operator="lessThan">
      <formula>30</formula>
    </cfRule>
  </conditionalFormatting>
  <conditionalFormatting sqref="M113">
    <cfRule type="cellIs" dxfId="0" priority="1406" operator="lessThan">
      <formula>30</formula>
    </cfRule>
  </conditionalFormatting>
  <conditionalFormatting sqref="M114">
    <cfRule type="cellIs" dxfId="0" priority="1405" operator="lessThan">
      <formula>30</formula>
    </cfRule>
  </conditionalFormatting>
  <conditionalFormatting sqref="M115">
    <cfRule type="cellIs" dxfId="0" priority="1404" operator="lessThan">
      <formula>30</formula>
    </cfRule>
  </conditionalFormatting>
  <conditionalFormatting sqref="M116">
    <cfRule type="cellIs" dxfId="0" priority="1403" operator="lessThan">
      <formula>30</formula>
    </cfRule>
  </conditionalFormatting>
  <conditionalFormatting sqref="M117">
    <cfRule type="cellIs" dxfId="0" priority="1402" operator="lessThan">
      <formula>30</formula>
    </cfRule>
  </conditionalFormatting>
  <conditionalFormatting sqref="M118">
    <cfRule type="cellIs" dxfId="0" priority="1401" operator="lessThan">
      <formula>30</formula>
    </cfRule>
  </conditionalFormatting>
  <conditionalFormatting sqref="M119">
    <cfRule type="cellIs" dxfId="0" priority="1400" operator="lessThan">
      <formula>30</formula>
    </cfRule>
  </conditionalFormatting>
  <conditionalFormatting sqref="M120">
    <cfRule type="cellIs" dxfId="0" priority="1399" operator="lessThan">
      <formula>30</formula>
    </cfRule>
  </conditionalFormatting>
  <conditionalFormatting sqref="M121">
    <cfRule type="cellIs" dxfId="0" priority="1398" operator="lessThan">
      <formula>30</formula>
    </cfRule>
  </conditionalFormatting>
  <conditionalFormatting sqref="M122">
    <cfRule type="cellIs" dxfId="0" priority="1397" operator="lessThan">
      <formula>30</formula>
    </cfRule>
  </conditionalFormatting>
  <conditionalFormatting sqref="M123">
    <cfRule type="cellIs" dxfId="0" priority="1396" operator="lessThan">
      <formula>30</formula>
    </cfRule>
  </conditionalFormatting>
  <conditionalFormatting sqref="M124">
    <cfRule type="cellIs" dxfId="0" priority="1395" operator="lessThan">
      <formula>30</formula>
    </cfRule>
  </conditionalFormatting>
  <conditionalFormatting sqref="M125">
    <cfRule type="cellIs" dxfId="0" priority="1394" operator="lessThan">
      <formula>30</formula>
    </cfRule>
  </conditionalFormatting>
  <conditionalFormatting sqref="M126">
    <cfRule type="cellIs" dxfId="0" priority="1393" operator="lessThan">
      <formula>30</formula>
    </cfRule>
  </conditionalFormatting>
  <conditionalFormatting sqref="M127">
    <cfRule type="cellIs" dxfId="0" priority="1392" operator="lessThan">
      <formula>30</formula>
    </cfRule>
  </conditionalFormatting>
  <conditionalFormatting sqref="M128">
    <cfRule type="cellIs" dxfId="0" priority="1391" operator="lessThan">
      <formula>30</formula>
    </cfRule>
  </conditionalFormatting>
  <conditionalFormatting sqref="M129">
    <cfRule type="cellIs" dxfId="0" priority="1390" operator="lessThan">
      <formula>30</formula>
    </cfRule>
  </conditionalFormatting>
  <conditionalFormatting sqref="M130">
    <cfRule type="cellIs" dxfId="0" priority="1389" operator="lessThan">
      <formula>30</formula>
    </cfRule>
  </conditionalFormatting>
  <conditionalFormatting sqref="M131">
    <cfRule type="cellIs" dxfId="0" priority="1388" operator="lessThan">
      <formula>30</formula>
    </cfRule>
  </conditionalFormatting>
  <conditionalFormatting sqref="M132">
    <cfRule type="cellIs" dxfId="0" priority="1387" operator="lessThan">
      <formula>30</formula>
    </cfRule>
  </conditionalFormatting>
  <conditionalFormatting sqref="M133">
    <cfRule type="cellIs" dxfId="0" priority="1386" operator="lessThan">
      <formula>30</formula>
    </cfRule>
  </conditionalFormatting>
  <conditionalFormatting sqref="M134">
    <cfRule type="cellIs" dxfId="0" priority="1385" operator="lessThan">
      <formula>30</formula>
    </cfRule>
  </conditionalFormatting>
  <conditionalFormatting sqref="M135">
    <cfRule type="cellIs" dxfId="0" priority="1384" operator="lessThan">
      <formula>30</formula>
    </cfRule>
  </conditionalFormatting>
  <conditionalFormatting sqref="M136">
    <cfRule type="cellIs" dxfId="0" priority="1383" operator="lessThan">
      <formula>30</formula>
    </cfRule>
  </conditionalFormatting>
  <conditionalFormatting sqref="M137">
    <cfRule type="cellIs" dxfId="0" priority="1382" operator="lessThan">
      <formula>30</formula>
    </cfRule>
  </conditionalFormatting>
  <conditionalFormatting sqref="M138">
    <cfRule type="cellIs" dxfId="0" priority="1381" operator="lessThan">
      <formula>30</formula>
    </cfRule>
  </conditionalFormatting>
  <conditionalFormatting sqref="M139">
    <cfRule type="cellIs" dxfId="0" priority="1380" operator="lessThan">
      <formula>30</formula>
    </cfRule>
  </conditionalFormatting>
  <conditionalFormatting sqref="M140">
    <cfRule type="cellIs" dxfId="0" priority="1379" operator="lessThan">
      <formula>30</formula>
    </cfRule>
  </conditionalFormatting>
  <conditionalFormatting sqref="M141">
    <cfRule type="cellIs" dxfId="0" priority="1378" operator="lessThan">
      <formula>30</formula>
    </cfRule>
  </conditionalFormatting>
  <conditionalFormatting sqref="M142">
    <cfRule type="cellIs" dxfId="0" priority="1377" operator="lessThan">
      <formula>30</formula>
    </cfRule>
  </conditionalFormatting>
  <conditionalFormatting sqref="M143">
    <cfRule type="cellIs" dxfId="0" priority="1376" operator="lessThan">
      <formula>30</formula>
    </cfRule>
  </conditionalFormatting>
  <conditionalFormatting sqref="M144">
    <cfRule type="cellIs" dxfId="0" priority="1375" operator="lessThan">
      <formula>30</formula>
    </cfRule>
  </conditionalFormatting>
  <conditionalFormatting sqref="M145">
    <cfRule type="cellIs" dxfId="0" priority="1374" operator="lessThan">
      <formula>30</formula>
    </cfRule>
  </conditionalFormatting>
  <conditionalFormatting sqref="M146">
    <cfRule type="cellIs" dxfId="0" priority="1373" operator="lessThan">
      <formula>30</formula>
    </cfRule>
  </conditionalFormatting>
  <conditionalFormatting sqref="M147">
    <cfRule type="cellIs" dxfId="0" priority="1372" operator="lessThan">
      <formula>30</formula>
    </cfRule>
  </conditionalFormatting>
  <conditionalFormatting sqref="M148">
    <cfRule type="cellIs" dxfId="0" priority="1371" operator="lessThan">
      <formula>30</formula>
    </cfRule>
  </conditionalFormatting>
  <conditionalFormatting sqref="M149">
    <cfRule type="cellIs" dxfId="0" priority="1370" operator="lessThan">
      <formula>30</formula>
    </cfRule>
  </conditionalFormatting>
  <conditionalFormatting sqref="M150">
    <cfRule type="cellIs" dxfId="0" priority="1369" operator="lessThan">
      <formula>30</formula>
    </cfRule>
  </conditionalFormatting>
  <conditionalFormatting sqref="M151">
    <cfRule type="cellIs" dxfId="0" priority="1368" operator="lessThan">
      <formula>30</formula>
    </cfRule>
  </conditionalFormatting>
  <conditionalFormatting sqref="M152">
    <cfRule type="cellIs" dxfId="0" priority="1367" operator="lessThan">
      <formula>30</formula>
    </cfRule>
  </conditionalFormatting>
  <conditionalFormatting sqref="M153">
    <cfRule type="cellIs" dxfId="0" priority="1366" operator="lessThan">
      <formula>30</formula>
    </cfRule>
  </conditionalFormatting>
  <conditionalFormatting sqref="M154">
    <cfRule type="cellIs" dxfId="0" priority="1365" operator="lessThan">
      <formula>30</formula>
    </cfRule>
  </conditionalFormatting>
  <conditionalFormatting sqref="M155">
    <cfRule type="cellIs" dxfId="0" priority="1364" operator="lessThan">
      <formula>30</formula>
    </cfRule>
  </conditionalFormatting>
  <conditionalFormatting sqref="M156">
    <cfRule type="cellIs" dxfId="0" priority="1363" operator="lessThan">
      <formula>30</formula>
    </cfRule>
  </conditionalFormatting>
  <conditionalFormatting sqref="M157">
    <cfRule type="cellIs" dxfId="0" priority="1362" operator="lessThan">
      <formula>30</formula>
    </cfRule>
  </conditionalFormatting>
  <conditionalFormatting sqref="M158">
    <cfRule type="cellIs" dxfId="0" priority="1361" operator="lessThan">
      <formula>30</formula>
    </cfRule>
  </conditionalFormatting>
  <conditionalFormatting sqref="M159">
    <cfRule type="cellIs" dxfId="0" priority="1360" operator="lessThan">
      <formula>30</formula>
    </cfRule>
  </conditionalFormatting>
  <conditionalFormatting sqref="M160">
    <cfRule type="cellIs" dxfId="0" priority="1359" operator="lessThan">
      <formula>30</formula>
    </cfRule>
  </conditionalFormatting>
  <conditionalFormatting sqref="M161">
    <cfRule type="cellIs" dxfId="0" priority="1358" operator="lessThan">
      <formula>30</formula>
    </cfRule>
  </conditionalFormatting>
  <conditionalFormatting sqref="M162">
    <cfRule type="cellIs" dxfId="0" priority="1357" operator="lessThan">
      <formula>30</formula>
    </cfRule>
  </conditionalFormatting>
  <conditionalFormatting sqref="M163">
    <cfRule type="cellIs" dxfId="0" priority="1356" operator="lessThan">
      <formula>30</formula>
    </cfRule>
  </conditionalFormatting>
  <conditionalFormatting sqref="M164">
    <cfRule type="cellIs" dxfId="0" priority="1355" operator="lessThan">
      <formula>30</formula>
    </cfRule>
  </conditionalFormatting>
  <conditionalFormatting sqref="M165">
    <cfRule type="cellIs" dxfId="0" priority="1354" operator="lessThan">
      <formula>30</formula>
    </cfRule>
  </conditionalFormatting>
  <conditionalFormatting sqref="M166">
    <cfRule type="cellIs" dxfId="0" priority="1353" operator="lessThan">
      <formula>30</formula>
    </cfRule>
  </conditionalFormatting>
  <conditionalFormatting sqref="M167">
    <cfRule type="cellIs" dxfId="0" priority="1352" operator="lessThan">
      <formula>30</formula>
    </cfRule>
  </conditionalFormatting>
  <conditionalFormatting sqref="M168">
    <cfRule type="cellIs" dxfId="0" priority="1347" operator="lessThan">
      <formula>30</formula>
    </cfRule>
  </conditionalFormatting>
  <conditionalFormatting sqref="M169">
    <cfRule type="cellIs" dxfId="0" priority="1346" operator="lessThan">
      <formula>30</formula>
    </cfRule>
  </conditionalFormatting>
  <conditionalFormatting sqref="M170">
    <cfRule type="cellIs" dxfId="0" priority="1345" operator="lessThan">
      <formula>30</formula>
    </cfRule>
  </conditionalFormatting>
  <conditionalFormatting sqref="M171">
    <cfRule type="cellIs" dxfId="0" priority="1344" operator="lessThan">
      <formula>30</formula>
    </cfRule>
  </conditionalFormatting>
  <conditionalFormatting sqref="M172">
    <cfRule type="cellIs" dxfId="0" priority="1343" operator="lessThan">
      <formula>30</formula>
    </cfRule>
  </conditionalFormatting>
  <conditionalFormatting sqref="M173">
    <cfRule type="cellIs" dxfId="0" priority="1342" operator="lessThan">
      <formula>30</formula>
    </cfRule>
  </conditionalFormatting>
  <conditionalFormatting sqref="M174">
    <cfRule type="cellIs" dxfId="0" priority="1341" operator="lessThan">
      <formula>30</formula>
    </cfRule>
  </conditionalFormatting>
  <conditionalFormatting sqref="M175">
    <cfRule type="cellIs" dxfId="0" priority="1340" operator="lessThan">
      <formula>30</formula>
    </cfRule>
  </conditionalFormatting>
  <conditionalFormatting sqref="M176">
    <cfRule type="cellIs" dxfId="0" priority="1339" operator="lessThan">
      <formula>30</formula>
    </cfRule>
  </conditionalFormatting>
  <conditionalFormatting sqref="M177">
    <cfRule type="cellIs" dxfId="0" priority="1338" operator="lessThan">
      <formula>30</formula>
    </cfRule>
  </conditionalFormatting>
  <conditionalFormatting sqref="M178">
    <cfRule type="cellIs" dxfId="0" priority="1337" operator="lessThan">
      <formula>30</formula>
    </cfRule>
  </conditionalFormatting>
  <conditionalFormatting sqref="M179">
    <cfRule type="cellIs" dxfId="0" priority="1336" operator="lessThan">
      <formula>30</formula>
    </cfRule>
  </conditionalFormatting>
  <conditionalFormatting sqref="M180">
    <cfRule type="cellIs" dxfId="0" priority="1335" operator="lessThan">
      <formula>30</formula>
    </cfRule>
  </conditionalFormatting>
  <conditionalFormatting sqref="M181">
    <cfRule type="cellIs" dxfId="0" priority="1334" operator="lessThan">
      <formula>30</formula>
    </cfRule>
  </conditionalFormatting>
  <conditionalFormatting sqref="M182">
    <cfRule type="cellIs" dxfId="0" priority="1333" operator="lessThan">
      <formula>30</formula>
    </cfRule>
  </conditionalFormatting>
  <conditionalFormatting sqref="M183">
    <cfRule type="cellIs" dxfId="0" priority="1332" operator="lessThan">
      <formula>30</formula>
    </cfRule>
  </conditionalFormatting>
  <conditionalFormatting sqref="M184">
    <cfRule type="cellIs" dxfId="0" priority="1331" operator="lessThan">
      <formula>30</formula>
    </cfRule>
  </conditionalFormatting>
  <conditionalFormatting sqref="M185">
    <cfRule type="cellIs" dxfId="0" priority="1330" operator="lessThan">
      <formula>30</formula>
    </cfRule>
  </conditionalFormatting>
  <conditionalFormatting sqref="M186">
    <cfRule type="cellIs" dxfId="0" priority="1329" operator="lessThan">
      <formula>30</formula>
    </cfRule>
  </conditionalFormatting>
  <conditionalFormatting sqref="M187">
    <cfRule type="cellIs" dxfId="0" priority="1328" operator="lessThan">
      <formula>30</formula>
    </cfRule>
  </conditionalFormatting>
  <conditionalFormatting sqref="M188">
    <cfRule type="cellIs" dxfId="0" priority="1327" operator="lessThan">
      <formula>30</formula>
    </cfRule>
  </conditionalFormatting>
  <conditionalFormatting sqref="M189">
    <cfRule type="cellIs" dxfId="0" priority="1326" operator="lessThan">
      <formula>30</formula>
    </cfRule>
  </conditionalFormatting>
  <conditionalFormatting sqref="M190">
    <cfRule type="cellIs" dxfId="0" priority="1325" operator="lessThan">
      <formula>30</formula>
    </cfRule>
  </conditionalFormatting>
  <conditionalFormatting sqref="M191">
    <cfRule type="cellIs" dxfId="0" priority="1324" operator="lessThan">
      <formula>30</formula>
    </cfRule>
  </conditionalFormatting>
  <conditionalFormatting sqref="M192">
    <cfRule type="cellIs" dxfId="0" priority="1323" operator="lessThan">
      <formula>30</formula>
    </cfRule>
  </conditionalFormatting>
  <conditionalFormatting sqref="M193">
    <cfRule type="cellIs" dxfId="0" priority="1322" operator="lessThan">
      <formula>30</formula>
    </cfRule>
  </conditionalFormatting>
  <conditionalFormatting sqref="M194">
    <cfRule type="cellIs" dxfId="0" priority="1321" operator="lessThan">
      <formula>30</formula>
    </cfRule>
  </conditionalFormatting>
  <conditionalFormatting sqref="M195">
    <cfRule type="cellIs" dxfId="0" priority="1320" operator="lessThan">
      <formula>30</formula>
    </cfRule>
  </conditionalFormatting>
  <conditionalFormatting sqref="M196">
    <cfRule type="cellIs" dxfId="0" priority="1319" operator="lessThan">
      <formula>30</formula>
    </cfRule>
  </conditionalFormatting>
  <conditionalFormatting sqref="M197">
    <cfRule type="cellIs" dxfId="0" priority="1318" operator="lessThan">
      <formula>30</formula>
    </cfRule>
  </conditionalFormatting>
  <conditionalFormatting sqref="M198">
    <cfRule type="cellIs" dxfId="0" priority="1317" operator="lessThan">
      <formula>30</formula>
    </cfRule>
  </conditionalFormatting>
  <conditionalFormatting sqref="M199">
    <cfRule type="cellIs" dxfId="0" priority="1316" operator="lessThan">
      <formula>30</formula>
    </cfRule>
  </conditionalFormatting>
  <conditionalFormatting sqref="M200">
    <cfRule type="cellIs" dxfId="0" priority="1315" operator="lessThan">
      <formula>30</formula>
    </cfRule>
  </conditionalFormatting>
  <conditionalFormatting sqref="M201">
    <cfRule type="cellIs" dxfId="0" priority="1314" operator="lessThan">
      <formula>30</formula>
    </cfRule>
  </conditionalFormatting>
  <conditionalFormatting sqref="M202">
    <cfRule type="cellIs" dxfId="0" priority="1313" operator="lessThan">
      <formula>30</formula>
    </cfRule>
  </conditionalFormatting>
  <conditionalFormatting sqref="M203">
    <cfRule type="cellIs" dxfId="0" priority="1312" operator="lessThan">
      <formula>30</formula>
    </cfRule>
  </conditionalFormatting>
  <conditionalFormatting sqref="M204">
    <cfRule type="cellIs" dxfId="0" priority="1311" operator="lessThan">
      <formula>30</formula>
    </cfRule>
  </conditionalFormatting>
  <conditionalFormatting sqref="M205">
    <cfRule type="cellIs" dxfId="0" priority="1310" operator="lessThan">
      <formula>30</formula>
    </cfRule>
  </conditionalFormatting>
  <conditionalFormatting sqref="M206">
    <cfRule type="cellIs" dxfId="0" priority="1309" operator="lessThan">
      <formula>30</formula>
    </cfRule>
  </conditionalFormatting>
  <conditionalFormatting sqref="M207">
    <cfRule type="cellIs" dxfId="0" priority="1308" operator="lessThan">
      <formula>30</formula>
    </cfRule>
  </conditionalFormatting>
  <conditionalFormatting sqref="M208">
    <cfRule type="cellIs" dxfId="0" priority="1307" operator="lessThan">
      <formula>30</formula>
    </cfRule>
  </conditionalFormatting>
  <conditionalFormatting sqref="M209">
    <cfRule type="cellIs" dxfId="0" priority="1306" operator="lessThan">
      <formula>30</formula>
    </cfRule>
  </conditionalFormatting>
  <conditionalFormatting sqref="M210">
    <cfRule type="cellIs" dxfId="0" priority="1305" operator="lessThan">
      <formula>30</formula>
    </cfRule>
  </conditionalFormatting>
  <conditionalFormatting sqref="M211">
    <cfRule type="cellIs" dxfId="0" priority="1304" operator="lessThan">
      <formula>30</formula>
    </cfRule>
  </conditionalFormatting>
  <conditionalFormatting sqref="M212">
    <cfRule type="cellIs" dxfId="0" priority="1303" operator="lessThan">
      <formula>30</formula>
    </cfRule>
  </conditionalFormatting>
  <conditionalFormatting sqref="M213">
    <cfRule type="cellIs" dxfId="0" priority="1302" operator="lessThan">
      <formula>30</formula>
    </cfRule>
  </conditionalFormatting>
  <conditionalFormatting sqref="M214">
    <cfRule type="cellIs" dxfId="0" priority="1301" operator="lessThan">
      <formula>30</formula>
    </cfRule>
  </conditionalFormatting>
  <conditionalFormatting sqref="M215">
    <cfRule type="cellIs" dxfId="0" priority="1300" operator="lessThan">
      <formula>30</formula>
    </cfRule>
  </conditionalFormatting>
  <conditionalFormatting sqref="M216">
    <cfRule type="cellIs" dxfId="0" priority="1299" operator="lessThan">
      <formula>30</formula>
    </cfRule>
  </conditionalFormatting>
  <conditionalFormatting sqref="M217">
    <cfRule type="cellIs" dxfId="0" priority="1298" operator="lessThan">
      <formula>30</formula>
    </cfRule>
  </conditionalFormatting>
  <conditionalFormatting sqref="M218">
    <cfRule type="cellIs" dxfId="0" priority="1297" operator="lessThan">
      <formula>30</formula>
    </cfRule>
  </conditionalFormatting>
  <conditionalFormatting sqref="M219">
    <cfRule type="cellIs" dxfId="0" priority="1296" operator="lessThan">
      <formula>30</formula>
    </cfRule>
  </conditionalFormatting>
  <conditionalFormatting sqref="M220">
    <cfRule type="cellIs" dxfId="0" priority="1295" operator="lessThan">
      <formula>30</formula>
    </cfRule>
  </conditionalFormatting>
  <conditionalFormatting sqref="M221">
    <cfRule type="cellIs" dxfId="0" priority="1294" operator="lessThan">
      <formula>30</formula>
    </cfRule>
  </conditionalFormatting>
  <conditionalFormatting sqref="M222">
    <cfRule type="cellIs" dxfId="0" priority="1293" operator="lessThan">
      <formula>30</formula>
    </cfRule>
  </conditionalFormatting>
  <conditionalFormatting sqref="M223">
    <cfRule type="cellIs" dxfId="0" priority="1292" operator="lessThan">
      <formula>30</formula>
    </cfRule>
  </conditionalFormatting>
  <conditionalFormatting sqref="M224">
    <cfRule type="cellIs" dxfId="0" priority="1291" operator="lessThan">
      <formula>30</formula>
    </cfRule>
  </conditionalFormatting>
  <conditionalFormatting sqref="M225">
    <cfRule type="cellIs" dxfId="0" priority="1290" operator="lessThan">
      <formula>30</formula>
    </cfRule>
  </conditionalFormatting>
  <conditionalFormatting sqref="M226">
    <cfRule type="cellIs" dxfId="0" priority="1289" operator="lessThan">
      <formula>30</formula>
    </cfRule>
  </conditionalFormatting>
  <conditionalFormatting sqref="M227">
    <cfRule type="cellIs" dxfId="0" priority="1288" operator="lessThan">
      <formula>30</formula>
    </cfRule>
  </conditionalFormatting>
  <conditionalFormatting sqref="M228">
    <cfRule type="cellIs" dxfId="0" priority="1287" operator="lessThan">
      <formula>30</formula>
    </cfRule>
  </conditionalFormatting>
  <conditionalFormatting sqref="M229">
    <cfRule type="cellIs" dxfId="0" priority="1286" operator="lessThan">
      <formula>30</formula>
    </cfRule>
  </conditionalFormatting>
  <conditionalFormatting sqref="M230">
    <cfRule type="cellIs" dxfId="0" priority="1285" operator="lessThan">
      <formula>30</formula>
    </cfRule>
  </conditionalFormatting>
  <conditionalFormatting sqref="M231">
    <cfRule type="cellIs" dxfId="0" priority="1284" operator="lessThan">
      <formula>30</formula>
    </cfRule>
  </conditionalFormatting>
  <conditionalFormatting sqref="M232">
    <cfRule type="cellIs" dxfId="0" priority="1283" operator="lessThan">
      <formula>30</formula>
    </cfRule>
  </conditionalFormatting>
  <conditionalFormatting sqref="M233">
    <cfRule type="cellIs" dxfId="0" priority="1282" operator="lessThan">
      <formula>30</formula>
    </cfRule>
  </conditionalFormatting>
  <conditionalFormatting sqref="M234">
    <cfRule type="cellIs" dxfId="0" priority="1281" operator="lessThan">
      <formula>30</formula>
    </cfRule>
  </conditionalFormatting>
  <conditionalFormatting sqref="M235">
    <cfRule type="cellIs" dxfId="0" priority="1280" operator="lessThan">
      <formula>30</formula>
    </cfRule>
  </conditionalFormatting>
  <conditionalFormatting sqref="AA235">
    <cfRule type="cellIs" dxfId="0" priority="375" operator="lessThan">
      <formula>30</formula>
    </cfRule>
  </conditionalFormatting>
  <conditionalFormatting sqref="M236">
    <cfRule type="cellIs" dxfId="0" priority="1279" operator="lessThan">
      <formula>30</formula>
    </cfRule>
  </conditionalFormatting>
  <conditionalFormatting sqref="M237">
    <cfRule type="cellIs" dxfId="0" priority="1278" operator="lessThan">
      <formula>30</formula>
    </cfRule>
  </conditionalFormatting>
  <conditionalFormatting sqref="M238">
    <cfRule type="cellIs" dxfId="0" priority="1277" operator="lessThan">
      <formula>30</formula>
    </cfRule>
  </conditionalFormatting>
  <conditionalFormatting sqref="M239">
    <cfRule type="cellIs" dxfId="0" priority="1276" operator="lessThan">
      <formula>30</formula>
    </cfRule>
  </conditionalFormatting>
  <conditionalFormatting sqref="M240">
    <cfRule type="cellIs" dxfId="0" priority="1275" operator="lessThan">
      <formula>30</formula>
    </cfRule>
  </conditionalFormatting>
  <conditionalFormatting sqref="M241">
    <cfRule type="cellIs" dxfId="0" priority="1274" operator="lessThan">
      <formula>30</formula>
    </cfRule>
  </conditionalFormatting>
  <conditionalFormatting sqref="M242">
    <cfRule type="cellIs" dxfId="0" priority="1273" operator="lessThan">
      <formula>30</formula>
    </cfRule>
  </conditionalFormatting>
  <conditionalFormatting sqref="M243">
    <cfRule type="cellIs" dxfId="0" priority="1272" operator="lessThan">
      <formula>30</formula>
    </cfRule>
  </conditionalFormatting>
  <conditionalFormatting sqref="M244">
    <cfRule type="cellIs" dxfId="0" priority="1271" operator="lessThan">
      <formula>30</formula>
    </cfRule>
  </conditionalFormatting>
  <conditionalFormatting sqref="M245">
    <cfRule type="cellIs" dxfId="0" priority="1270" operator="lessThan">
      <formula>30</formula>
    </cfRule>
  </conditionalFormatting>
  <conditionalFormatting sqref="M246">
    <cfRule type="cellIs" dxfId="0" priority="1269" operator="lessThan">
      <formula>30</formula>
    </cfRule>
  </conditionalFormatting>
  <conditionalFormatting sqref="M247">
    <cfRule type="cellIs" dxfId="0" priority="1268" operator="lessThan">
      <formula>30</formula>
    </cfRule>
  </conditionalFormatting>
  <conditionalFormatting sqref="M248">
    <cfRule type="cellIs" dxfId="0" priority="1267" operator="lessThan">
      <formula>30</formula>
    </cfRule>
  </conditionalFormatting>
  <conditionalFormatting sqref="M249">
    <cfRule type="cellIs" dxfId="0" priority="1266" operator="lessThan">
      <formula>30</formula>
    </cfRule>
  </conditionalFormatting>
  <conditionalFormatting sqref="M250">
    <cfRule type="cellIs" dxfId="0" priority="1265" operator="lessThan">
      <formula>30</formula>
    </cfRule>
  </conditionalFormatting>
  <conditionalFormatting sqref="M251">
    <cfRule type="cellIs" dxfId="0" priority="1264" operator="lessThan">
      <formula>30</formula>
    </cfRule>
  </conditionalFormatting>
  <conditionalFormatting sqref="M252">
    <cfRule type="cellIs" dxfId="0" priority="1263" operator="lessThan">
      <formula>30</formula>
    </cfRule>
  </conditionalFormatting>
  <conditionalFormatting sqref="M253">
    <cfRule type="cellIs" dxfId="0" priority="1262" operator="lessThan">
      <formula>30</formula>
    </cfRule>
  </conditionalFormatting>
  <conditionalFormatting sqref="M254">
    <cfRule type="cellIs" dxfId="0" priority="1261" operator="lessThan">
      <formula>30</formula>
    </cfRule>
  </conditionalFormatting>
  <conditionalFormatting sqref="M255">
    <cfRule type="cellIs" dxfId="0" priority="1260" operator="lessThan">
      <formula>30</formula>
    </cfRule>
  </conditionalFormatting>
  <conditionalFormatting sqref="M256">
    <cfRule type="cellIs" dxfId="0" priority="1259" operator="lessThan">
      <formula>30</formula>
    </cfRule>
  </conditionalFormatting>
  <conditionalFormatting sqref="M257">
    <cfRule type="cellIs" dxfId="0" priority="1258" operator="lessThan">
      <formula>30</formula>
    </cfRule>
  </conditionalFormatting>
  <conditionalFormatting sqref="M258">
    <cfRule type="cellIs" dxfId="0" priority="1257" operator="lessThan">
      <formula>30</formula>
    </cfRule>
  </conditionalFormatting>
  <conditionalFormatting sqref="M259">
    <cfRule type="cellIs" dxfId="0" priority="1256" operator="lessThan">
      <formula>30</formula>
    </cfRule>
  </conditionalFormatting>
  <conditionalFormatting sqref="M260">
    <cfRule type="cellIs" dxfId="0" priority="1255" operator="lessThan">
      <formula>30</formula>
    </cfRule>
  </conditionalFormatting>
  <conditionalFormatting sqref="M261">
    <cfRule type="cellIs" dxfId="0" priority="1254" operator="lessThan">
      <formula>30</formula>
    </cfRule>
  </conditionalFormatting>
  <conditionalFormatting sqref="M262">
    <cfRule type="cellIs" dxfId="0" priority="1253" operator="lessThan">
      <formula>30</formula>
    </cfRule>
  </conditionalFormatting>
  <conditionalFormatting sqref="M263">
    <cfRule type="cellIs" dxfId="0" priority="1252" operator="lessThan">
      <formula>30</formula>
    </cfRule>
  </conditionalFormatting>
  <conditionalFormatting sqref="M264">
    <cfRule type="cellIs" dxfId="0" priority="1251" operator="lessThan">
      <formula>30</formula>
    </cfRule>
  </conditionalFormatting>
  <conditionalFormatting sqref="M265">
    <cfRule type="cellIs" dxfId="0" priority="1250" operator="lessThan">
      <formula>30</formula>
    </cfRule>
  </conditionalFormatting>
  <conditionalFormatting sqref="M266">
    <cfRule type="cellIs" dxfId="0" priority="1249" operator="lessThan">
      <formula>30</formula>
    </cfRule>
  </conditionalFormatting>
  <conditionalFormatting sqref="M267">
    <cfRule type="cellIs" dxfId="0" priority="1248" operator="lessThan">
      <formula>30</formula>
    </cfRule>
  </conditionalFormatting>
  <conditionalFormatting sqref="M268">
    <cfRule type="cellIs" dxfId="0" priority="1247" operator="lessThan">
      <formula>30</formula>
    </cfRule>
  </conditionalFormatting>
  <conditionalFormatting sqref="M269">
    <cfRule type="cellIs" dxfId="0" priority="1246" operator="lessThan">
      <formula>30</formula>
    </cfRule>
  </conditionalFormatting>
  <conditionalFormatting sqref="M270">
    <cfRule type="cellIs" dxfId="0" priority="1245" operator="lessThan">
      <formula>30</formula>
    </cfRule>
  </conditionalFormatting>
  <conditionalFormatting sqref="M271">
    <cfRule type="cellIs" dxfId="0" priority="1244" operator="lessThan">
      <formula>30</formula>
    </cfRule>
  </conditionalFormatting>
  <conditionalFormatting sqref="M272">
    <cfRule type="cellIs" dxfId="0" priority="1243" operator="lessThan">
      <formula>30</formula>
    </cfRule>
  </conditionalFormatting>
  <conditionalFormatting sqref="M273">
    <cfRule type="cellIs" dxfId="0" priority="1242" operator="lessThan">
      <formula>30</formula>
    </cfRule>
  </conditionalFormatting>
  <conditionalFormatting sqref="M274">
    <cfRule type="cellIs" dxfId="0" priority="1241" operator="lessThan">
      <formula>30</formula>
    </cfRule>
  </conditionalFormatting>
  <conditionalFormatting sqref="M275">
    <cfRule type="cellIs" dxfId="0" priority="1240" operator="lessThan">
      <formula>30</formula>
    </cfRule>
  </conditionalFormatting>
  <conditionalFormatting sqref="M276">
    <cfRule type="cellIs" dxfId="0" priority="1239" operator="lessThan">
      <formula>30</formula>
    </cfRule>
  </conditionalFormatting>
  <conditionalFormatting sqref="M277">
    <cfRule type="cellIs" dxfId="0" priority="1238" operator="lessThan">
      <formula>30</formula>
    </cfRule>
  </conditionalFormatting>
  <conditionalFormatting sqref="M278">
    <cfRule type="cellIs" dxfId="0" priority="1237" operator="lessThan">
      <formula>30</formula>
    </cfRule>
  </conditionalFormatting>
  <conditionalFormatting sqref="M279">
    <cfRule type="cellIs" dxfId="0" priority="1236" operator="lessThan">
      <formula>30</formula>
    </cfRule>
  </conditionalFormatting>
  <conditionalFormatting sqref="M280">
    <cfRule type="cellIs" dxfId="0" priority="1235" operator="lessThan">
      <formula>30</formula>
    </cfRule>
  </conditionalFormatting>
  <conditionalFormatting sqref="M281">
    <cfRule type="cellIs" dxfId="0" priority="1234" operator="lessThan">
      <formula>30</formula>
    </cfRule>
  </conditionalFormatting>
  <conditionalFormatting sqref="M282">
    <cfRule type="cellIs" dxfId="0" priority="1233" operator="lessThan">
      <formula>30</formula>
    </cfRule>
  </conditionalFormatting>
  <conditionalFormatting sqref="M283">
    <cfRule type="cellIs" dxfId="0" priority="1232" operator="lessThan">
      <formula>30</formula>
    </cfRule>
  </conditionalFormatting>
  <conditionalFormatting sqref="M284">
    <cfRule type="cellIs" dxfId="0" priority="1231" operator="lessThan">
      <formula>30</formula>
    </cfRule>
  </conditionalFormatting>
  <conditionalFormatting sqref="M285">
    <cfRule type="cellIs" dxfId="0" priority="1230" operator="lessThan">
      <formula>30</formula>
    </cfRule>
  </conditionalFormatting>
  <conditionalFormatting sqref="M286">
    <cfRule type="cellIs" dxfId="0" priority="1229" operator="lessThan">
      <formula>30</formula>
    </cfRule>
  </conditionalFormatting>
  <conditionalFormatting sqref="M287">
    <cfRule type="cellIs" dxfId="0" priority="1228" operator="lessThan">
      <formula>30</formula>
    </cfRule>
  </conditionalFormatting>
  <conditionalFormatting sqref="M288">
    <cfRule type="cellIs" dxfId="0" priority="1227" operator="lessThan">
      <formula>30</formula>
    </cfRule>
  </conditionalFormatting>
  <conditionalFormatting sqref="M289">
    <cfRule type="cellIs" dxfId="0" priority="1226" operator="lessThan">
      <formula>30</formula>
    </cfRule>
  </conditionalFormatting>
  <conditionalFormatting sqref="M290">
    <cfRule type="cellIs" dxfId="0" priority="1225" operator="lessThan">
      <formula>30</formula>
    </cfRule>
  </conditionalFormatting>
  <conditionalFormatting sqref="M291">
    <cfRule type="cellIs" dxfId="0" priority="1224" operator="lessThan">
      <formula>30</formula>
    </cfRule>
  </conditionalFormatting>
  <conditionalFormatting sqref="M292">
    <cfRule type="cellIs" dxfId="0" priority="1223" operator="lessThan">
      <formula>30</formula>
    </cfRule>
  </conditionalFormatting>
  <conditionalFormatting sqref="M293">
    <cfRule type="cellIs" dxfId="0" priority="1222" operator="lessThan">
      <formula>30</formula>
    </cfRule>
  </conditionalFormatting>
  <conditionalFormatting sqref="M294">
    <cfRule type="cellIs" dxfId="0" priority="1221" operator="lessThan">
      <formula>30</formula>
    </cfRule>
  </conditionalFormatting>
  <conditionalFormatting sqref="M295">
    <cfRule type="cellIs" dxfId="0" priority="1220" operator="lessThan">
      <formula>30</formula>
    </cfRule>
  </conditionalFormatting>
  <conditionalFormatting sqref="M296">
    <cfRule type="cellIs" dxfId="0" priority="1219" operator="lessThan">
      <formula>30</formula>
    </cfRule>
  </conditionalFormatting>
  <conditionalFormatting sqref="M297">
    <cfRule type="cellIs" dxfId="0" priority="1218" operator="lessThan">
      <formula>30</formula>
    </cfRule>
  </conditionalFormatting>
  <conditionalFormatting sqref="M298">
    <cfRule type="cellIs" dxfId="0" priority="1217" operator="lessThan">
      <formula>30</formula>
    </cfRule>
  </conditionalFormatting>
  <conditionalFormatting sqref="M299">
    <cfRule type="cellIs" dxfId="0" priority="1216" operator="lessThan">
      <formula>30</formula>
    </cfRule>
  </conditionalFormatting>
  <conditionalFormatting sqref="M300">
    <cfRule type="cellIs" dxfId="0" priority="1215" operator="lessThan">
      <formula>30</formula>
    </cfRule>
  </conditionalFormatting>
  <conditionalFormatting sqref="M301">
    <cfRule type="cellIs" dxfId="0" priority="1214" operator="lessThan">
      <formula>30</formula>
    </cfRule>
  </conditionalFormatting>
  <conditionalFormatting sqref="M302">
    <cfRule type="cellIs" dxfId="0" priority="1213" operator="lessThan">
      <formula>30</formula>
    </cfRule>
  </conditionalFormatting>
  <conditionalFormatting sqref="M303">
    <cfRule type="cellIs" dxfId="0" priority="1212" operator="lessThan">
      <formula>30</formula>
    </cfRule>
  </conditionalFormatting>
  <conditionalFormatting sqref="M304">
    <cfRule type="cellIs" dxfId="0" priority="1211" operator="lessThan">
      <formula>30</formula>
    </cfRule>
  </conditionalFormatting>
  <conditionalFormatting sqref="M305">
    <cfRule type="cellIs" dxfId="0" priority="1210" operator="lessThan">
      <formula>30</formula>
    </cfRule>
  </conditionalFormatting>
  <conditionalFormatting sqref="M306">
    <cfRule type="cellIs" dxfId="0" priority="1209" operator="lessThan">
      <formula>30</formula>
    </cfRule>
  </conditionalFormatting>
  <conditionalFormatting sqref="M307">
    <cfRule type="cellIs" dxfId="0" priority="1208" operator="lessThan">
      <formula>30</formula>
    </cfRule>
  </conditionalFormatting>
  <conditionalFormatting sqref="M308">
    <cfRule type="cellIs" dxfId="0" priority="1207" operator="lessThan">
      <formula>30</formula>
    </cfRule>
  </conditionalFormatting>
  <conditionalFormatting sqref="M309">
    <cfRule type="cellIs" dxfId="0" priority="1206" operator="lessThan">
      <formula>30</formula>
    </cfRule>
  </conditionalFormatting>
  <conditionalFormatting sqref="M310">
    <cfRule type="cellIs" dxfId="0" priority="1205" operator="lessThan">
      <formula>30</formula>
    </cfRule>
  </conditionalFormatting>
  <conditionalFormatting sqref="M311">
    <cfRule type="cellIs" dxfId="0" priority="1204" operator="lessThan">
      <formula>30</formula>
    </cfRule>
  </conditionalFormatting>
  <conditionalFormatting sqref="M312">
    <cfRule type="cellIs" dxfId="0" priority="1203" operator="lessThan">
      <formula>30</formula>
    </cfRule>
  </conditionalFormatting>
  <conditionalFormatting sqref="M313">
    <cfRule type="cellIs" dxfId="0" priority="1202" operator="lessThan">
      <formula>30</formula>
    </cfRule>
  </conditionalFormatting>
  <conditionalFormatting sqref="M314">
    <cfRule type="cellIs" dxfId="0" priority="1201" operator="lessThan">
      <formula>30</formula>
    </cfRule>
  </conditionalFormatting>
  <conditionalFormatting sqref="M315">
    <cfRule type="cellIs" dxfId="0" priority="1200" operator="lessThan">
      <formula>30</formula>
    </cfRule>
  </conditionalFormatting>
  <conditionalFormatting sqref="M316">
    <cfRule type="cellIs" dxfId="0" priority="1199" operator="lessThan">
      <formula>30</formula>
    </cfRule>
  </conditionalFormatting>
  <conditionalFormatting sqref="M317">
    <cfRule type="cellIs" dxfId="0" priority="1197" operator="lessThan">
      <formula>30</formula>
    </cfRule>
  </conditionalFormatting>
  <conditionalFormatting sqref="M318">
    <cfRule type="cellIs" dxfId="0" priority="1196" operator="lessThan">
      <formula>30</formula>
    </cfRule>
  </conditionalFormatting>
  <conditionalFormatting sqref="M319">
    <cfRule type="cellIs" dxfId="0" priority="1195" operator="lessThan">
      <formula>30</formula>
    </cfRule>
  </conditionalFormatting>
  <conditionalFormatting sqref="M320">
    <cfRule type="cellIs" dxfId="0" priority="1194" operator="lessThan">
      <formula>30</formula>
    </cfRule>
  </conditionalFormatting>
  <conditionalFormatting sqref="M321">
    <cfRule type="cellIs" dxfId="0" priority="1193" operator="lessThan">
      <formula>30</formula>
    </cfRule>
  </conditionalFormatting>
  <conditionalFormatting sqref="M322">
    <cfRule type="cellIs" dxfId="0" priority="1192" operator="lessThan">
      <formula>30</formula>
    </cfRule>
  </conditionalFormatting>
  <conditionalFormatting sqref="M323">
    <cfRule type="cellIs" dxfId="0" priority="1191" operator="lessThan">
      <formula>30</formula>
    </cfRule>
  </conditionalFormatting>
  <conditionalFormatting sqref="M324">
    <cfRule type="cellIs" dxfId="0" priority="1190" operator="lessThan">
      <formula>30</formula>
    </cfRule>
  </conditionalFormatting>
  <conditionalFormatting sqref="M325">
    <cfRule type="cellIs" dxfId="0" priority="1189" operator="lessThan">
      <formula>30</formula>
    </cfRule>
  </conditionalFormatting>
  <conditionalFormatting sqref="M326">
    <cfRule type="cellIs" dxfId="0" priority="1188" operator="lessThan">
      <formula>30</formula>
    </cfRule>
  </conditionalFormatting>
  <conditionalFormatting sqref="M327">
    <cfRule type="cellIs" dxfId="0" priority="1187" operator="lessThan">
      <formula>30</formula>
    </cfRule>
  </conditionalFormatting>
  <conditionalFormatting sqref="M328">
    <cfRule type="cellIs" dxfId="0" priority="1186" operator="lessThan">
      <formula>30</formula>
    </cfRule>
  </conditionalFormatting>
  <conditionalFormatting sqref="M329">
    <cfRule type="cellIs" dxfId="0" priority="1185" operator="lessThan">
      <formula>30</formula>
    </cfRule>
  </conditionalFormatting>
  <conditionalFormatting sqref="M330">
    <cfRule type="cellIs" dxfId="0" priority="1184" operator="lessThan">
      <formula>30</formula>
    </cfRule>
  </conditionalFormatting>
  <conditionalFormatting sqref="M331">
    <cfRule type="cellIs" dxfId="0" priority="1183" operator="lessThan">
      <formula>30</formula>
    </cfRule>
  </conditionalFormatting>
  <conditionalFormatting sqref="M332">
    <cfRule type="cellIs" dxfId="0" priority="1182" operator="lessThan">
      <formula>30</formula>
    </cfRule>
  </conditionalFormatting>
  <conditionalFormatting sqref="M333">
    <cfRule type="cellIs" dxfId="0" priority="1181" operator="lessThan">
      <formula>30</formula>
    </cfRule>
  </conditionalFormatting>
  <conditionalFormatting sqref="M334">
    <cfRule type="cellIs" dxfId="0" priority="1180" operator="lessThan">
      <formula>30</formula>
    </cfRule>
  </conditionalFormatting>
  <conditionalFormatting sqref="M335">
    <cfRule type="cellIs" dxfId="0" priority="1179" operator="lessThan">
      <formula>30</formula>
    </cfRule>
  </conditionalFormatting>
  <conditionalFormatting sqref="M336">
    <cfRule type="cellIs" dxfId="0" priority="1178" operator="lessThan">
      <formula>30</formula>
    </cfRule>
  </conditionalFormatting>
  <conditionalFormatting sqref="M337">
    <cfRule type="cellIs" dxfId="0" priority="1177" operator="lessThan">
      <formula>30</formula>
    </cfRule>
  </conditionalFormatting>
  <conditionalFormatting sqref="M338">
    <cfRule type="cellIs" dxfId="0" priority="1176" operator="lessThan">
      <formula>30</formula>
    </cfRule>
  </conditionalFormatting>
  <conditionalFormatting sqref="M339">
    <cfRule type="cellIs" dxfId="0" priority="1175" operator="lessThan">
      <formula>30</formula>
    </cfRule>
  </conditionalFormatting>
  <conditionalFormatting sqref="M340">
    <cfRule type="cellIs" dxfId="0" priority="1174" operator="lessThan">
      <formula>30</formula>
    </cfRule>
  </conditionalFormatting>
  <conditionalFormatting sqref="M341">
    <cfRule type="cellIs" dxfId="0" priority="1173" operator="lessThan">
      <formula>30</formula>
    </cfRule>
  </conditionalFormatting>
  <conditionalFormatting sqref="M342">
    <cfRule type="cellIs" dxfId="0" priority="1172" operator="lessThan">
      <formula>30</formula>
    </cfRule>
  </conditionalFormatting>
  <conditionalFormatting sqref="M343">
    <cfRule type="cellIs" dxfId="0" priority="1171" operator="lessThan">
      <formula>30</formula>
    </cfRule>
  </conditionalFormatting>
  <conditionalFormatting sqref="M344">
    <cfRule type="cellIs" dxfId="0" priority="1170" operator="lessThan">
      <formula>30</formula>
    </cfRule>
  </conditionalFormatting>
  <conditionalFormatting sqref="M345">
    <cfRule type="cellIs" dxfId="0" priority="1169" operator="lessThan">
      <formula>30</formula>
    </cfRule>
  </conditionalFormatting>
  <conditionalFormatting sqref="M346">
    <cfRule type="cellIs" dxfId="0" priority="1168" operator="lessThan">
      <formula>30</formula>
    </cfRule>
  </conditionalFormatting>
  <conditionalFormatting sqref="M347">
    <cfRule type="cellIs" dxfId="0" priority="1167" operator="lessThan">
      <formula>30</formula>
    </cfRule>
  </conditionalFormatting>
  <conditionalFormatting sqref="M348">
    <cfRule type="cellIs" dxfId="0" priority="1166" operator="lessThan">
      <formula>30</formula>
    </cfRule>
  </conditionalFormatting>
  <conditionalFormatting sqref="M349">
    <cfRule type="cellIs" dxfId="0" priority="1165" operator="lessThan">
      <formula>30</formula>
    </cfRule>
  </conditionalFormatting>
  <conditionalFormatting sqref="M350">
    <cfRule type="cellIs" dxfId="0" priority="1164" operator="lessThan">
      <formula>30</formula>
    </cfRule>
  </conditionalFormatting>
  <conditionalFormatting sqref="M351">
    <cfRule type="cellIs" dxfId="0" priority="1163" operator="lessThan">
      <formula>30</formula>
    </cfRule>
  </conditionalFormatting>
  <conditionalFormatting sqref="M352">
    <cfRule type="cellIs" dxfId="0" priority="1162" operator="lessThan">
      <formula>30</formula>
    </cfRule>
  </conditionalFormatting>
  <conditionalFormatting sqref="M353">
    <cfRule type="cellIs" dxfId="0" priority="1161" operator="lessThan">
      <formula>30</formula>
    </cfRule>
  </conditionalFormatting>
  <conditionalFormatting sqref="M354">
    <cfRule type="cellIs" dxfId="0" priority="1160" operator="lessThan">
      <formula>30</formula>
    </cfRule>
  </conditionalFormatting>
  <conditionalFormatting sqref="M355">
    <cfRule type="cellIs" dxfId="0" priority="1159" operator="lessThan">
      <formula>30</formula>
    </cfRule>
  </conditionalFormatting>
  <conditionalFormatting sqref="M356">
    <cfRule type="cellIs" dxfId="0" priority="1158" operator="lessThan">
      <formula>30</formula>
    </cfRule>
  </conditionalFormatting>
  <conditionalFormatting sqref="M357">
    <cfRule type="cellIs" dxfId="0" priority="1157" operator="lessThan">
      <formula>30</formula>
    </cfRule>
  </conditionalFormatting>
  <conditionalFormatting sqref="M358">
    <cfRule type="cellIs" dxfId="0" priority="1156" operator="lessThan">
      <formula>30</formula>
    </cfRule>
  </conditionalFormatting>
  <conditionalFormatting sqref="M359">
    <cfRule type="cellIs" dxfId="0" priority="1155" operator="lessThan">
      <formula>30</formula>
    </cfRule>
  </conditionalFormatting>
  <conditionalFormatting sqref="M360">
    <cfRule type="cellIs" dxfId="0" priority="1154" operator="lessThan">
      <formula>30</formula>
    </cfRule>
  </conditionalFormatting>
  <conditionalFormatting sqref="M361">
    <cfRule type="cellIs" dxfId="0" priority="1153" operator="lessThan">
      <formula>30</formula>
    </cfRule>
  </conditionalFormatting>
  <conditionalFormatting sqref="M362">
    <cfRule type="cellIs" dxfId="0" priority="1152" operator="lessThan">
      <formula>30</formula>
    </cfRule>
  </conditionalFormatting>
  <conditionalFormatting sqref="M363">
    <cfRule type="cellIs" dxfId="0" priority="1151" operator="lessThan">
      <formula>30</formula>
    </cfRule>
  </conditionalFormatting>
  <conditionalFormatting sqref="M364">
    <cfRule type="cellIs" dxfId="0" priority="1150" operator="lessThan">
      <formula>30</formula>
    </cfRule>
  </conditionalFormatting>
  <conditionalFormatting sqref="M365">
    <cfRule type="cellIs" dxfId="0" priority="1149" operator="lessThan">
      <formula>30</formula>
    </cfRule>
  </conditionalFormatting>
  <conditionalFormatting sqref="M366">
    <cfRule type="cellIs" dxfId="0" priority="1148" operator="lessThan">
      <formula>30</formula>
    </cfRule>
  </conditionalFormatting>
  <conditionalFormatting sqref="M367">
    <cfRule type="cellIs" dxfId="0" priority="1147" operator="lessThan">
      <formula>30</formula>
    </cfRule>
  </conditionalFormatting>
  <conditionalFormatting sqref="M368">
    <cfRule type="cellIs" dxfId="0" priority="1146" operator="lessThan">
      <formula>30</formula>
    </cfRule>
  </conditionalFormatting>
  <conditionalFormatting sqref="M369">
    <cfRule type="cellIs" dxfId="0" priority="1145" operator="lessThan">
      <formula>30</formula>
    </cfRule>
  </conditionalFormatting>
  <conditionalFormatting sqref="M370">
    <cfRule type="cellIs" dxfId="0" priority="1144" operator="lessThan">
      <formula>30</formula>
    </cfRule>
  </conditionalFormatting>
  <conditionalFormatting sqref="M371">
    <cfRule type="cellIs" dxfId="0" priority="1143" operator="lessThan">
      <formula>30</formula>
    </cfRule>
  </conditionalFormatting>
  <conditionalFormatting sqref="M372">
    <cfRule type="cellIs" dxfId="0" priority="1142" operator="lessThan">
      <formula>30</formula>
    </cfRule>
  </conditionalFormatting>
  <conditionalFormatting sqref="M373">
    <cfRule type="cellIs" dxfId="0" priority="1141" operator="lessThan">
      <formula>30</formula>
    </cfRule>
  </conditionalFormatting>
  <conditionalFormatting sqref="M374">
    <cfRule type="cellIs" dxfId="0" priority="1140" operator="lessThan">
      <formula>30</formula>
    </cfRule>
  </conditionalFormatting>
  <conditionalFormatting sqref="M375">
    <cfRule type="cellIs" dxfId="0" priority="1139" operator="lessThan">
      <formula>30</formula>
    </cfRule>
  </conditionalFormatting>
  <conditionalFormatting sqref="M376">
    <cfRule type="cellIs" dxfId="0" priority="1138" operator="lessThan">
      <formula>30</formula>
    </cfRule>
  </conditionalFormatting>
  <conditionalFormatting sqref="M377">
    <cfRule type="cellIs" dxfId="0" priority="1137" operator="lessThan">
      <formula>30</formula>
    </cfRule>
  </conditionalFormatting>
  <conditionalFormatting sqref="M378">
    <cfRule type="cellIs" dxfId="0" priority="1136" operator="lessThan">
      <formula>30</formula>
    </cfRule>
  </conditionalFormatting>
  <conditionalFormatting sqref="M379">
    <cfRule type="cellIs" dxfId="0" priority="1135" operator="lessThan">
      <formula>30</formula>
    </cfRule>
  </conditionalFormatting>
  <conditionalFormatting sqref="M380">
    <cfRule type="cellIs" dxfId="0" priority="1134" operator="lessThan">
      <formula>30</formula>
    </cfRule>
  </conditionalFormatting>
  <conditionalFormatting sqref="M381">
    <cfRule type="cellIs" dxfId="0" priority="1133" operator="lessThan">
      <formula>30</formula>
    </cfRule>
  </conditionalFormatting>
  <conditionalFormatting sqref="M382">
    <cfRule type="cellIs" dxfId="0" priority="1132" operator="lessThan">
      <formula>30</formula>
    </cfRule>
  </conditionalFormatting>
  <conditionalFormatting sqref="M383">
    <cfRule type="cellIs" dxfId="0" priority="1131" operator="lessThan">
      <formula>30</formula>
    </cfRule>
  </conditionalFormatting>
  <conditionalFormatting sqref="M384">
    <cfRule type="cellIs" dxfId="0" priority="1130" operator="lessThan">
      <formula>30</formula>
    </cfRule>
  </conditionalFormatting>
  <conditionalFormatting sqref="M385">
    <cfRule type="cellIs" dxfId="0" priority="1129" operator="lessThan">
      <formula>30</formula>
    </cfRule>
  </conditionalFormatting>
  <conditionalFormatting sqref="M386">
    <cfRule type="cellIs" dxfId="0" priority="1128" operator="lessThan">
      <formula>30</formula>
    </cfRule>
  </conditionalFormatting>
  <conditionalFormatting sqref="M387">
    <cfRule type="cellIs" dxfId="0" priority="1127" operator="lessThan">
      <formula>30</formula>
    </cfRule>
  </conditionalFormatting>
  <conditionalFormatting sqref="M388">
    <cfRule type="cellIs" dxfId="0" priority="1126" operator="lessThan">
      <formula>30</formula>
    </cfRule>
  </conditionalFormatting>
  <conditionalFormatting sqref="M389">
    <cfRule type="cellIs" dxfId="0" priority="1125" operator="lessThan">
      <formula>30</formula>
    </cfRule>
  </conditionalFormatting>
  <conditionalFormatting sqref="M390">
    <cfRule type="cellIs" dxfId="0" priority="1124" operator="lessThan">
      <formula>30</formula>
    </cfRule>
  </conditionalFormatting>
  <conditionalFormatting sqref="M391">
    <cfRule type="cellIs" dxfId="0" priority="1123" operator="lessThan">
      <formula>30</formula>
    </cfRule>
  </conditionalFormatting>
  <conditionalFormatting sqref="M392">
    <cfRule type="cellIs" dxfId="0" priority="1122" operator="lessThan">
      <formula>30</formula>
    </cfRule>
  </conditionalFormatting>
  <conditionalFormatting sqref="M393">
    <cfRule type="cellIs" dxfId="0" priority="1121" operator="lessThan">
      <formula>30</formula>
    </cfRule>
  </conditionalFormatting>
  <conditionalFormatting sqref="M394">
    <cfRule type="cellIs" dxfId="0" priority="1120" operator="lessThan">
      <formula>30</formula>
    </cfRule>
  </conditionalFormatting>
  <conditionalFormatting sqref="M395">
    <cfRule type="cellIs" dxfId="0" priority="1119" operator="lessThan">
      <formula>30</formula>
    </cfRule>
  </conditionalFormatting>
  <conditionalFormatting sqref="M396">
    <cfRule type="cellIs" dxfId="0" priority="1118" operator="lessThan">
      <formula>30</formula>
    </cfRule>
  </conditionalFormatting>
  <conditionalFormatting sqref="M397">
    <cfRule type="cellIs" dxfId="0" priority="1117" operator="lessThan">
      <formula>30</formula>
    </cfRule>
  </conditionalFormatting>
  <conditionalFormatting sqref="M398">
    <cfRule type="cellIs" dxfId="0" priority="1116" operator="lessThan">
      <formula>30</formula>
    </cfRule>
  </conditionalFormatting>
  <conditionalFormatting sqref="M399">
    <cfRule type="cellIs" dxfId="0" priority="1115" operator="lessThan">
      <formula>30</formula>
    </cfRule>
  </conditionalFormatting>
  <conditionalFormatting sqref="M400">
    <cfRule type="cellIs" dxfId="0" priority="1114" operator="lessThan">
      <formula>30</formula>
    </cfRule>
  </conditionalFormatting>
  <conditionalFormatting sqref="M401">
    <cfRule type="cellIs" dxfId="0" priority="1113" operator="lessThan">
      <formula>30</formula>
    </cfRule>
  </conditionalFormatting>
  <conditionalFormatting sqref="M402">
    <cfRule type="cellIs" dxfId="0" priority="1112" operator="lessThan">
      <formula>30</formula>
    </cfRule>
  </conditionalFormatting>
  <conditionalFormatting sqref="M403">
    <cfRule type="cellIs" dxfId="0" priority="1111" operator="lessThan">
      <formula>30</formula>
    </cfRule>
  </conditionalFormatting>
  <conditionalFormatting sqref="M404">
    <cfRule type="cellIs" dxfId="0" priority="1110" operator="lessThan">
      <formula>30</formula>
    </cfRule>
  </conditionalFormatting>
  <conditionalFormatting sqref="M405">
    <cfRule type="cellIs" dxfId="0" priority="1109" operator="lessThan">
      <formula>30</formula>
    </cfRule>
  </conditionalFormatting>
  <conditionalFormatting sqref="M406">
    <cfRule type="cellIs" dxfId="0" priority="1108" operator="lessThan">
      <formula>30</formula>
    </cfRule>
  </conditionalFormatting>
  <conditionalFormatting sqref="M407">
    <cfRule type="cellIs" dxfId="0" priority="1107" operator="lessThan">
      <formula>30</formula>
    </cfRule>
  </conditionalFormatting>
  <conditionalFormatting sqref="M408">
    <cfRule type="cellIs" dxfId="0" priority="1106" operator="lessThan">
      <formula>30</formula>
    </cfRule>
  </conditionalFormatting>
  <conditionalFormatting sqref="Z408">
    <cfRule type="cellIs" dxfId="0" priority="328" operator="lessThan">
      <formula>30</formula>
    </cfRule>
  </conditionalFormatting>
  <conditionalFormatting sqref="M409">
    <cfRule type="cellIs" dxfId="0" priority="1105" operator="lessThan">
      <formula>30</formula>
    </cfRule>
  </conditionalFormatting>
  <conditionalFormatting sqref="M410">
    <cfRule type="cellIs" dxfId="0" priority="1104" operator="lessThan">
      <formula>30</formula>
    </cfRule>
  </conditionalFormatting>
  <conditionalFormatting sqref="M411">
    <cfRule type="cellIs" dxfId="0" priority="1103" operator="lessThan">
      <formula>30</formula>
    </cfRule>
  </conditionalFormatting>
  <conditionalFormatting sqref="M412">
    <cfRule type="cellIs" dxfId="0" priority="1102" operator="lessThan">
      <formula>30</formula>
    </cfRule>
  </conditionalFormatting>
  <conditionalFormatting sqref="M413">
    <cfRule type="cellIs" dxfId="0" priority="1101" operator="lessThan">
      <formula>30</formula>
    </cfRule>
  </conditionalFormatting>
  <conditionalFormatting sqref="M414">
    <cfRule type="cellIs" dxfId="0" priority="1100" operator="lessThan">
      <formula>30</formula>
    </cfRule>
  </conditionalFormatting>
  <conditionalFormatting sqref="M415">
    <cfRule type="cellIs" dxfId="0" priority="1099" operator="lessThan">
      <formula>30</formula>
    </cfRule>
  </conditionalFormatting>
  <conditionalFormatting sqref="M416">
    <cfRule type="cellIs" dxfId="0" priority="1098" operator="lessThan">
      <formula>30</formula>
    </cfRule>
  </conditionalFormatting>
  <conditionalFormatting sqref="M417">
    <cfRule type="cellIs" dxfId="0" priority="1097" operator="lessThan">
      <formula>30</formula>
    </cfRule>
  </conditionalFormatting>
  <conditionalFormatting sqref="M418">
    <cfRule type="cellIs" dxfId="0" priority="1096" operator="lessThan">
      <formula>30</formula>
    </cfRule>
  </conditionalFormatting>
  <conditionalFormatting sqref="M419">
    <cfRule type="cellIs" dxfId="0" priority="1095" operator="lessThan">
      <formula>30</formula>
    </cfRule>
  </conditionalFormatting>
  <conditionalFormatting sqref="M420">
    <cfRule type="cellIs" dxfId="0" priority="1094" operator="lessThan">
      <formula>30</formula>
    </cfRule>
  </conditionalFormatting>
  <conditionalFormatting sqref="M421">
    <cfRule type="cellIs" dxfId="0" priority="1093" operator="lessThan">
      <formula>30</formula>
    </cfRule>
  </conditionalFormatting>
  <conditionalFormatting sqref="M422">
    <cfRule type="cellIs" dxfId="0" priority="1092" operator="lessThan">
      <formula>30</formula>
    </cfRule>
  </conditionalFormatting>
  <conditionalFormatting sqref="M423">
    <cfRule type="cellIs" dxfId="0" priority="1091" operator="lessThan">
      <formula>30</formula>
    </cfRule>
  </conditionalFormatting>
  <conditionalFormatting sqref="M424">
    <cfRule type="cellIs" dxfId="0" priority="1090" operator="lessThan">
      <formula>30</formula>
    </cfRule>
  </conditionalFormatting>
  <conditionalFormatting sqref="M425">
    <cfRule type="cellIs" dxfId="0" priority="1089" operator="lessThan">
      <formula>30</formula>
    </cfRule>
  </conditionalFormatting>
  <conditionalFormatting sqref="M426">
    <cfRule type="cellIs" dxfId="0" priority="1088" operator="lessThan">
      <formula>30</formula>
    </cfRule>
  </conditionalFormatting>
  <conditionalFormatting sqref="M427">
    <cfRule type="cellIs" dxfId="0" priority="1087" operator="lessThan">
      <formula>30</formula>
    </cfRule>
  </conditionalFormatting>
  <conditionalFormatting sqref="M428">
    <cfRule type="cellIs" dxfId="0" priority="1086" operator="lessThan">
      <formula>30</formula>
    </cfRule>
  </conditionalFormatting>
  <conditionalFormatting sqref="M429">
    <cfRule type="cellIs" dxfId="0" priority="1085" operator="lessThan">
      <formula>30</formula>
    </cfRule>
  </conditionalFormatting>
  <conditionalFormatting sqref="M430">
    <cfRule type="cellIs" dxfId="0" priority="1084" operator="lessThan">
      <formula>30</formula>
    </cfRule>
  </conditionalFormatting>
  <conditionalFormatting sqref="M431">
    <cfRule type="cellIs" dxfId="0" priority="1083" operator="lessThan">
      <formula>30</formula>
    </cfRule>
  </conditionalFormatting>
  <conditionalFormatting sqref="M432">
    <cfRule type="cellIs" dxfId="0" priority="1082" operator="lessThan">
      <formula>30</formula>
    </cfRule>
  </conditionalFormatting>
  <conditionalFormatting sqref="M433">
    <cfRule type="cellIs" dxfId="0" priority="1081" operator="lessThan">
      <formula>30</formula>
    </cfRule>
  </conditionalFormatting>
  <conditionalFormatting sqref="M434">
    <cfRule type="cellIs" dxfId="0" priority="1080" operator="lessThan">
      <formula>30</formula>
    </cfRule>
  </conditionalFormatting>
  <conditionalFormatting sqref="M435">
    <cfRule type="cellIs" dxfId="0" priority="1079" operator="lessThan">
      <formula>30</formula>
    </cfRule>
  </conditionalFormatting>
  <conditionalFormatting sqref="M436">
    <cfRule type="cellIs" dxfId="0" priority="1078" operator="lessThan">
      <formula>30</formula>
    </cfRule>
  </conditionalFormatting>
  <conditionalFormatting sqref="M437">
    <cfRule type="cellIs" dxfId="0" priority="1077" operator="lessThan">
      <formula>30</formula>
    </cfRule>
  </conditionalFormatting>
  <conditionalFormatting sqref="M438">
    <cfRule type="cellIs" dxfId="0" priority="1076" operator="lessThan">
      <formula>30</formula>
    </cfRule>
  </conditionalFormatting>
  <conditionalFormatting sqref="M439">
    <cfRule type="cellIs" dxfId="0" priority="1075" operator="lessThan">
      <formula>30</formula>
    </cfRule>
  </conditionalFormatting>
  <conditionalFormatting sqref="M440">
    <cfRule type="cellIs" dxfId="0" priority="1074" operator="lessThan">
      <formula>30</formula>
    </cfRule>
  </conditionalFormatting>
  <conditionalFormatting sqref="M441">
    <cfRule type="cellIs" dxfId="0" priority="1073" operator="lessThan">
      <formula>30</formula>
    </cfRule>
  </conditionalFormatting>
  <conditionalFormatting sqref="M442">
    <cfRule type="cellIs" dxfId="0" priority="1072" operator="lessThan">
      <formula>30</formula>
    </cfRule>
  </conditionalFormatting>
  <conditionalFormatting sqref="M443">
    <cfRule type="cellIs" dxfId="0" priority="1071" operator="lessThan">
      <formula>30</formula>
    </cfRule>
  </conditionalFormatting>
  <conditionalFormatting sqref="M444">
    <cfRule type="cellIs" dxfId="0" priority="1070" operator="lessThan">
      <formula>30</formula>
    </cfRule>
  </conditionalFormatting>
  <conditionalFormatting sqref="M445">
    <cfRule type="cellIs" dxfId="0" priority="1069" operator="lessThan">
      <formula>30</formula>
    </cfRule>
  </conditionalFormatting>
  <conditionalFormatting sqref="M446">
    <cfRule type="cellIs" dxfId="0" priority="1068" operator="lessThan">
      <formula>30</formula>
    </cfRule>
  </conditionalFormatting>
  <conditionalFormatting sqref="M447">
    <cfRule type="cellIs" dxfId="0" priority="1067" operator="lessThan">
      <formula>30</formula>
    </cfRule>
  </conditionalFormatting>
  <conditionalFormatting sqref="M448">
    <cfRule type="cellIs" dxfId="0" priority="1066" operator="lessThan">
      <formula>30</formula>
    </cfRule>
  </conditionalFormatting>
  <conditionalFormatting sqref="M449">
    <cfRule type="cellIs" dxfId="0" priority="1065" operator="lessThan">
      <formula>30</formula>
    </cfRule>
  </conditionalFormatting>
  <conditionalFormatting sqref="M450">
    <cfRule type="cellIs" dxfId="0" priority="1064" operator="lessThan">
      <formula>30</formula>
    </cfRule>
  </conditionalFormatting>
  <conditionalFormatting sqref="M451">
    <cfRule type="cellIs" dxfId="0" priority="1063" operator="lessThan">
      <formula>30</formula>
    </cfRule>
  </conditionalFormatting>
  <conditionalFormatting sqref="M452">
    <cfRule type="cellIs" dxfId="0" priority="1062" operator="lessThan">
      <formula>30</formula>
    </cfRule>
  </conditionalFormatting>
  <conditionalFormatting sqref="M453">
    <cfRule type="cellIs" dxfId="0" priority="1061" operator="lessThan">
      <formula>30</formula>
    </cfRule>
  </conditionalFormatting>
  <conditionalFormatting sqref="M454">
    <cfRule type="cellIs" dxfId="0" priority="1060" operator="lessThan">
      <formula>30</formula>
    </cfRule>
  </conditionalFormatting>
  <conditionalFormatting sqref="M455">
    <cfRule type="cellIs" dxfId="0" priority="1059" operator="lessThan">
      <formula>30</formula>
    </cfRule>
  </conditionalFormatting>
  <conditionalFormatting sqref="M456">
    <cfRule type="cellIs" dxfId="0" priority="1058" operator="lessThan">
      <formula>30</formula>
    </cfRule>
  </conditionalFormatting>
  <conditionalFormatting sqref="M457">
    <cfRule type="cellIs" dxfId="0" priority="1057" operator="lessThan">
      <formula>30</formula>
    </cfRule>
  </conditionalFormatting>
  <conditionalFormatting sqref="M458">
    <cfRule type="cellIs" dxfId="0" priority="1056" operator="lessThan">
      <formula>30</formula>
    </cfRule>
  </conditionalFormatting>
  <conditionalFormatting sqref="M459">
    <cfRule type="cellIs" dxfId="0" priority="1055" operator="lessThan">
      <formula>30</formula>
    </cfRule>
  </conditionalFormatting>
  <conditionalFormatting sqref="M460">
    <cfRule type="cellIs" dxfId="0" priority="1054" operator="lessThan">
      <formula>30</formula>
    </cfRule>
  </conditionalFormatting>
  <conditionalFormatting sqref="M461">
    <cfRule type="cellIs" dxfId="0" priority="1053" operator="lessThan">
      <formula>30</formula>
    </cfRule>
  </conditionalFormatting>
  <conditionalFormatting sqref="M462">
    <cfRule type="cellIs" dxfId="0" priority="1052" operator="lessThan">
      <formula>30</formula>
    </cfRule>
  </conditionalFormatting>
  <conditionalFormatting sqref="M463">
    <cfRule type="cellIs" dxfId="0" priority="1051" operator="lessThan">
      <formula>30</formula>
    </cfRule>
  </conditionalFormatting>
  <conditionalFormatting sqref="M464">
    <cfRule type="cellIs" dxfId="0" priority="1050" operator="lessThan">
      <formula>30</formula>
    </cfRule>
  </conditionalFormatting>
  <conditionalFormatting sqref="M465">
    <cfRule type="cellIs" dxfId="0" priority="1049" operator="lessThan">
      <formula>30</formula>
    </cfRule>
  </conditionalFormatting>
  <conditionalFormatting sqref="M466">
    <cfRule type="cellIs" dxfId="0" priority="1048" operator="lessThan">
      <formula>30</formula>
    </cfRule>
  </conditionalFormatting>
  <conditionalFormatting sqref="M467">
    <cfRule type="cellIs" dxfId="0" priority="1047" operator="lessThan">
      <formula>30</formula>
    </cfRule>
  </conditionalFormatting>
  <conditionalFormatting sqref="M468">
    <cfRule type="cellIs" dxfId="0" priority="1046" operator="lessThan">
      <formula>30</formula>
    </cfRule>
  </conditionalFormatting>
  <conditionalFormatting sqref="M469">
    <cfRule type="cellIs" dxfId="0" priority="1045" operator="lessThan">
      <formula>30</formula>
    </cfRule>
  </conditionalFormatting>
  <conditionalFormatting sqref="M470">
    <cfRule type="cellIs" dxfId="0" priority="1044" operator="lessThan">
      <formula>30</formula>
    </cfRule>
  </conditionalFormatting>
  <conditionalFormatting sqref="M471">
    <cfRule type="cellIs" dxfId="0" priority="1043" operator="lessThan">
      <formula>30</formula>
    </cfRule>
  </conditionalFormatting>
  <conditionalFormatting sqref="M472">
    <cfRule type="cellIs" dxfId="0" priority="1042" operator="lessThan">
      <formula>30</formula>
    </cfRule>
  </conditionalFormatting>
  <conditionalFormatting sqref="M473">
    <cfRule type="cellIs" dxfId="0" priority="1041" operator="lessThan">
      <formula>30</formula>
    </cfRule>
  </conditionalFormatting>
  <conditionalFormatting sqref="M474">
    <cfRule type="cellIs" dxfId="0" priority="1040" operator="lessThan">
      <formula>30</formula>
    </cfRule>
  </conditionalFormatting>
  <conditionalFormatting sqref="M475">
    <cfRule type="cellIs" dxfId="0" priority="1039" operator="lessThan">
      <formula>30</formula>
    </cfRule>
  </conditionalFormatting>
  <conditionalFormatting sqref="M476">
    <cfRule type="cellIs" dxfId="0" priority="1038" operator="lessThan">
      <formula>30</formula>
    </cfRule>
  </conditionalFormatting>
  <conditionalFormatting sqref="M477">
    <cfRule type="cellIs" dxfId="0" priority="1037" operator="lessThan">
      <formula>30</formula>
    </cfRule>
  </conditionalFormatting>
  <conditionalFormatting sqref="M478">
    <cfRule type="cellIs" dxfId="0" priority="1036" operator="lessThan">
      <formula>30</formula>
    </cfRule>
  </conditionalFormatting>
  <conditionalFormatting sqref="M479">
    <cfRule type="cellIs" dxfId="0" priority="1035" operator="lessThan">
      <formula>30</formula>
    </cfRule>
  </conditionalFormatting>
  <conditionalFormatting sqref="M480">
    <cfRule type="cellIs" dxfId="0" priority="1034" operator="lessThan">
      <formula>30</formula>
    </cfRule>
  </conditionalFormatting>
  <conditionalFormatting sqref="M481">
    <cfRule type="cellIs" dxfId="0" priority="1033" operator="lessThan">
      <formula>30</formula>
    </cfRule>
  </conditionalFormatting>
  <conditionalFormatting sqref="M482">
    <cfRule type="cellIs" dxfId="0" priority="1032" operator="lessThan">
      <formula>30</formula>
    </cfRule>
  </conditionalFormatting>
  <conditionalFormatting sqref="M483">
    <cfRule type="cellIs" dxfId="0" priority="1031" operator="lessThan">
      <formula>30</formula>
    </cfRule>
  </conditionalFormatting>
  <conditionalFormatting sqref="M484">
    <cfRule type="cellIs" dxfId="0" priority="1030" operator="lessThan">
      <formula>30</formula>
    </cfRule>
  </conditionalFormatting>
  <conditionalFormatting sqref="M485">
    <cfRule type="cellIs" dxfId="0" priority="1029" operator="lessThan">
      <formula>30</formula>
    </cfRule>
  </conditionalFormatting>
  <conditionalFormatting sqref="M486">
    <cfRule type="cellIs" dxfId="0" priority="1028" operator="lessThan">
      <formula>30</formula>
    </cfRule>
  </conditionalFormatting>
  <conditionalFormatting sqref="M487">
    <cfRule type="cellIs" dxfId="0" priority="1027" operator="lessThan">
      <formula>30</formula>
    </cfRule>
  </conditionalFormatting>
  <conditionalFormatting sqref="M488">
    <cfRule type="cellIs" dxfId="0" priority="1026" operator="lessThan">
      <formula>30</formula>
    </cfRule>
  </conditionalFormatting>
  <conditionalFormatting sqref="M489">
    <cfRule type="cellIs" dxfId="0" priority="1025" operator="lessThan">
      <formula>30</formula>
    </cfRule>
  </conditionalFormatting>
  <conditionalFormatting sqref="M490">
    <cfRule type="cellIs" dxfId="0" priority="1024" operator="lessThan">
      <formula>30</formula>
    </cfRule>
  </conditionalFormatting>
  <conditionalFormatting sqref="M491">
    <cfRule type="cellIs" dxfId="0" priority="1023" operator="lessThan">
      <formula>30</formula>
    </cfRule>
  </conditionalFormatting>
  <conditionalFormatting sqref="M492">
    <cfRule type="cellIs" dxfId="0" priority="1022" operator="lessThan">
      <formula>30</formula>
    </cfRule>
  </conditionalFormatting>
  <conditionalFormatting sqref="M493">
    <cfRule type="cellIs" dxfId="0" priority="1021" operator="lessThan">
      <formula>30</formula>
    </cfRule>
  </conditionalFormatting>
  <conditionalFormatting sqref="M494">
    <cfRule type="cellIs" dxfId="0" priority="1020" operator="lessThan">
      <formula>30</formula>
    </cfRule>
  </conditionalFormatting>
  <conditionalFormatting sqref="M495">
    <cfRule type="cellIs" dxfId="0" priority="1019" operator="lessThan">
      <formula>30</formula>
    </cfRule>
  </conditionalFormatting>
  <conditionalFormatting sqref="M496">
    <cfRule type="cellIs" dxfId="0" priority="1018" operator="lessThan">
      <formula>30</formula>
    </cfRule>
  </conditionalFormatting>
  <conditionalFormatting sqref="M497">
    <cfRule type="cellIs" dxfId="0" priority="1017" operator="lessThan">
      <formula>30</formula>
    </cfRule>
  </conditionalFormatting>
  <conditionalFormatting sqref="M498">
    <cfRule type="cellIs" dxfId="0" priority="1016" operator="lessThan">
      <formula>30</formula>
    </cfRule>
  </conditionalFormatting>
  <conditionalFormatting sqref="M499">
    <cfRule type="cellIs" dxfId="0" priority="1015" operator="lessThan">
      <formula>30</formula>
    </cfRule>
  </conditionalFormatting>
  <conditionalFormatting sqref="M500">
    <cfRule type="cellIs" dxfId="0" priority="1014" operator="lessThan">
      <formula>30</formula>
    </cfRule>
  </conditionalFormatting>
  <conditionalFormatting sqref="M501">
    <cfRule type="cellIs" dxfId="0" priority="1013" operator="lessThan">
      <formula>30</formula>
    </cfRule>
  </conditionalFormatting>
  <conditionalFormatting sqref="M502">
    <cfRule type="cellIs" dxfId="0" priority="1012" operator="lessThan">
      <formula>30</formula>
    </cfRule>
  </conditionalFormatting>
  <conditionalFormatting sqref="M503">
    <cfRule type="cellIs" dxfId="0" priority="1011" operator="lessThan">
      <formula>30</formula>
    </cfRule>
  </conditionalFormatting>
  <conditionalFormatting sqref="M504">
    <cfRule type="cellIs" dxfId="0" priority="1010" operator="lessThan">
      <formula>30</formula>
    </cfRule>
  </conditionalFormatting>
  <conditionalFormatting sqref="M505">
    <cfRule type="cellIs" dxfId="0" priority="1009" operator="lessThan">
      <formula>30</formula>
    </cfRule>
  </conditionalFormatting>
  <conditionalFormatting sqref="M506">
    <cfRule type="cellIs" dxfId="0" priority="1008" operator="lessThan">
      <formula>30</formula>
    </cfRule>
  </conditionalFormatting>
  <conditionalFormatting sqref="M507">
    <cfRule type="cellIs" dxfId="0" priority="1007" operator="lessThan">
      <formula>30</formula>
    </cfRule>
  </conditionalFormatting>
  <conditionalFormatting sqref="M508">
    <cfRule type="cellIs" dxfId="0" priority="1006" operator="lessThan">
      <formula>30</formula>
    </cfRule>
  </conditionalFormatting>
  <conditionalFormatting sqref="M509">
    <cfRule type="cellIs" dxfId="0" priority="1005" operator="lessThan">
      <formula>30</formula>
    </cfRule>
  </conditionalFormatting>
  <conditionalFormatting sqref="M510">
    <cfRule type="cellIs" dxfId="0" priority="1004" operator="lessThan">
      <formula>30</formula>
    </cfRule>
  </conditionalFormatting>
  <conditionalFormatting sqref="M511">
    <cfRule type="cellIs" dxfId="0" priority="1003" operator="lessThan">
      <formula>30</formula>
    </cfRule>
  </conditionalFormatting>
  <conditionalFormatting sqref="Z511">
    <cfRule type="cellIs" dxfId="0" priority="226" operator="lessThan">
      <formula>30</formula>
    </cfRule>
  </conditionalFormatting>
  <conditionalFormatting sqref="M512">
    <cfRule type="cellIs" dxfId="0" priority="1002" operator="lessThan">
      <formula>30</formula>
    </cfRule>
  </conditionalFormatting>
  <conditionalFormatting sqref="Z512">
    <cfRule type="cellIs" dxfId="0" priority="225" operator="lessThan">
      <formula>30</formula>
    </cfRule>
  </conditionalFormatting>
  <conditionalFormatting sqref="M513">
    <cfRule type="cellIs" dxfId="0" priority="1001" operator="lessThan">
      <formula>30</formula>
    </cfRule>
  </conditionalFormatting>
  <conditionalFormatting sqref="Z513">
    <cfRule type="cellIs" dxfId="0" priority="224" operator="lessThan">
      <formula>30</formula>
    </cfRule>
  </conditionalFormatting>
  <conditionalFormatting sqref="M514">
    <cfRule type="cellIs" dxfId="0" priority="1000" operator="lessThan">
      <formula>30</formula>
    </cfRule>
  </conditionalFormatting>
  <conditionalFormatting sqref="Z514">
    <cfRule type="cellIs" dxfId="0" priority="223" operator="lessThan">
      <formula>30</formula>
    </cfRule>
  </conditionalFormatting>
  <conditionalFormatting sqref="M515">
    <cfRule type="cellIs" dxfId="0" priority="999" operator="lessThan">
      <formula>30</formula>
    </cfRule>
  </conditionalFormatting>
  <conditionalFormatting sqref="Z515">
    <cfRule type="cellIs" dxfId="0" priority="222" operator="lessThan">
      <formula>30</formula>
    </cfRule>
  </conditionalFormatting>
  <conditionalFormatting sqref="M516">
    <cfRule type="cellIs" dxfId="0" priority="998" operator="lessThan">
      <formula>30</formula>
    </cfRule>
  </conditionalFormatting>
  <conditionalFormatting sqref="Z516">
    <cfRule type="cellIs" dxfId="0" priority="221" operator="lessThan">
      <formula>30</formula>
    </cfRule>
  </conditionalFormatting>
  <conditionalFormatting sqref="M517">
    <cfRule type="cellIs" dxfId="0" priority="997" operator="lessThan">
      <formula>30</formula>
    </cfRule>
  </conditionalFormatting>
  <conditionalFormatting sqref="Z517">
    <cfRule type="cellIs" dxfId="0" priority="220" operator="lessThan">
      <formula>30</formula>
    </cfRule>
  </conditionalFormatting>
  <conditionalFormatting sqref="M518">
    <cfRule type="cellIs" dxfId="0" priority="996" operator="lessThan">
      <formula>30</formula>
    </cfRule>
  </conditionalFormatting>
  <conditionalFormatting sqref="Z518">
    <cfRule type="cellIs" dxfId="0" priority="219" operator="lessThan">
      <formula>30</formula>
    </cfRule>
  </conditionalFormatting>
  <conditionalFormatting sqref="M519">
    <cfRule type="cellIs" dxfId="0" priority="995" operator="lessThan">
      <formula>30</formula>
    </cfRule>
  </conditionalFormatting>
  <conditionalFormatting sqref="M520">
    <cfRule type="cellIs" dxfId="0" priority="994" operator="lessThan">
      <formula>30</formula>
    </cfRule>
  </conditionalFormatting>
  <conditionalFormatting sqref="M521">
    <cfRule type="cellIs" dxfId="0" priority="993" operator="lessThan">
      <formula>30</formula>
    </cfRule>
  </conditionalFormatting>
  <conditionalFormatting sqref="M522">
    <cfRule type="cellIs" dxfId="0" priority="992" operator="lessThan">
      <formula>30</formula>
    </cfRule>
  </conditionalFormatting>
  <conditionalFormatting sqref="Z522">
    <cfRule type="cellIs" dxfId="0" priority="288" operator="lessThan">
      <formula>30</formula>
    </cfRule>
  </conditionalFormatting>
  <conditionalFormatting sqref="M523">
    <cfRule type="cellIs" dxfId="0" priority="991" operator="lessThan">
      <formula>30</formula>
    </cfRule>
  </conditionalFormatting>
  <conditionalFormatting sqref="Z523">
    <cfRule type="cellIs" dxfId="0" priority="287" operator="lessThan">
      <formula>30</formula>
    </cfRule>
  </conditionalFormatting>
  <conditionalFormatting sqref="M524">
    <cfRule type="cellIs" dxfId="0" priority="990" operator="lessThan">
      <formula>30</formula>
    </cfRule>
  </conditionalFormatting>
  <conditionalFormatting sqref="M525">
    <cfRule type="cellIs" dxfId="0" priority="989" operator="lessThan">
      <formula>30</formula>
    </cfRule>
  </conditionalFormatting>
  <conditionalFormatting sqref="M526">
    <cfRule type="cellIs" dxfId="0" priority="988" operator="lessThan">
      <formula>30</formula>
    </cfRule>
  </conditionalFormatting>
  <conditionalFormatting sqref="M527">
    <cfRule type="cellIs" dxfId="0" priority="987" operator="lessThan">
      <formula>30</formula>
    </cfRule>
  </conditionalFormatting>
  <conditionalFormatting sqref="M528">
    <cfRule type="cellIs" dxfId="0" priority="986" operator="lessThan">
      <formula>30</formula>
    </cfRule>
  </conditionalFormatting>
  <conditionalFormatting sqref="M529">
    <cfRule type="cellIs" dxfId="0" priority="985" operator="lessThan">
      <formula>30</formula>
    </cfRule>
  </conditionalFormatting>
  <conditionalFormatting sqref="M530">
    <cfRule type="cellIs" dxfId="0" priority="984" operator="lessThan">
      <formula>30</formula>
    </cfRule>
  </conditionalFormatting>
  <conditionalFormatting sqref="M531">
    <cfRule type="cellIs" dxfId="0" priority="983" operator="lessThan">
      <formula>30</formula>
    </cfRule>
  </conditionalFormatting>
  <conditionalFormatting sqref="M532">
    <cfRule type="cellIs" dxfId="0" priority="982" operator="lessThan">
      <formula>30</formula>
    </cfRule>
  </conditionalFormatting>
  <conditionalFormatting sqref="M533">
    <cfRule type="cellIs" dxfId="0" priority="981" operator="lessThan">
      <formula>30</formula>
    </cfRule>
  </conditionalFormatting>
  <conditionalFormatting sqref="M534">
    <cfRule type="cellIs" dxfId="0" priority="980" operator="lessThan">
      <formula>30</formula>
    </cfRule>
  </conditionalFormatting>
  <conditionalFormatting sqref="M535">
    <cfRule type="cellIs" dxfId="0" priority="979" operator="lessThan">
      <formula>30</formula>
    </cfRule>
  </conditionalFormatting>
  <conditionalFormatting sqref="M536">
    <cfRule type="cellIs" dxfId="0" priority="978" operator="lessThan">
      <formula>30</formula>
    </cfRule>
  </conditionalFormatting>
  <conditionalFormatting sqref="M537">
    <cfRule type="cellIs" dxfId="0" priority="977" operator="lessThan">
      <formula>30</formula>
    </cfRule>
  </conditionalFormatting>
  <conditionalFormatting sqref="M538">
    <cfRule type="cellIs" dxfId="0" priority="976" operator="lessThan">
      <formula>30</formula>
    </cfRule>
  </conditionalFormatting>
  <conditionalFormatting sqref="M539">
    <cfRule type="cellIs" dxfId="0" priority="975" operator="lessThan">
      <formula>30</formula>
    </cfRule>
  </conditionalFormatting>
  <conditionalFormatting sqref="M540">
    <cfRule type="cellIs" dxfId="0" priority="974" operator="lessThan">
      <formula>30</formula>
    </cfRule>
  </conditionalFormatting>
  <conditionalFormatting sqref="M541">
    <cfRule type="cellIs" dxfId="0" priority="973" operator="lessThan">
      <formula>30</formula>
    </cfRule>
  </conditionalFormatting>
  <conditionalFormatting sqref="M542">
    <cfRule type="cellIs" dxfId="0" priority="972" operator="lessThan">
      <formula>30</formula>
    </cfRule>
  </conditionalFormatting>
  <conditionalFormatting sqref="M543">
    <cfRule type="cellIs" dxfId="0" priority="971" operator="lessThan">
      <formula>30</formula>
    </cfRule>
  </conditionalFormatting>
  <conditionalFormatting sqref="M544">
    <cfRule type="cellIs" dxfId="0" priority="970" operator="lessThan">
      <formula>30</formula>
    </cfRule>
  </conditionalFormatting>
  <conditionalFormatting sqref="M545">
    <cfRule type="cellIs" dxfId="0" priority="969" operator="lessThan">
      <formula>30</formula>
    </cfRule>
  </conditionalFormatting>
  <conditionalFormatting sqref="M546">
    <cfRule type="cellIs" dxfId="0" priority="968" operator="lessThan">
      <formula>30</formula>
    </cfRule>
  </conditionalFormatting>
  <conditionalFormatting sqref="M547">
    <cfRule type="cellIs" dxfId="0" priority="967" operator="lessThan">
      <formula>30</formula>
    </cfRule>
  </conditionalFormatting>
  <conditionalFormatting sqref="M548">
    <cfRule type="cellIs" dxfId="0" priority="966" operator="lessThan">
      <formula>30</formula>
    </cfRule>
  </conditionalFormatting>
  <conditionalFormatting sqref="M549">
    <cfRule type="cellIs" dxfId="0" priority="965" operator="lessThan">
      <formula>30</formula>
    </cfRule>
  </conditionalFormatting>
  <conditionalFormatting sqref="M550">
    <cfRule type="cellIs" dxfId="0" priority="964" operator="lessThan">
      <formula>30</formula>
    </cfRule>
  </conditionalFormatting>
  <conditionalFormatting sqref="M551">
    <cfRule type="cellIs" dxfId="0" priority="963" operator="lessThan">
      <formula>30</formula>
    </cfRule>
  </conditionalFormatting>
  <conditionalFormatting sqref="M552">
    <cfRule type="cellIs" dxfId="0" priority="962" operator="lessThan">
      <formula>30</formula>
    </cfRule>
  </conditionalFormatting>
  <conditionalFormatting sqref="M553">
    <cfRule type="cellIs" dxfId="0" priority="961" operator="lessThan">
      <formula>30</formula>
    </cfRule>
  </conditionalFormatting>
  <conditionalFormatting sqref="M554">
    <cfRule type="cellIs" dxfId="0" priority="960" operator="lessThan">
      <formula>30</formula>
    </cfRule>
  </conditionalFormatting>
  <conditionalFormatting sqref="M555">
    <cfRule type="cellIs" dxfId="0" priority="959" operator="lessThan">
      <formula>30</formula>
    </cfRule>
  </conditionalFormatting>
  <conditionalFormatting sqref="M556">
    <cfRule type="cellIs" dxfId="0" priority="958" operator="lessThan">
      <formula>30</formula>
    </cfRule>
  </conditionalFormatting>
  <conditionalFormatting sqref="AA556">
    <cfRule type="cellIs" dxfId="0" priority="301" operator="lessThan">
      <formula>30</formula>
    </cfRule>
  </conditionalFormatting>
  <conditionalFormatting sqref="M557">
    <cfRule type="cellIs" dxfId="0" priority="957" operator="lessThan">
      <formula>30</formula>
    </cfRule>
  </conditionalFormatting>
  <conditionalFormatting sqref="AA557">
    <cfRule type="cellIs" dxfId="0" priority="300" operator="lessThan">
      <formula>30</formula>
    </cfRule>
  </conditionalFormatting>
  <conditionalFormatting sqref="M558">
    <cfRule type="cellIs" dxfId="0" priority="956" operator="lessThan">
      <formula>30</formula>
    </cfRule>
  </conditionalFormatting>
  <conditionalFormatting sqref="M559">
    <cfRule type="cellIs" dxfId="0" priority="955" operator="lessThan">
      <formula>30</formula>
    </cfRule>
  </conditionalFormatting>
  <conditionalFormatting sqref="Z559">
    <cfRule type="cellIs" dxfId="0" priority="297" operator="lessThan">
      <formula>30</formula>
    </cfRule>
  </conditionalFormatting>
  <conditionalFormatting sqref="M560">
    <cfRule type="cellIs" dxfId="0" priority="954" operator="lessThan">
      <formula>30</formula>
    </cfRule>
  </conditionalFormatting>
  <conditionalFormatting sqref="Z560">
    <cfRule type="cellIs" dxfId="0" priority="293" operator="lessThan">
      <formula>30</formula>
    </cfRule>
  </conditionalFormatting>
  <conditionalFormatting sqref="M561">
    <cfRule type="cellIs" dxfId="0" priority="953" operator="lessThan">
      <formula>30</formula>
    </cfRule>
  </conditionalFormatting>
  <conditionalFormatting sqref="Z561">
    <cfRule type="cellIs" dxfId="0" priority="296" operator="lessThan">
      <formula>30</formula>
    </cfRule>
  </conditionalFormatting>
  <conditionalFormatting sqref="M562">
    <cfRule type="cellIs" dxfId="0" priority="952" operator="lessThan">
      <formula>30</formula>
    </cfRule>
  </conditionalFormatting>
  <conditionalFormatting sqref="Z562">
    <cfRule type="cellIs" dxfId="0" priority="292" operator="lessThan">
      <formula>30</formula>
    </cfRule>
  </conditionalFormatting>
  <conditionalFormatting sqref="M563">
    <cfRule type="cellIs" dxfId="0" priority="951" operator="lessThan">
      <formula>30</formula>
    </cfRule>
  </conditionalFormatting>
  <conditionalFormatting sqref="Z563">
    <cfRule type="cellIs" dxfId="0" priority="291" operator="lessThan">
      <formula>30</formula>
    </cfRule>
  </conditionalFormatting>
  <conditionalFormatting sqref="M564">
    <cfRule type="cellIs" dxfId="0" priority="950" operator="lessThan">
      <formula>30</formula>
    </cfRule>
  </conditionalFormatting>
  <conditionalFormatting sqref="Z564">
    <cfRule type="cellIs" dxfId="0" priority="290" operator="lessThan">
      <formula>30</formula>
    </cfRule>
  </conditionalFormatting>
  <conditionalFormatting sqref="M565">
    <cfRule type="cellIs" dxfId="0" priority="949" operator="lessThan">
      <formula>30</formula>
    </cfRule>
  </conditionalFormatting>
  <conditionalFormatting sqref="Z565">
    <cfRule type="cellIs" dxfId="0" priority="324" operator="lessThan">
      <formula>30</formula>
    </cfRule>
  </conditionalFormatting>
  <conditionalFormatting sqref="M566">
    <cfRule type="cellIs" dxfId="0" priority="948" operator="lessThan">
      <formula>30</formula>
    </cfRule>
  </conditionalFormatting>
  <conditionalFormatting sqref="Z566">
    <cfRule type="cellIs" dxfId="0" priority="323" operator="lessThan">
      <formula>30</formula>
    </cfRule>
  </conditionalFormatting>
  <conditionalFormatting sqref="M567">
    <cfRule type="cellIs" dxfId="0" priority="947" operator="lessThan">
      <formula>30</formula>
    </cfRule>
  </conditionalFormatting>
  <conditionalFormatting sqref="Z567">
    <cfRule type="cellIs" dxfId="0" priority="322" operator="lessThan">
      <formula>30</formula>
    </cfRule>
  </conditionalFormatting>
  <conditionalFormatting sqref="M568">
    <cfRule type="cellIs" dxfId="0" priority="946" operator="lessThan">
      <formula>30</formula>
    </cfRule>
  </conditionalFormatting>
  <conditionalFormatting sqref="Z568">
    <cfRule type="cellIs" dxfId="0" priority="321" operator="lessThan">
      <formula>30</formula>
    </cfRule>
  </conditionalFormatting>
  <conditionalFormatting sqref="M569">
    <cfRule type="cellIs" dxfId="0" priority="945" operator="lessThan">
      <formula>30</formula>
    </cfRule>
  </conditionalFormatting>
  <conditionalFormatting sqref="Z569">
    <cfRule type="cellIs" dxfId="0" priority="320" operator="lessThan">
      <formula>30</formula>
    </cfRule>
  </conditionalFormatting>
  <conditionalFormatting sqref="M570">
    <cfRule type="cellIs" dxfId="0" priority="944" operator="lessThan">
      <formula>30</formula>
    </cfRule>
  </conditionalFormatting>
  <conditionalFormatting sqref="Z570">
    <cfRule type="cellIs" dxfId="0" priority="319" operator="lessThan">
      <formula>30</formula>
    </cfRule>
  </conditionalFormatting>
  <conditionalFormatting sqref="M571">
    <cfRule type="cellIs" dxfId="0" priority="943" operator="lessThan">
      <formula>30</formula>
    </cfRule>
  </conditionalFormatting>
  <conditionalFormatting sqref="Z571">
    <cfRule type="cellIs" dxfId="0" priority="318" operator="lessThan">
      <formula>30</formula>
    </cfRule>
  </conditionalFormatting>
  <conditionalFormatting sqref="M572">
    <cfRule type="cellIs" dxfId="0" priority="942" operator="lessThan">
      <formula>30</formula>
    </cfRule>
  </conditionalFormatting>
  <conditionalFormatting sqref="Z572">
    <cfRule type="cellIs" dxfId="0" priority="317" operator="lessThan">
      <formula>30</formula>
    </cfRule>
  </conditionalFormatting>
  <conditionalFormatting sqref="M573">
    <cfRule type="cellIs" dxfId="0" priority="941" operator="lessThan">
      <formula>30</formula>
    </cfRule>
  </conditionalFormatting>
  <conditionalFormatting sqref="M574">
    <cfRule type="cellIs" dxfId="0" priority="940" operator="lessThan">
      <formula>30</formula>
    </cfRule>
  </conditionalFormatting>
  <conditionalFormatting sqref="M575">
    <cfRule type="cellIs" dxfId="0" priority="939" operator="lessThan">
      <formula>30</formula>
    </cfRule>
  </conditionalFormatting>
  <conditionalFormatting sqref="M576">
    <cfRule type="cellIs" dxfId="0" priority="938" operator="lessThan">
      <formula>30</formula>
    </cfRule>
  </conditionalFormatting>
  <conditionalFormatting sqref="M577">
    <cfRule type="cellIs" dxfId="0" priority="937" operator="lessThan">
      <formula>30</formula>
    </cfRule>
  </conditionalFormatting>
  <conditionalFormatting sqref="M578">
    <cfRule type="cellIs" dxfId="0" priority="936" operator="lessThan">
      <formula>30</formula>
    </cfRule>
  </conditionalFormatting>
  <conditionalFormatting sqref="M579">
    <cfRule type="cellIs" dxfId="0" priority="935" operator="lessThan">
      <formula>30</formula>
    </cfRule>
  </conditionalFormatting>
  <conditionalFormatting sqref="M580">
    <cfRule type="cellIs" dxfId="0" priority="934" operator="lessThan">
      <formula>30</formula>
    </cfRule>
  </conditionalFormatting>
  <conditionalFormatting sqref="Z580">
    <cfRule type="cellIs" dxfId="0" priority="283" operator="lessThan">
      <formula>30</formula>
    </cfRule>
  </conditionalFormatting>
  <conditionalFormatting sqref="M581">
    <cfRule type="cellIs" dxfId="0" priority="933" operator="lessThan">
      <formula>30</formula>
    </cfRule>
  </conditionalFormatting>
  <conditionalFormatting sqref="Z581">
    <cfRule type="cellIs" dxfId="0" priority="282" operator="lessThan">
      <formula>30</formula>
    </cfRule>
  </conditionalFormatting>
  <conditionalFormatting sqref="M582">
    <cfRule type="cellIs" dxfId="0" priority="932" operator="lessThan">
      <formula>30</formula>
    </cfRule>
  </conditionalFormatting>
  <conditionalFormatting sqref="Z582">
    <cfRule type="cellIs" dxfId="0" priority="281" operator="lessThan">
      <formula>30</formula>
    </cfRule>
  </conditionalFormatting>
  <conditionalFormatting sqref="M583">
    <cfRule type="cellIs" dxfId="0" priority="931" operator="lessThan">
      <formula>30</formula>
    </cfRule>
  </conditionalFormatting>
  <conditionalFormatting sqref="Z583">
    <cfRule type="cellIs" dxfId="0" priority="280" operator="lessThan">
      <formula>30</formula>
    </cfRule>
  </conditionalFormatting>
  <conditionalFormatting sqref="M584">
    <cfRule type="cellIs" dxfId="0" priority="930" operator="lessThan">
      <formula>30</formula>
    </cfRule>
  </conditionalFormatting>
  <conditionalFormatting sqref="Z584">
    <cfRule type="cellIs" dxfId="0" priority="279" operator="lessThan">
      <formula>30</formula>
    </cfRule>
  </conditionalFormatting>
  <conditionalFormatting sqref="M585">
    <cfRule type="cellIs" dxfId="0" priority="929" operator="lessThan">
      <formula>30</formula>
    </cfRule>
  </conditionalFormatting>
  <conditionalFormatting sqref="Z585">
    <cfRule type="cellIs" dxfId="0" priority="278" operator="lessThan">
      <formula>30</formula>
    </cfRule>
  </conditionalFormatting>
  <conditionalFormatting sqref="M586">
    <cfRule type="cellIs" dxfId="0" priority="928" operator="lessThan">
      <formula>30</formula>
    </cfRule>
  </conditionalFormatting>
  <conditionalFormatting sqref="Z586">
    <cfRule type="cellIs" dxfId="0" priority="277" operator="lessThan">
      <formula>30</formula>
    </cfRule>
  </conditionalFormatting>
  <conditionalFormatting sqref="M587">
    <cfRule type="cellIs" dxfId="0" priority="927" operator="lessThan">
      <formula>30</formula>
    </cfRule>
  </conditionalFormatting>
  <conditionalFormatting sqref="Z587">
    <cfRule type="cellIs" dxfId="0" priority="276" operator="lessThan">
      <formula>30</formula>
    </cfRule>
  </conditionalFormatting>
  <conditionalFormatting sqref="M588">
    <cfRule type="cellIs" dxfId="0" priority="926" operator="lessThan">
      <formula>30</formula>
    </cfRule>
  </conditionalFormatting>
  <conditionalFormatting sqref="M589">
    <cfRule type="cellIs" dxfId="0" priority="925" operator="lessThan">
      <formula>30</formula>
    </cfRule>
  </conditionalFormatting>
  <conditionalFormatting sqref="M590">
    <cfRule type="cellIs" dxfId="0" priority="924" operator="lessThan">
      <formula>30</formula>
    </cfRule>
  </conditionalFormatting>
  <conditionalFormatting sqref="M591">
    <cfRule type="cellIs" dxfId="0" priority="923" operator="lessThan">
      <formula>30</formula>
    </cfRule>
  </conditionalFormatting>
  <conditionalFormatting sqref="M592">
    <cfRule type="cellIs" dxfId="0" priority="922" operator="lessThan">
      <formula>30</formula>
    </cfRule>
  </conditionalFormatting>
  <conditionalFormatting sqref="M593">
    <cfRule type="cellIs" dxfId="0" priority="921" operator="lessThan">
      <formula>30</formula>
    </cfRule>
  </conditionalFormatting>
  <conditionalFormatting sqref="M594">
    <cfRule type="cellIs" dxfId="0" priority="920" operator="lessThan">
      <formula>30</formula>
    </cfRule>
  </conditionalFormatting>
  <conditionalFormatting sqref="M595">
    <cfRule type="cellIs" dxfId="0" priority="919" operator="lessThan">
      <formula>30</formula>
    </cfRule>
  </conditionalFormatting>
  <conditionalFormatting sqref="M596">
    <cfRule type="cellIs" dxfId="0" priority="918" operator="lessThan">
      <formula>30</formula>
    </cfRule>
  </conditionalFormatting>
  <conditionalFormatting sqref="M597">
    <cfRule type="cellIs" dxfId="0" priority="917" operator="lessThan">
      <formula>30</formula>
    </cfRule>
  </conditionalFormatting>
  <conditionalFormatting sqref="M598">
    <cfRule type="cellIs" dxfId="0" priority="916" operator="lessThan">
      <formula>30</formula>
    </cfRule>
  </conditionalFormatting>
  <conditionalFormatting sqref="M599">
    <cfRule type="cellIs" dxfId="0" priority="915" operator="lessThan">
      <formula>30</formula>
    </cfRule>
  </conditionalFormatting>
  <conditionalFormatting sqref="M600">
    <cfRule type="cellIs" dxfId="0" priority="914" operator="lessThan">
      <formula>30</formula>
    </cfRule>
  </conditionalFormatting>
  <conditionalFormatting sqref="M601">
    <cfRule type="cellIs" dxfId="0" priority="913" operator="lessThan">
      <formula>30</formula>
    </cfRule>
  </conditionalFormatting>
  <conditionalFormatting sqref="M602">
    <cfRule type="cellIs" dxfId="0" priority="912" operator="lessThan">
      <formula>30</formula>
    </cfRule>
  </conditionalFormatting>
  <conditionalFormatting sqref="M603">
    <cfRule type="cellIs" dxfId="0" priority="911" operator="lessThan">
      <formula>30</formula>
    </cfRule>
  </conditionalFormatting>
  <conditionalFormatting sqref="M604">
    <cfRule type="cellIs" dxfId="0" priority="910" operator="lessThan">
      <formula>30</formula>
    </cfRule>
  </conditionalFormatting>
  <conditionalFormatting sqref="M605">
    <cfRule type="cellIs" dxfId="0" priority="909" operator="lessThan">
      <formula>30</formula>
    </cfRule>
  </conditionalFormatting>
  <conditionalFormatting sqref="M606">
    <cfRule type="cellIs" dxfId="0" priority="907" operator="lessThan">
      <formula>30</formula>
    </cfRule>
  </conditionalFormatting>
  <conditionalFormatting sqref="M607">
    <cfRule type="cellIs" dxfId="0" priority="906" operator="lessThan">
      <formula>30</formula>
    </cfRule>
  </conditionalFormatting>
  <conditionalFormatting sqref="M608">
    <cfRule type="cellIs" dxfId="0" priority="905" operator="lessThan">
      <formula>30</formula>
    </cfRule>
  </conditionalFormatting>
  <conditionalFormatting sqref="M609">
    <cfRule type="cellIs" dxfId="0" priority="904" operator="lessThan">
      <formula>30</formula>
    </cfRule>
  </conditionalFormatting>
  <conditionalFormatting sqref="M610">
    <cfRule type="cellIs" dxfId="0" priority="903" operator="lessThan">
      <formula>30</formula>
    </cfRule>
  </conditionalFormatting>
  <conditionalFormatting sqref="M611">
    <cfRule type="cellIs" dxfId="0" priority="902" operator="lessThan">
      <formula>30</formula>
    </cfRule>
  </conditionalFormatting>
  <conditionalFormatting sqref="Z611">
    <cfRule type="cellIs" dxfId="0" priority="241" operator="lessThan">
      <formula>30</formula>
    </cfRule>
  </conditionalFormatting>
  <conditionalFormatting sqref="M612">
    <cfRule type="cellIs" dxfId="0" priority="901" operator="lessThan">
      <formula>30</formula>
    </cfRule>
  </conditionalFormatting>
  <conditionalFormatting sqref="Z612">
    <cfRule type="cellIs" dxfId="0" priority="240" operator="lessThan">
      <formula>30</formula>
    </cfRule>
  </conditionalFormatting>
  <conditionalFormatting sqref="M613">
    <cfRule type="cellIs" dxfId="0" priority="900" operator="lessThan">
      <formula>30</formula>
    </cfRule>
  </conditionalFormatting>
  <conditionalFormatting sqref="Z613">
    <cfRule type="cellIs" dxfId="0" priority="239" operator="lessThan">
      <formula>30</formula>
    </cfRule>
  </conditionalFormatting>
  <conditionalFormatting sqref="M614">
    <cfRule type="cellIs" dxfId="0" priority="899" operator="lessThan">
      <formula>30</formula>
    </cfRule>
  </conditionalFormatting>
  <conditionalFormatting sqref="M615">
    <cfRule type="cellIs" dxfId="0" priority="898" operator="lessThan">
      <formula>30</formula>
    </cfRule>
  </conditionalFormatting>
  <conditionalFormatting sqref="M616">
    <cfRule type="cellIs" dxfId="0" priority="897" operator="lessThan">
      <formula>30</formula>
    </cfRule>
  </conditionalFormatting>
  <conditionalFormatting sqref="M617">
    <cfRule type="cellIs" dxfId="0" priority="896" operator="lessThan">
      <formula>30</formula>
    </cfRule>
  </conditionalFormatting>
  <conditionalFormatting sqref="M618">
    <cfRule type="cellIs" dxfId="0" priority="895" operator="lessThan">
      <formula>30</formula>
    </cfRule>
  </conditionalFormatting>
  <conditionalFormatting sqref="M619">
    <cfRule type="cellIs" dxfId="0" priority="894" operator="lessThan">
      <formula>30</formula>
    </cfRule>
  </conditionalFormatting>
  <conditionalFormatting sqref="M620">
    <cfRule type="cellIs" dxfId="0" priority="893" operator="lessThan">
      <formula>30</formula>
    </cfRule>
  </conditionalFormatting>
  <conditionalFormatting sqref="M621">
    <cfRule type="cellIs" dxfId="0" priority="892" operator="lessThan">
      <formula>30</formula>
    </cfRule>
  </conditionalFormatting>
  <conditionalFormatting sqref="M622">
    <cfRule type="cellIs" dxfId="0" priority="891" operator="lessThan">
      <formula>30</formula>
    </cfRule>
  </conditionalFormatting>
  <conditionalFormatting sqref="M623">
    <cfRule type="cellIs" dxfId="0" priority="890" operator="lessThan">
      <formula>30</formula>
    </cfRule>
  </conditionalFormatting>
  <conditionalFormatting sqref="M624">
    <cfRule type="cellIs" dxfId="0" priority="889" operator="lessThan">
      <formula>30</formula>
    </cfRule>
  </conditionalFormatting>
  <conditionalFormatting sqref="M625">
    <cfRule type="cellIs" dxfId="0" priority="888" operator="lessThan">
      <formula>30</formula>
    </cfRule>
  </conditionalFormatting>
  <conditionalFormatting sqref="M626">
    <cfRule type="cellIs" dxfId="0" priority="887" operator="lessThan">
      <formula>30</formula>
    </cfRule>
  </conditionalFormatting>
  <conditionalFormatting sqref="M627">
    <cfRule type="cellIs" dxfId="0" priority="886" operator="lessThan">
      <formula>30</formula>
    </cfRule>
  </conditionalFormatting>
  <conditionalFormatting sqref="M628">
    <cfRule type="cellIs" dxfId="0" priority="885" operator="lessThan">
      <formula>30</formula>
    </cfRule>
  </conditionalFormatting>
  <conditionalFormatting sqref="M629">
    <cfRule type="cellIs" dxfId="0" priority="884" operator="lessThan">
      <formula>30</formula>
    </cfRule>
  </conditionalFormatting>
  <conditionalFormatting sqref="M630">
    <cfRule type="cellIs" dxfId="0" priority="883" operator="lessThan">
      <formula>30</formula>
    </cfRule>
  </conditionalFormatting>
  <conditionalFormatting sqref="M631">
    <cfRule type="cellIs" dxfId="0" priority="882" operator="lessThan">
      <formula>30</formula>
    </cfRule>
  </conditionalFormatting>
  <conditionalFormatting sqref="M632">
    <cfRule type="cellIs" dxfId="0" priority="881" operator="lessThan">
      <formula>30</formula>
    </cfRule>
  </conditionalFormatting>
  <conditionalFormatting sqref="M633">
    <cfRule type="cellIs" dxfId="0" priority="880" operator="lessThan">
      <formula>30</formula>
    </cfRule>
  </conditionalFormatting>
  <conditionalFormatting sqref="M634">
    <cfRule type="cellIs" dxfId="0" priority="879" operator="lessThan">
      <formula>30</formula>
    </cfRule>
  </conditionalFormatting>
  <conditionalFormatting sqref="M635">
    <cfRule type="cellIs" dxfId="0" priority="878" operator="lessThan">
      <formula>30</formula>
    </cfRule>
  </conditionalFormatting>
  <conditionalFormatting sqref="M636">
    <cfRule type="cellIs" dxfId="0" priority="877" operator="lessThan">
      <formula>30</formula>
    </cfRule>
  </conditionalFormatting>
  <conditionalFormatting sqref="M637">
    <cfRule type="cellIs" dxfId="0" priority="876" operator="lessThan">
      <formula>30</formula>
    </cfRule>
  </conditionalFormatting>
  <conditionalFormatting sqref="M638">
    <cfRule type="cellIs" dxfId="0" priority="875" operator="lessThan">
      <formula>30</formula>
    </cfRule>
  </conditionalFormatting>
  <conditionalFormatting sqref="M639">
    <cfRule type="cellIs" dxfId="0" priority="874" operator="lessThan">
      <formula>30</formula>
    </cfRule>
  </conditionalFormatting>
  <conditionalFormatting sqref="M640">
    <cfRule type="cellIs" dxfId="0" priority="873" operator="lessThan">
      <formula>30</formula>
    </cfRule>
  </conditionalFormatting>
  <conditionalFormatting sqref="M641">
    <cfRule type="cellIs" dxfId="0" priority="872" operator="lessThan">
      <formula>30</formula>
    </cfRule>
  </conditionalFormatting>
  <conditionalFormatting sqref="M642">
    <cfRule type="cellIs" dxfId="0" priority="871" operator="lessThan">
      <formula>30</formula>
    </cfRule>
  </conditionalFormatting>
  <conditionalFormatting sqref="M643">
    <cfRule type="cellIs" dxfId="0" priority="870" operator="lessThan">
      <formula>30</formula>
    </cfRule>
  </conditionalFormatting>
  <conditionalFormatting sqref="M644">
    <cfRule type="cellIs" dxfId="0" priority="869" operator="lessThan">
      <formula>30</formula>
    </cfRule>
  </conditionalFormatting>
  <conditionalFormatting sqref="M645">
    <cfRule type="cellIs" dxfId="0" priority="868" operator="lessThan">
      <formula>30</formula>
    </cfRule>
  </conditionalFormatting>
  <conditionalFormatting sqref="M646">
    <cfRule type="cellIs" dxfId="0" priority="867" operator="lessThan">
      <formula>30</formula>
    </cfRule>
  </conditionalFormatting>
  <conditionalFormatting sqref="M647">
    <cfRule type="cellIs" dxfId="0" priority="866" operator="lessThan">
      <formula>30</formula>
    </cfRule>
  </conditionalFormatting>
  <conditionalFormatting sqref="M648">
    <cfRule type="cellIs" dxfId="0" priority="865" operator="lessThan">
      <formula>30</formula>
    </cfRule>
  </conditionalFormatting>
  <conditionalFormatting sqref="M649">
    <cfRule type="cellIs" dxfId="0" priority="864" operator="lessThan">
      <formula>30</formula>
    </cfRule>
  </conditionalFormatting>
  <conditionalFormatting sqref="M650">
    <cfRule type="cellIs" dxfId="0" priority="863" operator="lessThan">
      <formula>30</formula>
    </cfRule>
  </conditionalFormatting>
  <conditionalFormatting sqref="M651">
    <cfRule type="cellIs" dxfId="0" priority="862" operator="lessThan">
      <formula>30</formula>
    </cfRule>
  </conditionalFormatting>
  <conditionalFormatting sqref="M652">
    <cfRule type="cellIs" dxfId="0" priority="861" operator="lessThan">
      <formula>30</formula>
    </cfRule>
  </conditionalFormatting>
  <conditionalFormatting sqref="M653">
    <cfRule type="cellIs" dxfId="0" priority="860" operator="lessThan">
      <formula>30</formula>
    </cfRule>
  </conditionalFormatting>
  <conditionalFormatting sqref="M654">
    <cfRule type="cellIs" dxfId="0" priority="859" operator="lessThan">
      <formula>30</formula>
    </cfRule>
  </conditionalFormatting>
  <conditionalFormatting sqref="M655">
    <cfRule type="cellIs" dxfId="0" priority="858" operator="lessThan">
      <formula>30</formula>
    </cfRule>
  </conditionalFormatting>
  <conditionalFormatting sqref="M656">
    <cfRule type="cellIs" dxfId="0" priority="857" operator="lessThan">
      <formula>30</formula>
    </cfRule>
  </conditionalFormatting>
  <conditionalFormatting sqref="Z656">
    <cfRule type="cellIs" dxfId="0" priority="237" operator="lessThan">
      <formula>30</formula>
    </cfRule>
  </conditionalFormatting>
  <conditionalFormatting sqref="M657">
    <cfRule type="cellIs" dxfId="0" priority="856" operator="lessThan">
      <formula>30</formula>
    </cfRule>
  </conditionalFormatting>
  <conditionalFormatting sqref="Z657">
    <cfRule type="cellIs" dxfId="0" priority="236" operator="lessThan">
      <formula>30</formula>
    </cfRule>
  </conditionalFormatting>
  <conditionalFormatting sqref="M658">
    <cfRule type="cellIs" dxfId="0" priority="855" operator="lessThan">
      <formula>30</formula>
    </cfRule>
  </conditionalFormatting>
  <conditionalFormatting sqref="Z658">
    <cfRule type="cellIs" dxfId="0" priority="235" operator="lessThan">
      <formula>30</formula>
    </cfRule>
  </conditionalFormatting>
  <conditionalFormatting sqref="M659">
    <cfRule type="cellIs" dxfId="0" priority="854" operator="lessThan">
      <formula>30</formula>
    </cfRule>
  </conditionalFormatting>
  <conditionalFormatting sqref="Z659">
    <cfRule type="cellIs" dxfId="0" priority="234" operator="lessThan">
      <formula>30</formula>
    </cfRule>
  </conditionalFormatting>
  <conditionalFormatting sqref="M660">
    <cfRule type="cellIs" dxfId="0" priority="853" operator="lessThan">
      <formula>30</formula>
    </cfRule>
  </conditionalFormatting>
  <conditionalFormatting sqref="Z660">
    <cfRule type="cellIs" dxfId="0" priority="233" operator="lessThan">
      <formula>30</formula>
    </cfRule>
  </conditionalFormatting>
  <conditionalFormatting sqref="M661">
    <cfRule type="cellIs" dxfId="0" priority="852" operator="lessThan">
      <formula>30</formula>
    </cfRule>
  </conditionalFormatting>
  <conditionalFormatting sqref="Z661">
    <cfRule type="cellIs" dxfId="0" priority="232" operator="lessThan">
      <formula>30</formula>
    </cfRule>
  </conditionalFormatting>
  <conditionalFormatting sqref="M662">
    <cfRule type="cellIs" dxfId="0" priority="851" operator="lessThan">
      <formula>30</formula>
    </cfRule>
  </conditionalFormatting>
  <conditionalFormatting sqref="Z662">
    <cfRule type="cellIs" dxfId="0" priority="231" operator="lessThan">
      <formula>30</formula>
    </cfRule>
  </conditionalFormatting>
  <conditionalFormatting sqref="M663">
    <cfRule type="cellIs" dxfId="0" priority="850" operator="lessThan">
      <formula>30</formula>
    </cfRule>
  </conditionalFormatting>
  <conditionalFormatting sqref="Z663">
    <cfRule type="cellIs" dxfId="0" priority="230" operator="lessThan">
      <formula>30</formula>
    </cfRule>
  </conditionalFormatting>
  <conditionalFormatting sqref="M664">
    <cfRule type="cellIs" dxfId="0" priority="849" operator="lessThan">
      <formula>30</formula>
    </cfRule>
  </conditionalFormatting>
  <conditionalFormatting sqref="Z664">
    <cfRule type="cellIs" dxfId="0" priority="229" operator="lessThan">
      <formula>30</formula>
    </cfRule>
  </conditionalFormatting>
  <conditionalFormatting sqref="M665">
    <cfRule type="cellIs" dxfId="0" priority="848" operator="lessThan">
      <formula>30</formula>
    </cfRule>
  </conditionalFormatting>
  <conditionalFormatting sqref="Z665">
    <cfRule type="cellIs" dxfId="0" priority="228" operator="lessThan">
      <formula>30</formula>
    </cfRule>
  </conditionalFormatting>
  <conditionalFormatting sqref="M666">
    <cfRule type="cellIs" dxfId="0" priority="847" operator="lessThan">
      <formula>30</formula>
    </cfRule>
  </conditionalFormatting>
  <conditionalFormatting sqref="Z666">
    <cfRule type="cellIs" dxfId="0" priority="227" operator="lessThan">
      <formula>30</formula>
    </cfRule>
  </conditionalFormatting>
  <conditionalFormatting sqref="M667">
    <cfRule type="cellIs" dxfId="0" priority="846" operator="lessThan">
      <formula>30</formula>
    </cfRule>
  </conditionalFormatting>
  <conditionalFormatting sqref="Z667">
    <cfRule type="cellIs" dxfId="0" priority="307" operator="lessThan">
      <formula>30</formula>
    </cfRule>
  </conditionalFormatting>
  <conditionalFormatting sqref="M668">
    <cfRule type="cellIs" dxfId="0" priority="845" operator="lessThan">
      <formula>30</formula>
    </cfRule>
  </conditionalFormatting>
  <conditionalFormatting sqref="Z668">
    <cfRule type="cellIs" dxfId="0" priority="306" operator="lessThan">
      <formula>30</formula>
    </cfRule>
  </conditionalFormatting>
  <conditionalFormatting sqref="M669">
    <cfRule type="cellIs" dxfId="0" priority="844" operator="lessThan">
      <formula>30</formula>
    </cfRule>
  </conditionalFormatting>
  <conditionalFormatting sqref="Z669">
    <cfRule type="cellIs" dxfId="0" priority="305" operator="lessThan">
      <formula>30</formula>
    </cfRule>
  </conditionalFormatting>
  <conditionalFormatting sqref="M670">
    <cfRule type="cellIs" dxfId="0" priority="843" operator="lessThan">
      <formula>30</formula>
    </cfRule>
  </conditionalFormatting>
  <conditionalFormatting sqref="Z670">
    <cfRule type="cellIs" dxfId="0" priority="304" operator="lessThan">
      <formula>30</formula>
    </cfRule>
  </conditionalFormatting>
  <conditionalFormatting sqref="M671">
    <cfRule type="cellIs" dxfId="0" priority="842" operator="lessThan">
      <formula>30</formula>
    </cfRule>
  </conditionalFormatting>
  <conditionalFormatting sqref="Z671">
    <cfRule type="cellIs" dxfId="0" priority="303" operator="lessThan">
      <formula>30</formula>
    </cfRule>
  </conditionalFormatting>
  <conditionalFormatting sqref="M672">
    <cfRule type="cellIs" dxfId="0" priority="841" operator="lessThan">
      <formula>30</formula>
    </cfRule>
  </conditionalFormatting>
  <conditionalFormatting sqref="M673">
    <cfRule type="cellIs" dxfId="0" priority="840" operator="lessThan">
      <formula>30</formula>
    </cfRule>
  </conditionalFormatting>
  <conditionalFormatting sqref="M674">
    <cfRule type="cellIs" dxfId="0" priority="839" operator="lessThan">
      <formula>30</formula>
    </cfRule>
  </conditionalFormatting>
  <conditionalFormatting sqref="M675">
    <cfRule type="cellIs" dxfId="0" priority="838" operator="lessThan">
      <formula>30</formula>
    </cfRule>
  </conditionalFormatting>
  <conditionalFormatting sqref="M676">
    <cfRule type="cellIs" dxfId="0" priority="837" operator="lessThan">
      <formula>30</formula>
    </cfRule>
  </conditionalFormatting>
  <conditionalFormatting sqref="M677">
    <cfRule type="cellIs" dxfId="0" priority="836" operator="lessThan">
      <formula>30</formula>
    </cfRule>
  </conditionalFormatting>
  <conditionalFormatting sqref="M678">
    <cfRule type="cellIs" dxfId="0" priority="835" operator="lessThan">
      <formula>30</formula>
    </cfRule>
  </conditionalFormatting>
  <conditionalFormatting sqref="M679">
    <cfRule type="cellIs" dxfId="0" priority="834" operator="lessThan">
      <formula>30</formula>
    </cfRule>
  </conditionalFormatting>
  <conditionalFormatting sqref="M680">
    <cfRule type="cellIs" dxfId="0" priority="833" operator="lessThan">
      <formula>30</formula>
    </cfRule>
  </conditionalFormatting>
  <conditionalFormatting sqref="M681">
    <cfRule type="cellIs" dxfId="0" priority="832" operator="lessThan">
      <formula>30</formula>
    </cfRule>
  </conditionalFormatting>
  <conditionalFormatting sqref="M682">
    <cfRule type="cellIs" dxfId="0" priority="831" operator="lessThan">
      <formula>30</formula>
    </cfRule>
  </conditionalFormatting>
  <conditionalFormatting sqref="M683">
    <cfRule type="cellIs" dxfId="0" priority="830" operator="lessThan">
      <formula>30</formula>
    </cfRule>
  </conditionalFormatting>
  <conditionalFormatting sqref="M684">
    <cfRule type="cellIs" dxfId="0" priority="829" operator="lessThan">
      <formula>30</formula>
    </cfRule>
  </conditionalFormatting>
  <conditionalFormatting sqref="M685">
    <cfRule type="cellIs" dxfId="0" priority="828" operator="lessThan">
      <formula>30</formula>
    </cfRule>
  </conditionalFormatting>
  <conditionalFormatting sqref="M686">
    <cfRule type="cellIs" dxfId="0" priority="827" operator="lessThan">
      <formula>30</formula>
    </cfRule>
  </conditionalFormatting>
  <conditionalFormatting sqref="M687">
    <cfRule type="cellIs" dxfId="0" priority="826" operator="lessThan">
      <formula>30</formula>
    </cfRule>
  </conditionalFormatting>
  <conditionalFormatting sqref="M688">
    <cfRule type="cellIs" dxfId="0" priority="825" operator="lessThan">
      <formula>30</formula>
    </cfRule>
  </conditionalFormatting>
  <conditionalFormatting sqref="M689">
    <cfRule type="cellIs" dxfId="0" priority="824" operator="lessThan">
      <formula>30</formula>
    </cfRule>
  </conditionalFormatting>
  <conditionalFormatting sqref="M690">
    <cfRule type="cellIs" dxfId="0" priority="823" operator="lessThan">
      <formula>30</formula>
    </cfRule>
  </conditionalFormatting>
  <conditionalFormatting sqref="M691">
    <cfRule type="cellIs" dxfId="0" priority="822" operator="lessThan">
      <formula>30</formula>
    </cfRule>
  </conditionalFormatting>
  <conditionalFormatting sqref="Z691">
    <cfRule type="cellIs" dxfId="0" priority="178" operator="lessThan">
      <formula>30</formula>
    </cfRule>
  </conditionalFormatting>
  <conditionalFormatting sqref="M692">
    <cfRule type="cellIs" dxfId="0" priority="821" operator="lessThan">
      <formula>30</formula>
    </cfRule>
  </conditionalFormatting>
  <conditionalFormatting sqref="Z692">
    <cfRule type="cellIs" dxfId="0" priority="177" operator="lessThan">
      <formula>30</formula>
    </cfRule>
  </conditionalFormatting>
  <conditionalFormatting sqref="M693">
    <cfRule type="cellIs" dxfId="0" priority="820" operator="lessThan">
      <formula>30</formula>
    </cfRule>
  </conditionalFormatting>
  <conditionalFormatting sqref="Z693">
    <cfRule type="cellIs" dxfId="0" priority="176" operator="lessThan">
      <formula>30</formula>
    </cfRule>
  </conditionalFormatting>
  <conditionalFormatting sqref="M694">
    <cfRule type="cellIs" dxfId="0" priority="819" operator="lessThan">
      <formula>30</formula>
    </cfRule>
  </conditionalFormatting>
  <conditionalFormatting sqref="Z694">
    <cfRule type="cellIs" dxfId="0" priority="175" operator="lessThan">
      <formula>30</formula>
    </cfRule>
  </conditionalFormatting>
  <conditionalFormatting sqref="M695">
    <cfRule type="cellIs" dxfId="0" priority="818" operator="lessThan">
      <formula>30</formula>
    </cfRule>
  </conditionalFormatting>
  <conditionalFormatting sqref="Z695">
    <cfRule type="cellIs" dxfId="0" priority="174" operator="lessThan">
      <formula>30</formula>
    </cfRule>
  </conditionalFormatting>
  <conditionalFormatting sqref="M696">
    <cfRule type="cellIs" dxfId="0" priority="817" operator="lessThan">
      <formula>30</formula>
    </cfRule>
  </conditionalFormatting>
  <conditionalFormatting sqref="Z696">
    <cfRule type="cellIs" dxfId="0" priority="173" operator="lessThan">
      <formula>30</formula>
    </cfRule>
  </conditionalFormatting>
  <conditionalFormatting sqref="M697">
    <cfRule type="cellIs" dxfId="0" priority="816" operator="lessThan">
      <formula>30</formula>
    </cfRule>
  </conditionalFormatting>
  <conditionalFormatting sqref="Z697">
    <cfRule type="cellIs" dxfId="0" priority="172" operator="lessThan">
      <formula>30</formula>
    </cfRule>
  </conditionalFormatting>
  <conditionalFormatting sqref="M698">
    <cfRule type="cellIs" dxfId="0" priority="815" operator="lessThan">
      <formula>30</formula>
    </cfRule>
  </conditionalFormatting>
  <conditionalFormatting sqref="Z698">
    <cfRule type="cellIs" dxfId="0" priority="171" operator="lessThan">
      <formula>30</formula>
    </cfRule>
  </conditionalFormatting>
  <conditionalFormatting sqref="M699">
    <cfRule type="cellIs" dxfId="0" priority="814" operator="lessThan">
      <formula>30</formula>
    </cfRule>
  </conditionalFormatting>
  <conditionalFormatting sqref="Z699">
    <cfRule type="cellIs" dxfId="0" priority="170" operator="lessThan">
      <formula>30</formula>
    </cfRule>
  </conditionalFormatting>
  <conditionalFormatting sqref="M700">
    <cfRule type="cellIs" dxfId="0" priority="813" operator="lessThan">
      <formula>30</formula>
    </cfRule>
  </conditionalFormatting>
  <conditionalFormatting sqref="Z700">
    <cfRule type="cellIs" dxfId="0" priority="169" operator="lessThan">
      <formula>30</formula>
    </cfRule>
  </conditionalFormatting>
  <conditionalFormatting sqref="M701">
    <cfRule type="cellIs" dxfId="0" priority="812" operator="lessThan">
      <formula>30</formula>
    </cfRule>
  </conditionalFormatting>
  <conditionalFormatting sqref="Z701">
    <cfRule type="cellIs" dxfId="0" priority="168" operator="lessThan">
      <formula>30</formula>
    </cfRule>
  </conditionalFormatting>
  <conditionalFormatting sqref="M702">
    <cfRule type="cellIs" dxfId="0" priority="811" operator="lessThan">
      <formula>30</formula>
    </cfRule>
  </conditionalFormatting>
  <conditionalFormatting sqref="Z702">
    <cfRule type="cellIs" dxfId="0" priority="167" operator="lessThan">
      <formula>30</formula>
    </cfRule>
  </conditionalFormatting>
  <conditionalFormatting sqref="M703">
    <cfRule type="cellIs" dxfId="0" priority="810" operator="lessThan">
      <formula>30</formula>
    </cfRule>
  </conditionalFormatting>
  <conditionalFormatting sqref="Z703">
    <cfRule type="cellIs" dxfId="0" priority="166" operator="lessThan">
      <formula>30</formula>
    </cfRule>
  </conditionalFormatting>
  <conditionalFormatting sqref="M704">
    <cfRule type="cellIs" dxfId="0" priority="809" operator="lessThan">
      <formula>30</formula>
    </cfRule>
  </conditionalFormatting>
  <conditionalFormatting sqref="Z704">
    <cfRule type="cellIs" dxfId="0" priority="165" operator="lessThan">
      <formula>30</formula>
    </cfRule>
  </conditionalFormatting>
  <conditionalFormatting sqref="M705">
    <cfRule type="cellIs" dxfId="0" priority="808" operator="lessThan">
      <formula>30</formula>
    </cfRule>
  </conditionalFormatting>
  <conditionalFormatting sqref="Z705">
    <cfRule type="cellIs" dxfId="0" priority="164" operator="lessThan">
      <formula>30</formula>
    </cfRule>
  </conditionalFormatting>
  <conditionalFormatting sqref="M706">
    <cfRule type="cellIs" dxfId="0" priority="807" operator="lessThan">
      <formula>30</formula>
    </cfRule>
  </conditionalFormatting>
  <conditionalFormatting sqref="Z706">
    <cfRule type="cellIs" dxfId="0" priority="163" operator="lessThan">
      <formula>30</formula>
    </cfRule>
  </conditionalFormatting>
  <conditionalFormatting sqref="M707">
    <cfRule type="cellIs" dxfId="0" priority="806" operator="lessThan">
      <formula>30</formula>
    </cfRule>
  </conditionalFormatting>
  <conditionalFormatting sqref="Z707">
    <cfRule type="cellIs" dxfId="0" priority="162" operator="lessThan">
      <formula>30</formula>
    </cfRule>
  </conditionalFormatting>
  <conditionalFormatting sqref="M708">
    <cfRule type="cellIs" dxfId="0" priority="805" operator="lessThan">
      <formula>30</formula>
    </cfRule>
  </conditionalFormatting>
  <conditionalFormatting sqref="Z708">
    <cfRule type="cellIs" dxfId="0" priority="161" operator="lessThan">
      <formula>30</formula>
    </cfRule>
  </conditionalFormatting>
  <conditionalFormatting sqref="M709">
    <cfRule type="cellIs" dxfId="0" priority="804" operator="lessThan">
      <formula>30</formula>
    </cfRule>
  </conditionalFormatting>
  <conditionalFormatting sqref="Z709">
    <cfRule type="cellIs" dxfId="0" priority="160" operator="lessThan">
      <formula>30</formula>
    </cfRule>
  </conditionalFormatting>
  <conditionalFormatting sqref="M710">
    <cfRule type="cellIs" dxfId="0" priority="803" operator="lessThan">
      <formula>30</formula>
    </cfRule>
  </conditionalFormatting>
  <conditionalFormatting sqref="Z710">
    <cfRule type="cellIs" dxfId="0" priority="159" operator="lessThan">
      <formula>30</formula>
    </cfRule>
  </conditionalFormatting>
  <conditionalFormatting sqref="M711">
    <cfRule type="cellIs" dxfId="0" priority="802" operator="lessThan">
      <formula>30</formula>
    </cfRule>
  </conditionalFormatting>
  <conditionalFormatting sqref="Z711">
    <cfRule type="cellIs" dxfId="0" priority="158" operator="lessThan">
      <formula>30</formula>
    </cfRule>
  </conditionalFormatting>
  <conditionalFormatting sqref="M712">
    <cfRule type="cellIs" dxfId="0" priority="801" operator="lessThan">
      <formula>30</formula>
    </cfRule>
  </conditionalFormatting>
  <conditionalFormatting sqref="Z712">
    <cfRule type="cellIs" dxfId="0" priority="157" operator="lessThan">
      <formula>30</formula>
    </cfRule>
  </conditionalFormatting>
  <conditionalFormatting sqref="M713">
    <cfRule type="cellIs" dxfId="0" priority="800" operator="lessThan">
      <formula>30</formula>
    </cfRule>
  </conditionalFormatting>
  <conditionalFormatting sqref="Z713">
    <cfRule type="cellIs" dxfId="0" priority="259" operator="lessThan">
      <formula>30</formula>
    </cfRule>
  </conditionalFormatting>
  <conditionalFormatting sqref="M714">
    <cfRule type="cellIs" dxfId="0" priority="799" operator="lessThan">
      <formula>30</formula>
    </cfRule>
  </conditionalFormatting>
  <conditionalFormatting sqref="Z714">
    <cfRule type="cellIs" dxfId="0" priority="258" operator="lessThan">
      <formula>30</formula>
    </cfRule>
  </conditionalFormatting>
  <conditionalFormatting sqref="M715">
    <cfRule type="cellIs" dxfId="0" priority="798" operator="lessThan">
      <formula>30</formula>
    </cfRule>
  </conditionalFormatting>
  <conditionalFormatting sqref="Z715">
    <cfRule type="cellIs" dxfId="0" priority="257" operator="lessThan">
      <formula>30</formula>
    </cfRule>
  </conditionalFormatting>
  <conditionalFormatting sqref="M716">
    <cfRule type="cellIs" dxfId="0" priority="797" operator="lessThan">
      <formula>30</formula>
    </cfRule>
  </conditionalFormatting>
  <conditionalFormatting sqref="Z716">
    <cfRule type="cellIs" dxfId="0" priority="256" operator="lessThan">
      <formula>30</formula>
    </cfRule>
  </conditionalFormatting>
  <conditionalFormatting sqref="M717">
    <cfRule type="cellIs" dxfId="0" priority="796" operator="lessThan">
      <formula>30</formula>
    </cfRule>
  </conditionalFormatting>
  <conditionalFormatting sqref="Z717">
    <cfRule type="cellIs" dxfId="0" priority="255" operator="lessThan">
      <formula>30</formula>
    </cfRule>
  </conditionalFormatting>
  <conditionalFormatting sqref="M718">
    <cfRule type="cellIs" dxfId="0" priority="795" operator="lessThan">
      <formula>30</formula>
    </cfRule>
  </conditionalFormatting>
  <conditionalFormatting sqref="Z718">
    <cfRule type="cellIs" dxfId="0" priority="254" operator="lessThan">
      <formula>30</formula>
    </cfRule>
  </conditionalFormatting>
  <conditionalFormatting sqref="M719">
    <cfRule type="cellIs" dxfId="0" priority="794" operator="lessThan">
      <formula>30</formula>
    </cfRule>
  </conditionalFormatting>
  <conditionalFormatting sqref="Z719">
    <cfRule type="cellIs" dxfId="0" priority="253" operator="lessThan">
      <formula>30</formula>
    </cfRule>
  </conditionalFormatting>
  <conditionalFormatting sqref="M720">
    <cfRule type="cellIs" dxfId="0" priority="793" operator="lessThan">
      <formula>30</formula>
    </cfRule>
  </conditionalFormatting>
  <conditionalFormatting sqref="Z720">
    <cfRule type="cellIs" dxfId="0" priority="252" operator="lessThan">
      <formula>30</formula>
    </cfRule>
  </conditionalFormatting>
  <conditionalFormatting sqref="M721">
    <cfRule type="cellIs" dxfId="0" priority="792" operator="lessThan">
      <formula>30</formula>
    </cfRule>
  </conditionalFormatting>
  <conditionalFormatting sqref="Z721">
    <cfRule type="cellIs" dxfId="0" priority="251" operator="lessThan">
      <formula>30</formula>
    </cfRule>
  </conditionalFormatting>
  <conditionalFormatting sqref="M722">
    <cfRule type="cellIs" dxfId="0" priority="791" operator="lessThan">
      <formula>30</formula>
    </cfRule>
  </conditionalFormatting>
  <conditionalFormatting sqref="Z722">
    <cfRule type="cellIs" dxfId="0" priority="250" operator="lessThan">
      <formula>30</formula>
    </cfRule>
  </conditionalFormatting>
  <conditionalFormatting sqref="M723">
    <cfRule type="cellIs" dxfId="0" priority="790" operator="lessThan">
      <formula>30</formula>
    </cfRule>
  </conditionalFormatting>
  <conditionalFormatting sqref="Z723">
    <cfRule type="cellIs" dxfId="0" priority="249" operator="lessThan">
      <formula>30</formula>
    </cfRule>
  </conditionalFormatting>
  <conditionalFormatting sqref="M724">
    <cfRule type="cellIs" dxfId="0" priority="789" operator="lessThan">
      <formula>30</formula>
    </cfRule>
  </conditionalFormatting>
  <conditionalFormatting sqref="Z724">
    <cfRule type="cellIs" dxfId="0" priority="248" operator="lessThan">
      <formula>30</formula>
    </cfRule>
  </conditionalFormatting>
  <conditionalFormatting sqref="M725">
    <cfRule type="cellIs" dxfId="0" priority="788" operator="lessThan">
      <formula>30</formula>
    </cfRule>
  </conditionalFormatting>
  <conditionalFormatting sqref="Z725">
    <cfRule type="cellIs" dxfId="0" priority="247" operator="lessThan">
      <formula>30</formula>
    </cfRule>
  </conditionalFormatting>
  <conditionalFormatting sqref="M726">
    <cfRule type="cellIs" dxfId="0" priority="787" operator="lessThan">
      <formula>30</formula>
    </cfRule>
  </conditionalFormatting>
  <conditionalFormatting sqref="Z726">
    <cfRule type="cellIs" dxfId="0" priority="208" operator="lessThan">
      <formula>30</formula>
    </cfRule>
  </conditionalFormatting>
  <conditionalFormatting sqref="M727">
    <cfRule type="cellIs" dxfId="0" priority="786" operator="lessThan">
      <formula>30</formula>
    </cfRule>
  </conditionalFormatting>
  <conditionalFormatting sqref="Z727">
    <cfRule type="cellIs" dxfId="0" priority="207" operator="lessThan">
      <formula>30</formula>
    </cfRule>
  </conditionalFormatting>
  <conditionalFormatting sqref="M728">
    <cfRule type="cellIs" dxfId="0" priority="785" operator="lessThan">
      <formula>30</formula>
    </cfRule>
  </conditionalFormatting>
  <conditionalFormatting sqref="Z728">
    <cfRule type="cellIs" dxfId="0" priority="206" operator="lessThan">
      <formula>30</formula>
    </cfRule>
  </conditionalFormatting>
  <conditionalFormatting sqref="M729">
    <cfRule type="cellIs" dxfId="0" priority="784" operator="lessThan">
      <formula>30</formula>
    </cfRule>
  </conditionalFormatting>
  <conditionalFormatting sqref="Z729">
    <cfRule type="cellIs" dxfId="0" priority="205" operator="lessThan">
      <formula>30</formula>
    </cfRule>
  </conditionalFormatting>
  <conditionalFormatting sqref="M730">
    <cfRule type="cellIs" dxfId="0" priority="783" operator="lessThan">
      <formula>30</formula>
    </cfRule>
  </conditionalFormatting>
  <conditionalFormatting sqref="Z730">
    <cfRule type="cellIs" dxfId="0" priority="204" operator="lessThan">
      <formula>30</formula>
    </cfRule>
  </conditionalFormatting>
  <conditionalFormatting sqref="M731">
    <cfRule type="cellIs" dxfId="0" priority="782" operator="lessThan">
      <formula>30</formula>
    </cfRule>
  </conditionalFormatting>
  <conditionalFormatting sqref="Z731">
    <cfRule type="cellIs" dxfId="0" priority="203" operator="lessThan">
      <formula>30</formula>
    </cfRule>
  </conditionalFormatting>
  <conditionalFormatting sqref="M732">
    <cfRule type="cellIs" dxfId="0" priority="781" operator="lessThan">
      <formula>30</formula>
    </cfRule>
  </conditionalFormatting>
  <conditionalFormatting sqref="Z732">
    <cfRule type="cellIs" dxfId="0" priority="202" operator="lessThan">
      <formula>30</formula>
    </cfRule>
  </conditionalFormatting>
  <conditionalFormatting sqref="M733">
    <cfRule type="cellIs" dxfId="0" priority="780" operator="lessThan">
      <formula>30</formula>
    </cfRule>
  </conditionalFormatting>
  <conditionalFormatting sqref="Z733">
    <cfRule type="cellIs" dxfId="0" priority="201" operator="lessThan">
      <formula>30</formula>
    </cfRule>
  </conditionalFormatting>
  <conditionalFormatting sqref="M734">
    <cfRule type="cellIs" dxfId="0" priority="779" operator="lessThan">
      <formula>30</formula>
    </cfRule>
  </conditionalFormatting>
  <conditionalFormatting sqref="Z734">
    <cfRule type="cellIs" dxfId="0" priority="200" operator="lessThan">
      <formula>30</formula>
    </cfRule>
  </conditionalFormatting>
  <conditionalFormatting sqref="M735">
    <cfRule type="cellIs" dxfId="0" priority="778" operator="lessThan">
      <formula>30</formula>
    </cfRule>
  </conditionalFormatting>
  <conditionalFormatting sqref="Z735">
    <cfRule type="cellIs" dxfId="0" priority="199" operator="lessThan">
      <formula>30</formula>
    </cfRule>
  </conditionalFormatting>
  <conditionalFormatting sqref="M736">
    <cfRule type="cellIs" dxfId="0" priority="777" operator="lessThan">
      <formula>30</formula>
    </cfRule>
  </conditionalFormatting>
  <conditionalFormatting sqref="Z736">
    <cfRule type="cellIs" dxfId="0" priority="198" operator="lessThan">
      <formula>30</formula>
    </cfRule>
  </conditionalFormatting>
  <conditionalFormatting sqref="M737">
    <cfRule type="cellIs" dxfId="0" priority="776" operator="lessThan">
      <formula>30</formula>
    </cfRule>
  </conditionalFormatting>
  <conditionalFormatting sqref="Z737">
    <cfRule type="cellIs" dxfId="0" priority="197" operator="lessThan">
      <formula>30</formula>
    </cfRule>
  </conditionalFormatting>
  <conditionalFormatting sqref="M738">
    <cfRule type="cellIs" dxfId="0" priority="775" operator="lessThan">
      <formula>30</formula>
    </cfRule>
  </conditionalFormatting>
  <conditionalFormatting sqref="Z738">
    <cfRule type="cellIs" dxfId="0" priority="196" operator="lessThan">
      <formula>30</formula>
    </cfRule>
  </conditionalFormatting>
  <conditionalFormatting sqref="M739">
    <cfRule type="cellIs" dxfId="0" priority="774" operator="lessThan">
      <formula>30</formula>
    </cfRule>
  </conditionalFormatting>
  <conditionalFormatting sqref="Z739">
    <cfRule type="cellIs" dxfId="0" priority="195" operator="lessThan">
      <formula>30</formula>
    </cfRule>
  </conditionalFormatting>
  <conditionalFormatting sqref="M740">
    <cfRule type="cellIs" dxfId="0" priority="773" operator="lessThan">
      <formula>30</formula>
    </cfRule>
  </conditionalFormatting>
  <conditionalFormatting sqref="Z740">
    <cfRule type="cellIs" dxfId="0" priority="194" operator="lessThan">
      <formula>30</formula>
    </cfRule>
  </conditionalFormatting>
  <conditionalFormatting sqref="M741">
    <cfRule type="cellIs" dxfId="0" priority="772" operator="lessThan">
      <formula>30</formula>
    </cfRule>
  </conditionalFormatting>
  <conditionalFormatting sqref="Z741">
    <cfRule type="cellIs" dxfId="0" priority="193" operator="lessThan">
      <formula>30</formula>
    </cfRule>
  </conditionalFormatting>
  <conditionalFormatting sqref="M742">
    <cfRule type="cellIs" dxfId="0" priority="771" operator="lessThan">
      <formula>30</formula>
    </cfRule>
  </conditionalFormatting>
  <conditionalFormatting sqref="Z742">
    <cfRule type="cellIs" dxfId="0" priority="192" operator="lessThan">
      <formula>30</formula>
    </cfRule>
  </conditionalFormatting>
  <conditionalFormatting sqref="M743">
    <cfRule type="cellIs" dxfId="0" priority="770" operator="lessThan">
      <formula>30</formula>
    </cfRule>
  </conditionalFormatting>
  <conditionalFormatting sqref="Z743">
    <cfRule type="cellIs" dxfId="0" priority="191" operator="lessThan">
      <formula>30</formula>
    </cfRule>
  </conditionalFormatting>
  <conditionalFormatting sqref="M744">
    <cfRule type="cellIs" dxfId="0" priority="769" operator="lessThan">
      <formula>30</formula>
    </cfRule>
  </conditionalFormatting>
  <conditionalFormatting sqref="Z744">
    <cfRule type="cellIs" dxfId="0" priority="190" operator="lessThan">
      <formula>30</formula>
    </cfRule>
  </conditionalFormatting>
  <conditionalFormatting sqref="M745">
    <cfRule type="cellIs" dxfId="0" priority="768" operator="lessThan">
      <formula>30</formula>
    </cfRule>
  </conditionalFormatting>
  <conditionalFormatting sqref="Z745">
    <cfRule type="cellIs" dxfId="0" priority="189" operator="lessThan">
      <formula>30</formula>
    </cfRule>
  </conditionalFormatting>
  <conditionalFormatting sqref="M746">
    <cfRule type="cellIs" dxfId="0" priority="767" operator="lessThan">
      <formula>30</formula>
    </cfRule>
  </conditionalFormatting>
  <conditionalFormatting sqref="Z746">
    <cfRule type="cellIs" dxfId="0" priority="188" operator="lessThan">
      <formula>30</formula>
    </cfRule>
  </conditionalFormatting>
  <conditionalFormatting sqref="M747">
    <cfRule type="cellIs" dxfId="0" priority="766" operator="lessThan">
      <formula>30</formula>
    </cfRule>
  </conditionalFormatting>
  <conditionalFormatting sqref="Z747">
    <cfRule type="cellIs" dxfId="0" priority="187" operator="lessThan">
      <formula>30</formula>
    </cfRule>
  </conditionalFormatting>
  <conditionalFormatting sqref="M748">
    <cfRule type="cellIs" dxfId="0" priority="765" operator="lessThan">
      <formula>30</formula>
    </cfRule>
  </conditionalFormatting>
  <conditionalFormatting sqref="Z748">
    <cfRule type="cellIs" dxfId="0" priority="186" operator="lessThan">
      <formula>30</formula>
    </cfRule>
  </conditionalFormatting>
  <conditionalFormatting sqref="M749">
    <cfRule type="cellIs" dxfId="0" priority="764" operator="lessThan">
      <formula>30</formula>
    </cfRule>
  </conditionalFormatting>
  <conditionalFormatting sqref="Z749">
    <cfRule type="cellIs" dxfId="0" priority="185" operator="lessThan">
      <formula>30</formula>
    </cfRule>
  </conditionalFormatting>
  <conditionalFormatting sqref="M750">
    <cfRule type="cellIs" dxfId="0" priority="763" operator="lessThan">
      <formula>30</formula>
    </cfRule>
  </conditionalFormatting>
  <conditionalFormatting sqref="Z750">
    <cfRule type="cellIs" dxfId="0" priority="184" operator="lessThan">
      <formula>30</formula>
    </cfRule>
  </conditionalFormatting>
  <conditionalFormatting sqref="M751">
    <cfRule type="cellIs" dxfId="0" priority="762" operator="lessThan">
      <formula>30</formula>
    </cfRule>
  </conditionalFormatting>
  <conditionalFormatting sqref="Z751">
    <cfRule type="cellIs" dxfId="0" priority="183" operator="lessThan">
      <formula>30</formula>
    </cfRule>
  </conditionalFormatting>
  <conditionalFormatting sqref="M752">
    <cfRule type="cellIs" dxfId="0" priority="761" operator="lessThan">
      <formula>30</formula>
    </cfRule>
  </conditionalFormatting>
  <conditionalFormatting sqref="Z752">
    <cfRule type="cellIs" dxfId="0" priority="182" operator="lessThan">
      <formula>30</formula>
    </cfRule>
  </conditionalFormatting>
  <conditionalFormatting sqref="M753">
    <cfRule type="cellIs" dxfId="0" priority="760" operator="lessThan">
      <formula>30</formula>
    </cfRule>
  </conditionalFormatting>
  <conditionalFormatting sqref="M754">
    <cfRule type="cellIs" dxfId="0" priority="759" operator="lessThan">
      <formula>30</formula>
    </cfRule>
  </conditionalFormatting>
  <conditionalFormatting sqref="M755">
    <cfRule type="cellIs" dxfId="0" priority="758" operator="lessThan">
      <formula>30</formula>
    </cfRule>
  </conditionalFormatting>
  <conditionalFormatting sqref="M756">
    <cfRule type="cellIs" dxfId="0" priority="757" operator="lessThan">
      <formula>30</formula>
    </cfRule>
  </conditionalFormatting>
  <conditionalFormatting sqref="M757">
    <cfRule type="cellIs" dxfId="0" priority="756" operator="lessThan">
      <formula>30</formula>
    </cfRule>
  </conditionalFormatting>
  <conditionalFormatting sqref="M758">
    <cfRule type="cellIs" dxfId="0" priority="755" operator="lessThan">
      <formula>30</formula>
    </cfRule>
  </conditionalFormatting>
  <conditionalFormatting sqref="M759">
    <cfRule type="cellIs" dxfId="0" priority="754" operator="lessThan">
      <formula>30</formula>
    </cfRule>
  </conditionalFormatting>
  <conditionalFormatting sqref="M760">
    <cfRule type="cellIs" dxfId="0" priority="753" operator="lessThan">
      <formula>30</formula>
    </cfRule>
  </conditionalFormatting>
  <conditionalFormatting sqref="M761">
    <cfRule type="cellIs" dxfId="0" priority="752" operator="lessThan">
      <formula>30</formula>
    </cfRule>
  </conditionalFormatting>
  <conditionalFormatting sqref="M762">
    <cfRule type="cellIs" dxfId="0" priority="751" operator="lessThan">
      <formula>30</formula>
    </cfRule>
  </conditionalFormatting>
  <conditionalFormatting sqref="M763">
    <cfRule type="cellIs" dxfId="0" priority="750" operator="lessThan">
      <formula>30</formula>
    </cfRule>
  </conditionalFormatting>
  <conditionalFormatting sqref="M764">
    <cfRule type="cellIs" dxfId="0" priority="749" operator="lessThan">
      <formula>30</formula>
    </cfRule>
  </conditionalFormatting>
  <conditionalFormatting sqref="M765">
    <cfRule type="cellIs" dxfId="0" priority="748" operator="lessThan">
      <formula>30</formula>
    </cfRule>
  </conditionalFormatting>
  <conditionalFormatting sqref="M766">
    <cfRule type="cellIs" dxfId="0" priority="747" operator="lessThan">
      <formula>30</formula>
    </cfRule>
  </conditionalFormatting>
  <conditionalFormatting sqref="M767">
    <cfRule type="cellIs" dxfId="0" priority="746" operator="lessThan">
      <formula>30</formula>
    </cfRule>
  </conditionalFormatting>
  <conditionalFormatting sqref="M768">
    <cfRule type="cellIs" dxfId="0" priority="745" operator="lessThan">
      <formula>30</formula>
    </cfRule>
  </conditionalFormatting>
  <conditionalFormatting sqref="M769">
    <cfRule type="cellIs" dxfId="0" priority="744" operator="lessThan">
      <formula>30</formula>
    </cfRule>
  </conditionalFormatting>
  <conditionalFormatting sqref="M770">
    <cfRule type="cellIs" dxfId="0" priority="743" operator="lessThan">
      <formula>30</formula>
    </cfRule>
  </conditionalFormatting>
  <conditionalFormatting sqref="M771">
    <cfRule type="cellIs" dxfId="0" priority="742" operator="lessThan">
      <formula>30</formula>
    </cfRule>
  </conditionalFormatting>
  <conditionalFormatting sqref="M772">
    <cfRule type="cellIs" dxfId="0" priority="741" operator="lessThan">
      <formula>30</formula>
    </cfRule>
  </conditionalFormatting>
  <conditionalFormatting sqref="M773">
    <cfRule type="cellIs" dxfId="0" priority="740" operator="lessThan">
      <formula>30</formula>
    </cfRule>
  </conditionalFormatting>
  <conditionalFormatting sqref="M774">
    <cfRule type="cellIs" dxfId="0" priority="739" operator="lessThan">
      <formula>30</formula>
    </cfRule>
  </conditionalFormatting>
  <conditionalFormatting sqref="M775">
    <cfRule type="cellIs" dxfId="0" priority="738" operator="lessThan">
      <formula>30</formula>
    </cfRule>
  </conditionalFormatting>
  <conditionalFormatting sqref="M776">
    <cfRule type="cellIs" dxfId="0" priority="737" operator="lessThan">
      <formula>30</formula>
    </cfRule>
  </conditionalFormatting>
  <conditionalFormatting sqref="M777">
    <cfRule type="cellIs" dxfId="0" priority="736" operator="lessThan">
      <formula>30</formula>
    </cfRule>
  </conditionalFormatting>
  <conditionalFormatting sqref="M778">
    <cfRule type="cellIs" dxfId="0" priority="735" operator="lessThan">
      <formula>30</formula>
    </cfRule>
  </conditionalFormatting>
  <conditionalFormatting sqref="M779">
    <cfRule type="cellIs" dxfId="0" priority="734" operator="lessThan">
      <formula>30</formula>
    </cfRule>
  </conditionalFormatting>
  <conditionalFormatting sqref="M780">
    <cfRule type="cellIs" dxfId="0" priority="733" operator="lessThan">
      <formula>30</formula>
    </cfRule>
  </conditionalFormatting>
  <conditionalFormatting sqref="M781">
    <cfRule type="cellIs" dxfId="0" priority="732" operator="lessThan">
      <formula>30</formula>
    </cfRule>
  </conditionalFormatting>
  <conditionalFormatting sqref="M782">
    <cfRule type="cellIs" dxfId="0" priority="731" operator="lessThan">
      <formula>30</formula>
    </cfRule>
  </conditionalFormatting>
  <conditionalFormatting sqref="M783">
    <cfRule type="cellIs" dxfId="0" priority="730" operator="lessThan">
      <formula>30</formula>
    </cfRule>
  </conditionalFormatting>
  <conditionalFormatting sqref="M784">
    <cfRule type="cellIs" dxfId="0" priority="729" operator="lessThan">
      <formula>30</formula>
    </cfRule>
  </conditionalFormatting>
  <conditionalFormatting sqref="M785">
    <cfRule type="cellIs" dxfId="0" priority="728" operator="lessThan">
      <formula>30</formula>
    </cfRule>
  </conditionalFormatting>
  <conditionalFormatting sqref="M786">
    <cfRule type="cellIs" dxfId="0" priority="727" operator="lessThan">
      <formula>30</formula>
    </cfRule>
  </conditionalFormatting>
  <conditionalFormatting sqref="M787">
    <cfRule type="cellIs" dxfId="0" priority="726" operator="lessThan">
      <formula>30</formula>
    </cfRule>
  </conditionalFormatting>
  <conditionalFormatting sqref="M788">
    <cfRule type="cellIs" dxfId="0" priority="725" operator="lessThan">
      <formula>30</formula>
    </cfRule>
  </conditionalFormatting>
  <conditionalFormatting sqref="M789">
    <cfRule type="cellIs" dxfId="0" priority="724" operator="lessThan">
      <formula>30</formula>
    </cfRule>
  </conditionalFormatting>
  <conditionalFormatting sqref="M790">
    <cfRule type="cellIs" dxfId="0" priority="723" operator="lessThan">
      <formula>30</formula>
    </cfRule>
  </conditionalFormatting>
  <conditionalFormatting sqref="M791">
    <cfRule type="cellIs" dxfId="0" priority="722" operator="lessThan">
      <formula>30</formula>
    </cfRule>
  </conditionalFormatting>
  <conditionalFormatting sqref="Z791">
    <cfRule type="cellIs" dxfId="0" priority="153" operator="lessThan">
      <formula>30</formula>
    </cfRule>
  </conditionalFormatting>
  <conditionalFormatting sqref="M792">
    <cfRule type="cellIs" dxfId="0" priority="721" operator="lessThan">
      <formula>30</formula>
    </cfRule>
  </conditionalFormatting>
  <conditionalFormatting sqref="Z792">
    <cfRule type="cellIs" dxfId="0" priority="152" operator="lessThan">
      <formula>30</formula>
    </cfRule>
  </conditionalFormatting>
  <conditionalFormatting sqref="M793">
    <cfRule type="cellIs" dxfId="0" priority="720" operator="lessThan">
      <formula>30</formula>
    </cfRule>
  </conditionalFormatting>
  <conditionalFormatting sqref="Z793">
    <cfRule type="cellIs" dxfId="0" priority="151" operator="lessThan">
      <formula>30</formula>
    </cfRule>
  </conditionalFormatting>
  <conditionalFormatting sqref="M794">
    <cfRule type="cellIs" dxfId="0" priority="719" operator="lessThan">
      <formula>30</formula>
    </cfRule>
  </conditionalFormatting>
  <conditionalFormatting sqref="Z794">
    <cfRule type="cellIs" dxfId="0" priority="150" operator="lessThan">
      <formula>30</formula>
    </cfRule>
  </conditionalFormatting>
  <conditionalFormatting sqref="M795">
    <cfRule type="cellIs" dxfId="0" priority="718" operator="lessThan">
      <formula>30</formula>
    </cfRule>
  </conditionalFormatting>
  <conditionalFormatting sqref="Z795">
    <cfRule type="cellIs" dxfId="0" priority="149" operator="lessThan">
      <formula>30</formula>
    </cfRule>
  </conditionalFormatting>
  <conditionalFormatting sqref="M796">
    <cfRule type="cellIs" dxfId="0" priority="717" operator="lessThan">
      <formula>30</formula>
    </cfRule>
  </conditionalFormatting>
  <conditionalFormatting sqref="Z796">
    <cfRule type="cellIs" dxfId="0" priority="148" operator="lessThan">
      <formula>30</formula>
    </cfRule>
  </conditionalFormatting>
  <conditionalFormatting sqref="M797">
    <cfRule type="cellIs" dxfId="0" priority="716" operator="lessThan">
      <formula>30</formula>
    </cfRule>
  </conditionalFormatting>
  <conditionalFormatting sqref="Z797">
    <cfRule type="cellIs" dxfId="0" priority="147" operator="lessThan">
      <formula>30</formula>
    </cfRule>
  </conditionalFormatting>
  <conditionalFormatting sqref="M798">
    <cfRule type="cellIs" dxfId="0" priority="715" operator="lessThan">
      <formula>30</formula>
    </cfRule>
  </conditionalFormatting>
  <conditionalFormatting sqref="Z798">
    <cfRule type="cellIs" dxfId="0" priority="146" operator="lessThan">
      <formula>30</formula>
    </cfRule>
  </conditionalFormatting>
  <conditionalFormatting sqref="M799">
    <cfRule type="cellIs" dxfId="0" priority="714" operator="lessThan">
      <formula>30</formula>
    </cfRule>
  </conditionalFormatting>
  <conditionalFormatting sqref="M800">
    <cfRule type="cellIs" dxfId="0" priority="713" operator="lessThan">
      <formula>30</formula>
    </cfRule>
  </conditionalFormatting>
  <conditionalFormatting sqref="M801">
    <cfRule type="cellIs" dxfId="0" priority="712" operator="lessThan">
      <formula>30</formula>
    </cfRule>
  </conditionalFormatting>
  <conditionalFormatting sqref="M802">
    <cfRule type="cellIs" dxfId="0" priority="711" operator="lessThan">
      <formula>30</formula>
    </cfRule>
  </conditionalFormatting>
  <conditionalFormatting sqref="M803">
    <cfRule type="cellIs" dxfId="0" priority="710" operator="lessThan">
      <formula>30</formula>
    </cfRule>
  </conditionalFormatting>
  <conditionalFormatting sqref="M804">
    <cfRule type="cellIs" dxfId="0" priority="709" operator="lessThan">
      <formula>30</formula>
    </cfRule>
  </conditionalFormatting>
  <conditionalFormatting sqref="M805">
    <cfRule type="cellIs" dxfId="0" priority="708" operator="lessThan">
      <formula>30</formula>
    </cfRule>
  </conditionalFormatting>
  <conditionalFormatting sqref="M806">
    <cfRule type="cellIs" dxfId="0" priority="707" operator="lessThan">
      <formula>30</formula>
    </cfRule>
  </conditionalFormatting>
  <conditionalFormatting sqref="M807">
    <cfRule type="cellIs" dxfId="0" priority="706" operator="lessThan">
      <formula>30</formula>
    </cfRule>
  </conditionalFormatting>
  <conditionalFormatting sqref="M808">
    <cfRule type="cellIs" dxfId="0" priority="705" operator="lessThan">
      <formula>30</formula>
    </cfRule>
  </conditionalFormatting>
  <conditionalFormatting sqref="M809">
    <cfRule type="cellIs" dxfId="0" priority="704" operator="lessThan">
      <formula>30</formula>
    </cfRule>
  </conditionalFormatting>
  <conditionalFormatting sqref="M810">
    <cfRule type="cellIs" dxfId="0" priority="703" operator="lessThan">
      <formula>30</formula>
    </cfRule>
  </conditionalFormatting>
  <conditionalFormatting sqref="M811">
    <cfRule type="cellIs" dxfId="0" priority="702" operator="lessThan">
      <formula>30</formula>
    </cfRule>
  </conditionalFormatting>
  <conditionalFormatting sqref="M812">
    <cfRule type="cellIs" dxfId="0" priority="701" operator="lessThan">
      <formula>30</formula>
    </cfRule>
  </conditionalFormatting>
  <conditionalFormatting sqref="M813">
    <cfRule type="cellIs" dxfId="0" priority="700" operator="lessThan">
      <formula>30</formula>
    </cfRule>
  </conditionalFormatting>
  <conditionalFormatting sqref="M814">
    <cfRule type="cellIs" dxfId="0" priority="699" operator="lessThan">
      <formula>30</formula>
    </cfRule>
  </conditionalFormatting>
  <conditionalFormatting sqref="M815">
    <cfRule type="cellIs" dxfId="0" priority="698" operator="lessThan">
      <formula>30</formula>
    </cfRule>
  </conditionalFormatting>
  <conditionalFormatting sqref="M816">
    <cfRule type="cellIs" dxfId="0" priority="697" operator="lessThan">
      <formula>30</formula>
    </cfRule>
  </conditionalFormatting>
  <conditionalFormatting sqref="M817">
    <cfRule type="cellIs" dxfId="0" priority="696" operator="lessThan">
      <formula>30</formula>
    </cfRule>
  </conditionalFormatting>
  <conditionalFormatting sqref="M818">
    <cfRule type="cellIs" dxfId="0" priority="695" operator="lessThan">
      <formula>30</formula>
    </cfRule>
  </conditionalFormatting>
  <conditionalFormatting sqref="M819">
    <cfRule type="cellIs" dxfId="0" priority="694" operator="lessThan">
      <formula>30</formula>
    </cfRule>
  </conditionalFormatting>
  <conditionalFormatting sqref="M820">
    <cfRule type="cellIs" dxfId="0" priority="693" operator="lessThan">
      <formula>30</formula>
    </cfRule>
  </conditionalFormatting>
  <conditionalFormatting sqref="M821">
    <cfRule type="cellIs" dxfId="0" priority="692" operator="lessThan">
      <formula>30</formula>
    </cfRule>
  </conditionalFormatting>
  <conditionalFormatting sqref="M822">
    <cfRule type="cellIs" dxfId="0" priority="691" operator="lessThan">
      <formula>30</formula>
    </cfRule>
  </conditionalFormatting>
  <conditionalFormatting sqref="M823">
    <cfRule type="cellIs" dxfId="0" priority="690" operator="lessThan">
      <formula>30</formula>
    </cfRule>
  </conditionalFormatting>
  <conditionalFormatting sqref="M824">
    <cfRule type="cellIs" dxfId="0" priority="689" operator="lessThan">
      <formula>30</formula>
    </cfRule>
  </conditionalFormatting>
  <conditionalFormatting sqref="M825">
    <cfRule type="cellIs" dxfId="0" priority="688" operator="lessThan">
      <formula>30</formula>
    </cfRule>
  </conditionalFormatting>
  <conditionalFormatting sqref="M828">
    <cfRule type="cellIs" dxfId="0" priority="685" operator="lessThan">
      <formula>30</formula>
    </cfRule>
  </conditionalFormatting>
  <conditionalFormatting sqref="M829">
    <cfRule type="cellIs" dxfId="0" priority="684" operator="lessThan">
      <formula>30</formula>
    </cfRule>
  </conditionalFormatting>
  <conditionalFormatting sqref="M830">
    <cfRule type="cellIs" dxfId="0" priority="683" operator="lessThan">
      <formula>30</formula>
    </cfRule>
  </conditionalFormatting>
  <conditionalFormatting sqref="M831">
    <cfRule type="cellIs" dxfId="0" priority="682" operator="lessThan">
      <formula>30</formula>
    </cfRule>
  </conditionalFormatting>
  <conditionalFormatting sqref="M832">
    <cfRule type="cellIs" dxfId="0" priority="681" operator="lessThan">
      <formula>30</formula>
    </cfRule>
  </conditionalFormatting>
  <conditionalFormatting sqref="M833">
    <cfRule type="cellIs" dxfId="0" priority="680" operator="lessThan">
      <formula>30</formula>
    </cfRule>
  </conditionalFormatting>
  <conditionalFormatting sqref="M834">
    <cfRule type="cellIs" dxfId="0" priority="679" operator="lessThan">
      <formula>30</formula>
    </cfRule>
  </conditionalFormatting>
  <conditionalFormatting sqref="M835">
    <cfRule type="cellIs" dxfId="0" priority="678" operator="lessThan">
      <formula>30</formula>
    </cfRule>
  </conditionalFormatting>
  <conditionalFormatting sqref="M836">
    <cfRule type="cellIs" dxfId="0" priority="677" operator="lessThan">
      <formula>30</formula>
    </cfRule>
  </conditionalFormatting>
  <conditionalFormatting sqref="M837">
    <cfRule type="cellIs" dxfId="0" priority="676" operator="lessThan">
      <formula>30</formula>
    </cfRule>
  </conditionalFormatting>
  <conditionalFormatting sqref="M838">
    <cfRule type="cellIs" dxfId="0" priority="675" operator="lessThan">
      <formula>30</formula>
    </cfRule>
  </conditionalFormatting>
  <conditionalFormatting sqref="M839">
    <cfRule type="cellIs" dxfId="0" priority="674" operator="lessThan">
      <formula>30</formula>
    </cfRule>
  </conditionalFormatting>
  <conditionalFormatting sqref="M840">
    <cfRule type="cellIs" dxfId="0" priority="673" operator="lessThan">
      <formula>30</formula>
    </cfRule>
  </conditionalFormatting>
  <conditionalFormatting sqref="M841">
    <cfRule type="cellIs" dxfId="0" priority="672" operator="lessThan">
      <formula>30</formula>
    </cfRule>
  </conditionalFormatting>
  <conditionalFormatting sqref="M842">
    <cfRule type="cellIs" dxfId="0" priority="671" operator="lessThan">
      <formula>30</formula>
    </cfRule>
  </conditionalFormatting>
  <conditionalFormatting sqref="M843">
    <cfRule type="cellIs" dxfId="0" priority="670" operator="lessThan">
      <formula>30</formula>
    </cfRule>
  </conditionalFormatting>
  <conditionalFormatting sqref="M844">
    <cfRule type="cellIs" dxfId="0" priority="669" operator="lessThan">
      <formula>30</formula>
    </cfRule>
  </conditionalFormatting>
  <conditionalFormatting sqref="M845">
    <cfRule type="cellIs" dxfId="0" priority="668" operator="lessThan">
      <formula>30</formula>
    </cfRule>
  </conditionalFormatting>
  <conditionalFormatting sqref="M846">
    <cfRule type="cellIs" dxfId="0" priority="667" operator="lessThan">
      <formula>30</formula>
    </cfRule>
  </conditionalFormatting>
  <conditionalFormatting sqref="M847">
    <cfRule type="cellIs" dxfId="0" priority="666" operator="lessThan">
      <formula>30</formula>
    </cfRule>
  </conditionalFormatting>
  <conditionalFormatting sqref="M848">
    <cfRule type="cellIs" dxfId="0" priority="665" operator="lessThan">
      <formula>30</formula>
    </cfRule>
  </conditionalFormatting>
  <conditionalFormatting sqref="M849">
    <cfRule type="cellIs" dxfId="0" priority="664" operator="lessThan">
      <formula>30</formula>
    </cfRule>
  </conditionalFormatting>
  <conditionalFormatting sqref="M850">
    <cfRule type="cellIs" dxfId="0" priority="663" operator="lessThan">
      <formula>30</formula>
    </cfRule>
  </conditionalFormatting>
  <conditionalFormatting sqref="M851">
    <cfRule type="cellIs" dxfId="0" priority="662" operator="lessThan">
      <formula>30</formula>
    </cfRule>
  </conditionalFormatting>
  <conditionalFormatting sqref="M852">
    <cfRule type="cellIs" dxfId="0" priority="661" operator="lessThan">
      <formula>30</formula>
    </cfRule>
  </conditionalFormatting>
  <conditionalFormatting sqref="M853">
    <cfRule type="cellIs" dxfId="0" priority="660" operator="lessThan">
      <formula>30</formula>
    </cfRule>
  </conditionalFormatting>
  <conditionalFormatting sqref="M854">
    <cfRule type="cellIs" dxfId="0" priority="659" operator="lessThan">
      <formula>30</formula>
    </cfRule>
  </conditionalFormatting>
  <conditionalFormatting sqref="M855">
    <cfRule type="cellIs" dxfId="0" priority="658" operator="lessThan">
      <formula>30</formula>
    </cfRule>
  </conditionalFormatting>
  <conditionalFormatting sqref="M856">
    <cfRule type="cellIs" dxfId="0" priority="657" operator="lessThan">
      <formula>30</formula>
    </cfRule>
  </conditionalFormatting>
  <conditionalFormatting sqref="M857">
    <cfRule type="cellIs" dxfId="0" priority="656" operator="lessThan">
      <formula>30</formula>
    </cfRule>
  </conditionalFormatting>
  <conditionalFormatting sqref="M858">
    <cfRule type="cellIs" dxfId="0" priority="655" operator="lessThan">
      <formula>30</formula>
    </cfRule>
  </conditionalFormatting>
  <conditionalFormatting sqref="M859">
    <cfRule type="cellIs" dxfId="0" priority="654" operator="lessThan">
      <formula>30</formula>
    </cfRule>
  </conditionalFormatting>
  <conditionalFormatting sqref="M860">
    <cfRule type="cellIs" dxfId="0" priority="653" operator="lessThan">
      <formula>30</formula>
    </cfRule>
  </conditionalFormatting>
  <conditionalFormatting sqref="M861">
    <cfRule type="cellIs" dxfId="0" priority="652" operator="lessThan">
      <formula>30</formula>
    </cfRule>
  </conditionalFormatting>
  <conditionalFormatting sqref="M862">
    <cfRule type="cellIs" dxfId="0" priority="651" operator="lessThan">
      <formula>30</formula>
    </cfRule>
  </conditionalFormatting>
  <conditionalFormatting sqref="M863">
    <cfRule type="cellIs" dxfId="0" priority="650" operator="lessThan">
      <formula>30</formula>
    </cfRule>
  </conditionalFormatting>
  <conditionalFormatting sqref="M864">
    <cfRule type="cellIs" dxfId="0" priority="649" operator="lessThan">
      <formula>30</formula>
    </cfRule>
  </conditionalFormatting>
  <conditionalFormatting sqref="M865">
    <cfRule type="cellIs" dxfId="0" priority="648" operator="lessThan">
      <formula>30</formula>
    </cfRule>
  </conditionalFormatting>
  <conditionalFormatting sqref="M866">
    <cfRule type="cellIs" dxfId="0" priority="647" operator="lessThan">
      <formula>30</formula>
    </cfRule>
  </conditionalFormatting>
  <conditionalFormatting sqref="M867">
    <cfRule type="cellIs" dxfId="0" priority="646" operator="lessThan">
      <formula>30</formula>
    </cfRule>
  </conditionalFormatting>
  <conditionalFormatting sqref="M868">
    <cfRule type="cellIs" dxfId="0" priority="645" operator="lessThan">
      <formula>30</formula>
    </cfRule>
  </conditionalFormatting>
  <conditionalFormatting sqref="M869">
    <cfRule type="cellIs" dxfId="0" priority="644" operator="lessThan">
      <formula>30</formula>
    </cfRule>
  </conditionalFormatting>
  <conditionalFormatting sqref="M870">
    <cfRule type="cellIs" dxfId="0" priority="643" operator="lessThan">
      <formula>30</formula>
    </cfRule>
  </conditionalFormatting>
  <conditionalFormatting sqref="M871">
    <cfRule type="cellIs" dxfId="0" priority="642" operator="lessThan">
      <formula>30</formula>
    </cfRule>
  </conditionalFormatting>
  <conditionalFormatting sqref="M872">
    <cfRule type="cellIs" dxfId="0" priority="641" operator="lessThan">
      <formula>30</formula>
    </cfRule>
  </conditionalFormatting>
  <conditionalFormatting sqref="M873">
    <cfRule type="cellIs" dxfId="0" priority="640" operator="lessThan">
      <formula>30</formula>
    </cfRule>
  </conditionalFormatting>
  <conditionalFormatting sqref="M874">
    <cfRule type="cellIs" dxfId="0" priority="639" operator="lessThan">
      <formula>30</formula>
    </cfRule>
  </conditionalFormatting>
  <conditionalFormatting sqref="Z874">
    <cfRule type="cellIs" dxfId="0" priority="144" operator="lessThan">
      <formula>30</formula>
    </cfRule>
  </conditionalFormatting>
  <conditionalFormatting sqref="M875">
    <cfRule type="cellIs" dxfId="0" priority="638" operator="lessThan">
      <formula>30</formula>
    </cfRule>
  </conditionalFormatting>
  <conditionalFormatting sqref="Z875">
    <cfRule type="cellIs" dxfId="0" priority="143" operator="lessThan">
      <formula>30</formula>
    </cfRule>
  </conditionalFormatting>
  <conditionalFormatting sqref="M876">
    <cfRule type="cellIs" dxfId="0" priority="637" operator="lessThan">
      <formula>30</formula>
    </cfRule>
  </conditionalFormatting>
  <conditionalFormatting sqref="Z876">
    <cfRule type="cellIs" dxfId="0" priority="142" operator="lessThan">
      <formula>30</formula>
    </cfRule>
  </conditionalFormatting>
  <conditionalFormatting sqref="M877">
    <cfRule type="cellIs" dxfId="0" priority="636" operator="lessThan">
      <formula>30</formula>
    </cfRule>
  </conditionalFormatting>
  <conditionalFormatting sqref="Z877">
    <cfRule type="cellIs" dxfId="0" priority="141" operator="lessThan">
      <formula>30</formula>
    </cfRule>
  </conditionalFormatting>
  <conditionalFormatting sqref="M878">
    <cfRule type="cellIs" dxfId="0" priority="635" operator="lessThan">
      <formula>30</formula>
    </cfRule>
  </conditionalFormatting>
  <conditionalFormatting sqref="Z878">
    <cfRule type="cellIs" dxfId="0" priority="140" operator="lessThan">
      <formula>30</formula>
    </cfRule>
  </conditionalFormatting>
  <conditionalFormatting sqref="M879">
    <cfRule type="cellIs" dxfId="0" priority="634" operator="lessThan">
      <formula>30</formula>
    </cfRule>
  </conditionalFormatting>
  <conditionalFormatting sqref="Z879">
    <cfRule type="cellIs" dxfId="0" priority="139" operator="lessThan">
      <formula>30</formula>
    </cfRule>
  </conditionalFormatting>
  <conditionalFormatting sqref="M880">
    <cfRule type="cellIs" dxfId="0" priority="633" operator="lessThan">
      <formula>30</formula>
    </cfRule>
  </conditionalFormatting>
  <conditionalFormatting sqref="Z880">
    <cfRule type="cellIs" dxfId="0" priority="138" operator="lessThan">
      <formula>30</formula>
    </cfRule>
  </conditionalFormatting>
  <conditionalFormatting sqref="M881">
    <cfRule type="cellIs" dxfId="0" priority="632" operator="lessThan">
      <formula>30</formula>
    </cfRule>
  </conditionalFormatting>
  <conditionalFormatting sqref="Z881">
    <cfRule type="cellIs" dxfId="0" priority="137" operator="lessThan">
      <formula>30</formula>
    </cfRule>
  </conditionalFormatting>
  <conditionalFormatting sqref="M882">
    <cfRule type="cellIs" dxfId="0" priority="631" operator="lessThan">
      <formula>30</formula>
    </cfRule>
  </conditionalFormatting>
  <conditionalFormatting sqref="Z882">
    <cfRule type="cellIs" dxfId="0" priority="136" operator="lessThan">
      <formula>30</formula>
    </cfRule>
  </conditionalFormatting>
  <conditionalFormatting sqref="M883">
    <cfRule type="cellIs" dxfId="0" priority="630" operator="lessThan">
      <formula>30</formula>
    </cfRule>
  </conditionalFormatting>
  <conditionalFormatting sqref="Z883">
    <cfRule type="cellIs" dxfId="0" priority="135" operator="lessThan">
      <formula>30</formula>
    </cfRule>
  </conditionalFormatting>
  <conditionalFormatting sqref="M884">
    <cfRule type="cellIs" dxfId="0" priority="629" operator="lessThan">
      <formula>30</formula>
    </cfRule>
  </conditionalFormatting>
  <conditionalFormatting sqref="Z884">
    <cfRule type="cellIs" dxfId="0" priority="134" operator="lessThan">
      <formula>30</formula>
    </cfRule>
  </conditionalFormatting>
  <conditionalFormatting sqref="M885">
    <cfRule type="cellIs" dxfId="0" priority="628" operator="lessThan">
      <formula>30</formula>
    </cfRule>
  </conditionalFormatting>
  <conditionalFormatting sqref="Z885">
    <cfRule type="cellIs" dxfId="0" priority="133" operator="lessThan">
      <formula>30</formula>
    </cfRule>
  </conditionalFormatting>
  <conditionalFormatting sqref="M886">
    <cfRule type="cellIs" dxfId="0" priority="627" operator="lessThan">
      <formula>30</formula>
    </cfRule>
  </conditionalFormatting>
  <conditionalFormatting sqref="Z886">
    <cfRule type="cellIs" dxfId="0" priority="132" operator="lessThan">
      <formula>30</formula>
    </cfRule>
  </conditionalFormatting>
  <conditionalFormatting sqref="M887">
    <cfRule type="cellIs" dxfId="0" priority="626" operator="lessThan">
      <formula>30</formula>
    </cfRule>
  </conditionalFormatting>
  <conditionalFormatting sqref="Z887">
    <cfRule type="cellIs" dxfId="0" priority="131" operator="lessThan">
      <formula>30</formula>
    </cfRule>
  </conditionalFormatting>
  <conditionalFormatting sqref="M888">
    <cfRule type="cellIs" dxfId="0" priority="625" operator="lessThan">
      <formula>30</formula>
    </cfRule>
  </conditionalFormatting>
  <conditionalFormatting sqref="Z888">
    <cfRule type="cellIs" dxfId="0" priority="130" operator="lessThan">
      <formula>30</formula>
    </cfRule>
  </conditionalFormatting>
  <conditionalFormatting sqref="M889">
    <cfRule type="cellIs" dxfId="0" priority="624" operator="lessThan">
      <formula>30</formula>
    </cfRule>
  </conditionalFormatting>
  <conditionalFormatting sqref="Z889">
    <cfRule type="cellIs" dxfId="0" priority="129" operator="lessThan">
      <formula>30</formula>
    </cfRule>
  </conditionalFormatting>
  <conditionalFormatting sqref="M890">
    <cfRule type="cellIs" dxfId="0" priority="623" operator="lessThan">
      <formula>30</formula>
    </cfRule>
  </conditionalFormatting>
  <conditionalFormatting sqref="Z890">
    <cfRule type="cellIs" dxfId="0" priority="128" operator="lessThan">
      <formula>30</formula>
    </cfRule>
  </conditionalFormatting>
  <conditionalFormatting sqref="M891">
    <cfRule type="cellIs" dxfId="0" priority="622" operator="lessThan">
      <formula>30</formula>
    </cfRule>
  </conditionalFormatting>
  <conditionalFormatting sqref="Z891">
    <cfRule type="cellIs" dxfId="0" priority="127" operator="lessThan">
      <formula>30</formula>
    </cfRule>
  </conditionalFormatting>
  <conditionalFormatting sqref="M892">
    <cfRule type="cellIs" dxfId="0" priority="621" operator="lessThan">
      <formula>30</formula>
    </cfRule>
  </conditionalFormatting>
  <conditionalFormatting sqref="Z892">
    <cfRule type="cellIs" dxfId="0" priority="126" operator="lessThan">
      <formula>30</formula>
    </cfRule>
  </conditionalFormatting>
  <conditionalFormatting sqref="M893">
    <cfRule type="cellIs" dxfId="0" priority="620" operator="lessThan">
      <formula>30</formula>
    </cfRule>
  </conditionalFormatting>
  <conditionalFormatting sqref="Z893">
    <cfRule type="cellIs" dxfId="0" priority="125" operator="lessThan">
      <formula>30</formula>
    </cfRule>
  </conditionalFormatting>
  <conditionalFormatting sqref="M894">
    <cfRule type="cellIs" dxfId="0" priority="619" operator="lessThan">
      <formula>30</formula>
    </cfRule>
  </conditionalFormatting>
  <conditionalFormatting sqref="Z894">
    <cfRule type="cellIs" dxfId="0" priority="124" operator="lessThan">
      <formula>30</formula>
    </cfRule>
  </conditionalFormatting>
  <conditionalFormatting sqref="M895">
    <cfRule type="cellIs" dxfId="0" priority="618" operator="lessThan">
      <formula>30</formula>
    </cfRule>
  </conditionalFormatting>
  <conditionalFormatting sqref="Z895">
    <cfRule type="cellIs" dxfId="0" priority="123" operator="lessThan">
      <formula>30</formula>
    </cfRule>
  </conditionalFormatting>
  <conditionalFormatting sqref="M896">
    <cfRule type="cellIs" dxfId="0" priority="617" operator="lessThan">
      <formula>30</formula>
    </cfRule>
  </conditionalFormatting>
  <conditionalFormatting sqref="Z896">
    <cfRule type="cellIs" dxfId="0" priority="122" operator="lessThan">
      <formula>30</formula>
    </cfRule>
  </conditionalFormatting>
  <conditionalFormatting sqref="M897">
    <cfRule type="cellIs" dxfId="0" priority="616" operator="lessThan">
      <formula>30</formula>
    </cfRule>
  </conditionalFormatting>
  <conditionalFormatting sqref="Z897">
    <cfRule type="cellIs" dxfId="0" priority="121" operator="lessThan">
      <formula>30</formula>
    </cfRule>
  </conditionalFormatting>
  <conditionalFormatting sqref="M898">
    <cfRule type="cellIs" dxfId="0" priority="615" operator="lessThan">
      <formula>30</formula>
    </cfRule>
  </conditionalFormatting>
  <conditionalFormatting sqref="Z898">
    <cfRule type="cellIs" dxfId="0" priority="120" operator="lessThan">
      <formula>30</formula>
    </cfRule>
  </conditionalFormatting>
  <conditionalFormatting sqref="M899">
    <cfRule type="cellIs" dxfId="0" priority="614" operator="lessThan">
      <formula>30</formula>
    </cfRule>
  </conditionalFormatting>
  <conditionalFormatting sqref="Z899">
    <cfRule type="cellIs" dxfId="0" priority="119" operator="lessThan">
      <formula>30</formula>
    </cfRule>
  </conditionalFormatting>
  <conditionalFormatting sqref="M900">
    <cfRule type="cellIs" dxfId="0" priority="613" operator="lessThan">
      <formula>30</formula>
    </cfRule>
  </conditionalFormatting>
  <conditionalFormatting sqref="Z900">
    <cfRule type="cellIs" dxfId="0" priority="118" operator="lessThan">
      <formula>30</formula>
    </cfRule>
  </conditionalFormatting>
  <conditionalFormatting sqref="M901">
    <cfRule type="cellIs" dxfId="0" priority="612" operator="lessThan">
      <formula>30</formula>
    </cfRule>
  </conditionalFormatting>
  <conditionalFormatting sqref="Z901">
    <cfRule type="cellIs" dxfId="0" priority="117" operator="lessThan">
      <formula>30</formula>
    </cfRule>
  </conditionalFormatting>
  <conditionalFormatting sqref="M902">
    <cfRule type="cellIs" dxfId="0" priority="611" operator="lessThan">
      <formula>30</formula>
    </cfRule>
  </conditionalFormatting>
  <conditionalFormatting sqref="Z902">
    <cfRule type="cellIs" dxfId="0" priority="116" operator="lessThan">
      <formula>30</formula>
    </cfRule>
  </conditionalFormatting>
  <conditionalFormatting sqref="M903">
    <cfRule type="cellIs" dxfId="0" priority="610" operator="lessThan">
      <formula>30</formula>
    </cfRule>
  </conditionalFormatting>
  <conditionalFormatting sqref="Z903">
    <cfRule type="cellIs" dxfId="0" priority="115" operator="lessThan">
      <formula>30</formula>
    </cfRule>
  </conditionalFormatting>
  <conditionalFormatting sqref="M904">
    <cfRule type="cellIs" dxfId="0" priority="609" operator="lessThan">
      <formula>30</formula>
    </cfRule>
  </conditionalFormatting>
  <conditionalFormatting sqref="Z904">
    <cfRule type="cellIs" dxfId="0" priority="114" operator="lessThan">
      <formula>30</formula>
    </cfRule>
  </conditionalFormatting>
  <conditionalFormatting sqref="M905">
    <cfRule type="cellIs" dxfId="0" priority="608" operator="lessThan">
      <formula>30</formula>
    </cfRule>
  </conditionalFormatting>
  <conditionalFormatting sqref="Z905">
    <cfRule type="cellIs" dxfId="0" priority="113" operator="lessThan">
      <formula>30</formula>
    </cfRule>
  </conditionalFormatting>
  <conditionalFormatting sqref="M906">
    <cfRule type="cellIs" dxfId="0" priority="607" operator="lessThan">
      <formula>30</formula>
    </cfRule>
  </conditionalFormatting>
  <conditionalFormatting sqref="Z906">
    <cfRule type="cellIs" dxfId="0" priority="112" operator="lessThan">
      <formula>30</formula>
    </cfRule>
  </conditionalFormatting>
  <conditionalFormatting sqref="M907">
    <cfRule type="cellIs" dxfId="0" priority="606" operator="lessThan">
      <formula>30</formula>
    </cfRule>
  </conditionalFormatting>
  <conditionalFormatting sqref="Z907">
    <cfRule type="cellIs" dxfId="0" priority="111" operator="lessThan">
      <formula>30</formula>
    </cfRule>
  </conditionalFormatting>
  <conditionalFormatting sqref="M908">
    <cfRule type="cellIs" dxfId="0" priority="605" operator="lessThan">
      <formula>30</formula>
    </cfRule>
  </conditionalFormatting>
  <conditionalFormatting sqref="Z908">
    <cfRule type="cellIs" dxfId="0" priority="110" operator="lessThan">
      <formula>30</formula>
    </cfRule>
  </conditionalFormatting>
  <conditionalFormatting sqref="M909">
    <cfRule type="cellIs" dxfId="0" priority="604" operator="lessThan">
      <formula>30</formula>
    </cfRule>
  </conditionalFormatting>
  <conditionalFormatting sqref="Z909">
    <cfRule type="cellIs" dxfId="0" priority="109" operator="lessThan">
      <formula>30</formula>
    </cfRule>
  </conditionalFormatting>
  <conditionalFormatting sqref="M910">
    <cfRule type="cellIs" dxfId="0" priority="603" operator="lessThan">
      <formula>30</formula>
    </cfRule>
  </conditionalFormatting>
  <conditionalFormatting sqref="Z910">
    <cfRule type="cellIs" dxfId="0" priority="108" operator="lessThan">
      <formula>30</formula>
    </cfRule>
  </conditionalFormatting>
  <conditionalFormatting sqref="M911">
    <cfRule type="cellIs" dxfId="0" priority="602" operator="lessThan">
      <formula>30</formula>
    </cfRule>
  </conditionalFormatting>
  <conditionalFormatting sqref="Z911">
    <cfRule type="cellIs" dxfId="0" priority="107" operator="lessThan">
      <formula>30</formula>
    </cfRule>
  </conditionalFormatting>
  <conditionalFormatting sqref="M912">
    <cfRule type="cellIs" dxfId="0" priority="601" operator="lessThan">
      <formula>30</formula>
    </cfRule>
  </conditionalFormatting>
  <conditionalFormatting sqref="Z912">
    <cfRule type="cellIs" dxfId="0" priority="106" operator="lessThan">
      <formula>30</formula>
    </cfRule>
  </conditionalFormatting>
  <conditionalFormatting sqref="M913">
    <cfRule type="cellIs" dxfId="0" priority="600" operator="lessThan">
      <formula>30</formula>
    </cfRule>
  </conditionalFormatting>
  <conditionalFormatting sqref="Z913">
    <cfRule type="cellIs" dxfId="0" priority="105" operator="lessThan">
      <formula>30</formula>
    </cfRule>
  </conditionalFormatting>
  <conditionalFormatting sqref="M914">
    <cfRule type="cellIs" dxfId="0" priority="599" operator="lessThan">
      <formula>30</formula>
    </cfRule>
  </conditionalFormatting>
  <conditionalFormatting sqref="Z914">
    <cfRule type="cellIs" dxfId="0" priority="104" operator="lessThan">
      <formula>30</formula>
    </cfRule>
  </conditionalFormatting>
  <conditionalFormatting sqref="M915">
    <cfRule type="cellIs" dxfId="0" priority="598" operator="lessThan">
      <formula>30</formula>
    </cfRule>
  </conditionalFormatting>
  <conditionalFormatting sqref="Z915">
    <cfRule type="cellIs" dxfId="0" priority="103" operator="lessThan">
      <formula>30</formula>
    </cfRule>
  </conditionalFormatting>
  <conditionalFormatting sqref="M916">
    <cfRule type="cellIs" dxfId="0" priority="597" operator="lessThan">
      <formula>30</formula>
    </cfRule>
  </conditionalFormatting>
  <conditionalFormatting sqref="Z916">
    <cfRule type="cellIs" dxfId="0" priority="102" operator="lessThan">
      <formula>30</formula>
    </cfRule>
  </conditionalFormatting>
  <conditionalFormatting sqref="M917">
    <cfRule type="cellIs" dxfId="0" priority="596" operator="lessThan">
      <formula>30</formula>
    </cfRule>
  </conditionalFormatting>
  <conditionalFormatting sqref="Z917">
    <cfRule type="cellIs" dxfId="0" priority="101" operator="lessThan">
      <formula>30</formula>
    </cfRule>
  </conditionalFormatting>
  <conditionalFormatting sqref="M918">
    <cfRule type="cellIs" dxfId="0" priority="595" operator="lessThan">
      <formula>30</formula>
    </cfRule>
  </conditionalFormatting>
  <conditionalFormatting sqref="Z918">
    <cfRule type="cellIs" dxfId="0" priority="100" operator="lessThan">
      <formula>30</formula>
    </cfRule>
  </conditionalFormatting>
  <conditionalFormatting sqref="M919">
    <cfRule type="cellIs" dxfId="0" priority="594" operator="lessThan">
      <formula>30</formula>
    </cfRule>
  </conditionalFormatting>
  <conditionalFormatting sqref="Z919">
    <cfRule type="cellIs" dxfId="0" priority="99" operator="lessThan">
      <formula>30</formula>
    </cfRule>
  </conditionalFormatting>
  <conditionalFormatting sqref="M920">
    <cfRule type="cellIs" dxfId="0" priority="593" operator="lessThan">
      <formula>30</formula>
    </cfRule>
  </conditionalFormatting>
  <conditionalFormatting sqref="Z920">
    <cfRule type="cellIs" dxfId="0" priority="98" operator="lessThan">
      <formula>30</formula>
    </cfRule>
  </conditionalFormatting>
  <conditionalFormatting sqref="M921">
    <cfRule type="cellIs" dxfId="0" priority="592" operator="lessThan">
      <formula>30</formula>
    </cfRule>
  </conditionalFormatting>
  <conditionalFormatting sqref="Z921">
    <cfRule type="cellIs" dxfId="0" priority="97" operator="lessThan">
      <formula>30</formula>
    </cfRule>
  </conditionalFormatting>
  <conditionalFormatting sqref="M922">
    <cfRule type="cellIs" dxfId="0" priority="591" operator="lessThan">
      <formula>30</formula>
    </cfRule>
  </conditionalFormatting>
  <conditionalFormatting sqref="Z922">
    <cfRule type="cellIs" dxfId="0" priority="96" operator="lessThan">
      <formula>30</formula>
    </cfRule>
  </conditionalFormatting>
  <conditionalFormatting sqref="M923">
    <cfRule type="cellIs" dxfId="0" priority="590" operator="lessThan">
      <formula>30</formula>
    </cfRule>
  </conditionalFormatting>
  <conditionalFormatting sqref="Z923">
    <cfRule type="cellIs" dxfId="0" priority="95" operator="lessThan">
      <formula>30</formula>
    </cfRule>
  </conditionalFormatting>
  <conditionalFormatting sqref="M924">
    <cfRule type="cellIs" dxfId="0" priority="589" operator="lessThan">
      <formula>30</formula>
    </cfRule>
  </conditionalFormatting>
  <conditionalFormatting sqref="Z924">
    <cfRule type="cellIs" dxfId="0" priority="94" operator="lessThan">
      <formula>30</formula>
    </cfRule>
  </conditionalFormatting>
  <conditionalFormatting sqref="Z925">
    <cfRule type="cellIs" dxfId="0" priority="93" operator="lessThan">
      <formula>30</formula>
    </cfRule>
  </conditionalFormatting>
  <conditionalFormatting sqref="Z926">
    <cfRule type="cellIs" dxfId="0" priority="92" operator="lessThan">
      <formula>30</formula>
    </cfRule>
  </conditionalFormatting>
  <conditionalFormatting sqref="M927">
    <cfRule type="cellIs" dxfId="0" priority="587" operator="lessThan">
      <formula>30</formula>
    </cfRule>
  </conditionalFormatting>
  <conditionalFormatting sqref="Z927">
    <cfRule type="cellIs" dxfId="0" priority="91" operator="lessThan">
      <formula>30</formula>
    </cfRule>
  </conditionalFormatting>
  <conditionalFormatting sqref="M928">
    <cfRule type="cellIs" dxfId="0" priority="586" operator="lessThan">
      <formula>30</formula>
    </cfRule>
  </conditionalFormatting>
  <conditionalFormatting sqref="Z928">
    <cfRule type="cellIs" dxfId="0" priority="90" operator="lessThan">
      <formula>30</formula>
    </cfRule>
  </conditionalFormatting>
  <conditionalFormatting sqref="M929">
    <cfRule type="cellIs" dxfId="0" priority="585" operator="lessThan">
      <formula>30</formula>
    </cfRule>
  </conditionalFormatting>
  <conditionalFormatting sqref="Z929">
    <cfRule type="cellIs" dxfId="0" priority="89" operator="lessThan">
      <formula>30</formula>
    </cfRule>
  </conditionalFormatting>
  <conditionalFormatting sqref="M930">
    <cfRule type="cellIs" dxfId="0" priority="584" operator="lessThan">
      <formula>30</formula>
    </cfRule>
  </conditionalFormatting>
  <conditionalFormatting sqref="Z930">
    <cfRule type="cellIs" dxfId="0" priority="88" operator="lessThan">
      <formula>30</formula>
    </cfRule>
  </conditionalFormatting>
  <conditionalFormatting sqref="M931">
    <cfRule type="cellIs" dxfId="0" priority="583" operator="lessThan">
      <formula>30</formula>
    </cfRule>
  </conditionalFormatting>
  <conditionalFormatting sqref="Z931">
    <cfRule type="cellIs" dxfId="0" priority="87" operator="lessThan">
      <formula>30</formula>
    </cfRule>
  </conditionalFormatting>
  <conditionalFormatting sqref="M932">
    <cfRule type="cellIs" dxfId="0" priority="582" operator="lessThan">
      <formula>30</formula>
    </cfRule>
  </conditionalFormatting>
  <conditionalFormatting sqref="Z932">
    <cfRule type="cellIs" dxfId="0" priority="86" operator="lessThan">
      <formula>30</formula>
    </cfRule>
  </conditionalFormatting>
  <conditionalFormatting sqref="M933">
    <cfRule type="cellIs" dxfId="0" priority="581" operator="lessThan">
      <formula>30</formula>
    </cfRule>
  </conditionalFormatting>
  <conditionalFormatting sqref="Z933">
    <cfRule type="cellIs" dxfId="0" priority="85" operator="lessThan">
      <formula>30</formula>
    </cfRule>
  </conditionalFormatting>
  <conditionalFormatting sqref="M934">
    <cfRule type="cellIs" dxfId="0" priority="580" operator="lessThan">
      <formula>30</formula>
    </cfRule>
  </conditionalFormatting>
  <conditionalFormatting sqref="Z934">
    <cfRule type="cellIs" dxfId="0" priority="84" operator="lessThan">
      <formula>30</formula>
    </cfRule>
  </conditionalFormatting>
  <conditionalFormatting sqref="M935">
    <cfRule type="cellIs" dxfId="0" priority="579" operator="lessThan">
      <formula>30</formula>
    </cfRule>
  </conditionalFormatting>
  <conditionalFormatting sqref="Z935">
    <cfRule type="cellIs" dxfId="0" priority="83" operator="lessThan">
      <formula>30</formula>
    </cfRule>
  </conditionalFormatting>
  <conditionalFormatting sqref="M936">
    <cfRule type="cellIs" dxfId="0" priority="578" operator="lessThan">
      <formula>30</formula>
    </cfRule>
  </conditionalFormatting>
  <conditionalFormatting sqref="Z936">
    <cfRule type="cellIs" dxfId="0" priority="82" operator="lessThan">
      <formula>30</formula>
    </cfRule>
  </conditionalFormatting>
  <conditionalFormatting sqref="M937">
    <cfRule type="cellIs" dxfId="0" priority="577" operator="lessThan">
      <formula>30</formula>
    </cfRule>
  </conditionalFormatting>
  <conditionalFormatting sqref="Z937">
    <cfRule type="cellIs" dxfId="0" priority="81" operator="lessThan">
      <formula>30</formula>
    </cfRule>
  </conditionalFormatting>
  <conditionalFormatting sqref="M938">
    <cfRule type="cellIs" dxfId="0" priority="576" operator="lessThan">
      <formula>30</formula>
    </cfRule>
  </conditionalFormatting>
  <conditionalFormatting sqref="Z938">
    <cfRule type="cellIs" dxfId="0" priority="80" operator="lessThan">
      <formula>30</formula>
    </cfRule>
  </conditionalFormatting>
  <conditionalFormatting sqref="M939">
    <cfRule type="cellIs" dxfId="0" priority="575" operator="lessThan">
      <formula>30</formula>
    </cfRule>
  </conditionalFormatting>
  <conditionalFormatting sqref="Z939">
    <cfRule type="cellIs" dxfId="0" priority="79" operator="lessThan">
      <formula>30</formula>
    </cfRule>
  </conditionalFormatting>
  <conditionalFormatting sqref="M940">
    <cfRule type="cellIs" dxfId="0" priority="574" operator="lessThan">
      <formula>30</formula>
    </cfRule>
  </conditionalFormatting>
  <conditionalFormatting sqref="Z940">
    <cfRule type="cellIs" dxfId="0" priority="78" operator="lessThan">
      <formula>30</formula>
    </cfRule>
  </conditionalFormatting>
  <conditionalFormatting sqref="M941">
    <cfRule type="cellIs" dxfId="0" priority="573" operator="lessThan">
      <formula>30</formula>
    </cfRule>
  </conditionalFormatting>
  <conditionalFormatting sqref="Z941">
    <cfRule type="cellIs" dxfId="0" priority="77" operator="lessThan">
      <formula>30</formula>
    </cfRule>
  </conditionalFormatting>
  <conditionalFormatting sqref="M942">
    <cfRule type="cellIs" dxfId="0" priority="572" operator="lessThan">
      <formula>30</formula>
    </cfRule>
  </conditionalFormatting>
  <conditionalFormatting sqref="Z942">
    <cfRule type="cellIs" dxfId="0" priority="76" operator="lessThan">
      <formula>30</formula>
    </cfRule>
  </conditionalFormatting>
  <conditionalFormatting sqref="M943">
    <cfRule type="cellIs" dxfId="0" priority="571" operator="lessThan">
      <formula>30</formula>
    </cfRule>
  </conditionalFormatting>
  <conditionalFormatting sqref="Z943">
    <cfRule type="cellIs" dxfId="0" priority="75" operator="lessThan">
      <formula>30</formula>
    </cfRule>
  </conditionalFormatting>
  <conditionalFormatting sqref="M944">
    <cfRule type="cellIs" dxfId="0" priority="570" operator="lessThan">
      <formula>30</formula>
    </cfRule>
  </conditionalFormatting>
  <conditionalFormatting sqref="Z944">
    <cfRule type="cellIs" dxfId="0" priority="74" operator="lessThan">
      <formula>30</formula>
    </cfRule>
  </conditionalFormatting>
  <conditionalFormatting sqref="M945">
    <cfRule type="cellIs" dxfId="0" priority="569" operator="lessThan">
      <formula>30</formula>
    </cfRule>
  </conditionalFormatting>
  <conditionalFormatting sqref="Z945">
    <cfRule type="cellIs" dxfId="0" priority="73" operator="lessThan">
      <formula>30</formula>
    </cfRule>
  </conditionalFormatting>
  <conditionalFormatting sqref="M946">
    <cfRule type="cellIs" dxfId="0" priority="568" operator="lessThan">
      <formula>30</formula>
    </cfRule>
  </conditionalFormatting>
  <conditionalFormatting sqref="Z946">
    <cfRule type="cellIs" dxfId="0" priority="72" operator="lessThan">
      <formula>30</formula>
    </cfRule>
  </conditionalFormatting>
  <conditionalFormatting sqref="M947">
    <cfRule type="cellIs" dxfId="0" priority="567" operator="lessThan">
      <formula>30</formula>
    </cfRule>
  </conditionalFormatting>
  <conditionalFormatting sqref="Z947">
    <cfRule type="cellIs" dxfId="0" priority="71" operator="lessThan">
      <formula>30</formula>
    </cfRule>
  </conditionalFormatting>
  <conditionalFormatting sqref="M948">
    <cfRule type="cellIs" dxfId="0" priority="566" operator="lessThan">
      <formula>30</formula>
    </cfRule>
  </conditionalFormatting>
  <conditionalFormatting sqref="Z948">
    <cfRule type="cellIs" dxfId="0" priority="70" operator="lessThan">
      <formula>30</formula>
    </cfRule>
  </conditionalFormatting>
  <conditionalFormatting sqref="M949">
    <cfRule type="cellIs" dxfId="0" priority="565" operator="lessThan">
      <formula>30</formula>
    </cfRule>
  </conditionalFormatting>
  <conditionalFormatting sqref="Z949">
    <cfRule type="cellIs" dxfId="0" priority="69" operator="lessThan">
      <formula>30</formula>
    </cfRule>
  </conditionalFormatting>
  <conditionalFormatting sqref="M950">
    <cfRule type="cellIs" dxfId="0" priority="564" operator="lessThan">
      <formula>30</formula>
    </cfRule>
  </conditionalFormatting>
  <conditionalFormatting sqref="Z950">
    <cfRule type="cellIs" dxfId="0" priority="68" operator="lessThan">
      <formula>30</formula>
    </cfRule>
  </conditionalFormatting>
  <conditionalFormatting sqref="M951">
    <cfRule type="cellIs" dxfId="0" priority="563" operator="lessThan">
      <formula>30</formula>
    </cfRule>
  </conditionalFormatting>
  <conditionalFormatting sqref="Z951">
    <cfRule type="cellIs" dxfId="0" priority="67" operator="lessThan">
      <formula>30</formula>
    </cfRule>
  </conditionalFormatting>
  <conditionalFormatting sqref="M952">
    <cfRule type="cellIs" dxfId="0" priority="562" operator="lessThan">
      <formula>30</formula>
    </cfRule>
  </conditionalFormatting>
  <conditionalFormatting sqref="Z952">
    <cfRule type="cellIs" dxfId="0" priority="66" operator="lessThan">
      <formula>30</formula>
    </cfRule>
  </conditionalFormatting>
  <conditionalFormatting sqref="M953">
    <cfRule type="cellIs" dxfId="0" priority="561" operator="lessThan">
      <formula>30</formula>
    </cfRule>
  </conditionalFormatting>
  <conditionalFormatting sqref="Z953">
    <cfRule type="cellIs" dxfId="0" priority="65" operator="lessThan">
      <formula>30</formula>
    </cfRule>
  </conditionalFormatting>
  <conditionalFormatting sqref="M954">
    <cfRule type="cellIs" dxfId="0" priority="560" operator="lessThan">
      <formula>30</formula>
    </cfRule>
  </conditionalFormatting>
  <conditionalFormatting sqref="Z954">
    <cfRule type="cellIs" dxfId="0" priority="64" operator="lessThan">
      <formula>30</formula>
    </cfRule>
  </conditionalFormatting>
  <conditionalFormatting sqref="M955">
    <cfRule type="cellIs" dxfId="0" priority="559" operator="lessThan">
      <formula>30</formula>
    </cfRule>
  </conditionalFormatting>
  <conditionalFormatting sqref="Z955">
    <cfRule type="cellIs" dxfId="0" priority="63" operator="lessThan">
      <formula>30</formula>
    </cfRule>
  </conditionalFormatting>
  <conditionalFormatting sqref="M956">
    <cfRule type="cellIs" dxfId="0" priority="558" operator="lessThan">
      <formula>30</formula>
    </cfRule>
  </conditionalFormatting>
  <conditionalFormatting sqref="Z956">
    <cfRule type="cellIs" dxfId="0" priority="62" operator="lessThan">
      <formula>30</formula>
    </cfRule>
  </conditionalFormatting>
  <conditionalFormatting sqref="M957">
    <cfRule type="cellIs" dxfId="0" priority="557" operator="lessThan">
      <formula>30</formula>
    </cfRule>
  </conditionalFormatting>
  <conditionalFormatting sqref="Z957">
    <cfRule type="cellIs" dxfId="0" priority="61" operator="lessThan">
      <formula>30</formula>
    </cfRule>
  </conditionalFormatting>
  <conditionalFormatting sqref="M958">
    <cfRule type="cellIs" dxfId="0" priority="556" operator="lessThan">
      <formula>30</formula>
    </cfRule>
  </conditionalFormatting>
  <conditionalFormatting sqref="Z958">
    <cfRule type="cellIs" dxfId="0" priority="60" operator="lessThan">
      <formula>30</formula>
    </cfRule>
  </conditionalFormatting>
  <conditionalFormatting sqref="M959">
    <cfRule type="cellIs" dxfId="0" priority="555" operator="lessThan">
      <formula>30</formula>
    </cfRule>
  </conditionalFormatting>
  <conditionalFormatting sqref="Z959">
    <cfRule type="cellIs" dxfId="0" priority="59" operator="lessThan">
      <formula>30</formula>
    </cfRule>
  </conditionalFormatting>
  <conditionalFormatting sqref="M960">
    <cfRule type="cellIs" dxfId="0" priority="554" operator="lessThan">
      <formula>30</formula>
    </cfRule>
  </conditionalFormatting>
  <conditionalFormatting sqref="Z960">
    <cfRule type="cellIs" dxfId="0" priority="58" operator="lessThan">
      <formula>30</formula>
    </cfRule>
  </conditionalFormatting>
  <conditionalFormatting sqref="M961">
    <cfRule type="cellIs" dxfId="0" priority="553" operator="lessThan">
      <formula>30</formula>
    </cfRule>
  </conditionalFormatting>
  <conditionalFormatting sqref="Z961">
    <cfRule type="cellIs" dxfId="0" priority="57" operator="lessThan">
      <formula>30</formula>
    </cfRule>
  </conditionalFormatting>
  <conditionalFormatting sqref="M962">
    <cfRule type="cellIs" dxfId="0" priority="552" operator="lessThan">
      <formula>30</formula>
    </cfRule>
  </conditionalFormatting>
  <conditionalFormatting sqref="Z962">
    <cfRule type="cellIs" dxfId="0" priority="56" operator="lessThan">
      <formula>30</formula>
    </cfRule>
  </conditionalFormatting>
  <conditionalFormatting sqref="M963">
    <cfRule type="cellIs" dxfId="0" priority="551" operator="lessThan">
      <formula>30</formula>
    </cfRule>
  </conditionalFormatting>
  <conditionalFormatting sqref="Z963">
    <cfRule type="cellIs" dxfId="0" priority="55" operator="lessThan">
      <formula>30</formula>
    </cfRule>
  </conditionalFormatting>
  <conditionalFormatting sqref="M964">
    <cfRule type="cellIs" dxfId="0" priority="550" operator="lessThan">
      <formula>30</formula>
    </cfRule>
  </conditionalFormatting>
  <conditionalFormatting sqref="Z964">
    <cfRule type="cellIs" dxfId="0" priority="54" operator="lessThan">
      <formula>30</formula>
    </cfRule>
  </conditionalFormatting>
  <conditionalFormatting sqref="M965">
    <cfRule type="cellIs" dxfId="0" priority="549" operator="lessThan">
      <formula>30</formula>
    </cfRule>
  </conditionalFormatting>
  <conditionalFormatting sqref="Z965">
    <cfRule type="cellIs" dxfId="0" priority="53" operator="lessThan">
      <formula>30</formula>
    </cfRule>
  </conditionalFormatting>
  <conditionalFormatting sqref="M966">
    <cfRule type="cellIs" dxfId="0" priority="548" operator="lessThan">
      <formula>30</formula>
    </cfRule>
  </conditionalFormatting>
  <conditionalFormatting sqref="Z966">
    <cfRule type="cellIs" dxfId="0" priority="52" operator="lessThan">
      <formula>30</formula>
    </cfRule>
  </conditionalFormatting>
  <conditionalFormatting sqref="M967">
    <cfRule type="cellIs" dxfId="0" priority="546" operator="lessThan">
      <formula>30</formula>
    </cfRule>
  </conditionalFormatting>
  <conditionalFormatting sqref="Z967">
    <cfRule type="cellIs" dxfId="0" priority="51" operator="lessThan">
      <formula>30</formula>
    </cfRule>
  </conditionalFormatting>
  <conditionalFormatting sqref="M968">
    <cfRule type="cellIs" dxfId="0" priority="545" operator="lessThan">
      <formula>30</formula>
    </cfRule>
  </conditionalFormatting>
  <conditionalFormatting sqref="Z968">
    <cfRule type="cellIs" dxfId="0" priority="50" operator="lessThan">
      <formula>30</formula>
    </cfRule>
  </conditionalFormatting>
  <conditionalFormatting sqref="M969">
    <cfRule type="cellIs" dxfId="0" priority="544" operator="lessThan">
      <formula>30</formula>
    </cfRule>
  </conditionalFormatting>
  <conditionalFormatting sqref="Z969">
    <cfRule type="cellIs" dxfId="0" priority="49" operator="lessThan">
      <formula>30</formula>
    </cfRule>
  </conditionalFormatting>
  <conditionalFormatting sqref="M970">
    <cfRule type="cellIs" dxfId="0" priority="543" operator="lessThan">
      <formula>30</formula>
    </cfRule>
  </conditionalFormatting>
  <conditionalFormatting sqref="Z970">
    <cfRule type="cellIs" dxfId="0" priority="48" operator="lessThan">
      <formula>30</formula>
    </cfRule>
  </conditionalFormatting>
  <conditionalFormatting sqref="M971">
    <cfRule type="cellIs" dxfId="0" priority="542" operator="lessThan">
      <formula>30</formula>
    </cfRule>
  </conditionalFormatting>
  <conditionalFormatting sqref="Z971">
    <cfRule type="cellIs" dxfId="0" priority="47" operator="lessThan">
      <formula>30</formula>
    </cfRule>
  </conditionalFormatting>
  <conditionalFormatting sqref="M972">
    <cfRule type="cellIs" dxfId="0" priority="541" operator="lessThan">
      <formula>30</formula>
    </cfRule>
  </conditionalFormatting>
  <conditionalFormatting sqref="Z972">
    <cfRule type="cellIs" dxfId="0" priority="46" operator="lessThan">
      <formula>30</formula>
    </cfRule>
  </conditionalFormatting>
  <conditionalFormatting sqref="M973">
    <cfRule type="cellIs" dxfId="0" priority="540" operator="lessThan">
      <formula>30</formula>
    </cfRule>
  </conditionalFormatting>
  <conditionalFormatting sqref="Z973">
    <cfRule type="cellIs" dxfId="0" priority="45" operator="lessThan">
      <formula>30</formula>
    </cfRule>
  </conditionalFormatting>
  <conditionalFormatting sqref="M974">
    <cfRule type="cellIs" dxfId="0" priority="539" operator="lessThan">
      <formula>30</formula>
    </cfRule>
  </conditionalFormatting>
  <conditionalFormatting sqref="Z974">
    <cfRule type="cellIs" dxfId="0" priority="44" operator="lessThan">
      <formula>30</formula>
    </cfRule>
  </conditionalFormatting>
  <conditionalFormatting sqref="M975">
    <cfRule type="cellIs" dxfId="0" priority="538" operator="lessThan">
      <formula>30</formula>
    </cfRule>
  </conditionalFormatting>
  <conditionalFormatting sqref="Z975">
    <cfRule type="cellIs" dxfId="0" priority="43" operator="lessThan">
      <formula>30</formula>
    </cfRule>
  </conditionalFormatting>
  <conditionalFormatting sqref="M976">
    <cfRule type="cellIs" dxfId="0" priority="537" operator="lessThan">
      <formula>30</formula>
    </cfRule>
  </conditionalFormatting>
  <conditionalFormatting sqref="Z976">
    <cfRule type="cellIs" dxfId="0" priority="42" operator="lessThan">
      <formula>30</formula>
    </cfRule>
  </conditionalFormatting>
  <conditionalFormatting sqref="M977">
    <cfRule type="cellIs" dxfId="0" priority="536" operator="lessThan">
      <formula>30</formula>
    </cfRule>
  </conditionalFormatting>
  <conditionalFormatting sqref="Z977">
    <cfRule type="cellIs" dxfId="0" priority="41" operator="lessThan">
      <formula>30</formula>
    </cfRule>
  </conditionalFormatting>
  <conditionalFormatting sqref="M978">
    <cfRule type="cellIs" dxfId="0" priority="535" operator="lessThan">
      <formula>30</formula>
    </cfRule>
  </conditionalFormatting>
  <conditionalFormatting sqref="Z978">
    <cfRule type="cellIs" dxfId="0" priority="40" operator="lessThan">
      <formula>30</formula>
    </cfRule>
  </conditionalFormatting>
  <conditionalFormatting sqref="M979">
    <cfRule type="cellIs" dxfId="0" priority="534" operator="lessThan">
      <formula>30</formula>
    </cfRule>
  </conditionalFormatting>
  <conditionalFormatting sqref="Z979">
    <cfRule type="cellIs" dxfId="0" priority="39" operator="lessThan">
      <formula>30</formula>
    </cfRule>
  </conditionalFormatting>
  <conditionalFormatting sqref="M980">
    <cfRule type="cellIs" dxfId="0" priority="533" operator="lessThan">
      <formula>30</formula>
    </cfRule>
  </conditionalFormatting>
  <conditionalFormatting sqref="Z980">
    <cfRule type="cellIs" dxfId="0" priority="38" operator="lessThan">
      <formula>30</formula>
    </cfRule>
  </conditionalFormatting>
  <conditionalFormatting sqref="M981">
    <cfRule type="cellIs" dxfId="0" priority="532" operator="lessThan">
      <formula>30</formula>
    </cfRule>
  </conditionalFormatting>
  <conditionalFormatting sqref="Z981">
    <cfRule type="cellIs" dxfId="0" priority="37" operator="lessThan">
      <formula>30</formula>
    </cfRule>
  </conditionalFormatting>
  <conditionalFormatting sqref="M982">
    <cfRule type="cellIs" dxfId="0" priority="531" operator="lessThan">
      <formula>30</formula>
    </cfRule>
  </conditionalFormatting>
  <conditionalFormatting sqref="Z982">
    <cfRule type="cellIs" dxfId="0" priority="36" operator="lessThan">
      <formula>30</formula>
    </cfRule>
  </conditionalFormatting>
  <conditionalFormatting sqref="M983">
    <cfRule type="cellIs" dxfId="0" priority="529" operator="lessThan">
      <formula>30</formula>
    </cfRule>
  </conditionalFormatting>
  <conditionalFormatting sqref="Z983">
    <cfRule type="cellIs" dxfId="0" priority="35" operator="lessThan">
      <formula>30</formula>
    </cfRule>
  </conditionalFormatting>
  <conditionalFormatting sqref="M984">
    <cfRule type="cellIs" dxfId="0" priority="528" operator="lessThan">
      <formula>30</formula>
    </cfRule>
  </conditionalFormatting>
  <conditionalFormatting sqref="Z984">
    <cfRule type="cellIs" dxfId="0" priority="34" operator="lessThan">
      <formula>30</formula>
    </cfRule>
  </conditionalFormatting>
  <conditionalFormatting sqref="M985">
    <cfRule type="cellIs" dxfId="0" priority="527" operator="lessThan">
      <formula>30</formula>
    </cfRule>
  </conditionalFormatting>
  <conditionalFormatting sqref="Z985">
    <cfRule type="cellIs" dxfId="0" priority="33" operator="lessThan">
      <formula>30</formula>
    </cfRule>
  </conditionalFormatting>
  <conditionalFormatting sqref="M986">
    <cfRule type="cellIs" dxfId="0" priority="526" operator="lessThan">
      <formula>30</formula>
    </cfRule>
  </conditionalFormatting>
  <conditionalFormatting sqref="Z986">
    <cfRule type="cellIs" dxfId="0" priority="32" operator="lessThan">
      <formula>30</formula>
    </cfRule>
  </conditionalFormatting>
  <conditionalFormatting sqref="M987">
    <cfRule type="cellIs" dxfId="0" priority="525" operator="lessThan">
      <formula>30</formula>
    </cfRule>
  </conditionalFormatting>
  <conditionalFormatting sqref="Z987">
    <cfRule type="cellIs" dxfId="0" priority="31" operator="lessThan">
      <formula>30</formula>
    </cfRule>
  </conditionalFormatting>
  <conditionalFormatting sqref="M988">
    <cfRule type="cellIs" dxfId="0" priority="524" operator="lessThan">
      <formula>30</formula>
    </cfRule>
  </conditionalFormatting>
  <conditionalFormatting sqref="Z988">
    <cfRule type="cellIs" dxfId="0" priority="30" operator="lessThan">
      <formula>30</formula>
    </cfRule>
  </conditionalFormatting>
  <conditionalFormatting sqref="M989">
    <cfRule type="cellIs" dxfId="0" priority="523" operator="lessThan">
      <formula>30</formula>
    </cfRule>
  </conditionalFormatting>
  <conditionalFormatting sqref="Z989">
    <cfRule type="cellIs" dxfId="0" priority="29" operator="lessThan">
      <formula>30</formula>
    </cfRule>
  </conditionalFormatting>
  <conditionalFormatting sqref="M990">
    <cfRule type="cellIs" dxfId="0" priority="522" operator="lessThan">
      <formula>30</formula>
    </cfRule>
  </conditionalFormatting>
  <conditionalFormatting sqref="Z990">
    <cfRule type="cellIs" dxfId="0" priority="28" operator="lessThan">
      <formula>30</formula>
    </cfRule>
  </conditionalFormatting>
  <conditionalFormatting sqref="M991">
    <cfRule type="cellIs" dxfId="0" priority="521" operator="lessThan">
      <formula>30</formula>
    </cfRule>
  </conditionalFormatting>
  <conditionalFormatting sqref="Z991">
    <cfRule type="cellIs" dxfId="0" priority="27" operator="lessThan">
      <formula>30</formula>
    </cfRule>
  </conditionalFormatting>
  <conditionalFormatting sqref="M992">
    <cfRule type="cellIs" dxfId="0" priority="520" operator="lessThan">
      <formula>30</formula>
    </cfRule>
  </conditionalFormatting>
  <conditionalFormatting sqref="Z992">
    <cfRule type="cellIs" dxfId="0" priority="26" operator="lessThan">
      <formula>30</formula>
    </cfRule>
  </conditionalFormatting>
  <conditionalFormatting sqref="M993">
    <cfRule type="cellIs" dxfId="0" priority="519" operator="lessThan">
      <formula>30</formula>
    </cfRule>
  </conditionalFormatting>
  <conditionalFormatting sqref="Z993">
    <cfRule type="cellIs" dxfId="0" priority="25" operator="lessThan">
      <formula>30</formula>
    </cfRule>
  </conditionalFormatting>
  <conditionalFormatting sqref="M994">
    <cfRule type="cellIs" dxfId="0" priority="518" operator="lessThan">
      <formula>30</formula>
    </cfRule>
  </conditionalFormatting>
  <conditionalFormatting sqref="Z994">
    <cfRule type="cellIs" dxfId="0" priority="24" operator="lessThan">
      <formula>30</formula>
    </cfRule>
  </conditionalFormatting>
  <conditionalFormatting sqref="M995">
    <cfRule type="cellIs" dxfId="0" priority="517" operator="lessThan">
      <formula>30</formula>
    </cfRule>
  </conditionalFormatting>
  <conditionalFormatting sqref="Z995">
    <cfRule type="cellIs" dxfId="0" priority="23" operator="lessThan">
      <formula>30</formula>
    </cfRule>
  </conditionalFormatting>
  <conditionalFormatting sqref="M996">
    <cfRule type="cellIs" dxfId="0" priority="516" operator="lessThan">
      <formula>30</formula>
    </cfRule>
  </conditionalFormatting>
  <conditionalFormatting sqref="Z996">
    <cfRule type="cellIs" dxfId="0" priority="22" operator="lessThan">
      <formula>30</formula>
    </cfRule>
  </conditionalFormatting>
  <conditionalFormatting sqref="M997">
    <cfRule type="cellIs" dxfId="0" priority="515" operator="lessThan">
      <formula>30</formula>
    </cfRule>
  </conditionalFormatting>
  <conditionalFormatting sqref="Z997">
    <cfRule type="cellIs" dxfId="0" priority="21" operator="lessThan">
      <formula>30</formula>
    </cfRule>
  </conditionalFormatting>
  <conditionalFormatting sqref="M998">
    <cfRule type="cellIs" dxfId="0" priority="514" operator="lessThan">
      <formula>30</formula>
    </cfRule>
  </conditionalFormatting>
  <conditionalFormatting sqref="Z998">
    <cfRule type="cellIs" dxfId="0" priority="20" operator="lessThan">
      <formula>30</formula>
    </cfRule>
  </conditionalFormatting>
  <conditionalFormatting sqref="M999">
    <cfRule type="cellIs" dxfId="0" priority="513" operator="lessThan">
      <formula>30</formula>
    </cfRule>
  </conditionalFormatting>
  <conditionalFormatting sqref="Z999">
    <cfRule type="cellIs" dxfId="0" priority="19" operator="lessThan">
      <formula>30</formula>
    </cfRule>
  </conditionalFormatting>
  <conditionalFormatting sqref="M1000">
    <cfRule type="cellIs" dxfId="0" priority="512" operator="lessThan">
      <formula>30</formula>
    </cfRule>
  </conditionalFormatting>
  <conditionalFormatting sqref="Z1000">
    <cfRule type="cellIs" dxfId="0" priority="18" operator="lessThan">
      <formula>30</formula>
    </cfRule>
  </conditionalFormatting>
  <conditionalFormatting sqref="M1001">
    <cfRule type="cellIs" dxfId="0" priority="511" operator="lessThan">
      <formula>30</formula>
    </cfRule>
  </conditionalFormatting>
  <conditionalFormatting sqref="Z1001">
    <cfRule type="cellIs" dxfId="0" priority="17" operator="lessThan">
      <formula>30</formula>
    </cfRule>
  </conditionalFormatting>
  <conditionalFormatting sqref="M1002">
    <cfRule type="cellIs" dxfId="0" priority="510" operator="lessThan">
      <formula>30</formula>
    </cfRule>
  </conditionalFormatting>
  <conditionalFormatting sqref="Z1002">
    <cfRule type="cellIs" dxfId="0" priority="16" operator="lessThan">
      <formula>30</formula>
    </cfRule>
  </conditionalFormatting>
  <conditionalFormatting sqref="M1003">
    <cfRule type="cellIs" dxfId="0" priority="509" operator="lessThan">
      <formula>30</formula>
    </cfRule>
  </conditionalFormatting>
  <conditionalFormatting sqref="Z1003">
    <cfRule type="cellIs" dxfId="0" priority="15" operator="lessThan">
      <formula>30</formula>
    </cfRule>
  </conditionalFormatting>
  <conditionalFormatting sqref="M1004">
    <cfRule type="cellIs" dxfId="0" priority="508" operator="lessThan">
      <formula>30</formula>
    </cfRule>
  </conditionalFormatting>
  <conditionalFormatting sqref="Z1004">
    <cfRule type="cellIs" dxfId="0" priority="14" operator="lessThan">
      <formula>30</formula>
    </cfRule>
  </conditionalFormatting>
  <conditionalFormatting sqref="M1005">
    <cfRule type="cellIs" dxfId="0" priority="507" operator="lessThan">
      <formula>30</formula>
    </cfRule>
  </conditionalFormatting>
  <conditionalFormatting sqref="Z1005">
    <cfRule type="cellIs" dxfId="0" priority="13" operator="lessThan">
      <formula>30</formula>
    </cfRule>
  </conditionalFormatting>
  <conditionalFormatting sqref="M1006">
    <cfRule type="cellIs" dxfId="0" priority="506" operator="lessThan">
      <formula>30</formula>
    </cfRule>
  </conditionalFormatting>
  <conditionalFormatting sqref="Z1006">
    <cfRule type="cellIs" dxfId="0" priority="12" operator="lessThan">
      <formula>30</formula>
    </cfRule>
  </conditionalFormatting>
  <conditionalFormatting sqref="M1007">
    <cfRule type="cellIs" dxfId="0" priority="505" operator="lessThan">
      <formula>30</formula>
    </cfRule>
  </conditionalFormatting>
  <conditionalFormatting sqref="Z1007">
    <cfRule type="cellIs" dxfId="0" priority="11" operator="lessThan">
      <formula>30</formula>
    </cfRule>
  </conditionalFormatting>
  <conditionalFormatting sqref="M1008">
    <cfRule type="cellIs" dxfId="0" priority="504" operator="lessThan">
      <formula>30</formula>
    </cfRule>
  </conditionalFormatting>
  <conditionalFormatting sqref="Z1008">
    <cfRule type="cellIs" dxfId="0" priority="10" operator="lessThan">
      <formula>30</formula>
    </cfRule>
  </conditionalFormatting>
  <conditionalFormatting sqref="M1009">
    <cfRule type="cellIs" dxfId="0" priority="503" operator="lessThan">
      <formula>30</formula>
    </cfRule>
  </conditionalFormatting>
  <conditionalFormatting sqref="Z1009">
    <cfRule type="cellIs" dxfId="0" priority="9" operator="lessThan">
      <formula>30</formula>
    </cfRule>
  </conditionalFormatting>
  <conditionalFormatting sqref="M1010">
    <cfRule type="cellIs" dxfId="0" priority="502" operator="lessThan">
      <formula>30</formula>
    </cfRule>
  </conditionalFormatting>
  <conditionalFormatting sqref="Z1010">
    <cfRule type="cellIs" dxfId="0" priority="8" operator="lessThan">
      <formula>30</formula>
    </cfRule>
  </conditionalFormatting>
  <conditionalFormatting sqref="M1011">
    <cfRule type="cellIs" dxfId="0" priority="501" operator="lessThan">
      <formula>30</formula>
    </cfRule>
  </conditionalFormatting>
  <conditionalFormatting sqref="Z1011">
    <cfRule type="cellIs" dxfId="0" priority="7" operator="lessThan">
      <formula>30</formula>
    </cfRule>
  </conditionalFormatting>
  <conditionalFormatting sqref="M1012">
    <cfRule type="cellIs" dxfId="0" priority="500" operator="lessThan">
      <formula>30</formula>
    </cfRule>
  </conditionalFormatting>
  <conditionalFormatting sqref="Z1012">
    <cfRule type="cellIs" dxfId="0" priority="6" operator="lessThan">
      <formula>30</formula>
    </cfRule>
  </conditionalFormatting>
  <conditionalFormatting sqref="M1013">
    <cfRule type="cellIs" dxfId="0" priority="499" operator="lessThan">
      <formula>30</formula>
    </cfRule>
  </conditionalFormatting>
  <conditionalFormatting sqref="Z1013">
    <cfRule type="cellIs" dxfId="0" priority="5" operator="lessThan">
      <formula>30</formula>
    </cfRule>
  </conditionalFormatting>
  <conditionalFormatting sqref="M1014">
    <cfRule type="cellIs" dxfId="0" priority="498" operator="lessThan">
      <formula>30</formula>
    </cfRule>
  </conditionalFormatting>
  <conditionalFormatting sqref="Z1014">
    <cfRule type="cellIs" dxfId="0" priority="4" operator="lessThan">
      <formula>30</formula>
    </cfRule>
  </conditionalFormatting>
  <conditionalFormatting sqref="M1015">
    <cfRule type="cellIs" dxfId="0" priority="497" operator="lessThan">
      <formula>30</formula>
    </cfRule>
  </conditionalFormatting>
  <conditionalFormatting sqref="Z1015">
    <cfRule type="cellIs" dxfId="0" priority="3" operator="lessThan">
      <formula>30</formula>
    </cfRule>
  </conditionalFormatting>
  <conditionalFormatting sqref="M1016">
    <cfRule type="cellIs" dxfId="0" priority="496" operator="lessThan">
      <formula>30</formula>
    </cfRule>
  </conditionalFormatting>
  <conditionalFormatting sqref="Z1016">
    <cfRule type="cellIs" dxfId="0" priority="2" operator="lessThan">
      <formula>30</formula>
    </cfRule>
  </conditionalFormatting>
  <conditionalFormatting sqref="M1017">
    <cfRule type="cellIs" dxfId="0" priority="494" operator="lessThan">
      <formula>30</formula>
    </cfRule>
  </conditionalFormatting>
  <conditionalFormatting sqref="Z1017">
    <cfRule type="cellIs" dxfId="0" priority="1" operator="lessThan">
      <formula>30</formula>
    </cfRule>
  </conditionalFormatting>
  <conditionalFormatting sqref="M1018">
    <cfRule type="cellIs" dxfId="0" priority="491" operator="lessThan">
      <formula>30</formula>
    </cfRule>
  </conditionalFormatting>
  <conditionalFormatting sqref="M1019">
    <cfRule type="cellIs" dxfId="0" priority="490" operator="lessThan">
      <formula>30</formula>
    </cfRule>
  </conditionalFormatting>
  <conditionalFormatting sqref="M1020">
    <cfRule type="cellIs" dxfId="0" priority="489" operator="lessThan">
      <formula>30</formula>
    </cfRule>
  </conditionalFormatting>
  <conditionalFormatting sqref="M1021">
    <cfRule type="cellIs" dxfId="0" priority="488" operator="lessThan">
      <formula>30</formula>
    </cfRule>
  </conditionalFormatting>
  <conditionalFormatting sqref="M1022">
    <cfRule type="cellIs" dxfId="0" priority="487" operator="lessThan">
      <formula>30</formula>
    </cfRule>
  </conditionalFormatting>
  <conditionalFormatting sqref="M1023">
    <cfRule type="cellIs" dxfId="0" priority="486" operator="lessThan">
      <formula>30</formula>
    </cfRule>
  </conditionalFormatting>
  <conditionalFormatting sqref="M1024">
    <cfRule type="cellIs" dxfId="0" priority="485" operator="lessThan">
      <formula>30</formula>
    </cfRule>
  </conditionalFormatting>
  <conditionalFormatting sqref="M1025">
    <cfRule type="cellIs" dxfId="0" priority="484" operator="lessThan">
      <formula>30</formula>
    </cfRule>
  </conditionalFormatting>
  <conditionalFormatting sqref="M1026">
    <cfRule type="cellIs" dxfId="0" priority="481" operator="lessThan">
      <formula>30</formula>
    </cfRule>
  </conditionalFormatting>
  <conditionalFormatting sqref="M1027">
    <cfRule type="cellIs" dxfId="0" priority="480" operator="lessThan">
      <formula>30</formula>
    </cfRule>
  </conditionalFormatting>
  <conditionalFormatting sqref="M1028">
    <cfRule type="cellIs" dxfId="0" priority="479" operator="lessThan">
      <formula>30</formula>
    </cfRule>
  </conditionalFormatting>
  <conditionalFormatting sqref="M1029">
    <cfRule type="cellIs" dxfId="0" priority="478" operator="lessThan">
      <formula>30</formula>
    </cfRule>
  </conditionalFormatting>
  <conditionalFormatting sqref="M1030">
    <cfRule type="cellIs" dxfId="0" priority="477" operator="lessThan">
      <formula>30</formula>
    </cfRule>
  </conditionalFormatting>
  <conditionalFormatting sqref="M1031">
    <cfRule type="cellIs" dxfId="0" priority="476" operator="lessThan">
      <formula>30</formula>
    </cfRule>
  </conditionalFormatting>
  <conditionalFormatting sqref="M1032">
    <cfRule type="cellIs" dxfId="0" priority="475" operator="lessThan">
      <formula>30</formula>
    </cfRule>
  </conditionalFormatting>
  <conditionalFormatting sqref="M1033">
    <cfRule type="cellIs" dxfId="0" priority="474" operator="lessThan">
      <formula>30</formula>
    </cfRule>
  </conditionalFormatting>
  <conditionalFormatting sqref="M1034">
    <cfRule type="cellIs" dxfId="0" priority="473" operator="lessThan">
      <formula>30</formula>
    </cfRule>
  </conditionalFormatting>
  <conditionalFormatting sqref="M1035">
    <cfRule type="cellIs" dxfId="0" priority="472" operator="lessThan">
      <formula>30</formula>
    </cfRule>
  </conditionalFormatting>
  <conditionalFormatting sqref="M1036">
    <cfRule type="cellIs" dxfId="0" priority="471" operator="lessThan">
      <formula>30</formula>
    </cfRule>
  </conditionalFormatting>
  <conditionalFormatting sqref="M1037">
    <cfRule type="cellIs" dxfId="0" priority="470" operator="lessThan">
      <formula>30</formula>
    </cfRule>
  </conditionalFormatting>
  <conditionalFormatting sqref="M1038">
    <cfRule type="cellIs" dxfId="0" priority="469" operator="lessThan">
      <formula>30</formula>
    </cfRule>
  </conditionalFormatting>
  <conditionalFormatting sqref="M1039">
    <cfRule type="cellIs" dxfId="0" priority="468" operator="lessThan">
      <formula>30</formula>
    </cfRule>
  </conditionalFormatting>
  <conditionalFormatting sqref="M1040">
    <cfRule type="cellIs" dxfId="0" priority="467" operator="lessThan">
      <formula>30</formula>
    </cfRule>
  </conditionalFormatting>
  <conditionalFormatting sqref="M1041">
    <cfRule type="cellIs" dxfId="0" priority="466" operator="lessThan">
      <formula>30</formula>
    </cfRule>
  </conditionalFormatting>
  <conditionalFormatting sqref="M1044">
    <cfRule type="cellIs" dxfId="0" priority="463" operator="lessThan">
      <formula>30</formula>
    </cfRule>
  </conditionalFormatting>
  <conditionalFormatting sqref="M1045">
    <cfRule type="cellIs" dxfId="0" priority="462" operator="lessThan">
      <formula>30</formula>
    </cfRule>
  </conditionalFormatting>
  <conditionalFormatting sqref="M1046">
    <cfRule type="cellIs" dxfId="0" priority="461" operator="lessThan">
      <formula>30</formula>
    </cfRule>
  </conditionalFormatting>
  <conditionalFormatting sqref="M1047">
    <cfRule type="cellIs" dxfId="0" priority="460" operator="lessThan">
      <formula>30</formula>
    </cfRule>
  </conditionalFormatting>
  <conditionalFormatting sqref="M1048">
    <cfRule type="cellIs" dxfId="0" priority="459" operator="lessThan">
      <formula>30</formula>
    </cfRule>
  </conditionalFormatting>
  <conditionalFormatting sqref="M1049">
    <cfRule type="cellIs" dxfId="0" priority="458" operator="lessThan">
      <formula>30</formula>
    </cfRule>
  </conditionalFormatting>
  <conditionalFormatting sqref="M1050">
    <cfRule type="cellIs" dxfId="0" priority="457" operator="lessThan">
      <formula>30</formula>
    </cfRule>
  </conditionalFormatting>
  <conditionalFormatting sqref="M1051">
    <cfRule type="cellIs" dxfId="0" priority="456" operator="lessThan">
      <formula>30</formula>
    </cfRule>
  </conditionalFormatting>
  <conditionalFormatting sqref="M1052">
    <cfRule type="cellIs" dxfId="0" priority="455" operator="lessThan">
      <formula>30</formula>
    </cfRule>
  </conditionalFormatting>
  <conditionalFormatting sqref="M1053">
    <cfRule type="cellIs" dxfId="0" priority="454" operator="lessThan">
      <formula>30</formula>
    </cfRule>
  </conditionalFormatting>
  <conditionalFormatting sqref="M1054">
    <cfRule type="cellIs" dxfId="0" priority="453" operator="lessThan">
      <formula>30</formula>
    </cfRule>
  </conditionalFormatting>
  <conditionalFormatting sqref="M1055">
    <cfRule type="cellIs" dxfId="0" priority="452" operator="lessThan">
      <formula>30</formula>
    </cfRule>
  </conditionalFormatting>
  <conditionalFormatting sqref="M1056">
    <cfRule type="cellIs" dxfId="0" priority="451" operator="lessThan">
      <formula>30</formula>
    </cfRule>
  </conditionalFormatting>
  <conditionalFormatting sqref="M1057">
    <cfRule type="cellIs" dxfId="0" priority="450" operator="lessThan">
      <formula>30</formula>
    </cfRule>
  </conditionalFormatting>
  <conditionalFormatting sqref="M1058">
    <cfRule type="cellIs" dxfId="0" priority="449" operator="lessThan">
      <formula>30</formula>
    </cfRule>
  </conditionalFormatting>
  <conditionalFormatting sqref="M1059">
    <cfRule type="cellIs" dxfId="0" priority="448" operator="lessThan">
      <formula>30</formula>
    </cfRule>
  </conditionalFormatting>
  <conditionalFormatting sqref="M1060">
    <cfRule type="cellIs" dxfId="0" priority="447" operator="lessThan">
      <formula>30</formula>
    </cfRule>
  </conditionalFormatting>
  <conditionalFormatting sqref="M1061">
    <cfRule type="cellIs" dxfId="0" priority="446" operator="lessThan">
      <formula>30</formula>
    </cfRule>
  </conditionalFormatting>
  <conditionalFormatting sqref="M1062">
    <cfRule type="cellIs" dxfId="0" priority="445" operator="lessThan">
      <formula>30</formula>
    </cfRule>
  </conditionalFormatting>
  <conditionalFormatting sqref="M1063">
    <cfRule type="cellIs" dxfId="0" priority="444" operator="lessThan">
      <formula>30</formula>
    </cfRule>
  </conditionalFormatting>
  <conditionalFormatting sqref="M1064">
    <cfRule type="cellIs" dxfId="0" priority="443" operator="lessThan">
      <formula>30</formula>
    </cfRule>
  </conditionalFormatting>
  <conditionalFormatting sqref="M1069">
    <cfRule type="cellIs" dxfId="0" priority="440" operator="lessThan">
      <formula>30</formula>
    </cfRule>
  </conditionalFormatting>
  <conditionalFormatting sqref="M1070">
    <cfRule type="cellIs" dxfId="0" priority="439" operator="lessThan">
      <formula>30</formula>
    </cfRule>
  </conditionalFormatting>
  <conditionalFormatting sqref="M1071">
    <cfRule type="cellIs" dxfId="0" priority="438" operator="lessThan">
      <formula>30</formula>
    </cfRule>
  </conditionalFormatting>
  <conditionalFormatting sqref="M1072">
    <cfRule type="cellIs" dxfId="0" priority="437" operator="lessThan">
      <formula>30</formula>
    </cfRule>
  </conditionalFormatting>
  <conditionalFormatting sqref="M1073">
    <cfRule type="cellIs" dxfId="0" priority="436" operator="lessThan">
      <formula>30</formula>
    </cfRule>
  </conditionalFormatting>
  <conditionalFormatting sqref="M1074">
    <cfRule type="cellIs" dxfId="0" priority="435" operator="lessThan">
      <formula>30</formula>
    </cfRule>
  </conditionalFormatting>
  <conditionalFormatting sqref="M1075">
    <cfRule type="cellIs" dxfId="0" priority="434" operator="lessThan">
      <formula>30</formula>
    </cfRule>
  </conditionalFormatting>
  <conditionalFormatting sqref="M1076">
    <cfRule type="cellIs" dxfId="0" priority="433" operator="lessThan">
      <formula>30</formula>
    </cfRule>
  </conditionalFormatting>
  <conditionalFormatting sqref="M1077">
    <cfRule type="cellIs" dxfId="0" priority="424" operator="lessThan">
      <formula>30</formula>
    </cfRule>
  </conditionalFormatting>
  <conditionalFormatting sqref="M1078">
    <cfRule type="cellIs" dxfId="0" priority="423" operator="lessThan">
      <formula>30</formula>
    </cfRule>
  </conditionalFormatting>
  <conditionalFormatting sqref="M1079">
    <cfRule type="cellIs" dxfId="0" priority="422" operator="lessThan">
      <formula>30</formula>
    </cfRule>
  </conditionalFormatting>
  <conditionalFormatting sqref="M1080">
    <cfRule type="cellIs" dxfId="0" priority="421" operator="lessThan">
      <formula>30</formula>
    </cfRule>
  </conditionalFormatting>
  <conditionalFormatting sqref="M1081">
    <cfRule type="cellIs" dxfId="0" priority="420" operator="lessThan">
      <formula>30</formula>
    </cfRule>
  </conditionalFormatting>
  <conditionalFormatting sqref="M1082">
    <cfRule type="cellIs" dxfId="0" priority="419" operator="lessThan">
      <formula>30</formula>
    </cfRule>
  </conditionalFormatting>
  <conditionalFormatting sqref="M1083">
    <cfRule type="cellIs" dxfId="0" priority="418" operator="lessThan">
      <formula>30</formula>
    </cfRule>
  </conditionalFormatting>
  <conditionalFormatting sqref="M1084">
    <cfRule type="cellIs" dxfId="0" priority="417" operator="lessThan">
      <formula>30</formula>
    </cfRule>
  </conditionalFormatting>
  <conditionalFormatting sqref="M1085">
    <cfRule type="cellIs" dxfId="0" priority="416" operator="lessThan">
      <formula>30</formula>
    </cfRule>
  </conditionalFormatting>
  <conditionalFormatting sqref="M1086">
    <cfRule type="cellIs" dxfId="0" priority="415" operator="lessThan">
      <formula>30</formula>
    </cfRule>
  </conditionalFormatting>
  <conditionalFormatting sqref="M1087">
    <cfRule type="cellIs" dxfId="0" priority="411" operator="lessThan">
      <formula>30</formula>
    </cfRule>
  </conditionalFormatting>
  <conditionalFormatting sqref="M1088">
    <cfRule type="cellIs" dxfId="0" priority="410" operator="lessThan">
      <formula>30</formula>
    </cfRule>
  </conditionalFormatting>
  <conditionalFormatting sqref="M1089">
    <cfRule type="cellIs" dxfId="0" priority="409" operator="lessThan">
      <formula>30</formula>
    </cfRule>
  </conditionalFormatting>
  <conditionalFormatting sqref="M1090">
    <cfRule type="cellIs" dxfId="0" priority="408" operator="lessThan">
      <formula>30</formula>
    </cfRule>
  </conditionalFormatting>
  <conditionalFormatting sqref="M1113">
    <cfRule type="cellIs" dxfId="0" priority="392" operator="lessThan">
      <formula>30</formula>
    </cfRule>
  </conditionalFormatting>
  <conditionalFormatting sqref="M1114">
    <cfRule type="cellIs" dxfId="0" priority="391" operator="lessThan">
      <formula>30</formula>
    </cfRule>
  </conditionalFormatting>
  <conditionalFormatting sqref="M1115">
    <cfRule type="cellIs" dxfId="0" priority="390" operator="lessThan">
      <formula>30</formula>
    </cfRule>
  </conditionalFormatting>
  <conditionalFormatting sqref="M1116">
    <cfRule type="cellIs" dxfId="0" priority="389" operator="lessThan">
      <formula>30</formula>
    </cfRule>
  </conditionalFormatting>
  <conditionalFormatting sqref="M1117">
    <cfRule type="cellIs" dxfId="0" priority="388" operator="lessThan">
      <formula>30</formula>
    </cfRule>
  </conditionalFormatting>
  <conditionalFormatting sqref="M1118">
    <cfRule type="cellIs" dxfId="0" priority="387" operator="lessThan">
      <formula>30</formula>
    </cfRule>
  </conditionalFormatting>
  <conditionalFormatting sqref="M1119">
    <cfRule type="cellIs" dxfId="0" priority="386" operator="lessThan">
      <formula>30</formula>
    </cfRule>
  </conditionalFormatting>
  <conditionalFormatting sqref="M1132">
    <cfRule type="cellIs" dxfId="0" priority="373" operator="lessThan">
      <formula>30</formula>
    </cfRule>
  </conditionalFormatting>
  <conditionalFormatting sqref="M1133">
    <cfRule type="cellIs" dxfId="0" priority="372" operator="lessThan">
      <formula>30</formula>
    </cfRule>
  </conditionalFormatting>
  <conditionalFormatting sqref="M1376">
    <cfRule type="cellIs" dxfId="0" priority="180" operator="lessThan">
      <formula>30</formula>
    </cfRule>
  </conditionalFormatting>
  <conditionalFormatting sqref="M1562">
    <cfRule type="cellIs" dxfId="0" priority="1553" operator="lessThan">
      <formula>30</formula>
    </cfRule>
  </conditionalFormatting>
  <conditionalFormatting sqref="M826:M827">
    <cfRule type="cellIs" dxfId="0" priority="687" operator="lessThan">
      <formula>30</formula>
    </cfRule>
  </conditionalFormatting>
  <conditionalFormatting sqref="M925:M926">
    <cfRule type="cellIs" dxfId="0" priority="588" operator="lessThan">
      <formula>30</formula>
    </cfRule>
  </conditionalFormatting>
  <conditionalFormatting sqref="M1042:M1043">
    <cfRule type="cellIs" dxfId="0" priority="465" operator="lessThan">
      <formula>30</formula>
    </cfRule>
  </conditionalFormatting>
  <conditionalFormatting sqref="M1065:M1068">
    <cfRule type="cellIs" dxfId="0" priority="442" operator="lessThan">
      <formula>30</formula>
    </cfRule>
  </conditionalFormatting>
  <conditionalFormatting sqref="M1091:M1112">
    <cfRule type="cellIs" dxfId="0" priority="407" operator="lessThan">
      <formula>30</formula>
    </cfRule>
  </conditionalFormatting>
  <conditionalFormatting sqref="M1120:M1131">
    <cfRule type="cellIs" dxfId="0" priority="385" operator="lessThan">
      <formula>30</formula>
    </cfRule>
  </conditionalFormatting>
  <conditionalFormatting sqref="M1134:M1248">
    <cfRule type="cellIs" dxfId="0" priority="371" operator="lessThan">
      <formula>30</formula>
    </cfRule>
  </conditionalFormatting>
  <conditionalFormatting sqref="M1249:M1375">
    <cfRule type="cellIs" dxfId="0" priority="315" operator="lessThan">
      <formula>30</formula>
    </cfRule>
  </conditionalFormatting>
  <conditionalFormatting sqref="M1377:M1451">
    <cfRule type="cellIs" dxfId="0" priority="179" operator="lessThan">
      <formula>30</formula>
    </cfRule>
  </conditionalFormatting>
  <conditionalFormatting sqref="Z3:Z72">
    <cfRule type="cellIs" dxfId="0" priority="1536" operator="lessThan">
      <formula>30</formula>
    </cfRule>
  </conditionalFormatting>
  <conditionalFormatting sqref="Z73:Z83">
    <cfRule type="cellIs" dxfId="0" priority="379" operator="lessThan">
      <formula>30</formula>
    </cfRule>
  </conditionalFormatting>
  <conditionalFormatting sqref="Z84:Z102">
    <cfRule type="cellIs" dxfId="0" priority="383" operator="lessThan">
      <formula>30</formula>
    </cfRule>
  </conditionalFormatting>
  <conditionalFormatting sqref="Z112:Z118">
    <cfRule type="cellIs" dxfId="0" priority="378" operator="lessThan">
      <formula>30</formula>
    </cfRule>
  </conditionalFormatting>
  <conditionalFormatting sqref="Z119:Z135">
    <cfRule type="cellIs" dxfId="0" priority="380" operator="lessThan">
      <formula>30</formula>
    </cfRule>
  </conditionalFormatting>
  <conditionalFormatting sqref="Z136:Z163">
    <cfRule type="cellIs" dxfId="0" priority="382" operator="lessThan">
      <formula>30</formula>
    </cfRule>
  </conditionalFormatting>
  <conditionalFormatting sqref="Z164:Z202">
    <cfRule type="cellIs" dxfId="0" priority="377" operator="lessThan">
      <formula>30</formula>
    </cfRule>
  </conditionalFormatting>
  <conditionalFormatting sqref="Z203:Z288">
    <cfRule type="cellIs" dxfId="0" priority="376" operator="lessThan">
      <formula>30</formula>
    </cfRule>
  </conditionalFormatting>
  <conditionalFormatting sqref="Z289:Z397">
    <cfRule type="cellIs" dxfId="0" priority="368" operator="lessThan">
      <formula>30</formula>
    </cfRule>
  </conditionalFormatting>
  <conditionalFormatting sqref="Z398:Z404">
    <cfRule type="cellIs" dxfId="0" priority="341" operator="lessThan">
      <formula>30</formula>
    </cfRule>
  </conditionalFormatting>
  <conditionalFormatting sqref="Z409:Z433">
    <cfRule type="cellIs" dxfId="0" priority="327" operator="lessThan">
      <formula>30</formula>
    </cfRule>
  </conditionalFormatting>
  <conditionalFormatting sqref="Z434:Z470">
    <cfRule type="cellIs" dxfId="0" priority="329" operator="lessThan">
      <formula>30</formula>
    </cfRule>
  </conditionalFormatting>
  <conditionalFormatting sqref="Z471:Z509">
    <cfRule type="cellIs" dxfId="0" priority="351" operator="lessThan">
      <formula>30</formula>
    </cfRule>
  </conditionalFormatting>
  <conditionalFormatting sqref="Z519:Z521">
    <cfRule type="cellIs" dxfId="0" priority="218" operator="lessThan">
      <formula>30</formula>
    </cfRule>
  </conditionalFormatting>
  <conditionalFormatting sqref="Z524:Z558">
    <cfRule type="cellIs" dxfId="0" priority="326" operator="lessThan">
      <formula>30</formula>
    </cfRule>
  </conditionalFormatting>
  <conditionalFormatting sqref="Z573:Z579">
    <cfRule type="cellIs" dxfId="0" priority="316" operator="lessThan">
      <formula>30</formula>
    </cfRule>
  </conditionalFormatting>
  <conditionalFormatting sqref="Z588:Z610">
    <cfRule type="cellIs" dxfId="0" priority="275" operator="lessThan">
      <formula>30</formula>
    </cfRule>
  </conditionalFormatting>
  <conditionalFormatting sqref="Z614:Z625">
    <cfRule type="cellIs" dxfId="0" priority="238" operator="lessThan">
      <formula>30</formula>
    </cfRule>
  </conditionalFormatting>
  <conditionalFormatting sqref="Z626:Z655">
    <cfRule type="cellIs" dxfId="0" priority="314" operator="lessThan">
      <formula>30</formula>
    </cfRule>
  </conditionalFormatting>
  <conditionalFormatting sqref="Z672:Z688">
    <cfRule type="cellIs" dxfId="0" priority="302" operator="lessThan">
      <formula>30</formula>
    </cfRule>
  </conditionalFormatting>
  <conditionalFormatting sqref="Z753:Z766">
    <cfRule type="cellIs" dxfId="0" priority="181" operator="lessThan">
      <formula>30</formula>
    </cfRule>
  </conditionalFormatting>
  <conditionalFormatting sqref="Z799:Z819">
    <cfRule type="cellIs" dxfId="0" priority="145" operator="lessThan">
      <formula>30</formula>
    </cfRule>
  </conditionalFormatting>
  <conditionalFormatting sqref="Z1660:Z1976">
    <cfRule type="cellIs" dxfId="0" priority="2081" operator="lessThan">
      <formula>30</formula>
    </cfRule>
  </conditionalFormatting>
  <conditionalFormatting sqref="AA236:AA254">
    <cfRule type="cellIs" dxfId="0" priority="374" operator="lessThan">
      <formula>30</formula>
    </cfRule>
  </conditionalFormatting>
  <conditionalFormatting sqref="AM3:AM4">
    <cfRule type="cellIs" dxfId="0" priority="1535" operator="lessThan">
      <formula>30</formula>
    </cfRule>
  </conditionalFormatting>
  <conditionalFormatting sqref="AM5:AM8">
    <cfRule type="cellIs" dxfId="0" priority="1542" operator="lessThan">
      <formula>30</formula>
    </cfRule>
  </conditionalFormatting>
  <conditionalFormatting sqref="AM9:AM1976">
    <cfRule type="cellIs" dxfId="0" priority="1559" operator="lessThan">
      <formula>30</formula>
    </cfRule>
  </conditionalFormatting>
  <conditionalFormatting sqref="AZ3:AZ4">
    <cfRule type="cellIs" dxfId="0" priority="1534" operator="lessThan">
      <formula>30</formula>
    </cfRule>
  </conditionalFormatting>
  <conditionalFormatting sqref="AZ5:AZ8">
    <cfRule type="cellIs" dxfId="0" priority="1540" operator="lessThan">
      <formula>30</formula>
    </cfRule>
  </conditionalFormatting>
  <conditionalFormatting sqref="AZ9:AZ1976">
    <cfRule type="cellIs" dxfId="0" priority="1551" operator="lessThan">
      <formula>30</formula>
    </cfRule>
  </conditionalFormatting>
  <conditionalFormatting sqref="Z689:Z690 Z767:Z790 Z820:Z873 Z1018:Z1659 Z405:Z407 Z510">
    <cfRule type="cellIs" dxfId="0" priority="1566" operator="lessThan">
      <formula>30</formula>
    </cfRule>
  </conditionalFormatting>
  <conditionalFormatting sqref="M1452:M1561 M1563:M1976">
    <cfRule type="cellIs" dxfId="0" priority="1784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7" max="51" man="1"/>
  </rowBreaks>
  <colBreaks count="2" manualBreakCount="2">
    <brk id="22" max="1935" man="1"/>
    <brk id="25" max="193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3367</v>
      </c>
      <c r="B1" s="2"/>
      <c r="C1" s="3"/>
      <c r="D1" s="4" t="s">
        <v>3368</v>
      </c>
      <c r="E1" s="5"/>
      <c r="F1" s="6" t="s">
        <v>3369</v>
      </c>
      <c r="G1" s="6"/>
      <c r="H1" s="6"/>
      <c r="I1" s="35"/>
      <c r="J1" s="35"/>
      <c r="K1" s="35"/>
      <c r="L1" s="35"/>
      <c r="M1" s="3"/>
      <c r="N1" s="3"/>
      <c r="O1" s="36" t="s">
        <v>3370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3371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3372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3373</v>
      </c>
      <c r="D4" s="20"/>
      <c r="E4" s="21"/>
      <c r="F4" s="18" t="s">
        <v>3374</v>
      </c>
      <c r="G4" s="19" t="s">
        <v>3375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3376</v>
      </c>
      <c r="Q4" s="18" t="s">
        <v>3377</v>
      </c>
      <c r="R4" s="18" t="s">
        <v>10</v>
      </c>
      <c r="S4" s="18" t="s">
        <v>3378</v>
      </c>
    </row>
    <row r="5" spans="1:19">
      <c r="A5" s="22">
        <v>1</v>
      </c>
      <c r="B5" s="23" t="s">
        <v>31</v>
      </c>
      <c r="C5" s="24" t="s">
        <v>3379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3380</v>
      </c>
      <c r="Q5" s="52" t="s">
        <v>3381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3382</v>
      </c>
      <c r="C6" s="24" t="s">
        <v>3383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3384</v>
      </c>
      <c r="Q6" s="52" t="s">
        <v>3385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31</v>
      </c>
      <c r="C7" s="24" t="s">
        <v>3386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3384</v>
      </c>
      <c r="Q7" s="52" t="s">
        <v>3387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31</v>
      </c>
      <c r="C8" s="29" t="s">
        <v>3388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3384</v>
      </c>
      <c r="Q8" s="52" t="s">
        <v>3381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3384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3384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3384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3384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3384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2026-05-25T01:01:24Z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